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1.xml" ContentType="application/vnd.openxmlformats-officedocument.spreadsheetml.comments+xml"/>
  <Override PartName="/xl/comments5.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vmlDrawing5.vml" ContentType="application/vnd.openxmlformats-officedocument.vmlDrawing"/>
  <Override PartName="/xl/drawings/drawing4.xml" ContentType="application/vnd.openxmlformats-officedocument.drawing+xml"/>
  <Override PartName="/xl/drawings/vmlDrawing6.vml" ContentType="application/vnd.openxmlformats-officedocument.vmlDrawing"/>
  <Override PartName="/xl/drawings/drawing5.xml" ContentType="application/vnd.openxmlformats-officedocument.drawing+xml"/>
  <Override PartName="/xl/drawings/vmlDrawing7.vml" ContentType="application/vnd.openxmlformats-officedocument.vmlDrawing"/>
  <Override PartName="/xl/comments2.xml" ContentType="application/vnd.openxmlformats-officedocument.spreadsheetml.comment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comments3.xml" ContentType="application/vnd.openxmlformats-officedocument.spreadsheetml.comments+xml"/>
  <Override PartName="/xl/theme/theme1.xml" ContentType="application/vnd.openxmlformats-officedocument.theme+xml"/>
  <Override PartName="/xl/comments7.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9"/>
  </bookViews>
  <sheets>
    <sheet name="Petunjuk" sheetId="1" state="visible" r:id="rId3"/>
    <sheet name="Model" sheetId="2" state="visible" r:id="rId4"/>
    <sheet name="Varian" sheetId="3" state="visible" r:id="rId5"/>
    <sheet name="CPU" sheetId="4" state="visible" r:id="rId6"/>
    <sheet name="GPU" sheetId="5" state="visible" r:id="rId7"/>
    <sheet name="Harga" sheetId="6" state="visible" r:id="rId8"/>
    <sheet name="Catatan Pengisian" sheetId="7" state="visible" r:id="rId9"/>
    <sheet name="Aturan" sheetId="8" state="visible" r:id="rId10"/>
    <sheet name="Perhitungan" sheetId="9" state="visible" r:id="rId11"/>
    <sheet name="Hasil" sheetId="10" state="visible" r:id="rId12"/>
    <sheet name="Pilihan" sheetId="11" state="visible" r:id="rId13"/>
  </sheets>
  <definedNames>
    <definedName function="false" hidden="true" localSheetId="3" name="_xlnm._FilterDatabase" vbProcedure="false">CPU!$A$3:$N$64</definedName>
    <definedName function="false" hidden="true" localSheetId="4" name="_xlnm._FilterDatabase" vbProcedure="false">GPU!$A$3:$K$64</definedName>
    <definedName function="false" hidden="true" localSheetId="5" name="_xlnm._FilterDatabase" vbProcedure="false">Harga!$A$3:$I$64</definedName>
    <definedName function="false" hidden="true" localSheetId="1" name="_xlnm._FilterDatabase" vbProcedure="false">Model!$A$3:$U$64</definedName>
    <definedName function="false" hidden="true" localSheetId="2" name="_xlnm._FilterDatabase" vbProcedure="false">Varian!$A$3:$BB$64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Nama pendek yang unik: huruf kecil, tanpa spasi, pakai tanda hubung. Contoh: lenovo-thinkpad-t480. Tab Varian memilih model lewat kunci ini.</t>
        </r>
      </text>
    </comment>
    <comment ref="D3" authorId="0">
      <text>
        <r>
          <rPr>
            <sz val="10"/>
            <rFont val="Arial"/>
            <family val="2"/>
          </rPr>
          <t xml:space="preserve">Peran laptop ini di antara lima laptop awal. Boleh diganti kalau modelnya sulit dicari.</t>
        </r>
      </text>
    </comment>
    <comment ref="F3" authorId="0">
      <text>
        <r>
          <rPr>
            <sz val="10"/>
            <rFont val="Arial"/>
            <family val="2"/>
          </rPr>
          <t xml:space="preserve">dijual = masih dijual baru. dihentikan = produksi berhenti, stok mungkin tersisa. bekas_saja = hanya beredar bekas. unknown = belum ada sumbernya.</t>
        </r>
      </text>
    </comment>
    <comment ref="G3" authorId="0">
      <text>
        <r>
          <rPr>
            <sz val="10"/>
            <rFont val="Arial"/>
            <family val="2"/>
          </rPr>
          <t xml:space="preserve">Bahan bodi utama. Pilih Campuran bila tutup layar dan bagian bawah berbeda bahan. unknown bila pabrikan tidak menyebutnya.</t>
        </r>
      </text>
    </comment>
    <comment ref="H3" authorId="0">
      <text>
        <r>
          <rPr>
            <sz val="10"/>
            <rFont val="Arial"/>
            <family val="2"/>
          </rPr>
          <t xml:space="preserve">Ukuran layar tetap untuk satu seri. Jenis panel, resolusi, dan layar sentuh ada di tab Varian karena bisa berbeda tiap varian.</t>
        </r>
      </text>
    </comment>
    <comment ref="K3" authorId="0">
      <text>
        <r>
          <rPr>
            <sz val="10"/>
            <rFont val="Arial"/>
            <family val="2"/>
          </rPr>
          <t xml:space="preserve">Kemampuan USB-C yang paling lengkap pada laptop ini. Isi unknown bila pabrikan tidak menyebutnya.</t>
        </r>
      </text>
    </comment>
    <comment ref="O3" authorId="0">
      <text>
        <r>
          <rPr>
            <sz val="10"/>
            <rFont val="Arial"/>
            <family val="2"/>
          </rPr>
          <t xml:space="preserve">Isi tidak bila tidak tercantum di daftar port resmi. Tulis jenis kartunya (misalnya hanya microSD) di kolom Waspadai.</t>
        </r>
      </text>
    </comment>
    <comment ref="S3" authorId="0">
      <text>
        <r>
          <rPr>
            <sz val="10"/>
            <rFont val="Arial"/>
            <family val="2"/>
          </rPr>
          <t xml:space="preserve">Isi hanya bila ada sumber (ulasan atau forum) yang menyebutnya berulang. Kosongkan bila belum ada.</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ID unik dan tetap untuk satu varian. Usulan: kunci model + CPU + RAM + penyimpanan, misalnya lenovo-thinkpad-t480-i5-8-256. Tab Harga memakai ID ini.</t>
        </r>
      </text>
    </comment>
    <comment ref="B3" authorId="0">
      <text>
        <r>
          <rPr>
            <sz val="10"/>
            <rFont val="Arial"/>
            <family val="2"/>
          </rPr>
          <t xml:space="preserve">Pilih dari daftar (diambil dari tab Model). Satu model boleh punya beberapa varian.</t>
        </r>
      </text>
    </comment>
    <comment ref="C3" authorId="0">
      <text>
        <r>
          <rPr>
            <sz val="10"/>
            <rFont val="Arial"/>
            <family val="2"/>
          </rPr>
          <t xml:space="preserve">Kode lengkap konfigurasi dari pabrikan atau kemasan, bukan hanya nama seri. Satu nama model bisa punya banyak kode.</t>
        </r>
      </text>
    </comment>
    <comment ref="D3" authorId="0">
      <text>
        <r>
          <rPr>
            <sz val="10"/>
            <rFont val="Arial"/>
            <family val="2"/>
          </rPr>
          <t xml:space="preserve">Tahun varian ini mulai dijual, bukan tahun seri pertama.</t>
        </r>
      </text>
    </comment>
    <comment ref="E3" authorId="0">
      <text>
        <r>
          <rPr>
            <sz val="10"/>
            <rFont val="Arial"/>
            <family val="2"/>
          </rPr>
          <t xml:space="preserve">dijual = masih dijual baru. dihentikan = produksi berhenti, stok mungkin tersisa. bekas_saja = hanya beredar bekas.</t>
        </r>
      </text>
    </comment>
    <comment ref="F3" authorId="0">
      <text>
        <r>
          <rPr>
            <sz val="10"/>
            <rFont val="Arial"/>
            <family val="2"/>
          </rPr>
          <t xml:space="preserve">Isi bila statusnya dihentikan. Kosongkan bila masih dijual.</t>
        </r>
      </text>
    </comment>
    <comment ref="G3" authorId="0">
      <text>
        <r>
          <rPr>
            <sz val="10"/>
            <rFont val="Arial"/>
            <family val="2"/>
          </rPr>
          <t xml:space="preserve">Resmi Indonesia = garansi resmi di Indonesia. Impor/paralel = dibawa masuk sendiri oleh penjual.</t>
        </r>
      </text>
    </comment>
    <comment ref="J3" authorId="0">
      <text>
        <r>
          <rPr>
            <sz val="10"/>
            <rFont val="Arial"/>
            <family val="2"/>
          </rPr>
          <t xml:space="preserve">Pilih dari daftar (diambil dari tab CPU). Bila belum ada, tambahkan di tab CPU terlebih dahulu.</t>
        </r>
      </text>
    </comment>
    <comment ref="K3" authorId="0">
      <text>
        <r>
          <rPr>
            <sz val="10"/>
            <rFont val="Arial"/>
            <family val="2"/>
          </rPr>
          <t xml:space="preserve">Pilih dari daftar (diambil dari tab GPU). Bila belum ada, tambahkan di tab GPU terlebih dahulu.</t>
        </r>
      </text>
    </comment>
    <comment ref="L3" authorId="0">
      <text>
        <r>
          <rPr>
            <sz val="10"/>
            <rFont val="Arial"/>
            <family val="2"/>
          </rPr>
          <t xml:space="preserve">Daya kartu grafis terpisah dalam watt (TGP). Kosongkan bila memakai grafis bawaan. Kartu grafis yang sama bisa berbeda kinerjanya bila dayanya berbeda.</t>
        </r>
      </text>
    </comment>
    <comment ref="N3" authorId="0">
      <text>
        <r>
          <rPr>
            <sz val="10"/>
            <rFont val="Arial"/>
            <family val="2"/>
          </rPr>
          <t xml:space="preserve">Tipe berawalan LPDDR biasanya disolder.</t>
        </r>
      </text>
    </comment>
    <comment ref="Q3" authorId="0">
      <text>
        <r>
          <rPr>
            <sz val="10"/>
            <rFont val="Arial"/>
            <family val="2"/>
          </rPr>
          <t xml:space="preserve">disolder = RAM menempel di papan utama dan tidak bisa diganti. slot = modul bisa dilepas dan diganti. setengah_disolder = sebagian disolder, ditambah satu slot. unknown = belum ketemu sumbernya (jangan menebak).</t>
        </r>
      </text>
    </comment>
    <comment ref="R3" authorId="0">
      <text>
        <r>
          <rPr>
            <sz val="10"/>
            <rFont val="Arial"/>
            <family val="2"/>
          </rPr>
          <t xml:space="preserve">Jumlah slot RAM di papan utama. Isi 0 bila semuanya disolder.</t>
        </r>
      </text>
    </comment>
    <comment ref="T3" authorId="0">
      <text>
        <r>
          <rPr>
            <sz val="10"/>
            <rFont val="Arial"/>
            <family val="2"/>
          </rPr>
          <t xml:space="preserve">Berapa GB RAM yang disolder. Sama dengan ukuran RAM bila semuanya disolder; 0 bila semuanya modul slot.</t>
        </r>
      </text>
    </comment>
    <comment ref="U3" authorId="0">
      <text>
        <r>
          <rPr>
            <sz val="10"/>
            <rFont val="Arial"/>
            <family val="2"/>
          </rPr>
          <t xml:space="preserve">RAM maksimal menurut spesifikasi atau manual resmi, bukan hasil coba orang lain.</t>
        </r>
      </text>
    </comment>
    <comment ref="V3" authorId="0">
      <text>
        <r>
          <rPr>
            <sz val="10"/>
            <rFont val="Arial"/>
            <family val="2"/>
          </rPr>
          <t xml:space="preserve">Kapasitas penyimpanan utama dalam GB (512 untuk 512 GB, 1000 untuk 1 TB).</t>
        </r>
      </text>
    </comment>
    <comment ref="W3" authorId="0">
      <text>
        <r>
          <rPr>
            <sz val="10"/>
            <rFont val="Arial"/>
            <family val="2"/>
          </rPr>
          <t xml:space="preserve">nvme_ssd = SSD M.2 jalur cepat. sata_ssd = SSD jalur lebih lambat. hdd = hard disk. emmc = memori tanam tipis (disolder).</t>
        </r>
      </text>
    </comment>
    <comment ref="X3" authorId="0">
      <text>
        <r>
          <rPr>
            <sz val="10"/>
            <rFont val="Arial"/>
            <family val="2"/>
          </rPr>
          <t xml:space="preserve">Contoh: PCIe 3.0 x4, PCIe 4.0 x4, SATA III. Tulis unknown bila belum tahu.</t>
        </r>
      </text>
    </comment>
    <comment ref="Z3" authorId="0">
      <text>
        <r>
          <rPr>
            <sz val="10"/>
            <rFont val="Arial"/>
            <family val="2"/>
          </rPr>
          <t xml:space="preserve">ya = bisa dilepas dan diganti. tidak = disolder (misalnya eMMC). unknown = belum ada sumbernya.</t>
        </r>
      </text>
    </comment>
    <comment ref="AC3" authorId="0">
      <text>
        <r>
          <rPr>
            <sz val="10"/>
            <rFont val="Arial"/>
            <family val="2"/>
          </rPr>
          <t xml:space="preserve">Ada ruang kosong untuk SSD atau HDD 2,5 inci? ya, tidak, atau unknown.</t>
        </r>
      </text>
    </comment>
    <comment ref="AD3" authorId="0">
      <text>
        <r>
          <rPr>
            <sz val="10"/>
            <rFont val="Arial"/>
            <family val="2"/>
          </rPr>
          <t xml:space="preserve">terverifikasi = ada sumber kuat (spesifikasi resmi pabrikan, manual servis, atau video bongkar). belum terverifikasi = hanya dari forum, ulasan, atau sumber yang kesesuaiannya belum pasti. tidak diketahui = belum dicari. Berlaku untuk semua kolom RAM dan penyimpanan di varian ini.</t>
        </r>
      </text>
    </comment>
    <comment ref="AE3" authorId="0">
      <text>
        <r>
          <rPr>
            <sz val="10"/>
            <rFont val="Arial"/>
            <family val="2"/>
          </rPr>
          <t xml:space="preserve">Tautan atau nama sumber untuk info RAM dan penyimpanan di varian ini.</t>
        </r>
      </text>
    </comment>
    <comment ref="AF3" authorId="0">
      <text>
        <r>
          <rPr>
            <sz val="10"/>
            <rFont val="Arial"/>
            <family val="2"/>
          </rPr>
          <t xml:space="preserve">Bobot menurut pabrikan. Bila pabrikan hanya memberi rentang, isi angka terendah dan tulis rentangnya di catatan editor.</t>
        </r>
      </text>
    </comment>
    <comment ref="BA3" authorId="0">
      <text>
        <r>
          <rPr>
            <sz val="10"/>
            <rFont val="Arial"/>
            <family val="2"/>
          </rPr>
          <t xml:space="preserve">Otomatis: tahun ini dikurangi tahun rilis varian. Memakai TODAY(), jadi angkanya bertambah setiap tahun.</t>
        </r>
      </text>
    </comment>
    <comment ref="BB3" authorId="0">
      <text>
        <r>
          <rPr>
            <sz val="10"/>
            <rFont val="Arial"/>
            <family val="2"/>
          </rPr>
          <t xml:space="preserve">Otomatis dari kolom Resmi Windows 11? di tab CPU. Aturan umum: Intel Core generasi ke-8 ke atas dan AMD Ryzen 2000 ke atas didukung secara resmi (sekitar laptop 2018). Sumber: https://pureinfotech.com/windows-11-processor-requirements-intel-amd-qualcomm/</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Satu baris untuk satu prosesor. Nama ini yang muncul di daftar pilihan tab Varian.</t>
        </r>
      </text>
    </comment>
    <comment ref="H3" authorId="0">
      <text>
        <r>
          <rPr>
            <sz val="10"/>
            <rFont val="Arial"/>
            <family val="2"/>
          </rPr>
          <t xml:space="preserve">hemat = daya dasar sekitar 15 W atau kurang (seri U dan N). seimbang = sekitar 28 W (seri P). performa = 45 W ke atas (seri H dan HX).</t>
        </r>
      </text>
    </comment>
    <comment ref="I3" authorId="0">
      <text>
        <r>
          <rPr>
            <sz val="10"/>
            <rFont val="Arial"/>
            <family val="2"/>
          </rPr>
          <t xml:space="preserve">Isi berdasarkan daftar resmi Microsoft (Intel ditulis per seri, misalnya 8th Generation Core i5). Aturan umum: Intel Core generasi ke-8 ke atas dan AMD Ryzen 2000 ke atas didukung. Bila prosesor belum ada di daftar Microsoft tetapi pabrikan menjual laptop dengan Windows 11 dan mencantumkannya sebagai sistem operasi yang didukung, isi ya dan tulis alasannya di kolom Sumber. Daftar Intel: https://learn.microsoft.com/en-us/windows-hardware/design/minimum/supported/windows-11-supported-intel-processors</t>
        </r>
      </text>
    </comment>
    <comment ref="J3" authorId="0">
      <text>
        <r>
          <rPr>
            <sz val="10"/>
            <rFont val="Arial"/>
            <family val="2"/>
          </rPr>
          <t xml:space="preserve">Penilaian kita sendiri, bukan skor resmi. Usulan awal: 1 = dokumen dan internet ringan; 2 = kuliah dan kantor cukup lancar; 3 = kuliah, kantor, dan banyak aplikasi sekaligus dengan lega; 4 = kerja berat sesekali (kompilasi besar, edit video menengah); 5 = kerja berat terus-menerus (render, simulasi). Arti lengkap ada di tab Aturan. Alasannya wajib ditulis di kolom sebelahnya.</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Satu baris untuk satu GPU. Laptop tanpa kartu grafis terpisah tetap memakai grafis bawaan (misalnya Intel Iris Xe atau AMD Radeon Graphics); tulis namanya di sini juga.</t>
        </r>
      </text>
    </comment>
    <comment ref="G3" authorId="0">
      <text>
        <r>
          <rPr>
            <sz val="10"/>
            <rFont val="Arial"/>
            <family val="2"/>
          </rPr>
          <t xml:space="preserve">Penilaian kita sendiri, bukan skor resmi. Usulan awal: 1 = tampilan, dokumen, dan video biasa; 2 = video, desain ringan, dan game ringan (grafis bawaan generasi baru); 3 = game populer pada pengaturan sedang (kartu grafis terpisah kelas pemula); 4 = game baru pada pengaturan tinggi; 5 = game dan render berat. Arti lengkap ada di tab Aturan. Alasannya wajib ditulis di kolom sebelahnya.</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Pilih dari daftar (diambil dari kolom ID varian di tab Varian).</t>
        </r>
      </text>
    </comment>
    <comment ref="F3" authorId="0">
      <text>
        <r>
          <rPr>
            <sz val="10"/>
            <rFont val="Arial"/>
            <family val="2"/>
          </rPr>
          <t xml:space="preserve">toko_resmi = situs pabrikan atau peritel besar resmi (misalnya HP Indonesia, Erablue). marketplace = Tokopedia, Shopee, dan sejenisnya. toko_bekas = toko khusus laptop bekas. perorangan = penjual perorangan (OLX, grup jual-beli).</t>
        </r>
      </text>
    </comment>
    <comment ref="H3" authorId="0">
      <text>
        <r>
          <rPr>
            <sz val="10"/>
            <rFont val="Arial"/>
            <family val="2"/>
          </rPr>
          <t xml:space="preserve">Tanggal harga ini dilihat. Jangan menimpa harga lama; tambahkan baris baru supaya riwayatnya terlihat.</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B13" authorId="0">
      <text>
        <r>
          <rPr>
            <sz val="10"/>
            <rFont val="Arial"/>
            <family val="2"/>
          </rPr>
          <t xml:space="preserve">Dari dokumen Fondasi Proyek: versi pertama berisi 40-60 model.</t>
        </r>
      </text>
    </comment>
    <comment ref="C3" authorId="0">
      <text>
        <r>
          <rPr>
            <sz val="10"/>
            <rFont val="Arial"/>
            <family val="2"/>
          </rPr>
          <t xml:space="preserve">Hitung berapa menit kamu memeriksa data satu laptop dari sumbernya. Pakai pengatur waktu agar tidak menebak. Dipakai untuk memperkirakan lama pengisian 40-60 model.</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Daftar pilihan untuk menu dropdown di tab lain. Jangan mengubah nilai yang sudah ada tanpa kesepakatan, karena data yang sudah diisi memakai nilai yang sama.</t>
        </r>
      </text>
    </comment>
  </commentList>
</comments>
</file>

<file path=xl/sharedStrings.xml><?xml version="1.0" encoding="utf-8"?>
<sst xmlns="http://schemas.openxmlformats.org/spreadsheetml/2006/main" count="1190" uniqueCount="687">
  <si>
    <t xml:space="preserve">Data Laptop: Lima Laptop Awal (Draf 2)</t>
  </si>
  <si>
    <t xml:space="preserve">Tujuan</t>
  </si>
  <si>
    <t xml:space="preserve">Satu bentuk data yang sama untuk semua laptop, sebelum situsnya dibuat. Lima laptop awal sudah diisi dari situs pabrikan, Intel, AMD, Microsoft, ulasan teknologi, dan marketplace besar (dicek 8 Oktober 2026). Isian ini masih draf: periksa ulang, lalu lengkapi bagian yang kosong atau bertanda unknown.</t>
  </si>
  <si>
    <t xml:space="preserve">Cara memakai</t>
  </si>
  <si>
    <t xml:space="preserve">Tab Model: data yang sama untuk semua konfigurasi satu seri (bahan bodi, ukuran layar, port, catatan).</t>
  </si>
  <si>
    <t xml:space="preserve">Tab Varian: satu baris untuk satu konfigurasi nyata (CPU, RAM, dan penyimpanan tertentu). Layar, bobot, baterai, dan kelengkapan lain ada di sini karena bisa berbeda tiap varian.</t>
  </si>
  <si>
    <t xml:space="preserve">Tab CPU dan GPU: satu baris untuk setiap prosesor dan kartu grafis. Tab Varian memilih dari dua tab ini, jadi isi keduanya lebih dulu bila menambah laptop baru. Tingkat 1-5 adalah usulan awal untuk ditinjau. Arti tiap tingkat ada di tab Aturan (bagian 6).</t>
  </si>
  <si>
    <t xml:space="preserve">Tab Harga: harga bertanggal beserta sumbernya. Tambahkan baris baru setiap kali harga dicek ulang; jangan menimpa harga lama.</t>
  </si>
  <si>
    <t xml:space="preserve">Tab Catatan Pengisian: sumber, kolom yang sulit dicari, kolom yang masih unknown, dan temuan untuk tiap laptop. Catat juga berapa menit kamu memeriksa tiap laptop.</t>
  </si>
  <si>
    <t xml:space="preserve">Arti warna</t>
  </si>
  <si>
    <t xml:space="preserve">Kuning</t>
  </si>
  <si>
    <t xml:space="preserve">Diisi sendiri. Sel kuning yang masih kosong berarti belum ada sumbernya.</t>
  </si>
  <si>
    <t xml:space="preserve">Abu-abu</t>
  </si>
  <si>
    <t xml:space="preserve">Terisi otomatis dari rumus. Jangan diketik.</t>
  </si>
  <si>
    <t xml:space="preserve">CONTOH</t>
  </si>
  <si>
    <t xml:space="preserve">Baris ke-4 di setiap tab berisi nilai rekaan untuk menunjukkan cara mengisi. Jangan dihapus dan jangan dipakai sebagai data.</t>
  </si>
  <si>
    <t xml:space="preserve">Aturan isi</t>
  </si>
  <si>
    <t xml:space="preserve">Urutan sumber: spesifikasi resmi pabrikan, lalu manual servis resmi, lalu video bongkar. Informasi dari forum atau ulasan ditandai belum terverifikasi.</t>
  </si>
  <si>
    <t xml:space="preserve">Kalau belum tahu, pilih unknown atau biarkan kosong. Jangan menebak, terutama untuk RAM disolder dan penyimpanan yang bisa diganti.</t>
  </si>
  <si>
    <t xml:space="preserve">Harga ditulis sebagai rentang, lengkap dengan sumber dan tanggal cek. Listing yang jauh di atas atau di bawah harga toko lain tidak dihitung; alasannya ditulis di kolom catatan.</t>
  </si>
  <si>
    <t xml:space="preserve">Tingkat 1-5 untuk CPU dan GPU adalah penilaian kita sendiri. Tulis alasannya di kolom sebelahnya.</t>
  </si>
  <si>
    <t xml:space="preserve">Catatan editor memakai bahasa awam (lihat panduan gaya bahasa awam di dokumen Fondasi Proyek).</t>
  </si>
  <si>
    <t xml:space="preserve">Jangan menyalin kalimat dari situs lain. Tulis ulang dengan kalimat sendiri.</t>
  </si>
  <si>
    <t xml:space="preserve">Jangan mengubah isi daftar di tab Pilihan tanpa kesepakatan, karena tab lain memakainya.</t>
  </si>
  <si>
    <t xml:space="preserve">Wajib untuk v1</t>
  </si>
  <si>
    <t xml:space="preserve">Kode varian, tahun rilis, status penjualan, CPU, GPU, RAM (ukuran, tipe, letak), penyimpanan (ukuran, tipe, bisa diganti atau tidak), sistem operasi, harga, dan catatan editor.</t>
  </si>
  <si>
    <t xml:space="preserve">Tab penilaian</t>
  </si>
  <si>
    <t xml:space="preserve">Aturan: batas minimal dan batas nyaman untuk lima kebutuhan, peringkat jenis layar, daftar peringatan, dan arti tingkat 1-5. Kolom kuning boleh diubah; tab Perhitungan dan Hasil ikut berubah.</t>
  </si>
  <si>
    <t xml:space="preserve">Perhitungan: satu baris untuk satu pasangan varian dan kebutuhan. Semuanya rumus, jadi tidak diisi. Dipakai untuk menelusuri bagaimana hasil didapat.</t>
  </si>
  <si>
    <t xml:space="preserve">Hasil: pilih satu varian untuk membaca alasan tiap kebutuhan, atau lihat semua varian sekaligus di tabel bawahnya.</t>
  </si>
  <si>
    <t xml:space="preserve">Hasil ini baru percobaan aturan pada lima laptop. Angka batas dan tingkat 1-5 adalah penilaian awal kita, belum diuji ke pengguna. Isi tab Varian dengan benar dan lengkap dulu, karena kolom yang kosong atau unknown membuat hasilnya Data belum lengkap.</t>
  </si>
  <si>
    <t xml:space="preserve">Model: satu baris untuk satu seri laptop</t>
  </si>
  <si>
    <t xml:space="preserve">Data yang sama untuk semua konfigurasi seri ini. Kolom kuning diisi sendiri; baris CONTOH hanya untuk ditiru.</t>
  </si>
  <si>
    <t xml:space="preserve">Kunci model
kunci_model</t>
  </si>
  <si>
    <t xml:space="preserve">Merek
merek</t>
  </si>
  <si>
    <t xml:space="preserve">Seri / nama model
seri</t>
  </si>
  <si>
    <t xml:space="preserve">Peran dalam 5 laptop awal
peran</t>
  </si>
  <si>
    <t xml:space="preserve">Tahun rilis seri
tahun_rilis</t>
  </si>
  <si>
    <t xml:space="preserve">Status penjualan
status</t>
  </si>
  <si>
    <t xml:space="preserve">Bahan bodi
bahan</t>
  </si>
  <si>
    <t xml:space="preserve">Layar · ukuran (inci)
layar_inci</t>
  </si>
  <si>
    <t xml:space="preserve">USB-A · jumlah port
usb_a</t>
  </si>
  <si>
    <t xml:space="preserve">USB-C · jumlah port
usb_c</t>
  </si>
  <si>
    <t xml:space="preserve">USB-C · kemampuan
usbc_jenis</t>
  </si>
  <si>
    <t xml:space="preserve">Bisa diisi lewat USB-C?
usbc_charge</t>
  </si>
  <si>
    <t xml:space="preserve">Port HDMI?
hdmi</t>
  </si>
  <si>
    <t xml:space="preserve">HDMI · versi
hdmi_versi</t>
  </si>
  <si>
    <t xml:space="preserve">Pembaca kartu SD?
sd</t>
  </si>
  <si>
    <t xml:space="preserve">Port LAN (kabel)?
lan</t>
  </si>
  <si>
    <t xml:space="preserve">Ringkasnya (1-2 kalimat, bahasa awam)
ringkasan</t>
  </si>
  <si>
    <t xml:space="preserve">Waspadai
waspada</t>
  </si>
  <si>
    <t xml:space="preserve">Masalah umum yang sering dikeluhkan
masalah_umum</t>
  </si>
  <si>
    <t xml:space="preserve">Tautan spesifikasi resmi
url_spek</t>
  </si>
  <si>
    <t xml:space="preserve">Tanggal diperiksa
tgl_verif</t>
  </si>
  <si>
    <t xml:space="preserve">contoh-a14</t>
  </si>
  <si>
    <t xml:space="preserve">Contoh</t>
  </si>
  <si>
    <t xml:space="preserve">A14</t>
  </si>
  <si>
    <t xml:space="preserve">Baru populer</t>
  </si>
  <si>
    <t xml:space="preserve">dijual</t>
  </si>
  <si>
    <t xml:space="preserve">Plastik</t>
  </si>
  <si>
    <t xml:space="preserve">USB-C + DisplayPort</t>
  </si>
  <si>
    <t xml:space="preserve">ya</t>
  </si>
  <si>
    <t xml:space="preserve">HDMI 1.4</t>
  </si>
  <si>
    <t xml:space="preserve">tidak</t>
  </si>
  <si>
    <t xml:space="preserve">(CONTOH) Laptop tipis untuk kuliah dan kerja kantoran.</t>
  </si>
  <si>
    <t xml:space="preserve">(CONTOH) RAM disolder, tidak bisa ditambah.</t>
  </si>
  <si>
    <t xml:space="preserve">(CONTOH) Belum ada keluhan yang sering muncul.</t>
  </si>
  <si>
    <t xml:space="preserve">https://contoh.example/a14</t>
  </si>
  <si>
    <t xml:space="preserve">asus-m1405ya</t>
  </si>
  <si>
    <t xml:space="preserve">ASUS</t>
  </si>
  <si>
    <t xml:space="preserve">Vivobook 14 M1405YA</t>
  </si>
  <si>
    <t xml:space="preserve">unknown</t>
  </si>
  <si>
    <t xml:space="preserve">Laptop 14 inci untuk kuliah dan pekerjaan harian. Layarnya berbentuk 16:10, sedikit lebih tinggi daripada layar laptop biasa, sehingga lebih lega untuk dokumen dan halaman web.</t>
  </si>
  <si>
    <t xml:space="preserve">Sebagian RAM (8 GB) menempel di papan utama dan tidak bisa diganti. Ada satu slot untuk RAM tambahan, dengan batas total 16 GB. Slot SSD hanya cocok untuk SSD satu sisi. Tidak ada pembaca kartu SD.</t>
  </si>
  <si>
    <t xml:space="preserve">https://asus.com/laptops/for-home/vivobook/asus-vivobook-14-oled-m1405/techspec</t>
  </si>
  <si>
    <t xml:space="preserve">hp-pavilion-x360-14</t>
  </si>
  <si>
    <t xml:space="preserve">HP</t>
  </si>
  <si>
    <t xml:space="preserve">Pavilion x360 14-ek1000</t>
  </si>
  <si>
    <t xml:space="preserve">Baru tipis atau 2-in-1</t>
  </si>
  <si>
    <t xml:space="preserve">HDMI 2.1</t>
  </si>
  <si>
    <t xml:space="preserve">Laptop 2-in-1 14 inci. Layarnya sentuh dan engselnya bisa dilipat penuh sampai seperti tablet. Bobotnya sekitar 1,5 kg.</t>
  </si>
  <si>
    <t xml:space="preserve">RAM 16 GB menempel di papan utama, jadi tidak bisa ditambah. Pembaca kartunya hanya untuk microSD, bukan kartu SD biasa.</t>
  </si>
  <si>
    <t xml:space="preserve">https://hp.com/id-id/shop/hp-pavilion-x360-2-in-1-laptop-14-ek1005tu-7n725pa.html</t>
  </si>
  <si>
    <t xml:space="preserve">axioo-hype-10</t>
  </si>
  <si>
    <t xml:space="preserve">Axioo</t>
  </si>
  <si>
    <t xml:space="preserve">Hype 10</t>
  </si>
  <si>
    <t xml:space="preserve">Merek lokal</t>
  </si>
  <si>
    <t xml:space="preserve">USB-C data saja</t>
  </si>
  <si>
    <t xml:space="preserve">Laptop 14 inci kelas harga terjangkau dengan prosesor Celeron, untuk tugas ringan seperti mengetik, internet, dan menonton video. Di situs Axioo, laptop ini tertulis sebagai Hype 1 Intel.</t>
  </si>
  <si>
    <t xml:space="preserve">Layarnya HD 1366x768 jenis TN, jadi kurang tajam dan sudut pandangnya sempit. RAM memakai satu slot dengan batas 8 GB, jadi tidak bisa ditambah dari 8 GB. Kedua port USB-C hanya untuk data. Sebagian unit di toko masih memakai Windows 10, yang dukungan resminya berakhir pada 14 Oktober 2025.</t>
  </si>
  <si>
    <t xml:space="preserve">https://axiooworld.com/product/compare/hype-1-intel/pongo-735</t>
  </si>
  <si>
    <t xml:space="preserve">lenovo-thinkpad-t480</t>
  </si>
  <si>
    <t xml:space="preserve">Lenovo</t>
  </si>
  <si>
    <t xml:space="preserve">ThinkPad T480</t>
  </si>
  <si>
    <t xml:space="preserve">Bekas 1</t>
  </si>
  <si>
    <t xml:space="preserve">bekas_saja</t>
  </si>
  <si>
    <t xml:space="preserve">Campuran</t>
  </si>
  <si>
    <t xml:space="preserve">Thunderbolt 3</t>
  </si>
  <si>
    <t xml:space="preserve">Laptop bisnis 14 inci rilisan 2018 yang mudah dibongkar: RAM dan penyimpanan bisa diganti sendiri, dan baterai luarnya bisa diganti saat laptop menyala.</t>
  </si>
  <si>
    <t xml:space="preserve">Hanya beredar bekas, jadi kondisi baterai, layar, dan keyboard tiap unit berbeda. Menurut Lenovo, penyimpanan utama memakai satu slot hard disk 2,5 inci atau satu slot M.2 2280, bukan keduanya sekaligus. Pilihan layar dan baterainya beragam, jadi cek konfigurasi unit sebelum membeli.</t>
  </si>
  <si>
    <t xml:space="preserve">https://psref.lenovo.com/syspool/Sys/PDF/ThinkPad/ThinkPad_T480/ThinkPad_T480_Spec.PDF</t>
  </si>
  <si>
    <t xml:space="preserve">dell-latitude-5400</t>
  </si>
  <si>
    <t xml:space="preserve">Dell</t>
  </si>
  <si>
    <t xml:space="preserve">Latitude 5400</t>
  </si>
  <si>
    <t xml:space="preserve">Bekas 2</t>
  </si>
  <si>
    <t xml:space="preserve">Serat karbon (komposit)</t>
  </si>
  <si>
    <t xml:space="preserve">Laptop bisnis 14 inci rilisan 2019 dengan bodi serat karbon dan port lengkap: HDMI, kabel LAN, USB-C, dan microSD. Dua slot RAM bisa diisi sampai 32 GB.</t>
  </si>
  <si>
    <t xml:space="preserve">Hanya beredar bekas, jadi cek kondisi baterai dan layar tiap unit. Pada unit dengan baterai 4-sel, ruang hard disk 2,5 inci tidak bisa dipakai (catatan manual servis Dell). Pembaca kartunya hanya microSD. Kemampuan Thunderbolt pada port USB-C bersifat opsional menurut Dell.</t>
  </si>
  <si>
    <t xml:space="preserve">https://www.dell.com/support/product-details/en-us/product/latitude-14-5400-laptop/resources/manuals</t>
  </si>
  <si>
    <t xml:space="preserve">Varian: satu baris untuk satu konfigurasi nyata</t>
  </si>
  <si>
    <t xml:space="preserve">Satu model bisa punya banyak varian (CPU, RAM, penyimpanan, layar berbeda). Pilih model, CPU, dan GPU dari daftar. Kolom abu-abu terisi otomatis.</t>
  </si>
  <si>
    <t xml:space="preserve">ID varian
id_varian</t>
  </si>
  <si>
    <t xml:space="preserve">Model
kunci_model</t>
  </si>
  <si>
    <t xml:space="preserve">Kode varian lengkap
kode_varian</t>
  </si>
  <si>
    <t xml:space="preserve">Tahun rilis varian
tahun_rilis</t>
  </si>
  <si>
    <t xml:space="preserve">Status penjualan
status_penjualan</t>
  </si>
  <si>
    <t xml:space="preserve">Tahun dihentikan
tahun_dihentikan</t>
  </si>
  <si>
    <t xml:space="preserve">Pasar
pasar</t>
  </si>
  <si>
    <t xml:space="preserve">Segmen menurut pabrikan
segmen_resmi</t>
  </si>
  <si>
    <t xml:space="preserve">Target pengguna menurut pabrikan
target_resmi</t>
  </si>
  <si>
    <t xml:space="preserve">CPU
cpu</t>
  </si>
  <si>
    <t xml:space="preserve">GPU
gpu</t>
  </si>
  <si>
    <t xml:space="preserve">GPU · daya (watt)
gpu_tgp</t>
  </si>
  <si>
    <t xml:space="preserve">RAM · ukuran (GB)
ram_gb</t>
  </si>
  <si>
    <t xml:space="preserve">RAM · tipe
ram_tipe</t>
  </si>
  <si>
    <t xml:space="preserve">RAM · kecepatan (MT/s)
ram_mts</t>
  </si>
  <si>
    <t xml:space="preserve">RAM · channel
ram_channel</t>
  </si>
  <si>
    <t xml:space="preserve">RAM · letak (disolder / slot)
ram_layout</t>
  </si>
  <si>
    <t xml:space="preserve">RAM · jumlah slot
ram_slot_total</t>
  </si>
  <si>
    <t xml:space="preserve">RAM · slot kosong
ram_slot_kosong</t>
  </si>
  <si>
    <t xml:space="preserve">RAM · bagian disolder (GB)
ram_disolder_gb</t>
  </si>
  <si>
    <t xml:space="preserve">RAM · maksimal (GB)
ram_maks_gb</t>
  </si>
  <si>
    <t xml:space="preserve">Penyimpanan · ukuran (GB)
st_gb</t>
  </si>
  <si>
    <t xml:space="preserve">Penyimpanan · tipe
st_tipe</t>
  </si>
  <si>
    <t xml:space="preserve">Penyimpanan · antarmuka
st_antarmuka</t>
  </si>
  <si>
    <t xml:space="preserve">Penyimpanan · bentuk
st_form</t>
  </si>
  <si>
    <t xml:space="preserve">Penyimpanan · bisa diganti?
st_bisa_diganti</t>
  </si>
  <si>
    <t xml:space="preserve">Slot M.2 · total
st_m2_total</t>
  </si>
  <si>
    <t xml:space="preserve">Slot M.2 · kosong
st_m2_kosong</t>
  </si>
  <si>
    <t xml:space="preserve">Ruang 2,5 inci kosong?
st_25_kosong</t>
  </si>
  <si>
    <t xml:space="preserve">Verifikasi info upgrade
verif_upgrade</t>
  </si>
  <si>
    <t xml:space="preserve">Sumber info upgrade
sumber_upgrade</t>
  </si>
  <si>
    <t xml:space="preserve">Bobot (kg)
bobot_kg</t>
  </si>
  <si>
    <t xml:space="preserve">Layar · jenis panel
panel</t>
  </si>
  <si>
    <t xml:space="preserve">Layar · resolusi
resolusi</t>
  </si>
  <si>
    <t xml:space="preserve">Layar · refresh rate (Hz)
refresh_hz</t>
  </si>
  <si>
    <t xml:space="preserve">Layar sentuh?
sentuh</t>
  </si>
  <si>
    <t xml:space="preserve">Baterai (Wh)
baterai_wh</t>
  </si>
  <si>
    <t xml:space="preserve">Charger (watt)
charger_w</t>
  </si>
  <si>
    <t xml:space="preserve">Wi-Fi
wifi</t>
  </si>
  <si>
    <t xml:space="preserve">Bluetooth (versi)
bluetooth</t>
  </si>
  <si>
    <t xml:space="preserve">Sensor sidik jari?
sidik_jari</t>
  </si>
  <si>
    <t xml:space="preserve">Keyboard berlampu?
kb_lampu</t>
  </si>
  <si>
    <t xml:space="preserve">Webcam
webcam</t>
  </si>
  <si>
    <t xml:space="preserve">Sistem operasi bawaan
os</t>
  </si>
  <si>
    <t xml:space="preserve">Edisi OS
os_edisi</t>
  </si>
  <si>
    <t xml:space="preserve">Office bawaan
office</t>
  </si>
  <si>
    <t xml:space="preserve">Garansi · jenis
garansi_jenis</t>
  </si>
  <si>
    <t xml:space="preserve">Garansi · lama (bulan)
garansi_bulan</t>
  </si>
  <si>
    <t xml:space="preserve">Garansi · baterai (bulan)
garansi_baterai</t>
  </si>
  <si>
    <t xml:space="preserve">Tersedia baru?
tersedia_baru</t>
  </si>
  <si>
    <t xml:space="preserve">Tersedia bekas?
tersedia_bekas</t>
  </si>
  <si>
    <t xml:space="preserve">Catatan editor (bahasa awam)
catatan_editor</t>
  </si>
  <si>
    <t xml:space="preserve">Umur (tahun) · otomatis
umur</t>
  </si>
  <si>
    <t xml:space="preserve">Windows 11 resmi? · otomatis
win11</t>
  </si>
  <si>
    <t xml:space="preserve">contoh-a14-i5-8-512</t>
  </si>
  <si>
    <t xml:space="preserve">A14-I5-8512</t>
  </si>
  <si>
    <t xml:space="preserve">Resmi Indonesia</t>
  </si>
  <si>
    <t xml:space="preserve">Tipis harian</t>
  </si>
  <si>
    <t xml:space="preserve">Pelajar dan pekerja kantoran</t>
  </si>
  <si>
    <t xml:space="preserve">Intel Core i5-1235U (CONTOH)</t>
  </si>
  <si>
    <t xml:space="preserve">Intel Iris Xe (CONTOH)</t>
  </si>
  <si>
    <t xml:space="preserve">LPDDR4X</t>
  </si>
  <si>
    <t xml:space="preserve">dual</t>
  </si>
  <si>
    <t xml:space="preserve">disolder</t>
  </si>
  <si>
    <t xml:space="preserve">nvme_ssd</t>
  </si>
  <si>
    <t xml:space="preserve">PCIe 3.0 x4</t>
  </si>
  <si>
    <t xml:space="preserve">M.2 2280</t>
  </si>
  <si>
    <t xml:space="preserve">terverifikasi</t>
  </si>
  <si>
    <t xml:space="preserve">(contoh) manual servis resmi pabrikan</t>
  </si>
  <si>
    <t xml:space="preserve">IPS</t>
  </si>
  <si>
    <t xml:space="preserve">1920x1080</t>
  </si>
  <si>
    <t xml:space="preserve">Wi-Fi 6</t>
  </si>
  <si>
    <t xml:space="preserve">720p</t>
  </si>
  <si>
    <t xml:space="preserve">Windows 11</t>
  </si>
  <si>
    <t xml:space="preserve">Home</t>
  </si>
  <si>
    <t xml:space="preserve">Home &amp; Student (permanen)</t>
  </si>
  <si>
    <t xml:space="preserve">(CONTOH) RAM menempel di papan utama, jadi tidak bisa ditambah. Pilih ukuran yang cukup saat membeli.</t>
  </si>
  <si>
    <t xml:space="preserve">asus-m1405ya-r5-7430u-16-512</t>
  </si>
  <si>
    <t xml:space="preserve">M1405YA-VIPS555</t>
  </si>
  <si>
    <t xml:space="preserve">Vivobook (kategori Untuk Rumah)</t>
  </si>
  <si>
    <t xml:space="preserve">AMD Ryzen 5 7430U</t>
  </si>
  <si>
    <t xml:space="preserve">AMD Radeon Graphics (7 inti)</t>
  </si>
  <si>
    <t xml:space="preserve">DDR4</t>
  </si>
  <si>
    <t xml:space="preserve">setengah_disolder</t>
  </si>
  <si>
    <t xml:space="preserve">PCIe 3.0</t>
  </si>
  <si>
    <t xml:space="preserve">ASUS techspec M1405: RAM 8 GB onboard + 8 GB SO-DIMM, maksimal 16 GB; 1 slot M.2 2280, hanya SSD satu sisi. https://asus.com/laptops/for-home/vivobook/asus-vivobook-14-oled-m1405/techspec</t>
  </si>
  <si>
    <t xml:space="preserve">1920x1200</t>
  </si>
  <si>
    <t xml:space="preserve">RAM terdiri dari 8 GB yang menempel di papan utama dan 8 GB modul di slot. Hanya modul slot yang bisa diganti, dengan batas total 16 GB menurut ASUS. SSD harus yang satu sisi karena ada komponen di dekat slot M.2.</t>
  </si>
  <si>
    <t xml:space="preserve">hp-pavilion-x360-14-ek1005tu-i5-1335u-16-512</t>
  </si>
  <si>
    <t xml:space="preserve">14-ek1005TU (7N725PA)</t>
  </si>
  <si>
    <t xml:space="preserve">Pavilion (laptop pribadi)</t>
  </si>
  <si>
    <t xml:space="preserve">Intel Core i5-1335U</t>
  </si>
  <si>
    <t xml:space="preserve">Intel Iris Xe Graphics (80 EU)</t>
  </si>
  <si>
    <t xml:space="preserve">PCIe NVMe</t>
  </si>
  <si>
    <t xml:space="preserve">belum terverifikasi</t>
  </si>
  <si>
    <t xml:space="preserve">RAM: halaman HP Indonesia ('16 GB DDR4-3200 MHz RAM (onboard)') dan Kingston (0 slot RAM, tidak bisa dilepas). SSD: bentuk M.2 dari HP; bisa diganti menurut forum HP untuk seri 14-ek0000; belum ada manual servis seri ini. https://hp.com/id-id/shop/hp-pavilion-x360-2-in-1-laptop-14-ek1005tu-7n725pa.html</t>
  </si>
  <si>
    <t xml:space="preserve">5 MP</t>
  </si>
  <si>
    <t xml:space="preserve">Single Language</t>
  </si>
  <si>
    <t xml:space="preserve">RAM 16 GB menempel di papan utama, jadi tidak bisa ditambah atau diganti. SSD berbentuk M.2; menurut forum HP bisa diganti selama SSD satu sisi, tetapi belum ada manual servis resmi untuk seri ini.</t>
  </si>
  <si>
    <t xml:space="preserve">axioo-hype-10-n4020-8-256-w11</t>
  </si>
  <si>
    <t xml:space="preserve">SLI-HY10-244C08HNR1</t>
  </si>
  <si>
    <t xml:space="preserve">Hype (seri harga terjangkau)</t>
  </si>
  <si>
    <t xml:space="preserve">Generasi muda Indonesia (siaran pers Axioo, 15 November 2024)</t>
  </si>
  <si>
    <t xml:space="preserve">Intel Celeron N4020</t>
  </si>
  <si>
    <t xml:space="preserve">Intel UHD Graphics 600</t>
  </si>
  <si>
    <t xml:space="preserve">single</t>
  </si>
  <si>
    <t xml:space="preserve">slot</t>
  </si>
  <si>
    <t xml:space="preserve">sata_ssd</t>
  </si>
  <si>
    <t xml:space="preserve">SATA</t>
  </si>
  <si>
    <t xml:space="preserve">Situs Axioo, halaman perbandingan Hype 1 Intel: 1x SODIMM DDR4 maksimal 8 GB; 2x M.2 2280 SATA. Halaman Poin Xtra untuk Hype 10 menulis 'SODIMM DDR4' dan memakai kalimat spesifikasi layar yang sama dengan situs Axioo, tetapi kesamaan Hype 10 dan Hype 1 Intel belum dikonfirmasi Axioo. https://axiooworld.com/product/compare/hype-1-intel/pongo-735</t>
  </si>
  <si>
    <t xml:space="preserve">TN</t>
  </si>
  <si>
    <t xml:space="preserve">1366x768</t>
  </si>
  <si>
    <t xml:space="preserve">RAM memakai satu modul di slot, jadi tidak ada slot kosong dan batasnya 8 GB. Ada dua slot M.2 SATA; jumlah yang masih kosong belum diketahui. Kedua port USB-C hanya untuk data.</t>
  </si>
  <si>
    <t xml:space="preserve">axioo-hype-10-n4020-8-256-w10</t>
  </si>
  <si>
    <t xml:space="preserve">244C08HNR0</t>
  </si>
  <si>
    <t xml:space="preserve">Wi-Fi 5</t>
  </si>
  <si>
    <t xml:space="preserve">Windows 10</t>
  </si>
  <si>
    <t xml:space="preserve">Versi dengan Windows 10. Dukungan resmi Windows 10 berakhir pada 14 Oktober 2025, sedangkan prosesor N4020 termasuk dalam daftar resmi Windows 11.</t>
  </si>
  <si>
    <t xml:space="preserve">lenovo-thinkpad-t480-i5-8350u-8-256</t>
  </si>
  <si>
    <t xml:space="preserve">(bekas, tanpa kode seragam)</t>
  </si>
  <si>
    <t xml:space="preserve">ThinkPad seri T</t>
  </si>
  <si>
    <t xml:space="preserve">Intel Core i5-8350U</t>
  </si>
  <si>
    <t xml:space="preserve">Intel UHD Graphics 620</t>
  </si>
  <si>
    <t xml:space="preserve">Lenovo PSREF T480: 2 slot SO-DIMM DDR4, maksimal 32 GB; satu slot HDD 2,5 inci atau satu slot M.2 2280 untuk penyimpanan utama. Windows Central: RAM dan penyimpanan bisa diganti lewat panel belakang. https://psref.lenovo.com/syspool/Sys/PDF/ThinkPad/ThinkPad_T480/ThinkPad_T480_Spec.PDF</t>
  </si>
  <si>
    <t xml:space="preserve">Toko</t>
  </si>
  <si>
    <t xml:space="preserve">RAM memakai dua slot SO-DIMM dan bisa sampai 32 GB. Menurut Lenovo, penyimpanan utama memakai satu slot hard disk 2,5 inci atau satu slot M.2 2280, tidak keduanya sekaligus. Bobot resmi 1,58-1,87 kg tergantung baterai dan layar. Konfigurasi bekas berbeda tiap penjual: cek tipe SSD, layar, dan kondisi baterai.</t>
  </si>
  <si>
    <t xml:space="preserve">lenovo-thinkpad-t480-i5-8350u-16-512</t>
  </si>
  <si>
    <t xml:space="preserve">Sama seperti T480 8/256, tetapi RAM 16 GB dan penyimpanan 512 GB. Bobot resmi 1,58-1,87 kg tergantung baterai dan layar. Cek tipe SSD, layar, dan kondisi baterai sebelum membeli.</t>
  </si>
  <si>
    <t xml:space="preserve">dell-latitude-5400-i5-8265u-8-256</t>
  </si>
  <si>
    <t xml:space="preserve">Latitude seri 5000</t>
  </si>
  <si>
    <t xml:space="preserve">Intel Core i5-8265U</t>
  </si>
  <si>
    <t xml:space="preserve">Dell Latitude 5400 (panduan spesifikasi dan manual servis): 2 slot SoDIMM DDR4, maksimal 32 GB; 1 slot M.2 (2230 atau 2280); ruang hard disk 2,5 inci tidak bisa dipakai pada baterai 4-sel. LaptopMedia (ulasan 6 Agustus 2019): 2 slot RAM dan slot M.2 NVMe. https://www.dell.com/support/product-details/en-us/product/latitude-14-5400-laptop/resources/manuals</t>
  </si>
  <si>
    <t xml:space="preserve">Dua slot RAM (maksimal 32 GB) dan satu slot M.2. Bila baterainya 4-sel (68 Wh), ruang hard disk 2,5 inci tidak bisa dipakai. Konfigurasi bekas berbeda tiap penjual: cek tipe SSD, layar, dan kondisi baterai.</t>
  </si>
  <si>
    <t xml:space="preserve">dell-latitude-5400-i5-8365u-8-256</t>
  </si>
  <si>
    <t xml:space="preserve">Intel Core i5-8365U</t>
  </si>
  <si>
    <t xml:space="preserve">Sama seperti Latitude 5400 i5-8265U, tetapi prosesornya i5-8365U yang mendukung vPro (fitur pengelolaan jarak jauh untuk kantor). Bila baterainya 4-sel (68 Wh), ruang hard disk 2,5 inci tidak bisa dipakai.</t>
  </si>
  <si>
    <t xml:space="preserve">CPU: satu baris untuk satu prosesor</t>
  </si>
  <si>
    <t xml:space="preserve">Tingkat 1-5 adalah penilaian kita sendiri (usulan awal); alasannya wajib diisi. Tab Varian memilih CPU dari sini.</t>
  </si>
  <si>
    <t xml:space="preserve">Nama prosesor
nama</t>
  </si>
  <si>
    <t xml:space="preserve">Produsen
produsen</t>
  </si>
  <si>
    <t xml:space="preserve">Generasi / seri
generasi</t>
  </si>
  <si>
    <t xml:space="preserve">Nama kode
kode</t>
  </si>
  <si>
    <t xml:space="preserve">Tahun rilis
tahun</t>
  </si>
  <si>
    <t xml:space="preserve">Jumlah inti
core</t>
  </si>
  <si>
    <t xml:space="preserve">Jumlah thread
thread</t>
  </si>
  <si>
    <t xml:space="preserve">Kelas daya
kelas</t>
  </si>
  <si>
    <t xml:space="preserve">Resmi Windows 11?
win11</t>
  </si>
  <si>
    <t xml:space="preserve">Tingkat (1-5)
tier</t>
  </si>
  <si>
    <t xml:space="preserve">Alasan tingkat
alasan</t>
  </si>
  <si>
    <t xml:space="preserve">Penjelasan bahasa awam
awam</t>
  </si>
  <si>
    <t xml:space="preserve">Sumber
sumber</t>
  </si>
  <si>
    <t xml:space="preserve">Tanggal diperiksa
tgl</t>
  </si>
  <si>
    <t xml:space="preserve">Intel</t>
  </si>
  <si>
    <t xml:space="preserve">Core generasi ke-12</t>
  </si>
  <si>
    <t xml:space="preserve">Alder Lake</t>
  </si>
  <si>
    <t xml:space="preserve">hemat</t>
  </si>
  <si>
    <t xml:space="preserve">(CONTOH) Cukup untuk kuliah dan kerja kantoran; kurang untuk render video berat.</t>
  </si>
  <si>
    <t xml:space="preserve">(CONTOH) Otak laptop yang kuat untuk pekerjaan harian.</t>
  </si>
  <si>
    <t xml:space="preserve">(contoh) situs resmi Intel</t>
  </si>
  <si>
    <t xml:space="preserve">AMD</t>
  </si>
  <si>
    <t xml:space="preserve">Ryzen 5 seri 7000 (U)</t>
  </si>
  <si>
    <t xml:space="preserve">Barcelo-R</t>
  </si>
  <si>
    <t xml:space="preserve">6 inti 12 thread, boost sampai 4,3 GHz, daya 15 W. Cukup untuk kuliah, kerja kantoran, dan banyak tab terbuka; masih di bawah prosesor kelas 45 W untuk render atau kompilasi berat.</t>
  </si>
  <si>
    <t xml:space="preserve">Otak laptop kelas menengah dengan 6 inti. Bisa mengerjakan beberapa hal sekaligus dengan lancar dan tetap hemat baterai.</t>
  </si>
  <si>
    <t xml:space="preserve">AMD: https://www.amd.com/en/products/processors/laptop/ryzen/7000-series/amd-ryzen-5-7430u.html (daftar sistem operasi yang didukung memuat Windows 11). Prosesor ini tidak ada di daftar AMD milik Microsoft, tetapi ASUS menjual M1405YA dengan Windows 11.</t>
  </si>
  <si>
    <t xml:space="preserve">Core generasi ke-13</t>
  </si>
  <si>
    <t xml:space="preserve">Raptor Lake</t>
  </si>
  <si>
    <t xml:space="preserve">10 inti (2 inti performa + 8 inti hemat) 12 thread, turbo sampai 4,6 GHz, daya dasar 15 W. Lancar untuk kuliah dan kerja kantoran; kurang untuk render atau kompilasi besar.</t>
  </si>
  <si>
    <t xml:space="preserve">Otak laptop kelas menengah generasi ke-13. Cepat untuk pekerjaan harian dan tetap hemat baterai.</t>
  </si>
  <si>
    <t xml:space="preserve">Intel ARK: https://www.intel.com/content/www/us/en/products/sku/232153/specifications.html Windows 11: https://learn.microsoft.com/en-us/windows-hardware/design/minimum/supported/windows-11-supported-intel-processors (baris 13th Generation Core i5).</t>
  </si>
  <si>
    <t xml:space="preserve">Celeron N4000</t>
  </si>
  <si>
    <t xml:space="preserve">Gemini Lake Refresh</t>
  </si>
  <si>
    <t xml:space="preserve">2 inti 2 thread, kecepatan dasar 1,1 GHz (burst 2,8 GHz), daya 6 W, RAM maksimal 8 GB. Cukup untuk dokumen dan internet ringan; terasa lambat bila banyak tab atau aplikasi dibuka sekaligus.</t>
  </si>
  <si>
    <t xml:space="preserve">Otak laptop paling sederhana. Hemat daya, tetapi mudah kewalahan kalau banyak yang dibuka sekaligus.</t>
  </si>
  <si>
    <t xml:space="preserve">Intel ARK: https://www.intel.com/content/www/us/en/products/sku/197310/specifications.html Windows 11: https://learn.microsoft.com/en-us/windows-hardware/design/minimum/supported/windows-11-supported-intel-processors (baris Celeron N4000 Series).</t>
  </si>
  <si>
    <t xml:space="preserve">Core generasi ke-8</t>
  </si>
  <si>
    <t xml:space="preserve">Kaby Lake R</t>
  </si>
  <si>
    <t xml:space="preserve">4 inti 8 thread (1,7 GHz dasar, 3,6 GHz turbo), daya 15 W. Cukup untuk dokumen, internet, dan kuliah; intinya lebih sedikit dan lebih tua daripada prosesor generasi ke-13 (i5-1335U: 10 inti).</t>
  </si>
  <si>
    <t xml:space="preserve">Otak laptop kelas menengah dari generasi lama (2017). Masih cukup untuk tugas harian, tetapi lebih lambat daripada prosesor baru.</t>
  </si>
  <si>
    <t xml:space="preserve">Intel ARK: https://www.intel.com/content/www/us/en/products/sku/124969/specifications.html Windows 11: https://learn.microsoft.com/en-us/windows-hardware/design/minimum/supported/windows-11-supported-intel-processors (baris 8th Generation Core i5).</t>
  </si>
  <si>
    <t xml:space="preserve">Whiskey Lake</t>
  </si>
  <si>
    <t xml:space="preserve">4 inti 8 thread (1,6 GHz dasar, 3,9 GHz turbo), daya 15 W. Cukup untuk dokumen, internet, dan kuliah; intinya lebih sedikit dan lebih tua daripada prosesor generasi ke-13.</t>
  </si>
  <si>
    <t xml:space="preserve">Otak laptop kelas menengah dari generasi lama (2018). Masih cukup untuk tugas harian, tetapi lebih lambat daripada prosesor baru.</t>
  </si>
  <si>
    <t xml:space="preserve">Intel ARK: https://www.intel.com/content/www/us/en/products/sku/149088/specifications.html Windows 11: https://learn.microsoft.com/en-us/windows-hardware/design/minimum/supported/windows-11-supported-intel-processors (baris 8th Generation Core i5).</t>
  </si>
  <si>
    <t xml:space="preserve">4 inti 8 thread (1,6 GHz dasar, 4,1 GHz turbo), daya 15 W, mendukung vPro. Cukup untuk dokumen, internet, dan kuliah; intinya lebih sedikit dan lebih tua daripada prosesor generasi ke-13.</t>
  </si>
  <si>
    <t xml:space="preserve">Otak laptop kelas menengah dari generasi lama (2019), dengan fitur pengelolaan jarak jauh untuk kantor (vPro). Masih cukup untuk tugas harian.</t>
  </si>
  <si>
    <t xml:space="preserve">Intel ARK: https://www.intel.com/content/www/us/en/products/sku/193555/intel-core-i58365u-processor-6m-cache-up-to-4-10-ghz/specifications.html Windows 11: https://learn.microsoft.com/en-us/windows-hardware/design/minimum/supported/windows-11-supported-intel-processors (baris 8th Generation Core i5).</t>
  </si>
  <si>
    <t xml:space="preserve">GPU: satu baris untuk satu kartu grafis</t>
  </si>
  <si>
    <t xml:space="preserve">Grafis bawaan juga ditulis di sini. Tingkat 1-5 adalah penilaian kita sendiri (usulan awal); alasannya wajib diisi.</t>
  </si>
  <si>
    <t xml:space="preserve">Nama kartu grafis
nama</t>
  </si>
  <si>
    <t xml:space="preserve">Jenis
jenis</t>
  </si>
  <si>
    <t xml:space="preserve">Arsitektur
arsitektur</t>
  </si>
  <si>
    <t xml:space="preserve">VRAM (GB, isi 0 bila bawaan)
vram</t>
  </si>
  <si>
    <t xml:space="preserve">bawaan</t>
  </si>
  <si>
    <t xml:space="preserve">Xe-LP</t>
  </si>
  <si>
    <t xml:space="preserve">(CONTOH) Cukup untuk video dan game ringan; tidak untuk game berat.</t>
  </si>
  <si>
    <t xml:space="preserve">(CONTOH) Pengolah gambar yang menyatu dengan CPU dan berbagi memori dengan RAM.</t>
  </si>
  <si>
    <t xml:space="preserve">Grafis bawaan Ryzen 5 7430U dengan 7 inti grafis (1800 MHz), berbagi memori dengan RAM. Cukup untuk video, desain ringan, dan game ringan.</t>
  </si>
  <si>
    <t xml:space="preserve">Pengolah gambar yang menyatu dengan prosesor dan memakai sebagian memori RAM. Cukup untuk menonton video, desain ringan, dan game ringan.</t>
  </si>
  <si>
    <t xml:space="preserve">AMD: https://www.amd.com/en/products/processors/laptop/ryzen/7000-series/amd-ryzen-5-7430u.html</t>
  </si>
  <si>
    <t xml:space="preserve">Grafis bawaan i5-1335U dengan 80 unit eksekusi, berbagi memori dengan RAM. Cukup untuk video, desain ringan, dan game ringan.</t>
  </si>
  <si>
    <t xml:space="preserve">Intel ARK: https://www.intel.com/content/www/us/en/products/sku/232153/specifications.html</t>
  </si>
  <si>
    <t xml:space="preserve">Grafis bawaan paling dasar pada Celeron N4020, tanpa kartu grafis terpisah. Untuk tampilan, dokumen, dan video biasa.</t>
  </si>
  <si>
    <t xml:space="preserve">Pengolah gambar paling dasar yang menyatu dengan prosesor. Cukup untuk tampilan, dokumen, dan menonton video; tidak untuk game berat.</t>
  </si>
  <si>
    <t xml:space="preserve">Intel ARK: https://www.intel.com/content/www/us/en/products/sku/197310/specifications.html</t>
  </si>
  <si>
    <t xml:space="preserve">Grafis bawaan prosesor Core generasi ke-8, tanpa kartu grafis terpisah. Untuk tampilan, dokumen, dan video biasa.</t>
  </si>
  <si>
    <t xml:space="preserve">Pengolah gambar dasar yang menyatu dengan prosesor. Cukup untuk tampilan, dokumen, dan menonton video; tidak untuk game berat.</t>
  </si>
  <si>
    <t xml:space="preserve">Intel ARK: https://www.intel.com/content/www/us/en/products/sku/124969/specifications.html; Dell Latitude 5400: UHD Graphics 620 bawaan (atau AMD Radeon 540X pada konfigurasi tertentu)</t>
  </si>
  <si>
    <t xml:space="preserve">Harga: satu baris untuk satu pengamatan harga pada satu tanggal</t>
  </si>
  <si>
    <t xml:space="preserve">Jangan menimpa harga lama; tambahkan baris baru setiap kali harga dicek, supaya riwayatnya terlihat.</t>
  </si>
  <si>
    <t xml:space="preserve">Kondisi
kondisi</t>
  </si>
  <si>
    <t xml:space="preserve">Harga terendah (Rp)
hmin</t>
  </si>
  <si>
    <t xml:space="preserve">Harga tertinggi (Rp)
hmaks</t>
  </si>
  <si>
    <t xml:space="preserve">Harga tengah (Rp) · otomatis
tengah</t>
  </si>
  <si>
    <t xml:space="preserve">Jenis sumber
jenis_sumber</t>
  </si>
  <si>
    <t xml:space="preserve">Sumber (tautan atau nama toko)
sumber</t>
  </si>
  <si>
    <t xml:space="preserve">Tanggal dicek
tgl</t>
  </si>
  <si>
    <t xml:space="preserve">Catatan
catatan</t>
  </si>
  <si>
    <t xml:space="preserve">baru</t>
  </si>
  <si>
    <t xml:space="preserve">marketplace</t>
  </si>
  <si>
    <t xml:space="preserve">(contoh) halaman pencarian marketplace</t>
  </si>
  <si>
    <t xml:space="preserve">(CONTOH) Rentang dari lima penjual teratas.</t>
  </si>
  <si>
    <t xml:space="preserve">https://poinxtra.cimbniaga.co.id/TD/29907030/Asus-Vivobook-14-Ryzen-5-7430U-16-512GB-Cool-Silver-M1405YA-VIPS555</t>
  </si>
  <si>
    <t xml:space="preserve">Poin Xtra CIMB Niaga. Harga daftar Rp8.999.000. Stok habis saat dicek.</t>
  </si>
  <si>
    <t xml:space="preserve">https://ekatalog.its.ac.id/shop/product/asus-m1405ya-vips555-non-tkdn-5972?page=3</t>
  </si>
  <si>
    <t xml:space="preserve">Katalog pengadaan ITS. Penjual: PT Megastar Electronics. Stok tidak tertulis.</t>
  </si>
  <si>
    <t xml:space="preserve">https://www.tokopedia.com/decacom/asus-vivobook-14-oled-m1405ya-ryzen-7-7730u-ryzen-5-7430u-16gb-512ssd-1tb-w11-ohs-1730850621135292383</t>
  </si>
  <si>
    <t xml:space="preserve">Tokopedia, toko decacom, pilihan Ryzen 5 16GB/512GB. Harga coret Rp9.199.000. Stok 83 unit.</t>
  </si>
  <si>
    <t xml:space="preserve">https://www.tokopedia.com/find/asus-vivobook-14-m1405ya-ryzen-5-7430u-16gb-512gb</t>
  </si>
  <si>
    <t xml:space="preserve">Hasil pencarian Tokopedia. Enam dari sepuluh listing dipakai (tiga di antaranya sama di Rp7.729.000). Empat listing Rp15,8-26,6 juta tidak dipakai karena jauh di atas harga toko lain.</t>
  </si>
  <si>
    <t xml:space="preserve">toko_resmi</t>
  </si>
  <si>
    <t xml:space="preserve">Toko resmi HP Indonesia. Status 'Kehabisan persediaan' saat dicek.</t>
  </si>
  <si>
    <t xml:space="preserve">https://www.tokopedia.com/find/laptop-hp-pavilion-x360-core-i5-1335u-16gb-512gb</t>
  </si>
  <si>
    <t xml:space="preserve">Tokopedia, penjual Raharja Notebook (Malang). Stok tidak tertulis. Satu listing lain di Rp8.500.000 tidak dipakai karena judulnya memuat kode model yang tidak cocok (ek100STU).</t>
  </si>
  <si>
    <t xml:space="preserve">https://www.erablue.id/laptop/laptop-axioo-slimbook-hype-10-celeron-n4020-8gb-256gb-win11-midnight-black</t>
  </si>
  <si>
    <t xml:space="preserve">Erablue. Harga coret Rp5.299.000; promo sampai 31/10. Stok tidak tertulis.</t>
  </si>
  <si>
    <t xml:space="preserve">https://www.tokopedia.com/find/axioo-hype-10</t>
  </si>
  <si>
    <t xml:space="preserve">Hasil pencarian Tokopedia, dua listing Windows 11 (SOFTCOM Official Store Rp5.459.000; HOSANA COMPUTER Rp5.499.000). Lima listing Rp7.999.000-Rp14.099.000 di halaman yang sama tidak dipakai karena jauh di atas harga toko lain.</t>
  </si>
  <si>
    <t xml:space="preserve">https://poinxtra.cimbniaga.co.id/TD/29772632/AXIOO-HYPE-10-N4020-8GB-256GB-W10-14-0-244C08HNR0-MIDNIGHT-BLACK</t>
  </si>
  <si>
    <t xml:space="preserve">Poin Xtra CIMB Niaga. Harga daftar Rp6.199.000. Stok habis saat dicek.</t>
  </si>
  <si>
    <t xml:space="preserve">Hasil pencarian Tokopedia, dua listing Windows 10 (GO LAPTOP JAKARTA Rp4.849.000, Windows 10 Pro; ROYAL COM Rp4.909.000).</t>
  </si>
  <si>
    <t xml:space="preserve">bekas</t>
  </si>
  <si>
    <t xml:space="preserve">https://www.tokopedia.com/find/thinkpad-t480-i5-8350u-8gb-256gb</t>
  </si>
  <si>
    <t xml:space="preserve">Hasil pencarian Tokopedia. Enam listing i5-8350U 8GB/256GB tanpa kata 'sentuh' (median Rp3.500.000). Tiga listing layar sentuh (Rp3.435.000-Rp4.718.000) dan satu listing 'RAM 8GB/16GB' tidak dihitung.</t>
  </si>
  <si>
    <t xml:space="preserve">https://www.tokopedia.com/tiercom/laptop-lenovo-thinkpad-t480-intel-core-i5-gen-8th-ram-8gb-ssd-256gb-99-like-new-laptop-second-murah-berkualitas-bergaransi</t>
  </si>
  <si>
    <t xml:space="preserve">Tokopedia, toko tiercom. Layar FHD, sidik jari, kondisi bodi 98%, stok 102 unit. Lebih mahal daripada rentang di atas.</t>
  </si>
  <si>
    <t xml:space="preserve">https://www.tokopedia.com/find/thinkpad-t480-i5-8350u-16gb-512gb</t>
  </si>
  <si>
    <t xml:space="preserve">Tokopedia, toko Computer Murah 2021. Satu-satunya listing yang muncul. Windows 10 Pro, keyboard US. Terjual 100+.</t>
  </si>
  <si>
    <t xml:space="preserve">https://www.tokopedia.com/find/dell-latitude-5400-i5-8265u</t>
  </si>
  <si>
    <t xml:space="preserve">Hasil pencarian Tokopedia, dua listing (Shoozay Rp3.000.000; Sakumi shop Rp3.100.000, NVMe). Listing bertanda '#DualVga' (Rp3.240.000) tidak dihitung karena grafisnya mungkin berbeda.</t>
  </si>
  <si>
    <t xml:space="preserve">https://www.tokopedia.com/find/dell-latitude-5400-i5-8365u-8gb-256gb</t>
  </si>
  <si>
    <t xml:space="preserve">Hasil pencarian Tokopedia, empat listing tanpa kata 'sentuh' (Rp3.500.000; Rp3.550.000; Rp3.650.000; Rp4.212.000 dengan NVMe dan layar IPS FHD). Dua listing layar sentuh (Rp3.447.000) tidak dihitung.</t>
  </si>
  <si>
    <t xml:space="preserve">Catatan pengisian: lima laptop awal</t>
  </si>
  <si>
    <t xml:space="preserve">Sumber, hambatan, dan temuan untuk tiap laptop. Isian awal dikerjakan dari situs pabrikan dan situs besar pada 8 Oktober 2026. Kolom waktu diisi saat kamu memeriksa ulang datanya.</t>
  </si>
  <si>
    <t xml:space="preserve">Laptop · otomatis</t>
  </si>
  <si>
    <t xml:space="preserve">Peran · otomatis</t>
  </si>
  <si>
    <t xml:space="preserve">Waktu pemeriksaan (menit)</t>
  </si>
  <si>
    <t xml:space="preserve">Kolom yang sulit dicari</t>
  </si>
  <si>
    <t xml:space="preserve">Sumber yang dipakai</t>
  </si>
  <si>
    <t xml:space="preserve">Kolom yang akhirnya unknown</t>
  </si>
  <si>
    <t xml:space="preserve">Temuan penting</t>
  </si>
  <si>
    <t xml:space="preserve">Tahun rilis varian. Tipe Wi-Fi dan Bluetooth (ASUS memuat dua pilihan tanpa menyebut varian). Kecepatan RAM tidak ditulis ASUS.</t>
  </si>
  <si>
    <t xml:space="preserve">ASUS techspec M1405 (RAM, penyimpanan, layar, port, baterai). The FPS Review, 10 Februari 2023 (pengumuman seri M1405). Poin Xtra CIMB, e-katalog ITS, dan Tokopedia (kode varian, harga). AMD (7430U). Daftar Windows 11 milik Microsoft.</t>
  </si>
  <si>
    <t xml:space="preserve">Tahun rilis varian (tahun seri 2023 dari pengumuman ASUS), kecepatan RAM, Wi-Fi, Bluetooth, bahan bodi, kemampuan USB-C, isi daya lewat USB-C.</t>
  </si>
  <si>
    <t xml:space="preserve">RAM setengah menempel: 8 GB di papan utama ditambah 1 slot, maksimal 16 GB. SSD hanya cocok yang satu sisi (catatan resmi ASUS). Prosesor 7430U tidak ada di daftar AMD milik Microsoft, tetapi AMD mencantumkan Windows 11 dan ASUS menjual laptop ini dengan Windows 11. Di Tokopedia, 4 dari 10 listing berharga Rp15,8-26,6 juta (tidak dipakai).</t>
  </si>
  <si>
    <t xml:space="preserve">Manual servis seri ek1000 tidak ditemukan. Halaman dukungan HP butuh JavaScript sehingga tidak terbaca. Halaman produk ek2333TU dan ek0160TU di HP Indonesia hanya mengarah ke daftar toko.</t>
  </si>
  <si>
    <t xml:space="preserve">Halaman produk HP Indonesia 14-ek1005TU (spesifikasi, harga, stok). Kingston (slot RAM). Forum HP (seri ek0000, SSD). Notebookcheck (ek1000ng, pembanding). Intel ARK (i5-1335U). Tokopedia (harga).</t>
  </si>
  <si>
    <t xml:space="preserve">Bentuk SSD (2280 atau lain), jumlah slot M.2, bisa tidaknya SSD diganti (belum ada manual servis), channel RAM, refresh rate, bahan bodi, isi daya lewat USB-C, status penjualan.</t>
  </si>
  <si>
    <t xml:space="preserve">RAM 16 GB menempel (HP menulis 'onboard'; Kingston: 0 slot). Toko resmi HP Indonesia kehabisan stok saat dicek (Rp13.499.000). Tokopedia: Rp17.365.000 dari satu penjual; listing Rp8.500.000 diabaikan karena kode modelnya tidak cocok. Tahun rilis 2023 adalah perkiraan dari tahun rilis prosesor (Q1 2023).</t>
  </si>
  <si>
    <t xml:space="preserve">Nama Hype 10 tidak ada di daftar produk situs Axioo. Spesifikasi resmi hanya ditemukan di halaman perbandingan Hype 1 Intel, yang tidak memuat bobot, baterai, Wi-Fi, Bluetooth, dan charger.</t>
  </si>
  <si>
    <t xml:space="preserve">Situs Axioo (halaman perbandingan Hype 1 Intel; siaran pers 15 November 2024). Erablue (spesifikasi dan harga). Poin Xtra CIMB (spesifikasi dan harga varian Windows 10). Tokopedia. Intel ARK (N4020).</t>
  </si>
  <si>
    <t xml:space="preserve">Tahun rilis, status penjualan, charger, sidik jari, keyboard berlampu, webcam, versi HDMI, bahan bodi, jumlah slot M.2 yang kosong. Wi-Fi dan Bluetooth hanya ada di halaman Poin Xtra (varian Windows 10); bobot 1,4 kg dari halaman toko, bukan dari Axioo.</t>
  </si>
  <si>
    <t xml:space="preserve">Di situs Axioo, laptop dengan spesifikasi sama tertulis Hype 1 Intel dan tidak ada di daftar produk saat ini. Halaman Poin Xtra untuk Hype 10 memakai kalimat spesifikasi layar yang sama dengan situs Axioo, jadi keduanya kemungkinan besar produk yang sama (belum dikonfirmasi Axioo). RAM: 1 slot SODIMM, maksimal 8 GB. Penyimpanan: 2 slot M.2 2280 SATA. Kedua USB-C hanya untuk data. Ada versi Windows 10 dan Windows 11. Di Tokopedia, 5 dari 10 listing berharga Rp8-14,1 juta (tidak dipakai).</t>
  </si>
  <si>
    <t xml:space="preserve">Lenovo menulis rentang (bobot, baterai, layar) tanpa menyebut konfigurasi bekas. Manual servis (HMM) terlalu besar untuk dibuka. Banyak listing mencampur beberapa seri (T460, T470, T480).</t>
  </si>
  <si>
    <t xml:space="preserve">Lenovo PSREF T480 (spesifikasi resmi). Windows Central (ulasan). ITmedia (pengumuman CES 2018). Intel ARK (i5-8350U). Tokopedia (harga bekas).</t>
  </si>
  <si>
    <t xml:space="preserve">Kode varian, tipe SSD (NVMe atau SATA), jenis dan resolusi layar, layar sentuh, baterai, charger, sidik jari, keyboard berlampu, sistem operasi, lama garansi toko.</t>
  </si>
  <si>
    <t xml:space="preserve">Menurut Lenovo, penyimpanan utama memakai satu slot HDD 2,5 inci atau satu slot M.2 2280. RAM 2 slot, maksimal 32 GB. Windows Central: baterai luar bisa diganti saat laptop menyala. Status bekas_saja adalah dugaan (yang ditemukan hanya listing bekas). Harga i5-8350U 8/256: Rp3,15-4,16 juta (median Rp3,5 juta).</t>
  </si>
  <si>
    <t xml:space="preserve">Panduan spesifikasi Dell ada dalam banyak salinan dengan tanggal berbeda. Halaman listing perorangan di Tokopedia tidak bisa dibuka (butuh JavaScript), jadi harga diambil dari halaman hasil pencarian.</t>
  </si>
  <si>
    <t xml:space="preserve">Dell (panduan spesifikasi, manual servis, panduan visual port). LaptopMedia (ulasan 6 Agustus 2019). Intel ARK (i5-8265U, i5-8365U). Tokopedia (harga bekas).</t>
  </si>
  <si>
    <t xml:space="preserve">Kode varian, tipe SSD (NVMe atau SATA), jenis dan resolusi layar, layar sentuh, baterai, charger, Wi-Fi, sidik jari, keyboard berlampu, webcam, sistem operasi, lama garansi toko, isi daya lewat USB-C.</t>
  </si>
  <si>
    <t xml:space="preserve">Dua slot RAM (maksimal 32 GB), satu slot M.2. Pada unit baterai 4-sel (68 Wh), ruang hard disk 2,5 inci tidak bisa dipakai (catatan manual servis Dell). Bodi serat karbon. Tahun 2019 dari tanggal ulasan LaptopMedia. Harga i5-8265U 8/256: Rp3,0-3,1 juta; i5-8365U 8/256: Rp3,5-4,2 juta.</t>
  </si>
  <si>
    <t xml:space="preserve">Ringkasan waktu</t>
  </si>
  <si>
    <t xml:space="preserve">Jumlah laptop yang sudah dicatat waktunya</t>
  </si>
  <si>
    <t xml:space="preserve">Rata-rata menit per laptop</t>
  </si>
  <si>
    <t xml:space="preserve">Target jumlah model (batas bawah)</t>
  </si>
  <si>
    <t xml:space="preserve">Target jumlah model (batas atas)</t>
  </si>
  <si>
    <t xml:space="preserve">Perkiraan total jam (batas bawah)</t>
  </si>
  <si>
    <t xml:space="preserve">Perkiraan total jam (batas atas)</t>
  </si>
  <si>
    <t xml:space="preserve">Tingkat 1-5 untuk CPU dan GPU di tab CPU dan GPU adalah usulan awal dari saya, bukan skor resmi. Tinjau alasannya sebelum dipakai untuk aturan penilaian.</t>
  </si>
  <si>
    <t xml:space="preserve">Aturan penilaian: usulan awal (Draf 2)</t>
  </si>
  <si>
    <t xml:space="preserve">Ubah angka di kolom kuning untuk mencoba aturan lain; tab Perhitungan dan Hasil ikut berubah. Semua angka di sini adalah penilaian awal kita dan belum diuji ke pengguna.</t>
  </si>
  <si>
    <t xml:space="preserve">1. Cara membaca hasil</t>
  </si>
  <si>
    <t xml:space="preserve">Status tiap kriteria</t>
  </si>
  <si>
    <t xml:space="preserve">Artinya</t>
  </si>
  <si>
    <t xml:space="preserve">Nyaman</t>
  </si>
  <si>
    <t xml:space="preserve">Nilai sudah mencapai batas nyaman.</t>
  </si>
  <si>
    <t xml:space="preserve">Cukup</t>
  </si>
  <si>
    <t xml:space="preserve">Nilai sudah mencapai batas minimal, tetapi belum mencapai batas nyaman.</t>
  </si>
  <si>
    <t xml:space="preserve">Kurang</t>
  </si>
  <si>
    <t xml:space="preserve">Nilai masih di bawah batas minimal.</t>
  </si>
  <si>
    <t xml:space="preserve">Belum ada data</t>
  </si>
  <si>
    <t xml:space="preserve">Nilainya masih kosong atau unknown di tab Varian, jadi belum bisa dinilai. Data yang kosong tidak dianggap bagus dan tidak dianggap jelek.</t>
  </si>
  <si>
    <t xml:space="preserve">Tidak dinilai</t>
  </si>
  <si>
    <t xml:space="preserve">Batas minimal dan batas nyaman sama-sama dikosongkan, jadi kriteria ini tidak dipakai untuk kebutuhan tersebut.</t>
  </si>
  <si>
    <t xml:space="preserve">Hasil akhir</t>
  </si>
  <si>
    <t xml:space="preserve">Syaratnya (dari atas ke bawah)</t>
  </si>
  <si>
    <t xml:space="preserve">Kurang cocok</t>
  </si>
  <si>
    <t xml:space="preserve">Ada satu kriteria atau lebih yang berstatus Kurang.</t>
  </si>
  <si>
    <t xml:space="preserve">Data belum lengkap</t>
  </si>
  <si>
    <t xml:space="preserve">Tidak ada yang Kurang, tetapi ada kriteria yang berstatus Belum ada data. Hasil ditahan sampai datanya lengkap.</t>
  </si>
  <si>
    <t xml:space="preserve">Bisa, dengan catatan</t>
  </si>
  <si>
    <t xml:space="preserve">Tidak ada yang Kurang dan data lengkap, tetapi ada kriteria yang baru Cukup. Alasannya ditulis di tab Hasil.</t>
  </si>
  <si>
    <t xml:space="preserve">Cocok</t>
  </si>
  <si>
    <t xml:space="preserve">Semua kriteria yang dinilai berstatus Nyaman.</t>
  </si>
  <si>
    <t xml:space="preserve">Semua batas untuk kebutuhan itu dikosongkan, jadi tidak ada yang bisa dinilai (dicek paling awal).</t>
  </si>
  <si>
    <t xml:space="preserve">2. Kebutuhan yang dinilai (nama boleh diubah; tab lain ikut berubah)</t>
  </si>
  <si>
    <t xml:space="preserve">Kebutuhan</t>
  </si>
  <si>
    <t xml:space="preserve">Contoh pemakaian</t>
  </si>
  <si>
    <t xml:space="preserve">Kuliah dan kantor</t>
  </si>
  <si>
    <t xml:space="preserve">Mengetik tugas dan laporan, Word, Excel, dan PowerPoint, membuka banyak tab browser, rapat lewat Zoom atau Meet, menonton video kuliah.</t>
  </si>
  <si>
    <t xml:space="preserve">Desain grafis</t>
  </si>
  <si>
    <t xml:space="preserve">Photoshop, Illustrator, Figma, atau Canva; edit foto, desain poster, dan edit video ringan.</t>
  </si>
  <si>
    <t xml:space="preserve">Pemrograman</t>
  </si>
  <si>
    <t xml:space="preserve">Menulis kode di VS Code atau IDE lain, menjalankan server lokal, Docker atau mesin virtual, Android Studio, dan membuka banyak halaman dokumentasi.</t>
  </si>
  <si>
    <t xml:space="preserve">Game ringan</t>
  </si>
  <si>
    <t xml:space="preserve">Game yang tidak terlalu menuntut, seperti Minecraft, Valorant, atau Dota 2 pada pengaturan grafis rendah sampai sedang.</t>
  </si>
  <si>
    <t xml:space="preserve">Game berat</t>
  </si>
  <si>
    <t xml:space="preserve">Game 3D baru yang menuntut (sering disebut AAA) pada pengaturan sedang sampai tinggi.</t>
  </si>
  <si>
    <t xml:space="preserve">3. Batas penilaian per kebutuhan</t>
  </si>
  <si>
    <t xml:space="preserve">Batas minimal: di bawah angka ini berstatus Kurang. Batas nyaman: dari angka ini berstatus Nyaman. Kosongkan kedua batas bila kriteria itu tidak dinilai untuk kebutuhan tersebut.</t>
  </si>
  <si>
    <t xml:space="preserve">Kriteria</t>
  </si>
  <si>
    <t xml:space="preserve">Batas minimal</t>
  </si>
  <si>
    <t xml:space="preserve">Batas nyaman</t>
  </si>
  <si>
    <t xml:space="preserve">Satuan</t>
  </si>
  <si>
    <t xml:space="preserve">Alasan (bahasa awam)</t>
  </si>
  <si>
    <t xml:space="preserve">Dasar angka</t>
  </si>
  <si>
    <t xml:space="preserve">Prosesor (tingkat 1-5)</t>
  </si>
  <si>
    <t xml:space="preserve">tingkat</t>
  </si>
  <si>
    <t xml:space="preserve">Dokumen dan internet berjalan di prosesor dasar, tetapi terasa lambat bila banyak tab dan aplikasi dibuka bersamaan. Tingkat 2 sudah cukup lancar untuk kuliah dan kantor.</t>
  </si>
  <si>
    <t xml:space="preserve">Penilaian awal</t>
  </si>
  <si>
    <t xml:space="preserve">Kartu grafis (tingkat 1-5)</t>
  </si>
  <si>
    <t xml:space="preserve">Tidak dinilai: grafis bawaan apa pun cukup untuk dokumen, internet, dan video.</t>
  </si>
  <si>
    <t xml:space="preserve">-</t>
  </si>
  <si>
    <t xml:space="preserve">RAM</t>
  </si>
  <si>
    <t xml:space="preserve">GB</t>
  </si>
  <si>
    <t xml:space="preserve">4 GB adalah syarat minimum Windows 11, tetapi cepat penuh bila banyak tab terbuka. 8 GB terasa lega untuk kuliah dan kantor.</t>
  </si>
  <si>
    <t xml:space="preserve">Batas minimal: syarat minimum Windows 11 (Microsoft). Batas nyaman: penilaian awal.</t>
  </si>
  <si>
    <t xml:space="preserve">Penyimpanan</t>
  </si>
  <si>
    <t xml:space="preserve">Windows 11 meminta minimal 64 GB. 128 GB cukup untuk Windows, Office, dan tugas, tetapi cepat penuh bila banyak video. 256 GB lebih lega.</t>
  </si>
  <si>
    <t xml:space="preserve">Dasar: syarat Windows 11 (64 GB, Microsoft). Angka 128 dan 256: penilaian awal.</t>
  </si>
  <si>
    <t xml:space="preserve">Jenis layar (peringkat)</t>
  </si>
  <si>
    <t xml:space="preserve">peringkat</t>
  </si>
  <si>
    <t xml:space="preserve">Tidak dinilai: jenis layar tidak menentukan cocok atau tidaknya untuk dokumen. Panel TN dan resolusi rendah tetap muncul sebagai peringatan.</t>
  </si>
  <si>
    <t xml:space="preserve">Refresh rate layar</t>
  </si>
  <si>
    <t xml:space="preserve">Hz</t>
  </si>
  <si>
    <t xml:space="preserve">Tidak dinilai: refresh rate hanya penting untuk game.</t>
  </si>
  <si>
    <t xml:space="preserve">Aplikasi desain terasa lancar mulai tingkat 3. Tingkat 2 masih bisa untuk berkas kecil, tetapi lambat saat berkas besar atau banyak lapisan (layer).</t>
  </si>
  <si>
    <t xml:space="preserve">Penilaian awal; belum dicocokkan dengan syarat sistem aplikasinya</t>
  </si>
  <si>
    <t xml:space="preserve">Grafis bawaan generasi baru (tingkat 2) membantu mempercepat tampilan dan filter. Grafis paling dasar (tingkat 1) tetap bisa dipakai, tetapi lebih lambat.</t>
  </si>
  <si>
    <t xml:space="preserve">Aplikasi desain memakai banyak RAM, apalagi untuk berkas besar. 8 GB cukup untuk belajar dan berkas kecil; 16 GB lebih nyaman.</t>
  </si>
  <si>
    <t xml:space="preserve">Berkas desain, foto, dan video cepat memenuhi penyimpanan. 512 GB lebih lega.</t>
  </si>
  <si>
    <t xml:space="preserve">Jenis layar dipakai sebagai perkiraan kasar mutu warna, karena cakupan warna (sRGB atau DCI-P3) belum dicatat. TN dan VA umumnya kalah dalam ketepatan warna, IPS cukup, OLED umumnya mencakup warna lebih luas. Nanti diganti dengan data cakupan warna.</t>
  </si>
  <si>
    <t xml:space="preserve">Tidak dinilai: refresh rate tidak menentukan untuk desain.</t>
  </si>
  <si>
    <t xml:space="preserve">Kompilasi dan alat pengembang lebih cepat di tingkat 3. Tingkat 2 masih bisa untuk proyek kuliah, tetapi lebih lama saat proyek besar.</t>
  </si>
  <si>
    <t xml:space="preserve">Tidak dinilai: pemrograman umum tidak bergantung pada kartu grafis. Pekerjaan khusus seperti pembelajaran mesin (machine learning) yang butuh GPU belum dinilai.</t>
  </si>
  <si>
    <t xml:space="preserve">Editor kode, browser, dan server lokal masih muat di 8 GB. Docker, mesin virtual, atau Android Studio terasa lebih lega di 16 GB.</t>
  </si>
  <si>
    <t xml:space="preserve">Alat pengembang, repositori, dan image Docker cepat memakan ruang. 512 GB lebih lega.</t>
  </si>
  <si>
    <t xml:space="preserve">Tidak dinilai: jenis layar tidak menentukan untuk pemrograman.</t>
  </si>
  <si>
    <t xml:space="preserve">Tidak dinilai: refresh rate tidak menentukan untuk pemrograman.</t>
  </si>
  <si>
    <t xml:space="preserve">Game, bahkan yang ringan, butuh prosesor lebih kuat daripada untuk dokumen. Prosesor tingkat 1 (dua inti, sangat hemat daya) cenderung tersendat.</t>
  </si>
  <si>
    <t xml:space="preserve">Syarat minimum Valorant memakai grafis setara Intel HD 3000, jadi grafis bawaan paling dasar masih bisa untuk game sangat ringan di pengaturan rendah. Grafis bawaan generasi baru (tingkat 2) memberi ruang lebih.</t>
  </si>
  <si>
    <t xml:space="preserve">Batas minimal: persyaratan Valorant yang dikutip Shacknews (2020); cek ulang di situs Riot. Batas nyaman: penilaian awal.</t>
  </si>
  <si>
    <t xml:space="preserve">Valorant meminta 4 GB. Karena Windows dan browser juga memakai RAM, 8 GB lebih nyaman.</t>
  </si>
  <si>
    <t xml:space="preserve">Game ringan tidak besar, tetapi beberapa judul cepat memenuhi 128 GB bersama Windows dan aplikasi lain.</t>
  </si>
  <si>
    <t xml:space="preserve">Tidak dinilai: jenis layar tidak menentukan untuk game ringan.</t>
  </si>
  <si>
    <t xml:space="preserve">Tidak dinilai: refresh rate tidak menentukan untuk game ringan.</t>
  </si>
  <si>
    <t xml:space="preserve">Game baru menuntut prosesor yang kuat. Tingkat 3 cukup menemani kartu grafis kelas pemula; tingkat 4 (kelas performa) memberi ruang lebih.</t>
  </si>
  <si>
    <t xml:space="preserve">Game baru butuh kartu grafis terpisah. Tingkat 3 cukup untuk pengaturan sedang; tingkat 4 untuk pengaturan tinggi.</t>
  </si>
  <si>
    <t xml:space="preserve">Contoh: Baldur's Gate 3 meminta minimal 8 GB dan menyarankan 16 GB.</t>
  </si>
  <si>
    <t xml:space="preserve">Persyaratan Baldur's Gate 3 (Trusted Reviews).</t>
  </si>
  <si>
    <t xml:space="preserve">Satu game baru bisa memakan puluhan sampai ratusan GB (Baldur's Gate 3 meminta 150 GB). 512 GB cepat penuh; 1000 GB (1 TB) lebih lega.</t>
  </si>
  <si>
    <t xml:space="preserve">Contoh Baldur's Gate 3 (Trusted Reviews). Angka 512 dan 1000: penilaian awal.</t>
  </si>
  <si>
    <t xml:space="preserve">Tidak dinilai: jenis layar tidak menentukan untuk game berat.</t>
  </si>
  <si>
    <t xml:space="preserve">Layar 60 Hz cukup untuk bermain; 120 Hz atau lebih membuat gerakan terasa lebih halus.</t>
  </si>
  <si>
    <t xml:space="preserve">4. Peringkat jenis layar</t>
  </si>
  <si>
    <t xml:space="preserve">Jenis panel</t>
  </si>
  <si>
    <t xml:space="preserve">Peringkat</t>
  </si>
  <si>
    <t xml:space="preserve">Catatan</t>
  </si>
  <si>
    <t xml:space="preserve">Murah; warna cenderung pucat dan sudut pandang sempit.</t>
  </si>
  <si>
    <t xml:space="preserve">VA</t>
  </si>
  <si>
    <t xml:space="preserve">Kontras bagus, tetapi warna dan kecerahan bergeser bila dilihat dari samping.</t>
  </si>
  <si>
    <t xml:space="preserve">Warna dan sudut pandang baik; mutunya tetap berbeda-beda antarlaptop.</t>
  </si>
  <si>
    <t xml:space="preserve">OLED</t>
  </si>
  <si>
    <t xml:space="preserve">Warna pekat dan kontras tinggi; umumnya mencakup warna lebih luas.</t>
  </si>
  <si>
    <t xml:space="preserve">Peringkat ini kasar. Cakupan warna (sRGB atau DCI-P3) belum dicatat; nanti peringkat diganti dengan data itu. Jenis panel yang tidak ada di daftar ini (misalnya unknown) dianggap Belum ada data.</t>
  </si>
  <si>
    <t xml:space="preserve">5. Peringatan umum (tidak mengubah hasil kecocokan)</t>
  </si>
  <si>
    <t xml:space="preserve">Kode</t>
  </si>
  <si>
    <t xml:space="preserve">Muncul bila</t>
  </si>
  <si>
    <t xml:space="preserve">Teks peringatan</t>
  </si>
  <si>
    <t xml:space="preserve">P1</t>
  </si>
  <si>
    <t xml:space="preserve">Sistem operasi bawaan Windows 10.</t>
  </si>
  <si>
    <t xml:space="preserve">Memakai Windows 10: dukungan resmi Microsoft sudah berakhir pada 14 Oktober 2025. Siapkan naik ke Windows 11.</t>
  </si>
  <si>
    <t xml:space="preserve">P2</t>
  </si>
  <si>
    <t xml:space="preserve">Prosesor tidak resmi mendukung Windows 11 (kolom Windows 11 resmi? di tab Varian bernilai tidak).</t>
  </si>
  <si>
    <t xml:space="preserve">Prosesor tidak resmi mendukung Windows 11, sehingga sulit naik ke versi Windows yang lebih baru.</t>
  </si>
  <si>
    <t xml:space="preserve">P3</t>
  </si>
  <si>
    <t xml:space="preserve">Info upgrade belum terverifikasi atau tidak diketahui.</t>
  </si>
  <si>
    <t xml:space="preserve">Info RAM dan penyimpanan (bisa diganti atau tidak) belum terverifikasi. Periksa lagi sebelum membeli.</t>
  </si>
  <si>
    <t xml:space="preserve">P4</t>
  </si>
  <si>
    <t xml:space="preserve">Resolusi layar 1366x768.</t>
  </si>
  <si>
    <t xml:space="preserve">Layar beresolusi rendah (1366x768): ruang kerja sempit dan tulisan kurang tajam.</t>
  </si>
  <si>
    <t xml:space="preserve">P5</t>
  </si>
  <si>
    <t xml:space="preserve">Jenis panel layar TN.</t>
  </si>
  <si>
    <t xml:space="preserve">Panel TN: warna cenderung pucat dan sudut pandang sempit.</t>
  </si>
  <si>
    <t xml:space="preserve">P6</t>
  </si>
  <si>
    <t xml:space="preserve">RAM menempel (disolder) dan ukurannya 8 GB atau kurang.</t>
  </si>
  <si>
    <t xml:space="preserve">RAM menempel di papan utama dan tidak bisa ditambah, padahal ukurannya kecil (8 GB atau kurang).</t>
  </si>
  <si>
    <t xml:space="preserve">Teks boleh diubah. Syarat munculnya tertulis di rumus tab Perhitungan (kolom Peringatan), jadi mengubah syarat berarti mengubah rumus.</t>
  </si>
  <si>
    <t xml:space="preserve">6. Arti tingkat 1-5 untuk prosesor dan kartu grafis</t>
  </si>
  <si>
    <t xml:space="preserve">Tingkat</t>
  </si>
  <si>
    <t xml:space="preserve">Prosesor (CPU)</t>
  </si>
  <si>
    <t xml:space="preserve">Kartu grafis (GPU)</t>
  </si>
  <si>
    <t xml:space="preserve">Dokumen dan internet ringan. Terasa lambat bila banyak tab atau aplikasi dibuka.</t>
  </si>
  <si>
    <t xml:space="preserve">Tampilan, dokumen, dan video biasa (grafis bawaan paling dasar).</t>
  </si>
  <si>
    <t xml:space="preserve">Kuliah dan kantor cukup lancar (contoh: Core i5 generasi ke-8, empat inti).</t>
  </si>
  <si>
    <t xml:space="preserve">Video, desain ringan, dan game ringan (grafis bawaan generasi baru).</t>
  </si>
  <si>
    <t xml:space="preserve">Kuliah, kantor, dan banyak aplikasi sekaligus dengan lega; pemrograman umum dan edit ringan.</t>
  </si>
  <si>
    <t xml:space="preserve">Game populer pada pengaturan sedang (kartu grafis terpisah kelas pemula).</t>
  </si>
  <si>
    <t xml:space="preserve">Kerja berat sesekali: kompilasi besar, edit video menengah (umumnya prosesor kelas performa).</t>
  </si>
  <si>
    <t xml:space="preserve">Game baru pada pengaturan tinggi (kartu grafis terpisah kelas menengah).</t>
  </si>
  <si>
    <t xml:space="preserve">Kerja berat terus-menerus: render, simulasi, game kelas atas.</t>
  </si>
  <si>
    <t xml:space="preserve">Game dan render berat (kartu grafis terpisah kelas atas).</t>
  </si>
  <si>
    <t xml:space="preserve">Tingkat tiap prosesor dan kartu grafis diisi di tab CPU dan GPU. Itu penilaian kita sendiri, bukan skor resmi.</t>
  </si>
  <si>
    <t xml:space="preserve">7. Yang belum dinilai</t>
  </si>
  <si>
    <t xml:space="preserve">Hal</t>
  </si>
  <si>
    <t xml:space="preserve">Keterangan</t>
  </si>
  <si>
    <t xml:space="preserve">Mutu warna layar</t>
  </si>
  <si>
    <t xml:space="preserve">Cakupan sRGB dan DCI-P3 belum dicatat di tab Varian. Sementara ini dipakai jenis panel sebagai perkiraan kasar.</t>
  </si>
  <si>
    <t xml:space="preserve">Resolusi, kecerahan, dan ukuran layar</t>
  </si>
  <si>
    <t xml:space="preserve">Belum ada aturan. Resolusi rendah (1366x768) baru muncul sebagai peringatan.</t>
  </si>
  <si>
    <t xml:space="preserve">Bobot, baterai, dan kualitas keyboard</t>
  </si>
  <si>
    <t xml:space="preserve">Datanya sebagian ada di tab Varian, tetapi belum ada aturan per kebutuhan.</t>
  </si>
  <si>
    <t xml:space="preserve">Harga dan nilai uang</t>
  </si>
  <si>
    <t xml:space="preserve">Harga bertanggal ada di tab Harga, tetapi aturan wajar atau mahal belum disusun.</t>
  </si>
  <si>
    <t xml:space="preserve">Kondisi laptop bekas</t>
  </si>
  <si>
    <t xml:space="preserve">Baterai, engsel, dan bodi laptop bekas butuh panduan tersendiri (rencana tahap panduan bekas).</t>
  </si>
  <si>
    <t xml:space="preserve">Kebutuhan khusus</t>
  </si>
  <si>
    <t xml:space="preserve">Pembelajaran mesin yang butuh GPU NVIDIA, simulasi teknik, dan edit video 4K belum dibuat sebagai kebutuhan sendiri.</t>
  </si>
  <si>
    <t xml:space="preserve">Perhitungan: satu baris untuk satu pasangan varian dan kebutuhan</t>
  </si>
  <si>
    <t xml:space="preserve">Semuanya rumus dari tab Varian, CPU, GPU, dan Aturan, jadi tidak ada yang diketik di sini. Dipakai untuk menelusuri bagaimana tiap hasil didapat. Tiap varian memakai lima baris berurutan (satu per kebutuhan).</t>
  </si>
  <si>
    <t xml:space="preserve">Pasangan yang dihitung</t>
  </si>
  <si>
    <t xml:space="preserve">Nilai dari tab Varian</t>
  </si>
  <si>
    <t xml:space="preserve">Info upgrade</t>
  </si>
  <si>
    <t xml:space="preserve">Hasil</t>
  </si>
  <si>
    <t xml:space="preserve">Kalimat alasan per kriteria</t>
  </si>
  <si>
    <t xml:space="preserve">Alasan</t>
  </si>
  <si>
    <t xml:space="preserve">Peringatan umum (baris pertama tiap varian)</t>
  </si>
  <si>
    <t xml:space="preserve">Varian
id_varian</t>
  </si>
  <si>
    <t xml:space="preserve">Kebutuhan
kebutuhan</t>
  </si>
  <si>
    <t xml:space="preserve">Prosesor · tingkat
cpu_tier</t>
  </si>
  <si>
    <t xml:space="preserve">Grafis · tingkat
gpu_tier</t>
  </si>
  <si>
    <t xml:space="preserve">RAM (GB)
ram_gb</t>
  </si>
  <si>
    <t xml:space="preserve">Penyimpanan (GB)
st_gb</t>
  </si>
  <si>
    <t xml:space="preserve">Layar · peringkat
layar_rank</t>
  </si>
  <si>
    <t xml:space="preserve">Refresh (Hz)
refresh_hz</t>
  </si>
  <si>
    <t xml:space="preserve">Catatan upgrade RAM
catatan_ram</t>
  </si>
  <si>
    <t xml:space="preserve">Catatan upgrade penyimpanan
catatan_st</t>
  </si>
  <si>
    <t xml:space="preserve">Status · prosesor
status_cpu</t>
  </si>
  <si>
    <t xml:space="preserve">Status · grafis
status_gpu</t>
  </si>
  <si>
    <t xml:space="preserve">Status · RAM
status_ram</t>
  </si>
  <si>
    <t xml:space="preserve">Status · penyimpanan
status_st</t>
  </si>
  <si>
    <t xml:space="preserve">Status · layar
status_layar</t>
  </si>
  <si>
    <t xml:space="preserve">Status · refresh
status_refresh</t>
  </si>
  <si>
    <t xml:space="preserve">Hasil
hasil</t>
  </si>
  <si>
    <t xml:space="preserve">Kalimat · prosesor
kal_cpu</t>
  </si>
  <si>
    <t xml:space="preserve">Kalimat · grafis
kal_gpu</t>
  </si>
  <si>
    <t xml:space="preserve">Kalimat · RAM
kal_ram</t>
  </si>
  <si>
    <t xml:space="preserve">Kalimat · penyimpanan
kal_st</t>
  </si>
  <si>
    <t xml:space="preserve">Kalimat · layar
kal_layar</t>
  </si>
  <si>
    <t xml:space="preserve">Kalimat · refresh
kal_refresh</t>
  </si>
  <si>
    <t xml:space="preserve">Daftar masalah (mentah)
masalah</t>
  </si>
  <si>
    <t xml:space="preserve">Daftar yang nyaman (mentah)
nyaman</t>
  </si>
  <si>
    <t xml:space="preserve">Alasan
alasan</t>
  </si>
  <si>
    <t xml:space="preserve">Peringatan (mentah)
peringatan_mentah</t>
  </si>
  <si>
    <t xml:space="preserve">Peringatan
peringatan</t>
  </si>
  <si>
    <t xml:space="preserve">Jumlah peringatan
peringatan_jml</t>
  </si>
  <si>
    <t xml:space="preserve">Hasil: kecocokan tiap varian untuk lima kebutuhan</t>
  </si>
  <si>
    <t xml:space="preserve">Hasil percobaan aturan awal pada data yang ada. Pilih satu varian untuk membaca alasannya. Angka batas ada di tab Aturan; langkah hitungnya di tab Perhitungan.</t>
  </si>
  <si>
    <t xml:space="preserve">Pilih varian</t>
  </si>
  <si>
    <t xml:space="preserve">No. urut (otomatis)</t>
  </si>
  <si>
    <t xml:space="preserve">Laptop</t>
  </si>
  <si>
    <t xml:space="preserve">Peringatan umum</t>
  </si>
  <si>
    <t xml:space="preserve">Semua varian sekaligus</t>
  </si>
  <si>
    <t xml:space="preserve">Arti warna:</t>
  </si>
  <si>
    <t xml:space="preserve">Varian</t>
  </si>
  <si>
    <t xml:space="preserve">Ringkasan</t>
  </si>
  <si>
    <t xml:space="preserve">Jumlah peringatan</t>
  </si>
  <si>
    <t xml:space="preserve">Status model</t>
  </si>
  <si>
    <t xml:space="preserve">Status penjualan varian</t>
  </si>
  <si>
    <t xml:space="preserve">Pasar</t>
  </si>
  <si>
    <t xml:space="preserve">ya / tidak / unknown</t>
  </si>
  <si>
    <t xml:space="preserve">Peran laptop</t>
  </si>
  <si>
    <t xml:space="preserve">Bahan bodi</t>
  </si>
  <si>
    <t xml:space="preserve">Jenis panel layar</t>
  </si>
  <si>
    <t xml:space="preserve">Resolusi layar</t>
  </si>
  <si>
    <t xml:space="preserve">Webcam</t>
  </si>
  <si>
    <t xml:space="preserve">Wi-Fi</t>
  </si>
  <si>
    <t xml:space="preserve">Kemampuan USB-C</t>
  </si>
  <si>
    <t xml:space="preserve">Versi HDMI</t>
  </si>
  <si>
    <t xml:space="preserve">Tipe RAM</t>
  </si>
  <si>
    <t xml:space="preserve">Channel RAM</t>
  </si>
  <si>
    <t xml:space="preserve">Letak RAM</t>
  </si>
  <si>
    <t xml:space="preserve">Tipe penyimpanan</t>
  </si>
  <si>
    <t xml:space="preserve">Bentuk penyimpanan</t>
  </si>
  <si>
    <t xml:space="preserve">Status verifikasi</t>
  </si>
  <si>
    <t xml:space="preserve">Sistem operasi</t>
  </si>
  <si>
    <t xml:space="preserve">Edisi OS</t>
  </si>
  <si>
    <t xml:space="preserve">Office bawaan</t>
  </si>
  <si>
    <t xml:space="preserve">Jenis garansi</t>
  </si>
  <si>
    <t xml:space="preserve">Kondisi</t>
  </si>
  <si>
    <t xml:space="preserve">Jenis sumber harga</t>
  </si>
  <si>
    <t xml:space="preserve">Kelas daya CPU</t>
  </si>
  <si>
    <t xml:space="preserve">Jenis GPU</t>
  </si>
  <si>
    <t xml:space="preserve">Tingkat (1-5)</t>
  </si>
  <si>
    <t xml:space="preserve">Produsen CPU</t>
  </si>
  <si>
    <t xml:space="preserve">Produsen GPU</t>
  </si>
  <si>
    <t xml:space="preserve">tidak ada</t>
  </si>
  <si>
    <t xml:space="preserve">Wi-Fi 4</t>
  </si>
  <si>
    <t xml:space="preserve">DDR3</t>
  </si>
  <si>
    <t xml:space="preserve">dihentikan</t>
  </si>
  <si>
    <t xml:space="preserve">Impor/paralel</t>
  </si>
  <si>
    <t xml:space="preserve">Aluminium</t>
  </si>
  <si>
    <t xml:space="preserve">DDR3L</t>
  </si>
  <si>
    <t xml:space="preserve">M.2 2242</t>
  </si>
  <si>
    <t xml:space="preserve">Pro</t>
  </si>
  <si>
    <t xml:space="preserve">Distributor</t>
  </si>
  <si>
    <t xml:space="preserve">seimbang</t>
  </si>
  <si>
    <t xml:space="preserve">terpisah</t>
  </si>
  <si>
    <t xml:space="preserve">Magnesium</t>
  </si>
  <si>
    <t xml:space="preserve">1080p</t>
  </si>
  <si>
    <t xml:space="preserve">HDMI 2.0</t>
  </si>
  <si>
    <t xml:space="preserve">hdd</t>
  </si>
  <si>
    <t xml:space="preserve">M.2 2230</t>
  </si>
  <si>
    <t xml:space="preserve">tidak diketahui</t>
  </si>
  <si>
    <t xml:space="preserve">Tanpa OS (FreeDOS)</t>
  </si>
  <si>
    <t xml:space="preserve">Microsoft 365 (uji coba)</t>
  </si>
  <si>
    <t xml:space="preserve">toko_bekas</t>
  </si>
  <si>
    <t xml:space="preserve">performa</t>
  </si>
  <si>
    <t xml:space="preserve">Qualcomm</t>
  </si>
  <si>
    <t xml:space="preserve">NVIDIA</t>
  </si>
  <si>
    <t xml:space="preserve">2560x1440</t>
  </si>
  <si>
    <t xml:space="preserve">Wi-Fi 6E</t>
  </si>
  <si>
    <t xml:space="preserve">Thunderbolt 4</t>
  </si>
  <si>
    <t xml:space="preserve">DDR5</t>
  </si>
  <si>
    <t xml:space="preserve">emmc</t>
  </si>
  <si>
    <t xml:space="preserve">2,5 inci</t>
  </si>
  <si>
    <t xml:space="preserve">Linux</t>
  </si>
  <si>
    <t xml:space="preserve">S mode</t>
  </si>
  <si>
    <t xml:space="preserve">Internasional</t>
  </si>
  <si>
    <t xml:space="preserve">perorangan</t>
  </si>
  <si>
    <t xml:space="preserve">Apple</t>
  </si>
  <si>
    <t xml:space="preserve">2560x1600</t>
  </si>
  <si>
    <t xml:space="preserve">Wi-Fi 7</t>
  </si>
  <si>
    <t xml:space="preserve">USB4</t>
  </si>
  <si>
    <t xml:space="preserve">LPDDR3</t>
  </si>
  <si>
    <t xml:space="preserve">eMMC (disolder)</t>
  </si>
  <si>
    <t xml:space="preserve">macOS</t>
  </si>
  <si>
    <t xml:space="preserve">Education</t>
  </si>
  <si>
    <t xml:space="preserve">Tanpa garansi</t>
  </si>
  <si>
    <t xml:space="preserve">2880x1800</t>
  </si>
  <si>
    <t xml:space="preserve">LPDDR4</t>
  </si>
  <si>
    <t xml:space="preserve">ChromeOS</t>
  </si>
  <si>
    <t xml:space="preserve">3840x2160</t>
  </si>
  <si>
    <t xml:space="preserve">lainnya</t>
  </si>
  <si>
    <t xml:space="preserve">LPDDR5</t>
  </si>
  <si>
    <t xml:space="preserve">LPDDR5X</t>
  </si>
</sst>
</file>

<file path=xl/styles.xml><?xml version="1.0" encoding="utf-8"?>
<styleSheet xmlns="http://schemas.openxmlformats.org/spreadsheetml/2006/main">
  <numFmts count="7">
    <numFmt numFmtId="164" formatCode="General"/>
    <numFmt numFmtId="165" formatCode="yyyy\-mm\-dd"/>
    <numFmt numFmtId="166" formatCode="0"/>
    <numFmt numFmtId="167" formatCode="&quot;Rp&quot;#,##0"/>
    <numFmt numFmtId="168" formatCode="0.0"/>
    <numFmt numFmtId="169" formatCode="General"/>
    <numFmt numFmtId="170" formatCode="0&quot; peringatan&quot;"/>
  </numFmts>
  <fonts count="21">
    <font>
      <sz val="10"/>
      <name val="Arial"/>
      <family val="2"/>
      <charset val="1"/>
    </font>
    <font>
      <sz val="10"/>
      <name val="Arial"/>
      <family val="0"/>
    </font>
    <font>
      <sz val="10"/>
      <name val="Arial"/>
      <family val="0"/>
    </font>
    <font>
      <sz val="10"/>
      <name val="Arial"/>
      <family val="0"/>
    </font>
    <font>
      <b val="true"/>
      <sz val="14"/>
      <color rgb="FF1F3864"/>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b val="true"/>
      <i val="true"/>
      <sz val="10"/>
      <color rgb="FF7F7F7F"/>
      <name val="Arial"/>
      <family val="0"/>
      <charset val="1"/>
    </font>
    <font>
      <sz val="10"/>
      <color rgb="FF404040"/>
      <name val="Arial"/>
      <family val="0"/>
      <charset val="1"/>
    </font>
    <font>
      <i val="true"/>
      <sz val="10"/>
      <color rgb="FF7F7F7F"/>
      <name val="Arial"/>
      <family val="0"/>
      <charset val="1"/>
    </font>
    <font>
      <u val="single"/>
      <sz val="10"/>
      <color rgb="FF0563C1"/>
      <name val="Arial"/>
      <family val="0"/>
      <charset val="1"/>
    </font>
    <font>
      <sz val="10"/>
      <name val="Arial"/>
      <family val="2"/>
    </font>
    <font>
      <b val="true"/>
      <sz val="11"/>
      <color rgb="FF1F3864"/>
      <name val="Arial"/>
      <family val="0"/>
      <charset val="1"/>
    </font>
    <font>
      <i val="true"/>
      <sz val="10"/>
      <color rgb="FF595959"/>
      <name val="Arial"/>
      <family val="0"/>
      <charset val="1"/>
    </font>
    <font>
      <sz val="10"/>
      <color rgb="FF7F7F7F"/>
      <name val="Arial"/>
      <family val="0"/>
      <charset val="1"/>
    </font>
    <font>
      <sz val="10"/>
      <color rgb="FF595959"/>
      <name val="Arial"/>
      <family val="0"/>
      <charset val="1"/>
    </font>
    <font>
      <b val="true"/>
      <sz val="10"/>
      <color rgb="FF006100"/>
      <name val="Arial"/>
      <family val="0"/>
      <charset val="1"/>
    </font>
    <font>
      <b val="true"/>
      <sz val="10"/>
      <color rgb="FF7F6000"/>
      <name val="Arial"/>
      <family val="0"/>
      <charset val="1"/>
    </font>
    <font>
      <b val="true"/>
      <sz val="10"/>
      <color rgb="FF1F3864"/>
      <name val="Arial"/>
      <family val="0"/>
      <charset val="1"/>
    </font>
    <font>
      <b val="true"/>
      <sz val="10"/>
      <color rgb="FF9C0006"/>
      <name val="Arial"/>
      <family val="0"/>
      <charset val="1"/>
    </font>
  </fonts>
  <fills count="21">
    <fill>
      <patternFill patternType="none"/>
    </fill>
    <fill>
      <patternFill patternType="gray125"/>
    </fill>
    <fill>
      <patternFill patternType="solid">
        <fgColor rgb="FF1F3864"/>
        <bgColor rgb="FF404040"/>
      </patternFill>
    </fill>
    <fill>
      <patternFill patternType="solid">
        <fgColor rgb="FFFFF2CC"/>
        <bgColor rgb="FFF2F2F2"/>
      </patternFill>
    </fill>
    <fill>
      <patternFill patternType="solid">
        <fgColor rgb="FFE7E6E6"/>
        <bgColor rgb="FFEDEDED"/>
      </patternFill>
    </fill>
    <fill>
      <patternFill patternType="solid">
        <fgColor rgb="FFF2F2F2"/>
        <bgColor rgb="FFEDEDED"/>
      </patternFill>
    </fill>
    <fill>
      <patternFill patternType="solid">
        <fgColor rgb="FF2E75B6"/>
        <bgColor rgb="FF1B7F79"/>
      </patternFill>
    </fill>
    <fill>
      <patternFill patternType="solid">
        <fgColor rgb="FFC55A11"/>
        <bgColor rgb="FF7F6000"/>
      </patternFill>
    </fill>
    <fill>
      <patternFill patternType="solid">
        <fgColor rgb="FF833C0B"/>
        <bgColor rgb="FF7F6000"/>
      </patternFill>
    </fill>
    <fill>
      <patternFill patternType="solid">
        <fgColor rgb="FF404040"/>
        <bgColor rgb="FF44546A"/>
      </patternFill>
    </fill>
    <fill>
      <patternFill patternType="solid">
        <fgColor rgb="FF548235"/>
        <bgColor rgb="FF595959"/>
      </patternFill>
    </fill>
    <fill>
      <patternFill patternType="solid">
        <fgColor rgb="FF7030A0"/>
        <bgColor rgb="FFA23E6F"/>
      </patternFill>
    </fill>
    <fill>
      <patternFill patternType="solid">
        <fgColor rgb="FF1B7F79"/>
        <bgColor rgb="FF008B8B"/>
      </patternFill>
    </fill>
    <fill>
      <patternFill patternType="solid">
        <fgColor rgb="FFA23E6F"/>
        <bgColor rgb="FF7030A0"/>
      </patternFill>
    </fill>
    <fill>
      <patternFill patternType="solid">
        <fgColor rgb="FF7F6000"/>
        <bgColor rgb="FF833C0B"/>
      </patternFill>
    </fill>
    <fill>
      <patternFill patternType="solid">
        <fgColor rgb="FF44546A"/>
        <bgColor rgb="FF595959"/>
      </patternFill>
    </fill>
    <fill>
      <patternFill patternType="solid">
        <fgColor rgb="FF7F7F7F"/>
        <bgColor rgb="FF8497B0"/>
      </patternFill>
    </fill>
    <fill>
      <patternFill patternType="solid">
        <fgColor rgb="FFDDEBF7"/>
        <bgColor rgb="FFE7E6E6"/>
      </patternFill>
    </fill>
    <fill>
      <patternFill patternType="solid">
        <fgColor rgb="FFC6EFCE"/>
        <bgColor rgb="FFDDEBF7"/>
      </patternFill>
    </fill>
    <fill>
      <patternFill patternType="solid">
        <fgColor rgb="FFFFEB9C"/>
        <bgColor rgb="FFFFF2CC"/>
      </patternFill>
    </fill>
    <fill>
      <patternFill patternType="solid">
        <fgColor rgb="FFFFC7CE"/>
        <bgColor rgb="FFE7E6E6"/>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1F3864"/>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8" fillId="5" borderId="1" xfId="0" applyFont="true" applyBorder="true" applyAlignment="true" applyProtection="false">
      <alignment horizontal="center" vertical="top"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6" borderId="1" xfId="0" applyFont="true" applyBorder="true" applyAlignment="true" applyProtection="false">
      <alignment horizontal="center" vertical="center" textRotation="0" wrapText="true" indent="0" shrinkToFit="false"/>
      <protection locked="true" hidden="false"/>
    </xf>
    <xf numFmtId="164" fontId="5" fillId="7" borderId="1" xfId="0" applyFont="true" applyBorder="true" applyAlignment="true" applyProtection="false">
      <alignment horizontal="center" vertical="center" textRotation="0" wrapText="true" indent="0" shrinkToFit="false"/>
      <protection locked="true" hidden="false"/>
    </xf>
    <xf numFmtId="164" fontId="5" fillId="8" borderId="1" xfId="0" applyFont="true" applyBorder="true" applyAlignment="true" applyProtection="false">
      <alignment horizontal="center" vertical="center" textRotation="0" wrapText="tru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fals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5" fontId="10" fillId="5"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left" vertical="center" textRotation="0" wrapText="fals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4" fontId="5" fillId="10" borderId="1" xfId="0" applyFont="true" applyBorder="true" applyAlignment="true" applyProtection="false">
      <alignment horizontal="center" vertical="center" textRotation="0" wrapText="true" indent="0" shrinkToFit="false"/>
      <protection locked="true" hidden="false"/>
    </xf>
    <xf numFmtId="164" fontId="5" fillId="11" borderId="1" xfId="0" applyFont="true" applyBorder="true" applyAlignment="true" applyProtection="false">
      <alignment horizontal="center" vertical="center" textRotation="0" wrapText="true" indent="0" shrinkToFit="false"/>
      <protection locked="true" hidden="false"/>
    </xf>
    <xf numFmtId="164" fontId="5" fillId="12" borderId="1" xfId="0" applyFont="true" applyBorder="true" applyAlignment="true" applyProtection="false">
      <alignment horizontal="center" vertical="center" textRotation="0" wrapText="true" indent="0" shrinkToFit="false"/>
      <protection locked="true" hidden="false"/>
    </xf>
    <xf numFmtId="164" fontId="5" fillId="13" borderId="1" xfId="0" applyFont="true" applyBorder="true" applyAlignment="true" applyProtection="false">
      <alignment horizontal="center" vertical="center" textRotation="0" wrapText="true" indent="0" shrinkToFit="false"/>
      <protection locked="true" hidden="false"/>
    </xf>
    <xf numFmtId="164" fontId="5" fillId="14" borderId="1" xfId="0" applyFont="true" applyBorder="true" applyAlignment="true" applyProtection="false">
      <alignment horizontal="center" vertical="center" textRotation="0" wrapText="true" indent="0" shrinkToFit="false"/>
      <protection locked="true" hidden="false"/>
    </xf>
    <xf numFmtId="164" fontId="5" fillId="15" borderId="1" xfId="0" applyFont="true" applyBorder="true" applyAlignment="true" applyProtection="false">
      <alignment horizontal="center" vertical="center" textRotation="0" wrapText="true" indent="0" shrinkToFit="false"/>
      <protection locked="true" hidden="false"/>
    </xf>
    <xf numFmtId="164" fontId="5" fillId="16" borderId="1" xfId="0" applyFont="true" applyBorder="true" applyAlignment="true" applyProtection="false">
      <alignment horizontal="center" vertical="center" textRotation="0" wrapText="true" indent="0" shrinkToFit="false"/>
      <protection locked="true" hidden="false"/>
    </xf>
    <xf numFmtId="166" fontId="10" fillId="5" borderId="1" xfId="0" applyFont="true" applyBorder="true" applyAlignment="true" applyProtection="false">
      <alignment horizontal="center" vertical="center"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7" fontId="10" fillId="5" borderId="1" xfId="0" applyFont="true" applyBorder="true" applyAlignment="true" applyProtection="false">
      <alignment horizontal="right" vertical="center" textRotation="0" wrapText="false" indent="0" shrinkToFit="false"/>
      <protection locked="true" hidden="false"/>
    </xf>
    <xf numFmtId="167" fontId="10" fillId="5" borderId="1" xfId="0" applyFont="true" applyBorder="true" applyAlignment="true" applyProtection="false">
      <alignment horizontal="left" vertical="center" textRotation="0" wrapText="false" indent="0" shrinkToFit="false"/>
      <protection locked="true" hidden="false"/>
    </xf>
    <xf numFmtId="167" fontId="7" fillId="3"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left" vertical="center" textRotation="0" wrapText="fals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8" fontId="7" fillId="3" borderId="1" xfId="0" applyFont="true" applyBorder="true" applyAlignment="true" applyProtection="false">
      <alignment horizontal="center" vertical="center" textRotation="0" wrapText="fals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8" fontId="7" fillId="4" borderId="1" xfId="0" applyFont="true" applyBorder="true" applyAlignment="true" applyProtection="false">
      <alignment horizontal="center" vertical="center" textRotation="0" wrapText="false" indent="0" shrinkToFit="false"/>
      <protection locked="true" hidden="false"/>
    </xf>
    <xf numFmtId="166" fontId="7" fillId="3"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3" fillId="17" borderId="0" xfId="0" applyFont="true" applyBorder="false" applyAlignment="true" applyProtection="false">
      <alignment horizontal="left" vertical="center" textRotation="0" wrapText="false" indent="0" shrinkToFit="false"/>
      <protection locked="true" hidden="false"/>
    </xf>
    <xf numFmtId="164" fontId="7" fillId="17" borderId="0" xfId="0" applyFont="true" applyBorder="fals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4" fillId="0" borderId="0" xfId="0" applyFont="true" applyBorder="true" applyAlignment="true" applyProtection="false">
      <alignment horizontal="left" vertical="top" textRotation="0" wrapText="true" indent="0" shrinkToFit="false"/>
      <protection locked="true" hidden="false"/>
    </xf>
    <xf numFmtId="164" fontId="7" fillId="4" borderId="2" xfId="0"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7" fillId="3" borderId="2" xfId="0" applyFont="true" applyBorder="true" applyAlignment="true" applyProtection="false">
      <alignment horizontal="center" vertical="top" textRotation="0" wrapText="false" indent="0" shrinkToFit="false"/>
      <protection locked="true" hidden="false"/>
    </xf>
    <xf numFmtId="164" fontId="7" fillId="0" borderId="2" xfId="0" applyFont="true" applyBorder="true" applyAlignment="true" applyProtection="false">
      <alignment horizontal="center" vertical="top" textRotation="0" wrapText="false" indent="0" shrinkToFit="false"/>
      <protection locked="true" hidden="false"/>
    </xf>
    <xf numFmtId="164" fontId="7" fillId="3" borderId="2"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5" fillId="6" borderId="1" xfId="0" applyFont="true" applyBorder="true" applyAlignment="true" applyProtection="false">
      <alignment horizontal="center" vertical="center" textRotation="0" wrapText="false" indent="0" shrinkToFit="false"/>
      <protection locked="true" hidden="false"/>
    </xf>
    <xf numFmtId="164" fontId="5" fillId="10" borderId="1" xfId="0" applyFont="true" applyBorder="true" applyAlignment="true" applyProtection="false">
      <alignment horizontal="center" vertical="center" textRotation="0" wrapText="false" indent="0" shrinkToFit="false"/>
      <protection locked="true" hidden="false"/>
    </xf>
    <xf numFmtId="164" fontId="5" fillId="16" borderId="1" xfId="0" applyFont="true" applyBorder="true" applyAlignment="true" applyProtection="false">
      <alignment horizontal="center" vertical="center" textRotation="0" wrapText="false" indent="0" shrinkToFit="false"/>
      <protection locked="true" hidden="false"/>
    </xf>
    <xf numFmtId="164" fontId="5" fillId="7" borderId="1" xfId="0" applyFont="true" applyBorder="true" applyAlignment="true" applyProtection="false">
      <alignment horizontal="center" vertical="center" textRotation="0" wrapText="false" indent="0" shrinkToFit="false"/>
      <protection locked="true" hidden="false"/>
    </xf>
    <xf numFmtId="164" fontId="7" fillId="4" borderId="2" xfId="0" applyFont="true" applyBorder="true" applyAlignment="true" applyProtection="false">
      <alignment horizontal="left" vertical="center" textRotation="0" wrapText="false" indent="0" shrinkToFit="false"/>
      <protection locked="true" hidden="false"/>
    </xf>
    <xf numFmtId="169" fontId="7" fillId="4" borderId="2" xfId="0" applyFont="true" applyBorder="true" applyAlignment="true" applyProtection="false">
      <alignment horizontal="center" vertical="center" textRotation="0" wrapText="false" indent="0" shrinkToFit="false"/>
      <protection locked="true" hidden="false"/>
    </xf>
    <xf numFmtId="164" fontId="7" fillId="4" borderId="2" xfId="0" applyFont="true" applyBorder="true" applyAlignment="true" applyProtection="false">
      <alignment horizontal="center" vertical="center" textRotation="0" wrapText="false" indent="0" shrinkToFit="false"/>
      <protection locked="true" hidden="false"/>
    </xf>
    <xf numFmtId="169"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70" fontId="7" fillId="4" borderId="1" xfId="0" applyFont="true" applyBorder="true" applyAlignment="true" applyProtection="false">
      <alignment horizontal="center" vertical="top"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4" fontId="17" fillId="18" borderId="1" xfId="0" applyFont="true" applyBorder="true" applyAlignment="true" applyProtection="false">
      <alignment horizontal="center" vertical="center" textRotation="0" wrapText="true" indent="0" shrinkToFit="false"/>
      <protection locked="true" hidden="false"/>
    </xf>
    <xf numFmtId="164" fontId="18" fillId="19" borderId="1" xfId="0" applyFont="true" applyBorder="true" applyAlignment="true" applyProtection="false">
      <alignment horizontal="center" vertical="center" textRotation="0" wrapText="true" indent="0" shrinkToFit="false"/>
      <protection locked="true" hidden="false"/>
    </xf>
    <xf numFmtId="164" fontId="19" fillId="17" borderId="1" xfId="0" applyFont="true" applyBorder="true" applyAlignment="true" applyProtection="false">
      <alignment horizontal="center" vertical="center" textRotation="0" wrapText="true" indent="0" shrinkToFit="false"/>
      <protection locked="true" hidden="false"/>
    </xf>
    <xf numFmtId="164" fontId="20" fillId="2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4">
    <dxf>
      <fill>
        <patternFill patternType="solid">
          <fgColor rgb="FF1F3864"/>
          <bgColor rgb="FF000000"/>
        </patternFill>
      </fill>
    </dxf>
    <dxf>
      <fill>
        <patternFill patternType="solid">
          <fgColor rgb="FFF2F2F2"/>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7F7F7F"/>
          <bgColor rgb="FF000000"/>
        </patternFill>
      </fill>
    </dxf>
    <dxf>
      <fill>
        <patternFill patternType="solid">
          <fgColor rgb="FFFFFFFF"/>
          <bgColor rgb="FF000000"/>
        </patternFill>
      </fill>
    </dxf>
    <dxf>
      <fill>
        <patternFill patternType="solid">
          <fgColor rgb="FF2E75B6"/>
          <bgColor rgb="FF000000"/>
        </patternFill>
      </fill>
    </dxf>
    <dxf>
      <fill>
        <patternFill patternType="solid">
          <fgColor rgb="FFC55A11"/>
          <bgColor rgb="FF000000"/>
        </patternFill>
      </fill>
    </dxf>
    <dxf>
      <fill>
        <patternFill patternType="solid">
          <fgColor rgb="FF833C0B"/>
          <bgColor rgb="FF000000"/>
        </patternFill>
      </fill>
    </dxf>
    <dxf>
      <fill>
        <patternFill patternType="solid">
          <fgColor rgb="FF404040"/>
          <bgColor rgb="FF000000"/>
        </patternFill>
      </fill>
    </dxf>
    <dxf>
      <fill>
        <patternFill patternType="solid">
          <fgColor rgb="FF0563C1"/>
          <bgColor rgb="FF000000"/>
        </patternFill>
      </fill>
    </dxf>
    <dxf>
      <fill>
        <patternFill patternType="solid">
          <fgColor rgb="FF548235"/>
          <bgColor rgb="FF000000"/>
        </patternFill>
      </fill>
    </dxf>
    <dxf>
      <fill>
        <patternFill patternType="solid">
          <fgColor rgb="FF7030A0"/>
          <bgColor rgb="FF000000"/>
        </patternFill>
      </fill>
    </dxf>
    <dxf>
      <fill>
        <patternFill patternType="solid">
          <fgColor rgb="FF1B7F79"/>
          <bgColor rgb="FF000000"/>
        </patternFill>
      </fill>
    </dxf>
    <dxf>
      <fill>
        <patternFill patternType="solid">
          <fgColor rgb="FFA23E6F"/>
          <bgColor rgb="FF000000"/>
        </patternFill>
      </fill>
    </dxf>
    <dxf>
      <fill>
        <patternFill patternType="solid">
          <fgColor rgb="FF7F6000"/>
          <bgColor rgb="FF000000"/>
        </patternFill>
      </fill>
    </dxf>
    <dxf>
      <fill>
        <patternFill patternType="solid">
          <fgColor rgb="FF44546A"/>
          <bgColor rgb="FF000000"/>
        </patternFill>
      </fill>
    </dxf>
    <dxf>
      <fill>
        <patternFill patternType="solid">
          <fgColor rgb="FFE7E6E6"/>
          <bgColor rgb="FF000000"/>
        </patternFill>
      </fill>
    </dxf>
    <dxf>
      <font>
        <b val="1"/>
        <color rgb="FF006100"/>
      </font>
      <fill>
        <patternFill>
          <bgColor rgb="FFC6EFCE"/>
        </patternFill>
      </fill>
    </dxf>
    <dxf>
      <font>
        <b val="1"/>
        <color rgb="FF7F6000"/>
      </font>
      <fill>
        <patternFill>
          <bgColor rgb="FFFFEB9C"/>
        </patternFill>
      </fill>
    </dxf>
    <dxf>
      <font>
        <b val="1"/>
        <color rgb="FF9C0006"/>
      </font>
      <fill>
        <patternFill>
          <bgColor rgb="FFFFC7CE"/>
        </patternFill>
      </fill>
    </dxf>
    <dxf>
      <font>
        <b val="1"/>
        <color rgb="FF1F3864"/>
      </font>
      <fill>
        <patternFill>
          <bgColor rgb="FFDDEBF7"/>
        </patternFill>
      </fill>
    </dxf>
    <dxf>
      <font>
        <b val="1"/>
        <color rgb="FF7F7F7F"/>
      </font>
      <fill>
        <patternFill>
          <bgColor rgb="FFEDEDED"/>
        </patternFill>
      </fill>
    </dxf>
    <dxf>
      <font>
        <b val="1"/>
        <color rgb="FF595959"/>
      </font>
      <fill>
        <patternFill>
          <bgColor rgb="FFEDEDED"/>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B8B"/>
      <rgbColor rgb="FFBFBFBF"/>
      <rgbColor rgb="FF7F7F7F"/>
      <rgbColor rgb="FF9999FF"/>
      <rgbColor rgb="FFA23E6F"/>
      <rgbColor rgb="FFFFF2CC"/>
      <rgbColor rgb="FFDDEBF7"/>
      <rgbColor rgb="FF660066"/>
      <rgbColor rgb="FFFF8080"/>
      <rgbColor rgb="FF0563C1"/>
      <rgbColor rgb="FFE7E6E6"/>
      <rgbColor rgb="FF000080"/>
      <rgbColor rgb="FFFF00FF"/>
      <rgbColor rgb="FFFFFF00"/>
      <rgbColor rgb="FF00FFFF"/>
      <rgbColor rgb="FF800080"/>
      <rgbColor rgb="FF800000"/>
      <rgbColor rgb="FF1B7F79"/>
      <rgbColor rgb="FF0000FF"/>
      <rgbColor rgb="FF00CCFF"/>
      <rgbColor rgb="FFF2F2F2"/>
      <rgbColor rgb="FFC6EFCE"/>
      <rgbColor rgb="FFFFEB9C"/>
      <rgbColor rgb="FFEDEDED"/>
      <rgbColor rgb="FFFF99CC"/>
      <rgbColor rgb="FFCC99FF"/>
      <rgbColor rgb="FFFFC7CE"/>
      <rgbColor rgb="FF2E75B6"/>
      <rgbColor rgb="FF33CCCC"/>
      <rgbColor rgb="FF99CC00"/>
      <rgbColor rgb="FFFFCC00"/>
      <rgbColor rgb="FFBF8F00"/>
      <rgbColor rgb="FFC55A11"/>
      <rgbColor rgb="FF595959"/>
      <rgbColor rgb="FF8497B0"/>
      <rgbColor rgb="FF1F3864"/>
      <rgbColor rgb="FF548235"/>
      <rgbColor rgb="FF003300"/>
      <rgbColor rgb="FF333300"/>
      <rgbColor rgb="FF833C0B"/>
      <rgbColor rgb="FF7030A0"/>
      <rgbColor rgb="FF44546A"/>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asus.com/laptops/for-home/vivobook/asus-vivobook-14-oled-m1405/techspec" TargetMode="External"/><Relationship Id="rId3" Type="http://schemas.openxmlformats.org/officeDocument/2006/relationships/hyperlink" Target="https://hp.com/id-id/shop/hp-pavilion-x360-2-in-1-laptop-14-ek1005tu-7n725pa.html" TargetMode="External"/><Relationship Id="rId4" Type="http://schemas.openxmlformats.org/officeDocument/2006/relationships/hyperlink" Target="https://axiooworld.com/product/compare/hype-1-intel/pongo-735" TargetMode="External"/><Relationship Id="rId5" Type="http://schemas.openxmlformats.org/officeDocument/2006/relationships/hyperlink" Target="https://psref.lenovo.com/syspool/Sys/PDF/ThinkPad/ThinkPad_T480/ThinkPad_T480_Spec.PDF" TargetMode="External"/><Relationship Id="rId6" Type="http://schemas.openxmlformats.org/officeDocument/2006/relationships/hyperlink" Target="https://www.dell.com/support/product-details/en-us/product/latitude-14-5400-laptop/resources/manuals" TargetMode="External"/><Relationship Id="rId7" Type="http://schemas.openxmlformats.org/officeDocument/2006/relationships/drawing" Target="../drawings/drawing1.xml"/><Relationship Id="rId8"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4.xml"/><Relationship Id="rId3"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poinxtra.cimbniaga.co.id/TD/29907030/Asus-Vivobook-14-Ryzen-5-7430U-16-512GB-Cool-Silver-M1405YA-VIPS555" TargetMode="External"/><Relationship Id="rId3" Type="http://schemas.openxmlformats.org/officeDocument/2006/relationships/hyperlink" Target="https://ekatalog.its.ac.id/shop/product/asus-m1405ya-vips555-non-tkdn-5972?page=3" TargetMode="External"/><Relationship Id="rId4" Type="http://schemas.openxmlformats.org/officeDocument/2006/relationships/hyperlink" Target="https://www.tokopedia.com/decacom/asus-vivobook-14-oled-m1405ya-ryzen-7-7730u-ryzen-5-7430u-16gb-512ssd-1tb-w11-ohs-1730850621135292383" TargetMode="External"/><Relationship Id="rId5" Type="http://schemas.openxmlformats.org/officeDocument/2006/relationships/hyperlink" Target="https://www.tokopedia.com/find/asus-vivobook-14-m1405ya-ryzen-5-7430u-16gb-512gb" TargetMode="External"/><Relationship Id="rId6" Type="http://schemas.openxmlformats.org/officeDocument/2006/relationships/hyperlink" Target="https://hp.com/id-id/shop/hp-pavilion-x360-2-in-1-laptop-14-ek1005tu-7n725pa.html" TargetMode="External"/><Relationship Id="rId7" Type="http://schemas.openxmlformats.org/officeDocument/2006/relationships/hyperlink" Target="https://www.tokopedia.com/find/laptop-hp-pavilion-x360-core-i5-1335u-16gb-512gb" TargetMode="External"/><Relationship Id="rId8" Type="http://schemas.openxmlformats.org/officeDocument/2006/relationships/hyperlink" Target="https://www.erablue.id/laptop/laptop-axioo-slimbook-hype-10-celeron-n4020-8gb-256gb-win11-midnight-black" TargetMode="External"/><Relationship Id="rId9" Type="http://schemas.openxmlformats.org/officeDocument/2006/relationships/hyperlink" Target="https://www.tokopedia.com/find/axioo-hype-10" TargetMode="External"/><Relationship Id="rId10" Type="http://schemas.openxmlformats.org/officeDocument/2006/relationships/hyperlink" Target="https://poinxtra.cimbniaga.co.id/TD/29772632/AXIOO-HYPE-10-N4020-8GB-256GB-W10-14-0-244C08HNR0-MIDNIGHT-BLACK" TargetMode="External"/><Relationship Id="rId11" Type="http://schemas.openxmlformats.org/officeDocument/2006/relationships/hyperlink" Target="https://www.tokopedia.com/find/axioo-hype-10" TargetMode="External"/><Relationship Id="rId12" Type="http://schemas.openxmlformats.org/officeDocument/2006/relationships/hyperlink" Target="https://www.tokopedia.com/find/thinkpad-t480-i5-8350u-8gb-256gb" TargetMode="External"/><Relationship Id="rId13" Type="http://schemas.openxmlformats.org/officeDocument/2006/relationships/hyperlink" Target="https://www.tokopedia.com/tiercom/laptop-lenovo-thinkpad-t480-intel-core-i5-gen-8th-ram-8gb-ssd-256gb-99-like-new-laptop-second-murah-berkualitas-bergaransi" TargetMode="External"/><Relationship Id="rId14" Type="http://schemas.openxmlformats.org/officeDocument/2006/relationships/hyperlink" Target="https://www.tokopedia.com/find/thinkpad-t480-i5-8350u-16gb-512gb" TargetMode="External"/><Relationship Id="rId15" Type="http://schemas.openxmlformats.org/officeDocument/2006/relationships/hyperlink" Target="https://www.tokopedia.com/find/dell-latitude-5400-i5-8265u" TargetMode="External"/><Relationship Id="rId16" Type="http://schemas.openxmlformats.org/officeDocument/2006/relationships/hyperlink" Target="https://www.tokopedia.com/find/dell-latitude-5400-i5-8365u-8gb-256gb" TargetMode="External"/><Relationship Id="rId17" Type="http://schemas.openxmlformats.org/officeDocument/2006/relationships/drawing" Target="../drawings/drawing5.xml"/><Relationship Id="rId18"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B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12"/>
  </cols>
  <sheetData>
    <row r="1" customFormat="false" ht="17.25" hidden="false" customHeight="true" outlineLevel="0" collapsed="false">
      <c r="A1" s="2" t="s">
        <v>0</v>
      </c>
    </row>
    <row r="3" customFormat="false" ht="15" hidden="false" customHeight="true" outlineLevel="0" collapsed="false">
      <c r="A3" s="3" t="s">
        <v>1</v>
      </c>
      <c r="B3" s="3"/>
    </row>
    <row r="4" customFormat="false" ht="43.5" hidden="false" customHeight="true" outlineLevel="0" collapsed="false">
      <c r="A4" s="4"/>
      <c r="B4" s="5" t="s">
        <v>2</v>
      </c>
    </row>
    <row r="6" customFormat="false" ht="15" hidden="false" customHeight="true" outlineLevel="0" collapsed="false">
      <c r="A6" s="3" t="s">
        <v>3</v>
      </c>
      <c r="B6" s="3"/>
    </row>
    <row r="7" customFormat="false" ht="16.5" hidden="false" customHeight="true" outlineLevel="0" collapsed="false">
      <c r="A7" s="4" t="n">
        <v>1</v>
      </c>
      <c r="B7" s="5" t="s">
        <v>4</v>
      </c>
    </row>
    <row r="8" customFormat="false" ht="30" hidden="false" customHeight="true" outlineLevel="0" collapsed="false">
      <c r="A8" s="4" t="n">
        <v>2</v>
      </c>
      <c r="B8" s="5" t="s">
        <v>5</v>
      </c>
    </row>
    <row r="9" customFormat="false" ht="30" hidden="false" customHeight="true" outlineLevel="0" collapsed="false">
      <c r="A9" s="4" t="n">
        <v>3</v>
      </c>
      <c r="B9" s="5" t="s">
        <v>6</v>
      </c>
    </row>
    <row r="10" customFormat="false" ht="16.5" hidden="false" customHeight="true" outlineLevel="0" collapsed="false">
      <c r="A10" s="4" t="n">
        <v>4</v>
      </c>
      <c r="B10" s="5" t="s">
        <v>7</v>
      </c>
    </row>
    <row r="11" customFormat="false" ht="30" hidden="false" customHeight="true" outlineLevel="0" collapsed="false">
      <c r="A11" s="4" t="n">
        <v>5</v>
      </c>
      <c r="B11" s="5" t="s">
        <v>8</v>
      </c>
    </row>
    <row r="13" customFormat="false" ht="15" hidden="false" customHeight="true" outlineLevel="0" collapsed="false">
      <c r="A13" s="3" t="s">
        <v>9</v>
      </c>
      <c r="B13" s="3"/>
    </row>
    <row r="14" customFormat="false" ht="16.5" hidden="false" customHeight="true" outlineLevel="0" collapsed="false">
      <c r="A14" s="6" t="s">
        <v>10</v>
      </c>
      <c r="B14" s="5" t="s">
        <v>11</v>
      </c>
    </row>
    <row r="15" customFormat="false" ht="16.5" hidden="false" customHeight="true" outlineLevel="0" collapsed="false">
      <c r="A15" s="7" t="s">
        <v>12</v>
      </c>
      <c r="B15" s="5" t="s">
        <v>13</v>
      </c>
    </row>
    <row r="16" customFormat="false" ht="16.5" hidden="false" customHeight="true" outlineLevel="0" collapsed="false">
      <c r="A16" s="8" t="s">
        <v>14</v>
      </c>
      <c r="B16" s="5" t="s">
        <v>15</v>
      </c>
    </row>
    <row r="18" customFormat="false" ht="15" hidden="false" customHeight="true" outlineLevel="0" collapsed="false">
      <c r="A18" s="3" t="s">
        <v>16</v>
      </c>
      <c r="B18" s="3"/>
    </row>
    <row r="19" customFormat="false" ht="30" hidden="false" customHeight="true" outlineLevel="0" collapsed="false">
      <c r="A19" s="4" t="n">
        <v>1</v>
      </c>
      <c r="B19" s="5" t="s">
        <v>17</v>
      </c>
    </row>
    <row r="20" customFormat="false" ht="16.5" hidden="false" customHeight="true" outlineLevel="0" collapsed="false">
      <c r="A20" s="4" t="n">
        <v>2</v>
      </c>
      <c r="B20" s="5" t="s">
        <v>18</v>
      </c>
    </row>
    <row r="21" customFormat="false" ht="30" hidden="false" customHeight="true" outlineLevel="0" collapsed="false">
      <c r="A21" s="4" t="n">
        <v>3</v>
      </c>
      <c r="B21" s="5" t="s">
        <v>19</v>
      </c>
    </row>
    <row r="22" customFormat="false" ht="16.5" hidden="false" customHeight="true" outlineLevel="0" collapsed="false">
      <c r="A22" s="4" t="n">
        <v>4</v>
      </c>
      <c r="B22" s="5" t="s">
        <v>20</v>
      </c>
    </row>
    <row r="23" customFormat="false" ht="16.5" hidden="false" customHeight="true" outlineLevel="0" collapsed="false">
      <c r="A23" s="4" t="n">
        <v>5</v>
      </c>
      <c r="B23" s="5" t="s">
        <v>21</v>
      </c>
    </row>
    <row r="24" customFormat="false" ht="16.5" hidden="false" customHeight="true" outlineLevel="0" collapsed="false">
      <c r="A24" s="4" t="n">
        <v>6</v>
      </c>
      <c r="B24" s="5" t="s">
        <v>22</v>
      </c>
    </row>
    <row r="25" customFormat="false" ht="16.5" hidden="false" customHeight="true" outlineLevel="0" collapsed="false">
      <c r="A25" s="4" t="n">
        <v>7</v>
      </c>
      <c r="B25" s="5" t="s">
        <v>23</v>
      </c>
    </row>
    <row r="27" customFormat="false" ht="15" hidden="false" customHeight="true" outlineLevel="0" collapsed="false">
      <c r="A27" s="3" t="s">
        <v>24</v>
      </c>
      <c r="B27" s="3"/>
    </row>
    <row r="28" customFormat="false" ht="30" hidden="false" customHeight="true" outlineLevel="0" collapsed="false">
      <c r="A28" s="4"/>
      <c r="B28" s="5" t="s">
        <v>25</v>
      </c>
    </row>
    <row r="30" customFormat="false" ht="15" hidden="false" customHeight="true" outlineLevel="0" collapsed="false">
      <c r="A30" s="3" t="s">
        <v>26</v>
      </c>
      <c r="B30" s="3"/>
    </row>
    <row r="31" customFormat="false" ht="30" hidden="false" customHeight="true" outlineLevel="0" collapsed="false">
      <c r="A31" s="4" t="n">
        <v>1</v>
      </c>
      <c r="B31" s="5" t="s">
        <v>27</v>
      </c>
    </row>
    <row r="32" customFormat="false" ht="30" hidden="false" customHeight="true" outlineLevel="0" collapsed="false">
      <c r="A32" s="4" t="n">
        <v>2</v>
      </c>
      <c r="B32" s="5" t="s">
        <v>28</v>
      </c>
    </row>
    <row r="33" customFormat="false" ht="16.5" hidden="false" customHeight="true" outlineLevel="0" collapsed="false">
      <c r="A33" s="4" t="n">
        <v>3</v>
      </c>
      <c r="B33" s="5" t="s">
        <v>29</v>
      </c>
    </row>
    <row r="34" customFormat="false" ht="30" hidden="false" customHeight="true" outlineLevel="0" collapsed="false">
      <c r="A34" s="4" t="n">
        <v>4</v>
      </c>
      <c r="B34" s="5"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U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2"/>
    <col collapsed="false" customWidth="true" hidden="false" outlineLevel="0" max="3" min="3" style="1" width="26"/>
    <col collapsed="false" customWidth="true" hidden="false" outlineLevel="0" max="4" min="4" style="1" width="24"/>
    <col collapsed="false" customWidth="true" hidden="false" outlineLevel="0" max="5" min="5" style="1" width="13"/>
    <col collapsed="false" customWidth="true" hidden="false" outlineLevel="0" max="6" min="6" style="1" width="14"/>
    <col collapsed="false" customWidth="true" hidden="false" outlineLevel="0" max="7" min="7" style="1" width="24"/>
    <col collapsed="false" customWidth="true" hidden="false" outlineLevel="0" max="8" min="8" style="1" width="12"/>
    <col collapsed="false" customWidth="true" hidden="false" outlineLevel="0" max="10" min="9" style="1" width="11"/>
    <col collapsed="false" customWidth="true" hidden="false" outlineLevel="0" max="11" min="11" style="1" width="20"/>
    <col collapsed="false" customWidth="true" hidden="false" outlineLevel="0" max="12" min="12" style="1" width="13"/>
    <col collapsed="false" customWidth="true" hidden="false" outlineLevel="0" max="13" min="13" style="1" width="9"/>
    <col collapsed="false" customWidth="true" hidden="false" outlineLevel="0" max="14" min="14" style="1" width="12"/>
    <col collapsed="false" customWidth="true" hidden="false" outlineLevel="0" max="15" min="15" style="1" width="10"/>
    <col collapsed="false" customWidth="true" hidden="false" outlineLevel="0" max="16" min="16" style="1" width="11"/>
    <col collapsed="false" customWidth="true" hidden="false" outlineLevel="0" max="17" min="17" style="1" width="50"/>
    <col collapsed="false" customWidth="true" hidden="false" outlineLevel="0" max="18" min="18" style="1" width="56"/>
    <col collapsed="false" customWidth="true" hidden="false" outlineLevel="0" max="19" min="19" style="1" width="40"/>
    <col collapsed="false" customWidth="true" hidden="false" outlineLevel="0" max="20" min="20" style="1" width="34"/>
    <col collapsed="false" customWidth="true" hidden="false" outlineLevel="0" max="21" min="21" style="1" width="12"/>
  </cols>
  <sheetData>
    <row r="1" customFormat="false" ht="17.25" hidden="false" customHeight="true" outlineLevel="0" collapsed="false">
      <c r="A1" s="2" t="s">
        <v>31</v>
      </c>
    </row>
    <row r="2" customFormat="false" ht="15" hidden="false" customHeight="true" outlineLevel="0" collapsed="false">
      <c r="A2" s="9" t="s">
        <v>32</v>
      </c>
    </row>
    <row r="3" customFormat="false" ht="70.5" hidden="false" customHeight="true" outlineLevel="0" collapsed="false">
      <c r="A3" s="10" t="s">
        <v>33</v>
      </c>
      <c r="B3" s="10" t="s">
        <v>34</v>
      </c>
      <c r="C3" s="10" t="s">
        <v>35</v>
      </c>
      <c r="D3" s="10" t="s">
        <v>36</v>
      </c>
      <c r="E3" s="10" t="s">
        <v>37</v>
      </c>
      <c r="F3" s="10" t="s">
        <v>38</v>
      </c>
      <c r="G3" s="11" t="s">
        <v>39</v>
      </c>
      <c r="H3" s="11" t="s">
        <v>40</v>
      </c>
      <c r="I3" s="12" t="s">
        <v>41</v>
      </c>
      <c r="J3" s="12" t="s">
        <v>42</v>
      </c>
      <c r="K3" s="12" t="s">
        <v>43</v>
      </c>
      <c r="L3" s="12" t="s">
        <v>44</v>
      </c>
      <c r="M3" s="12" t="s">
        <v>45</v>
      </c>
      <c r="N3" s="12" t="s">
        <v>46</v>
      </c>
      <c r="O3" s="12" t="s">
        <v>47</v>
      </c>
      <c r="P3" s="12" t="s">
        <v>48</v>
      </c>
      <c r="Q3" s="13" t="s">
        <v>49</v>
      </c>
      <c r="R3" s="13" t="s">
        <v>50</v>
      </c>
      <c r="S3" s="13" t="s">
        <v>51</v>
      </c>
      <c r="T3" s="14" t="s">
        <v>52</v>
      </c>
      <c r="U3" s="14" t="s">
        <v>53</v>
      </c>
    </row>
    <row r="4" customFormat="false" ht="39.75" hidden="false" customHeight="true" outlineLevel="0" collapsed="false">
      <c r="A4" s="15" t="s">
        <v>54</v>
      </c>
      <c r="B4" s="15" t="s">
        <v>55</v>
      </c>
      <c r="C4" s="15" t="s">
        <v>56</v>
      </c>
      <c r="D4" s="15" t="s">
        <v>57</v>
      </c>
      <c r="E4" s="16" t="n">
        <v>2023</v>
      </c>
      <c r="F4" s="15" t="s">
        <v>58</v>
      </c>
      <c r="G4" s="15" t="s">
        <v>59</v>
      </c>
      <c r="H4" s="16" t="n">
        <v>14</v>
      </c>
      <c r="I4" s="16" t="n">
        <v>2</v>
      </c>
      <c r="J4" s="16" t="n">
        <v>1</v>
      </c>
      <c r="K4" s="15" t="s">
        <v>60</v>
      </c>
      <c r="L4" s="15" t="s">
        <v>61</v>
      </c>
      <c r="M4" s="15" t="s">
        <v>61</v>
      </c>
      <c r="N4" s="15" t="s">
        <v>62</v>
      </c>
      <c r="O4" s="15" t="s">
        <v>61</v>
      </c>
      <c r="P4" s="15" t="s">
        <v>63</v>
      </c>
      <c r="Q4" s="17" t="s">
        <v>64</v>
      </c>
      <c r="R4" s="17" t="s">
        <v>65</v>
      </c>
      <c r="S4" s="17" t="s">
        <v>66</v>
      </c>
      <c r="T4" s="15" t="s">
        <v>67</v>
      </c>
      <c r="U4" s="18" t="n">
        <v>46303</v>
      </c>
    </row>
    <row r="5" customFormat="false" ht="45.75" hidden="false" customHeight="true" outlineLevel="0" collapsed="false">
      <c r="A5" s="19" t="s">
        <v>68</v>
      </c>
      <c r="B5" s="19" t="s">
        <v>69</v>
      </c>
      <c r="C5" s="19" t="s">
        <v>70</v>
      </c>
      <c r="D5" s="19" t="s">
        <v>57</v>
      </c>
      <c r="E5" s="20" t="n">
        <v>2023</v>
      </c>
      <c r="F5" s="19" t="s">
        <v>58</v>
      </c>
      <c r="G5" s="19" t="s">
        <v>71</v>
      </c>
      <c r="H5" s="20" t="n">
        <v>14</v>
      </c>
      <c r="I5" s="20" t="n">
        <v>3</v>
      </c>
      <c r="J5" s="20" t="n">
        <v>1</v>
      </c>
      <c r="K5" s="19" t="s">
        <v>71</v>
      </c>
      <c r="L5" s="19" t="s">
        <v>71</v>
      </c>
      <c r="M5" s="19" t="s">
        <v>61</v>
      </c>
      <c r="N5" s="19" t="s">
        <v>62</v>
      </c>
      <c r="O5" s="19" t="s">
        <v>63</v>
      </c>
      <c r="P5" s="19" t="s">
        <v>63</v>
      </c>
      <c r="Q5" s="21" t="s">
        <v>72</v>
      </c>
      <c r="R5" s="21" t="s">
        <v>73</v>
      </c>
      <c r="S5" s="21"/>
      <c r="T5" s="22" t="s">
        <v>74</v>
      </c>
      <c r="U5" s="23" t="n">
        <v>46303</v>
      </c>
    </row>
    <row r="6" customFormat="false" ht="23.25" hidden="false" customHeight="true" outlineLevel="0" collapsed="false">
      <c r="A6" s="19" t="s">
        <v>75</v>
      </c>
      <c r="B6" s="19" t="s">
        <v>76</v>
      </c>
      <c r="C6" s="19" t="s">
        <v>77</v>
      </c>
      <c r="D6" s="19" t="s">
        <v>78</v>
      </c>
      <c r="E6" s="20" t="n">
        <v>2023</v>
      </c>
      <c r="F6" s="19" t="s">
        <v>71</v>
      </c>
      <c r="G6" s="19" t="s">
        <v>71</v>
      </c>
      <c r="H6" s="20" t="n">
        <v>14</v>
      </c>
      <c r="I6" s="20" t="n">
        <v>2</v>
      </c>
      <c r="J6" s="20" t="n">
        <v>1</v>
      </c>
      <c r="K6" s="19" t="s">
        <v>60</v>
      </c>
      <c r="L6" s="19" t="s">
        <v>71</v>
      </c>
      <c r="M6" s="19" t="s">
        <v>61</v>
      </c>
      <c r="N6" s="19" t="s">
        <v>79</v>
      </c>
      <c r="O6" s="19" t="s">
        <v>61</v>
      </c>
      <c r="P6" s="19" t="s">
        <v>63</v>
      </c>
      <c r="Q6" s="21" t="s">
        <v>80</v>
      </c>
      <c r="R6" s="21" t="s">
        <v>81</v>
      </c>
      <c r="S6" s="21"/>
      <c r="T6" s="22" t="s">
        <v>82</v>
      </c>
      <c r="U6" s="23" t="n">
        <v>46303</v>
      </c>
    </row>
    <row r="7" customFormat="false" ht="57" hidden="false" customHeight="true" outlineLevel="0" collapsed="false">
      <c r="A7" s="19" t="s">
        <v>83</v>
      </c>
      <c r="B7" s="19" t="s">
        <v>84</v>
      </c>
      <c r="C7" s="19" t="s">
        <v>85</v>
      </c>
      <c r="D7" s="19" t="s">
        <v>86</v>
      </c>
      <c r="E7" s="20"/>
      <c r="F7" s="19" t="s">
        <v>71</v>
      </c>
      <c r="G7" s="19" t="s">
        <v>71</v>
      </c>
      <c r="H7" s="20" t="n">
        <v>14.1</v>
      </c>
      <c r="I7" s="20" t="n">
        <v>3</v>
      </c>
      <c r="J7" s="20" t="n">
        <v>2</v>
      </c>
      <c r="K7" s="19" t="s">
        <v>87</v>
      </c>
      <c r="L7" s="19" t="s">
        <v>63</v>
      </c>
      <c r="M7" s="19" t="s">
        <v>61</v>
      </c>
      <c r="N7" s="19" t="s">
        <v>71</v>
      </c>
      <c r="O7" s="19" t="s">
        <v>63</v>
      </c>
      <c r="P7" s="19" t="s">
        <v>63</v>
      </c>
      <c r="Q7" s="21" t="s">
        <v>88</v>
      </c>
      <c r="R7" s="21" t="s">
        <v>89</v>
      </c>
      <c r="S7" s="21"/>
      <c r="T7" s="22" t="s">
        <v>90</v>
      </c>
      <c r="U7" s="23" t="n">
        <v>46303</v>
      </c>
    </row>
    <row r="8" customFormat="false" ht="57" hidden="false" customHeight="true" outlineLevel="0" collapsed="false">
      <c r="A8" s="19" t="s">
        <v>91</v>
      </c>
      <c r="B8" s="19" t="s">
        <v>92</v>
      </c>
      <c r="C8" s="19" t="s">
        <v>93</v>
      </c>
      <c r="D8" s="19" t="s">
        <v>94</v>
      </c>
      <c r="E8" s="20" t="n">
        <v>2018</v>
      </c>
      <c r="F8" s="19" t="s">
        <v>95</v>
      </c>
      <c r="G8" s="19" t="s">
        <v>96</v>
      </c>
      <c r="H8" s="20" t="n">
        <v>14</v>
      </c>
      <c r="I8" s="20" t="n">
        <v>2</v>
      </c>
      <c r="J8" s="20" t="n">
        <v>2</v>
      </c>
      <c r="K8" s="19" t="s">
        <v>97</v>
      </c>
      <c r="L8" s="19" t="s">
        <v>61</v>
      </c>
      <c r="M8" s="19" t="s">
        <v>61</v>
      </c>
      <c r="N8" s="19" t="s">
        <v>62</v>
      </c>
      <c r="O8" s="19" t="s">
        <v>61</v>
      </c>
      <c r="P8" s="19" t="s">
        <v>61</v>
      </c>
      <c r="Q8" s="21" t="s">
        <v>98</v>
      </c>
      <c r="R8" s="21" t="s">
        <v>99</v>
      </c>
      <c r="S8" s="21"/>
      <c r="T8" s="22" t="s">
        <v>100</v>
      </c>
      <c r="U8" s="23" t="n">
        <v>46303</v>
      </c>
    </row>
    <row r="9" customFormat="false" ht="57" hidden="false" customHeight="true" outlineLevel="0" collapsed="false">
      <c r="A9" s="19" t="s">
        <v>101</v>
      </c>
      <c r="B9" s="19" t="s">
        <v>102</v>
      </c>
      <c r="C9" s="19" t="s">
        <v>103</v>
      </c>
      <c r="D9" s="19" t="s">
        <v>104</v>
      </c>
      <c r="E9" s="20" t="n">
        <v>2019</v>
      </c>
      <c r="F9" s="19" t="s">
        <v>95</v>
      </c>
      <c r="G9" s="19" t="s">
        <v>105</v>
      </c>
      <c r="H9" s="20" t="n">
        <v>14</v>
      </c>
      <c r="I9" s="20" t="n">
        <v>3</v>
      </c>
      <c r="J9" s="20" t="n">
        <v>1</v>
      </c>
      <c r="K9" s="19" t="s">
        <v>60</v>
      </c>
      <c r="L9" s="19" t="s">
        <v>71</v>
      </c>
      <c r="M9" s="19" t="s">
        <v>61</v>
      </c>
      <c r="N9" s="19" t="s">
        <v>62</v>
      </c>
      <c r="O9" s="19" t="s">
        <v>61</v>
      </c>
      <c r="P9" s="19" t="s">
        <v>61</v>
      </c>
      <c r="Q9" s="21" t="s">
        <v>106</v>
      </c>
      <c r="R9" s="21" t="s">
        <v>107</v>
      </c>
      <c r="S9" s="21"/>
      <c r="T9" s="22" t="s">
        <v>108</v>
      </c>
      <c r="U9" s="23" t="n">
        <v>46303</v>
      </c>
    </row>
    <row r="10" customFormat="false" ht="15" hidden="false" customHeight="true" outlineLevel="0" collapsed="false">
      <c r="A10" s="19"/>
      <c r="B10" s="19"/>
      <c r="C10" s="19"/>
      <c r="D10" s="19"/>
      <c r="E10" s="20"/>
      <c r="F10" s="19"/>
      <c r="G10" s="19"/>
      <c r="H10" s="20"/>
      <c r="I10" s="20"/>
      <c r="J10" s="20"/>
      <c r="K10" s="19"/>
      <c r="L10" s="19"/>
      <c r="M10" s="19"/>
      <c r="N10" s="19"/>
      <c r="O10" s="19"/>
      <c r="P10" s="19"/>
      <c r="Q10" s="21"/>
      <c r="R10" s="21"/>
      <c r="S10" s="21"/>
      <c r="T10" s="19"/>
      <c r="U10" s="23"/>
    </row>
    <row r="11" customFormat="false" ht="15" hidden="false" customHeight="true" outlineLevel="0" collapsed="false">
      <c r="A11" s="19"/>
      <c r="B11" s="19"/>
      <c r="C11" s="19"/>
      <c r="D11" s="19"/>
      <c r="E11" s="20"/>
      <c r="F11" s="19"/>
      <c r="G11" s="19"/>
      <c r="H11" s="20"/>
      <c r="I11" s="20"/>
      <c r="J11" s="20"/>
      <c r="K11" s="19"/>
      <c r="L11" s="19"/>
      <c r="M11" s="19"/>
      <c r="N11" s="19"/>
      <c r="O11" s="19"/>
      <c r="P11" s="19"/>
      <c r="Q11" s="21"/>
      <c r="R11" s="21"/>
      <c r="S11" s="21"/>
      <c r="T11" s="19"/>
      <c r="U11" s="23"/>
    </row>
    <row r="12" customFormat="false" ht="15" hidden="false" customHeight="true" outlineLevel="0" collapsed="false">
      <c r="A12" s="19"/>
      <c r="B12" s="19"/>
      <c r="C12" s="19"/>
      <c r="D12" s="19"/>
      <c r="E12" s="20"/>
      <c r="F12" s="19"/>
      <c r="G12" s="19"/>
      <c r="H12" s="20"/>
      <c r="I12" s="20"/>
      <c r="J12" s="20"/>
      <c r="K12" s="19"/>
      <c r="L12" s="19"/>
      <c r="M12" s="19"/>
      <c r="N12" s="19"/>
      <c r="O12" s="19"/>
      <c r="P12" s="19"/>
      <c r="Q12" s="21"/>
      <c r="R12" s="21"/>
      <c r="S12" s="21"/>
      <c r="T12" s="19"/>
      <c r="U12" s="23"/>
    </row>
    <row r="13" customFormat="false" ht="15" hidden="false" customHeight="true" outlineLevel="0" collapsed="false">
      <c r="A13" s="19"/>
      <c r="B13" s="19"/>
      <c r="C13" s="19"/>
      <c r="D13" s="19"/>
      <c r="E13" s="20"/>
      <c r="F13" s="19"/>
      <c r="G13" s="19"/>
      <c r="H13" s="20"/>
      <c r="I13" s="20"/>
      <c r="J13" s="20"/>
      <c r="K13" s="19"/>
      <c r="L13" s="19"/>
      <c r="M13" s="19"/>
      <c r="N13" s="19"/>
      <c r="O13" s="19"/>
      <c r="P13" s="19"/>
      <c r="Q13" s="21"/>
      <c r="R13" s="21"/>
      <c r="S13" s="21"/>
      <c r="T13" s="19"/>
      <c r="U13" s="23"/>
    </row>
    <row r="14" customFormat="false" ht="15" hidden="false" customHeight="true" outlineLevel="0" collapsed="false">
      <c r="A14" s="19"/>
      <c r="B14" s="19"/>
      <c r="C14" s="19"/>
      <c r="D14" s="19"/>
      <c r="E14" s="20"/>
      <c r="F14" s="19"/>
      <c r="G14" s="19"/>
      <c r="H14" s="20"/>
      <c r="I14" s="20"/>
      <c r="J14" s="20"/>
      <c r="K14" s="19"/>
      <c r="L14" s="19"/>
      <c r="M14" s="19"/>
      <c r="N14" s="19"/>
      <c r="O14" s="19"/>
      <c r="P14" s="19"/>
      <c r="Q14" s="21"/>
      <c r="R14" s="21"/>
      <c r="S14" s="21"/>
      <c r="T14" s="19"/>
      <c r="U14" s="23"/>
    </row>
    <row r="15" customFormat="false" ht="15" hidden="false" customHeight="true" outlineLevel="0" collapsed="false">
      <c r="A15" s="19"/>
      <c r="B15" s="19"/>
      <c r="C15" s="19"/>
      <c r="D15" s="19"/>
      <c r="E15" s="20"/>
      <c r="F15" s="19"/>
      <c r="G15" s="19"/>
      <c r="H15" s="20"/>
      <c r="I15" s="20"/>
      <c r="J15" s="20"/>
      <c r="K15" s="19"/>
      <c r="L15" s="19"/>
      <c r="M15" s="19"/>
      <c r="N15" s="19"/>
      <c r="O15" s="19"/>
      <c r="P15" s="19"/>
      <c r="Q15" s="21"/>
      <c r="R15" s="21"/>
      <c r="S15" s="21"/>
      <c r="T15" s="19"/>
      <c r="U15" s="23"/>
    </row>
    <row r="16" customFormat="false" ht="15" hidden="false" customHeight="true" outlineLevel="0" collapsed="false">
      <c r="A16" s="19"/>
      <c r="B16" s="19"/>
      <c r="C16" s="19"/>
      <c r="D16" s="19"/>
      <c r="E16" s="20"/>
      <c r="F16" s="19"/>
      <c r="G16" s="19"/>
      <c r="H16" s="20"/>
      <c r="I16" s="20"/>
      <c r="J16" s="20"/>
      <c r="K16" s="19"/>
      <c r="L16" s="19"/>
      <c r="M16" s="19"/>
      <c r="N16" s="19"/>
      <c r="O16" s="19"/>
      <c r="P16" s="19"/>
      <c r="Q16" s="21"/>
      <c r="R16" s="21"/>
      <c r="S16" s="21"/>
      <c r="T16" s="19"/>
      <c r="U16" s="23"/>
    </row>
    <row r="17" customFormat="false" ht="15" hidden="false" customHeight="true" outlineLevel="0" collapsed="false">
      <c r="A17" s="19"/>
      <c r="B17" s="19"/>
      <c r="C17" s="19"/>
      <c r="D17" s="19"/>
      <c r="E17" s="20"/>
      <c r="F17" s="19"/>
      <c r="G17" s="19"/>
      <c r="H17" s="20"/>
      <c r="I17" s="20"/>
      <c r="J17" s="20"/>
      <c r="K17" s="19"/>
      <c r="L17" s="19"/>
      <c r="M17" s="19"/>
      <c r="N17" s="19"/>
      <c r="O17" s="19"/>
      <c r="P17" s="19"/>
      <c r="Q17" s="21"/>
      <c r="R17" s="21"/>
      <c r="S17" s="21"/>
      <c r="T17" s="19"/>
      <c r="U17" s="23"/>
    </row>
    <row r="18" customFormat="false" ht="15" hidden="false" customHeight="true" outlineLevel="0" collapsed="false">
      <c r="A18" s="19"/>
      <c r="B18" s="19"/>
      <c r="C18" s="19"/>
      <c r="D18" s="19"/>
      <c r="E18" s="20"/>
      <c r="F18" s="19"/>
      <c r="G18" s="19"/>
      <c r="H18" s="20"/>
      <c r="I18" s="20"/>
      <c r="J18" s="20"/>
      <c r="K18" s="19"/>
      <c r="L18" s="19"/>
      <c r="M18" s="19"/>
      <c r="N18" s="19"/>
      <c r="O18" s="19"/>
      <c r="P18" s="19"/>
      <c r="Q18" s="21"/>
      <c r="R18" s="21"/>
      <c r="S18" s="21"/>
      <c r="T18" s="19"/>
      <c r="U18" s="23"/>
    </row>
    <row r="19" customFormat="false" ht="15" hidden="false" customHeight="true" outlineLevel="0" collapsed="false">
      <c r="A19" s="19"/>
      <c r="B19" s="19"/>
      <c r="C19" s="19"/>
      <c r="D19" s="19"/>
      <c r="E19" s="20"/>
      <c r="F19" s="19"/>
      <c r="G19" s="19"/>
      <c r="H19" s="20"/>
      <c r="I19" s="20"/>
      <c r="J19" s="20"/>
      <c r="K19" s="19"/>
      <c r="L19" s="19"/>
      <c r="M19" s="19"/>
      <c r="N19" s="19"/>
      <c r="O19" s="19"/>
      <c r="P19" s="19"/>
      <c r="Q19" s="21"/>
      <c r="R19" s="21"/>
      <c r="S19" s="21"/>
      <c r="T19" s="19"/>
      <c r="U19" s="23"/>
    </row>
    <row r="20" customFormat="false" ht="15" hidden="false" customHeight="true" outlineLevel="0" collapsed="false">
      <c r="A20" s="19"/>
      <c r="B20" s="19"/>
      <c r="C20" s="19"/>
      <c r="D20" s="19"/>
      <c r="E20" s="20"/>
      <c r="F20" s="19"/>
      <c r="G20" s="19"/>
      <c r="H20" s="20"/>
      <c r="I20" s="20"/>
      <c r="J20" s="20"/>
      <c r="K20" s="19"/>
      <c r="L20" s="19"/>
      <c r="M20" s="19"/>
      <c r="N20" s="19"/>
      <c r="O20" s="19"/>
      <c r="P20" s="19"/>
      <c r="Q20" s="21"/>
      <c r="R20" s="21"/>
      <c r="S20" s="21"/>
      <c r="T20" s="19"/>
      <c r="U20" s="23"/>
    </row>
    <row r="21" customFormat="false" ht="15" hidden="false" customHeight="true" outlineLevel="0" collapsed="false">
      <c r="A21" s="19"/>
      <c r="B21" s="19"/>
      <c r="C21" s="19"/>
      <c r="D21" s="19"/>
      <c r="E21" s="20"/>
      <c r="F21" s="19"/>
      <c r="G21" s="19"/>
      <c r="H21" s="20"/>
      <c r="I21" s="20"/>
      <c r="J21" s="20"/>
      <c r="K21" s="19"/>
      <c r="L21" s="19"/>
      <c r="M21" s="19"/>
      <c r="N21" s="19"/>
      <c r="O21" s="19"/>
      <c r="P21" s="19"/>
      <c r="Q21" s="21"/>
      <c r="R21" s="21"/>
      <c r="S21" s="21"/>
      <c r="T21" s="19"/>
      <c r="U21" s="23"/>
    </row>
    <row r="22" customFormat="false" ht="15" hidden="false" customHeight="true" outlineLevel="0" collapsed="false">
      <c r="A22" s="19"/>
      <c r="B22" s="19"/>
      <c r="C22" s="19"/>
      <c r="D22" s="19"/>
      <c r="E22" s="20"/>
      <c r="F22" s="19"/>
      <c r="G22" s="19"/>
      <c r="H22" s="20"/>
      <c r="I22" s="20"/>
      <c r="J22" s="20"/>
      <c r="K22" s="19"/>
      <c r="L22" s="19"/>
      <c r="M22" s="19"/>
      <c r="N22" s="19"/>
      <c r="O22" s="19"/>
      <c r="P22" s="19"/>
      <c r="Q22" s="21"/>
      <c r="R22" s="21"/>
      <c r="S22" s="21"/>
      <c r="T22" s="19"/>
      <c r="U22" s="23"/>
    </row>
    <row r="23" customFormat="false" ht="15" hidden="false" customHeight="true" outlineLevel="0" collapsed="false">
      <c r="A23" s="19"/>
      <c r="B23" s="19"/>
      <c r="C23" s="19"/>
      <c r="D23" s="19"/>
      <c r="E23" s="20"/>
      <c r="F23" s="19"/>
      <c r="G23" s="19"/>
      <c r="H23" s="20"/>
      <c r="I23" s="20"/>
      <c r="J23" s="20"/>
      <c r="K23" s="19"/>
      <c r="L23" s="19"/>
      <c r="M23" s="19"/>
      <c r="N23" s="19"/>
      <c r="O23" s="19"/>
      <c r="P23" s="19"/>
      <c r="Q23" s="21"/>
      <c r="R23" s="21"/>
      <c r="S23" s="21"/>
      <c r="T23" s="19"/>
      <c r="U23" s="23"/>
    </row>
    <row r="24" customFormat="false" ht="15" hidden="false" customHeight="true" outlineLevel="0" collapsed="false">
      <c r="A24" s="19"/>
      <c r="B24" s="19"/>
      <c r="C24" s="19"/>
      <c r="D24" s="19"/>
      <c r="E24" s="20"/>
      <c r="F24" s="19"/>
      <c r="G24" s="19"/>
      <c r="H24" s="20"/>
      <c r="I24" s="20"/>
      <c r="J24" s="20"/>
      <c r="K24" s="19"/>
      <c r="L24" s="19"/>
      <c r="M24" s="19"/>
      <c r="N24" s="19"/>
      <c r="O24" s="19"/>
      <c r="P24" s="19"/>
      <c r="Q24" s="21"/>
      <c r="R24" s="21"/>
      <c r="S24" s="21"/>
      <c r="T24" s="19"/>
      <c r="U24" s="23"/>
    </row>
    <row r="25" customFormat="false" ht="15" hidden="false" customHeight="true" outlineLevel="0" collapsed="false">
      <c r="A25" s="19"/>
      <c r="B25" s="19"/>
      <c r="C25" s="19"/>
      <c r="D25" s="19"/>
      <c r="E25" s="20"/>
      <c r="F25" s="19"/>
      <c r="G25" s="19"/>
      <c r="H25" s="20"/>
      <c r="I25" s="20"/>
      <c r="J25" s="20"/>
      <c r="K25" s="19"/>
      <c r="L25" s="19"/>
      <c r="M25" s="19"/>
      <c r="N25" s="19"/>
      <c r="O25" s="19"/>
      <c r="P25" s="19"/>
      <c r="Q25" s="21"/>
      <c r="R25" s="21"/>
      <c r="S25" s="21"/>
      <c r="T25" s="19"/>
      <c r="U25" s="23"/>
    </row>
    <row r="26" customFormat="false" ht="15" hidden="false" customHeight="true" outlineLevel="0" collapsed="false">
      <c r="A26" s="19"/>
      <c r="B26" s="19"/>
      <c r="C26" s="19"/>
      <c r="D26" s="19"/>
      <c r="E26" s="20"/>
      <c r="F26" s="19"/>
      <c r="G26" s="19"/>
      <c r="H26" s="20"/>
      <c r="I26" s="20"/>
      <c r="J26" s="20"/>
      <c r="K26" s="19"/>
      <c r="L26" s="19"/>
      <c r="M26" s="19"/>
      <c r="N26" s="19"/>
      <c r="O26" s="19"/>
      <c r="P26" s="19"/>
      <c r="Q26" s="21"/>
      <c r="R26" s="21"/>
      <c r="S26" s="21"/>
      <c r="T26" s="19"/>
      <c r="U26" s="23"/>
    </row>
    <row r="27" customFormat="false" ht="15" hidden="false" customHeight="true" outlineLevel="0" collapsed="false">
      <c r="A27" s="19"/>
      <c r="B27" s="19"/>
      <c r="C27" s="19"/>
      <c r="D27" s="19"/>
      <c r="E27" s="20"/>
      <c r="F27" s="19"/>
      <c r="G27" s="19"/>
      <c r="H27" s="20"/>
      <c r="I27" s="20"/>
      <c r="J27" s="20"/>
      <c r="K27" s="19"/>
      <c r="L27" s="19"/>
      <c r="M27" s="19"/>
      <c r="N27" s="19"/>
      <c r="O27" s="19"/>
      <c r="P27" s="19"/>
      <c r="Q27" s="21"/>
      <c r="R27" s="21"/>
      <c r="S27" s="21"/>
      <c r="T27" s="19"/>
      <c r="U27" s="23"/>
    </row>
    <row r="28" customFormat="false" ht="15" hidden="false" customHeight="true" outlineLevel="0" collapsed="false">
      <c r="A28" s="19"/>
      <c r="B28" s="19"/>
      <c r="C28" s="19"/>
      <c r="D28" s="19"/>
      <c r="E28" s="20"/>
      <c r="F28" s="19"/>
      <c r="G28" s="19"/>
      <c r="H28" s="20"/>
      <c r="I28" s="20"/>
      <c r="J28" s="20"/>
      <c r="K28" s="19"/>
      <c r="L28" s="19"/>
      <c r="M28" s="19"/>
      <c r="N28" s="19"/>
      <c r="O28" s="19"/>
      <c r="P28" s="19"/>
      <c r="Q28" s="21"/>
      <c r="R28" s="21"/>
      <c r="S28" s="21"/>
      <c r="T28" s="19"/>
      <c r="U28" s="23"/>
    </row>
    <row r="29" customFormat="false" ht="15" hidden="false" customHeight="true" outlineLevel="0" collapsed="false">
      <c r="A29" s="19"/>
      <c r="B29" s="19"/>
      <c r="C29" s="19"/>
      <c r="D29" s="19"/>
      <c r="E29" s="20"/>
      <c r="F29" s="19"/>
      <c r="G29" s="19"/>
      <c r="H29" s="20"/>
      <c r="I29" s="20"/>
      <c r="J29" s="20"/>
      <c r="K29" s="19"/>
      <c r="L29" s="19"/>
      <c r="M29" s="19"/>
      <c r="N29" s="19"/>
      <c r="O29" s="19"/>
      <c r="P29" s="19"/>
      <c r="Q29" s="21"/>
      <c r="R29" s="21"/>
      <c r="S29" s="21"/>
      <c r="T29" s="19"/>
      <c r="U29" s="23"/>
    </row>
    <row r="30" customFormat="false" ht="15" hidden="false" customHeight="true" outlineLevel="0" collapsed="false">
      <c r="A30" s="19"/>
      <c r="B30" s="19"/>
      <c r="C30" s="19"/>
      <c r="D30" s="19"/>
      <c r="E30" s="20"/>
      <c r="F30" s="19"/>
      <c r="G30" s="19"/>
      <c r="H30" s="20"/>
      <c r="I30" s="20"/>
      <c r="J30" s="20"/>
      <c r="K30" s="19"/>
      <c r="L30" s="19"/>
      <c r="M30" s="19"/>
      <c r="N30" s="19"/>
      <c r="O30" s="19"/>
      <c r="P30" s="19"/>
      <c r="Q30" s="21"/>
      <c r="R30" s="21"/>
      <c r="S30" s="21"/>
      <c r="T30" s="19"/>
      <c r="U30" s="23"/>
    </row>
    <row r="31" customFormat="false" ht="15" hidden="false" customHeight="true" outlineLevel="0" collapsed="false">
      <c r="A31" s="19"/>
      <c r="B31" s="19"/>
      <c r="C31" s="19"/>
      <c r="D31" s="19"/>
      <c r="E31" s="20"/>
      <c r="F31" s="19"/>
      <c r="G31" s="19"/>
      <c r="H31" s="20"/>
      <c r="I31" s="20"/>
      <c r="J31" s="20"/>
      <c r="K31" s="19"/>
      <c r="L31" s="19"/>
      <c r="M31" s="19"/>
      <c r="N31" s="19"/>
      <c r="O31" s="19"/>
      <c r="P31" s="19"/>
      <c r="Q31" s="21"/>
      <c r="R31" s="21"/>
      <c r="S31" s="21"/>
      <c r="T31" s="19"/>
      <c r="U31" s="23"/>
    </row>
    <row r="32" customFormat="false" ht="15" hidden="false" customHeight="true" outlineLevel="0" collapsed="false">
      <c r="A32" s="19"/>
      <c r="B32" s="19"/>
      <c r="C32" s="19"/>
      <c r="D32" s="19"/>
      <c r="E32" s="20"/>
      <c r="F32" s="19"/>
      <c r="G32" s="19"/>
      <c r="H32" s="20"/>
      <c r="I32" s="20"/>
      <c r="J32" s="20"/>
      <c r="K32" s="19"/>
      <c r="L32" s="19"/>
      <c r="M32" s="19"/>
      <c r="N32" s="19"/>
      <c r="O32" s="19"/>
      <c r="P32" s="19"/>
      <c r="Q32" s="21"/>
      <c r="R32" s="21"/>
      <c r="S32" s="21"/>
      <c r="T32" s="19"/>
      <c r="U32" s="23"/>
    </row>
    <row r="33" customFormat="false" ht="15" hidden="false" customHeight="true" outlineLevel="0" collapsed="false">
      <c r="A33" s="19"/>
      <c r="B33" s="19"/>
      <c r="C33" s="19"/>
      <c r="D33" s="19"/>
      <c r="E33" s="20"/>
      <c r="F33" s="19"/>
      <c r="G33" s="19"/>
      <c r="H33" s="20"/>
      <c r="I33" s="20"/>
      <c r="J33" s="20"/>
      <c r="K33" s="19"/>
      <c r="L33" s="19"/>
      <c r="M33" s="19"/>
      <c r="N33" s="19"/>
      <c r="O33" s="19"/>
      <c r="P33" s="19"/>
      <c r="Q33" s="21"/>
      <c r="R33" s="21"/>
      <c r="S33" s="21"/>
      <c r="T33" s="19"/>
      <c r="U33" s="23"/>
    </row>
    <row r="34" customFormat="false" ht="15" hidden="false" customHeight="true" outlineLevel="0" collapsed="false">
      <c r="A34" s="19"/>
      <c r="B34" s="19"/>
      <c r="C34" s="19"/>
      <c r="D34" s="19"/>
      <c r="E34" s="20"/>
      <c r="F34" s="19"/>
      <c r="G34" s="19"/>
      <c r="H34" s="20"/>
      <c r="I34" s="20"/>
      <c r="J34" s="20"/>
      <c r="K34" s="19"/>
      <c r="L34" s="19"/>
      <c r="M34" s="19"/>
      <c r="N34" s="19"/>
      <c r="O34" s="19"/>
      <c r="P34" s="19"/>
      <c r="Q34" s="21"/>
      <c r="R34" s="21"/>
      <c r="S34" s="21"/>
      <c r="T34" s="19"/>
      <c r="U34" s="23"/>
    </row>
    <row r="35" customFormat="false" ht="15" hidden="false" customHeight="true" outlineLevel="0" collapsed="false">
      <c r="A35" s="19"/>
      <c r="B35" s="19"/>
      <c r="C35" s="19"/>
      <c r="D35" s="19"/>
      <c r="E35" s="20"/>
      <c r="F35" s="19"/>
      <c r="G35" s="19"/>
      <c r="H35" s="20"/>
      <c r="I35" s="20"/>
      <c r="J35" s="20"/>
      <c r="K35" s="19"/>
      <c r="L35" s="19"/>
      <c r="M35" s="19"/>
      <c r="N35" s="19"/>
      <c r="O35" s="19"/>
      <c r="P35" s="19"/>
      <c r="Q35" s="21"/>
      <c r="R35" s="21"/>
      <c r="S35" s="21"/>
      <c r="T35" s="19"/>
      <c r="U35" s="23"/>
    </row>
    <row r="36" customFormat="false" ht="15" hidden="false" customHeight="true" outlineLevel="0" collapsed="false">
      <c r="A36" s="19"/>
      <c r="B36" s="19"/>
      <c r="C36" s="19"/>
      <c r="D36" s="19"/>
      <c r="E36" s="20"/>
      <c r="F36" s="19"/>
      <c r="G36" s="19"/>
      <c r="H36" s="20"/>
      <c r="I36" s="20"/>
      <c r="J36" s="20"/>
      <c r="K36" s="19"/>
      <c r="L36" s="19"/>
      <c r="M36" s="19"/>
      <c r="N36" s="19"/>
      <c r="O36" s="19"/>
      <c r="P36" s="19"/>
      <c r="Q36" s="21"/>
      <c r="R36" s="21"/>
      <c r="S36" s="21"/>
      <c r="T36" s="19"/>
      <c r="U36" s="23"/>
    </row>
    <row r="37" customFormat="false" ht="15" hidden="false" customHeight="true" outlineLevel="0" collapsed="false">
      <c r="A37" s="19"/>
      <c r="B37" s="19"/>
      <c r="C37" s="19"/>
      <c r="D37" s="19"/>
      <c r="E37" s="20"/>
      <c r="F37" s="19"/>
      <c r="G37" s="19"/>
      <c r="H37" s="20"/>
      <c r="I37" s="20"/>
      <c r="J37" s="20"/>
      <c r="K37" s="19"/>
      <c r="L37" s="19"/>
      <c r="M37" s="19"/>
      <c r="N37" s="19"/>
      <c r="O37" s="19"/>
      <c r="P37" s="19"/>
      <c r="Q37" s="21"/>
      <c r="R37" s="21"/>
      <c r="S37" s="21"/>
      <c r="T37" s="19"/>
      <c r="U37" s="23"/>
    </row>
    <row r="38" customFormat="false" ht="15" hidden="false" customHeight="true" outlineLevel="0" collapsed="false">
      <c r="A38" s="19"/>
      <c r="B38" s="19"/>
      <c r="C38" s="19"/>
      <c r="D38" s="19"/>
      <c r="E38" s="20"/>
      <c r="F38" s="19"/>
      <c r="G38" s="19"/>
      <c r="H38" s="20"/>
      <c r="I38" s="20"/>
      <c r="J38" s="20"/>
      <c r="K38" s="19"/>
      <c r="L38" s="19"/>
      <c r="M38" s="19"/>
      <c r="N38" s="19"/>
      <c r="O38" s="19"/>
      <c r="P38" s="19"/>
      <c r="Q38" s="21"/>
      <c r="R38" s="21"/>
      <c r="S38" s="21"/>
      <c r="T38" s="19"/>
      <c r="U38" s="23"/>
    </row>
    <row r="39" customFormat="false" ht="15" hidden="false" customHeight="true" outlineLevel="0" collapsed="false">
      <c r="A39" s="19"/>
      <c r="B39" s="19"/>
      <c r="C39" s="19"/>
      <c r="D39" s="19"/>
      <c r="E39" s="20"/>
      <c r="F39" s="19"/>
      <c r="G39" s="19"/>
      <c r="H39" s="20"/>
      <c r="I39" s="20"/>
      <c r="J39" s="20"/>
      <c r="K39" s="19"/>
      <c r="L39" s="19"/>
      <c r="M39" s="19"/>
      <c r="N39" s="19"/>
      <c r="O39" s="19"/>
      <c r="P39" s="19"/>
      <c r="Q39" s="21"/>
      <c r="R39" s="21"/>
      <c r="S39" s="21"/>
      <c r="T39" s="19"/>
      <c r="U39" s="23"/>
    </row>
    <row r="40" customFormat="false" ht="15" hidden="false" customHeight="true" outlineLevel="0" collapsed="false">
      <c r="A40" s="19"/>
      <c r="B40" s="19"/>
      <c r="C40" s="19"/>
      <c r="D40" s="19"/>
      <c r="E40" s="20"/>
      <c r="F40" s="19"/>
      <c r="G40" s="19"/>
      <c r="H40" s="20"/>
      <c r="I40" s="20"/>
      <c r="J40" s="20"/>
      <c r="K40" s="19"/>
      <c r="L40" s="19"/>
      <c r="M40" s="19"/>
      <c r="N40" s="19"/>
      <c r="O40" s="19"/>
      <c r="P40" s="19"/>
      <c r="Q40" s="21"/>
      <c r="R40" s="21"/>
      <c r="S40" s="21"/>
      <c r="T40" s="19"/>
      <c r="U40" s="23"/>
    </row>
    <row r="41" customFormat="false" ht="15" hidden="false" customHeight="true" outlineLevel="0" collapsed="false">
      <c r="A41" s="19"/>
      <c r="B41" s="19"/>
      <c r="C41" s="19"/>
      <c r="D41" s="19"/>
      <c r="E41" s="20"/>
      <c r="F41" s="19"/>
      <c r="G41" s="19"/>
      <c r="H41" s="20"/>
      <c r="I41" s="20"/>
      <c r="J41" s="20"/>
      <c r="K41" s="19"/>
      <c r="L41" s="19"/>
      <c r="M41" s="19"/>
      <c r="N41" s="19"/>
      <c r="O41" s="19"/>
      <c r="P41" s="19"/>
      <c r="Q41" s="21"/>
      <c r="R41" s="21"/>
      <c r="S41" s="21"/>
      <c r="T41" s="19"/>
      <c r="U41" s="23"/>
    </row>
    <row r="42" customFormat="false" ht="15" hidden="false" customHeight="true" outlineLevel="0" collapsed="false">
      <c r="A42" s="19"/>
      <c r="B42" s="19"/>
      <c r="C42" s="19"/>
      <c r="D42" s="19"/>
      <c r="E42" s="20"/>
      <c r="F42" s="19"/>
      <c r="G42" s="19"/>
      <c r="H42" s="20"/>
      <c r="I42" s="20"/>
      <c r="J42" s="20"/>
      <c r="K42" s="19"/>
      <c r="L42" s="19"/>
      <c r="M42" s="19"/>
      <c r="N42" s="19"/>
      <c r="O42" s="19"/>
      <c r="P42" s="19"/>
      <c r="Q42" s="21"/>
      <c r="R42" s="21"/>
      <c r="S42" s="21"/>
      <c r="T42" s="19"/>
      <c r="U42" s="23"/>
    </row>
    <row r="43" customFormat="false" ht="15" hidden="false" customHeight="true" outlineLevel="0" collapsed="false">
      <c r="A43" s="19"/>
      <c r="B43" s="19"/>
      <c r="C43" s="19"/>
      <c r="D43" s="19"/>
      <c r="E43" s="20"/>
      <c r="F43" s="19"/>
      <c r="G43" s="19"/>
      <c r="H43" s="20"/>
      <c r="I43" s="20"/>
      <c r="J43" s="20"/>
      <c r="K43" s="19"/>
      <c r="L43" s="19"/>
      <c r="M43" s="19"/>
      <c r="N43" s="19"/>
      <c r="O43" s="19"/>
      <c r="P43" s="19"/>
      <c r="Q43" s="21"/>
      <c r="R43" s="21"/>
      <c r="S43" s="21"/>
      <c r="T43" s="19"/>
      <c r="U43" s="23"/>
    </row>
    <row r="44" customFormat="false" ht="15" hidden="false" customHeight="true" outlineLevel="0" collapsed="false">
      <c r="A44" s="19"/>
      <c r="B44" s="19"/>
      <c r="C44" s="19"/>
      <c r="D44" s="19"/>
      <c r="E44" s="20"/>
      <c r="F44" s="19"/>
      <c r="G44" s="19"/>
      <c r="H44" s="20"/>
      <c r="I44" s="20"/>
      <c r="J44" s="20"/>
      <c r="K44" s="19"/>
      <c r="L44" s="19"/>
      <c r="M44" s="19"/>
      <c r="N44" s="19"/>
      <c r="O44" s="19"/>
      <c r="P44" s="19"/>
      <c r="Q44" s="21"/>
      <c r="R44" s="21"/>
      <c r="S44" s="21"/>
      <c r="T44" s="19"/>
      <c r="U44" s="23"/>
    </row>
    <row r="45" customFormat="false" ht="15" hidden="false" customHeight="true" outlineLevel="0" collapsed="false">
      <c r="A45" s="19"/>
      <c r="B45" s="19"/>
      <c r="C45" s="19"/>
      <c r="D45" s="19"/>
      <c r="E45" s="20"/>
      <c r="F45" s="19"/>
      <c r="G45" s="19"/>
      <c r="H45" s="20"/>
      <c r="I45" s="20"/>
      <c r="J45" s="20"/>
      <c r="K45" s="19"/>
      <c r="L45" s="19"/>
      <c r="M45" s="19"/>
      <c r="N45" s="19"/>
      <c r="O45" s="19"/>
      <c r="P45" s="19"/>
      <c r="Q45" s="21"/>
      <c r="R45" s="21"/>
      <c r="S45" s="21"/>
      <c r="T45" s="19"/>
      <c r="U45" s="23"/>
    </row>
    <row r="46" customFormat="false" ht="15" hidden="false" customHeight="true" outlineLevel="0" collapsed="false">
      <c r="A46" s="19"/>
      <c r="B46" s="19"/>
      <c r="C46" s="19"/>
      <c r="D46" s="19"/>
      <c r="E46" s="20"/>
      <c r="F46" s="19"/>
      <c r="G46" s="19"/>
      <c r="H46" s="20"/>
      <c r="I46" s="20"/>
      <c r="J46" s="20"/>
      <c r="K46" s="19"/>
      <c r="L46" s="19"/>
      <c r="M46" s="19"/>
      <c r="N46" s="19"/>
      <c r="O46" s="19"/>
      <c r="P46" s="19"/>
      <c r="Q46" s="21"/>
      <c r="R46" s="21"/>
      <c r="S46" s="21"/>
      <c r="T46" s="19"/>
      <c r="U46" s="23"/>
    </row>
    <row r="47" customFormat="false" ht="15" hidden="false" customHeight="true" outlineLevel="0" collapsed="false">
      <c r="A47" s="19"/>
      <c r="B47" s="19"/>
      <c r="C47" s="19"/>
      <c r="D47" s="19"/>
      <c r="E47" s="20"/>
      <c r="F47" s="19"/>
      <c r="G47" s="19"/>
      <c r="H47" s="20"/>
      <c r="I47" s="20"/>
      <c r="J47" s="20"/>
      <c r="K47" s="19"/>
      <c r="L47" s="19"/>
      <c r="M47" s="19"/>
      <c r="N47" s="19"/>
      <c r="O47" s="19"/>
      <c r="P47" s="19"/>
      <c r="Q47" s="21"/>
      <c r="R47" s="21"/>
      <c r="S47" s="21"/>
      <c r="T47" s="19"/>
      <c r="U47" s="23"/>
    </row>
    <row r="48" customFormat="false" ht="15" hidden="false" customHeight="true" outlineLevel="0" collapsed="false">
      <c r="A48" s="19"/>
      <c r="B48" s="19"/>
      <c r="C48" s="19"/>
      <c r="D48" s="19"/>
      <c r="E48" s="20"/>
      <c r="F48" s="19"/>
      <c r="G48" s="19"/>
      <c r="H48" s="20"/>
      <c r="I48" s="20"/>
      <c r="J48" s="20"/>
      <c r="K48" s="19"/>
      <c r="L48" s="19"/>
      <c r="M48" s="19"/>
      <c r="N48" s="19"/>
      <c r="O48" s="19"/>
      <c r="P48" s="19"/>
      <c r="Q48" s="21"/>
      <c r="R48" s="21"/>
      <c r="S48" s="21"/>
      <c r="T48" s="19"/>
      <c r="U48" s="23"/>
    </row>
    <row r="49" customFormat="false" ht="15" hidden="false" customHeight="true" outlineLevel="0" collapsed="false">
      <c r="A49" s="19"/>
      <c r="B49" s="19"/>
      <c r="C49" s="19"/>
      <c r="D49" s="19"/>
      <c r="E49" s="20"/>
      <c r="F49" s="19"/>
      <c r="G49" s="19"/>
      <c r="H49" s="20"/>
      <c r="I49" s="20"/>
      <c r="J49" s="20"/>
      <c r="K49" s="19"/>
      <c r="L49" s="19"/>
      <c r="M49" s="19"/>
      <c r="N49" s="19"/>
      <c r="O49" s="19"/>
      <c r="P49" s="19"/>
      <c r="Q49" s="21"/>
      <c r="R49" s="21"/>
      <c r="S49" s="21"/>
      <c r="T49" s="19"/>
      <c r="U49" s="23"/>
    </row>
    <row r="50" customFormat="false" ht="15" hidden="false" customHeight="true" outlineLevel="0" collapsed="false">
      <c r="A50" s="19"/>
      <c r="B50" s="19"/>
      <c r="C50" s="19"/>
      <c r="D50" s="19"/>
      <c r="E50" s="20"/>
      <c r="F50" s="19"/>
      <c r="G50" s="19"/>
      <c r="H50" s="20"/>
      <c r="I50" s="20"/>
      <c r="J50" s="20"/>
      <c r="K50" s="19"/>
      <c r="L50" s="19"/>
      <c r="M50" s="19"/>
      <c r="N50" s="19"/>
      <c r="O50" s="19"/>
      <c r="P50" s="19"/>
      <c r="Q50" s="21"/>
      <c r="R50" s="21"/>
      <c r="S50" s="21"/>
      <c r="T50" s="19"/>
      <c r="U50" s="23"/>
    </row>
    <row r="51" customFormat="false" ht="15" hidden="false" customHeight="true" outlineLevel="0" collapsed="false">
      <c r="A51" s="19"/>
      <c r="B51" s="19"/>
      <c r="C51" s="19"/>
      <c r="D51" s="19"/>
      <c r="E51" s="20"/>
      <c r="F51" s="19"/>
      <c r="G51" s="19"/>
      <c r="H51" s="20"/>
      <c r="I51" s="20"/>
      <c r="J51" s="20"/>
      <c r="K51" s="19"/>
      <c r="L51" s="19"/>
      <c r="M51" s="19"/>
      <c r="N51" s="19"/>
      <c r="O51" s="19"/>
      <c r="P51" s="19"/>
      <c r="Q51" s="21"/>
      <c r="R51" s="21"/>
      <c r="S51" s="21"/>
      <c r="T51" s="19"/>
      <c r="U51" s="23"/>
    </row>
    <row r="52" customFormat="false" ht="15" hidden="false" customHeight="true" outlineLevel="0" collapsed="false">
      <c r="A52" s="19"/>
      <c r="B52" s="19"/>
      <c r="C52" s="19"/>
      <c r="D52" s="19"/>
      <c r="E52" s="20"/>
      <c r="F52" s="19"/>
      <c r="G52" s="19"/>
      <c r="H52" s="20"/>
      <c r="I52" s="20"/>
      <c r="J52" s="20"/>
      <c r="K52" s="19"/>
      <c r="L52" s="19"/>
      <c r="M52" s="19"/>
      <c r="N52" s="19"/>
      <c r="O52" s="19"/>
      <c r="P52" s="19"/>
      <c r="Q52" s="21"/>
      <c r="R52" s="21"/>
      <c r="S52" s="21"/>
      <c r="T52" s="19"/>
      <c r="U52" s="23"/>
    </row>
    <row r="53" customFormat="false" ht="15" hidden="false" customHeight="true" outlineLevel="0" collapsed="false">
      <c r="A53" s="19"/>
      <c r="B53" s="19"/>
      <c r="C53" s="19"/>
      <c r="D53" s="19"/>
      <c r="E53" s="20"/>
      <c r="F53" s="19"/>
      <c r="G53" s="19"/>
      <c r="H53" s="20"/>
      <c r="I53" s="20"/>
      <c r="J53" s="20"/>
      <c r="K53" s="19"/>
      <c r="L53" s="19"/>
      <c r="M53" s="19"/>
      <c r="N53" s="19"/>
      <c r="O53" s="19"/>
      <c r="P53" s="19"/>
      <c r="Q53" s="21"/>
      <c r="R53" s="21"/>
      <c r="S53" s="21"/>
      <c r="T53" s="19"/>
      <c r="U53" s="23"/>
    </row>
    <row r="54" customFormat="false" ht="15" hidden="false" customHeight="true" outlineLevel="0" collapsed="false">
      <c r="A54" s="19"/>
      <c r="B54" s="19"/>
      <c r="C54" s="19"/>
      <c r="D54" s="19"/>
      <c r="E54" s="20"/>
      <c r="F54" s="19"/>
      <c r="G54" s="19"/>
      <c r="H54" s="20"/>
      <c r="I54" s="20"/>
      <c r="J54" s="20"/>
      <c r="K54" s="19"/>
      <c r="L54" s="19"/>
      <c r="M54" s="19"/>
      <c r="N54" s="19"/>
      <c r="O54" s="19"/>
      <c r="P54" s="19"/>
      <c r="Q54" s="21"/>
      <c r="R54" s="21"/>
      <c r="S54" s="21"/>
      <c r="T54" s="19"/>
      <c r="U54" s="23"/>
    </row>
    <row r="55" customFormat="false" ht="15" hidden="false" customHeight="true" outlineLevel="0" collapsed="false">
      <c r="A55" s="19"/>
      <c r="B55" s="19"/>
      <c r="C55" s="19"/>
      <c r="D55" s="19"/>
      <c r="E55" s="20"/>
      <c r="F55" s="19"/>
      <c r="G55" s="19"/>
      <c r="H55" s="20"/>
      <c r="I55" s="20"/>
      <c r="J55" s="20"/>
      <c r="K55" s="19"/>
      <c r="L55" s="19"/>
      <c r="M55" s="19"/>
      <c r="N55" s="19"/>
      <c r="O55" s="19"/>
      <c r="P55" s="19"/>
      <c r="Q55" s="21"/>
      <c r="R55" s="21"/>
      <c r="S55" s="21"/>
      <c r="T55" s="19"/>
      <c r="U55" s="23"/>
    </row>
    <row r="56" customFormat="false" ht="15" hidden="false" customHeight="true" outlineLevel="0" collapsed="false">
      <c r="A56" s="19"/>
      <c r="B56" s="19"/>
      <c r="C56" s="19"/>
      <c r="D56" s="19"/>
      <c r="E56" s="20"/>
      <c r="F56" s="19"/>
      <c r="G56" s="19"/>
      <c r="H56" s="20"/>
      <c r="I56" s="20"/>
      <c r="J56" s="20"/>
      <c r="K56" s="19"/>
      <c r="L56" s="19"/>
      <c r="M56" s="19"/>
      <c r="N56" s="19"/>
      <c r="O56" s="19"/>
      <c r="P56" s="19"/>
      <c r="Q56" s="21"/>
      <c r="R56" s="21"/>
      <c r="S56" s="21"/>
      <c r="T56" s="19"/>
      <c r="U56" s="23"/>
    </row>
    <row r="57" customFormat="false" ht="15" hidden="false" customHeight="true" outlineLevel="0" collapsed="false">
      <c r="A57" s="19"/>
      <c r="B57" s="19"/>
      <c r="C57" s="19"/>
      <c r="D57" s="19"/>
      <c r="E57" s="20"/>
      <c r="F57" s="19"/>
      <c r="G57" s="19"/>
      <c r="H57" s="20"/>
      <c r="I57" s="20"/>
      <c r="J57" s="20"/>
      <c r="K57" s="19"/>
      <c r="L57" s="19"/>
      <c r="M57" s="19"/>
      <c r="N57" s="19"/>
      <c r="O57" s="19"/>
      <c r="P57" s="19"/>
      <c r="Q57" s="21"/>
      <c r="R57" s="21"/>
      <c r="S57" s="21"/>
      <c r="T57" s="19"/>
      <c r="U57" s="23"/>
    </row>
    <row r="58" customFormat="false" ht="15" hidden="false" customHeight="true" outlineLevel="0" collapsed="false">
      <c r="A58" s="19"/>
      <c r="B58" s="19"/>
      <c r="C58" s="19"/>
      <c r="D58" s="19"/>
      <c r="E58" s="20"/>
      <c r="F58" s="19"/>
      <c r="G58" s="19"/>
      <c r="H58" s="20"/>
      <c r="I58" s="20"/>
      <c r="J58" s="20"/>
      <c r="K58" s="19"/>
      <c r="L58" s="19"/>
      <c r="M58" s="19"/>
      <c r="N58" s="19"/>
      <c r="O58" s="19"/>
      <c r="P58" s="19"/>
      <c r="Q58" s="21"/>
      <c r="R58" s="21"/>
      <c r="S58" s="21"/>
      <c r="T58" s="19"/>
      <c r="U58" s="23"/>
    </row>
    <row r="59" customFormat="false" ht="15" hidden="false" customHeight="true" outlineLevel="0" collapsed="false">
      <c r="A59" s="19"/>
      <c r="B59" s="19"/>
      <c r="C59" s="19"/>
      <c r="D59" s="19"/>
      <c r="E59" s="20"/>
      <c r="F59" s="19"/>
      <c r="G59" s="19"/>
      <c r="H59" s="20"/>
      <c r="I59" s="20"/>
      <c r="J59" s="20"/>
      <c r="K59" s="19"/>
      <c r="L59" s="19"/>
      <c r="M59" s="19"/>
      <c r="N59" s="19"/>
      <c r="O59" s="19"/>
      <c r="P59" s="19"/>
      <c r="Q59" s="21"/>
      <c r="R59" s="21"/>
      <c r="S59" s="21"/>
      <c r="T59" s="19"/>
      <c r="U59" s="23"/>
    </row>
    <row r="60" customFormat="false" ht="15" hidden="false" customHeight="true" outlineLevel="0" collapsed="false">
      <c r="A60" s="19"/>
      <c r="B60" s="19"/>
      <c r="C60" s="19"/>
      <c r="D60" s="19"/>
      <c r="E60" s="20"/>
      <c r="F60" s="19"/>
      <c r="G60" s="19"/>
      <c r="H60" s="20"/>
      <c r="I60" s="20"/>
      <c r="J60" s="20"/>
      <c r="K60" s="19"/>
      <c r="L60" s="19"/>
      <c r="M60" s="19"/>
      <c r="N60" s="19"/>
      <c r="O60" s="19"/>
      <c r="P60" s="19"/>
      <c r="Q60" s="21"/>
      <c r="R60" s="21"/>
      <c r="S60" s="21"/>
      <c r="T60" s="19"/>
      <c r="U60" s="23"/>
    </row>
    <row r="61" customFormat="false" ht="15" hidden="false" customHeight="true" outlineLevel="0" collapsed="false">
      <c r="A61" s="19"/>
      <c r="B61" s="19"/>
      <c r="C61" s="19"/>
      <c r="D61" s="19"/>
      <c r="E61" s="20"/>
      <c r="F61" s="19"/>
      <c r="G61" s="19"/>
      <c r="H61" s="20"/>
      <c r="I61" s="20"/>
      <c r="J61" s="20"/>
      <c r="K61" s="19"/>
      <c r="L61" s="19"/>
      <c r="M61" s="19"/>
      <c r="N61" s="19"/>
      <c r="O61" s="19"/>
      <c r="P61" s="19"/>
      <c r="Q61" s="21"/>
      <c r="R61" s="21"/>
      <c r="S61" s="21"/>
      <c r="T61" s="19"/>
      <c r="U61" s="23"/>
    </row>
    <row r="62" customFormat="false" ht="15" hidden="false" customHeight="true" outlineLevel="0" collapsed="false">
      <c r="A62" s="19"/>
      <c r="B62" s="19"/>
      <c r="C62" s="19"/>
      <c r="D62" s="19"/>
      <c r="E62" s="20"/>
      <c r="F62" s="19"/>
      <c r="G62" s="19"/>
      <c r="H62" s="20"/>
      <c r="I62" s="20"/>
      <c r="J62" s="20"/>
      <c r="K62" s="19"/>
      <c r="L62" s="19"/>
      <c r="M62" s="19"/>
      <c r="N62" s="19"/>
      <c r="O62" s="19"/>
      <c r="P62" s="19"/>
      <c r="Q62" s="21"/>
      <c r="R62" s="21"/>
      <c r="S62" s="21"/>
      <c r="T62" s="19"/>
      <c r="U62" s="23"/>
    </row>
    <row r="63" customFormat="false" ht="15" hidden="false" customHeight="true" outlineLevel="0" collapsed="false">
      <c r="A63" s="19"/>
      <c r="B63" s="19"/>
      <c r="C63" s="19"/>
      <c r="D63" s="19"/>
      <c r="E63" s="20"/>
      <c r="F63" s="19"/>
      <c r="G63" s="19"/>
      <c r="H63" s="20"/>
      <c r="I63" s="20"/>
      <c r="J63" s="20"/>
      <c r="K63" s="19"/>
      <c r="L63" s="19"/>
      <c r="M63" s="19"/>
      <c r="N63" s="19"/>
      <c r="O63" s="19"/>
      <c r="P63" s="19"/>
      <c r="Q63" s="21"/>
      <c r="R63" s="21"/>
      <c r="S63" s="21"/>
      <c r="T63" s="19"/>
      <c r="U63" s="23"/>
    </row>
    <row r="64" customFormat="false" ht="15" hidden="false" customHeight="true" outlineLevel="0" collapsed="false">
      <c r="A64" s="19"/>
      <c r="B64" s="19"/>
      <c r="C64" s="19"/>
      <c r="D64" s="19"/>
      <c r="E64" s="20"/>
      <c r="F64" s="19"/>
      <c r="G64" s="19"/>
      <c r="H64" s="20"/>
      <c r="I64" s="20"/>
      <c r="J64" s="20"/>
      <c r="K64" s="19"/>
      <c r="L64" s="19"/>
      <c r="M64" s="19"/>
      <c r="N64" s="19"/>
      <c r="O64" s="19"/>
      <c r="P64" s="19"/>
      <c r="Q64" s="21"/>
      <c r="R64" s="21"/>
      <c r="S64" s="21"/>
      <c r="T64" s="19"/>
      <c r="U64" s="23"/>
    </row>
  </sheetData>
  <autoFilter ref="A3:U64"/>
  <dataValidations count="14">
    <dataValidation allowBlank="true" error="Nilai ini tidak ada di daftar pilihan. Pilih dari daftar, atau ketik unknown bila belum tahu." errorStyle="warning" errorTitle="Nilai di luar daftar" operator="between" showDropDown="false" showErrorMessage="true" showInputMessage="false" sqref="D5:D64" type="list">
      <formula1>Pilihan!$E$2:$E$6</formula1>
      <formula2>0</formula2>
    </dataValidation>
    <dataValidation allowBlank="true" error="Isi angka bulat antara 2000 dan 2035. Periksa lagi bila memang di luar kisaran itu." errorStyle="warning" errorTitle="Angka tidak wajar" operator="between" showDropDown="false" showErrorMessage="true" showInputMessage="false" sqref="E5:E64" type="whole">
      <formula1>2000</formula1>
      <formula2>2035</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F5:F64" type="list">
      <formula1>Pilihan!$A$2:$A$5</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G5:G64" type="list">
      <formula1>Pilihan!$F$2:$F$7</formula1>
      <formula2>0</formula2>
    </dataValidation>
    <dataValidation allowBlank="true" error="Isi angka antara 10 dan 20. Periksa lagi bila memang di luar kisaran itu." errorStyle="warning" errorTitle="Angka tidak wajar" operator="between" showDropDown="false" showErrorMessage="true" showInputMessage="false" sqref="H5:H64" type="decimal">
      <formula1>10</formula1>
      <formula2>20</formula2>
    </dataValidation>
    <dataValidation allowBlank="true" error="Isi angka bulat antara 0 dan 6. Periksa lagi bila memang di luar kisaran itu." errorStyle="warning" errorTitle="Angka tidak wajar" operator="between" showDropDown="false" showErrorMessage="true" showInputMessage="false" sqref="I5:I64" type="whole">
      <formula1>0</formula1>
      <formula2>6</formula2>
    </dataValidation>
    <dataValidation allowBlank="true" error="Isi angka bulat antara 0 dan 4. Periksa lagi bila memang di luar kisaran itu." errorStyle="warning" errorTitle="Angka tidak wajar" operator="between" showDropDown="false" showErrorMessage="true" showInputMessage="false" sqref="J5:J64" type="whole">
      <formula1>0</formula1>
      <formula2>4</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K5:K64" type="list">
      <formula1>Pilihan!$K$2:$K$8</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L5:L64" type="list">
      <formula1>Pilihan!$D$2:$D$4</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M5:M64" type="list">
      <formula1>Pilihan!$D$2:$D$4</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N5:N64" type="list">
      <formula1>Pilihan!$L$2:$L$6</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O5:O64" type="list">
      <formula1>Pilihan!$D$2:$D$4</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P5:P64" type="list">
      <formula1>Pilihan!$D$2:$D$4</formula1>
      <formula2>0</formula2>
    </dataValidation>
    <dataValidation allowBlank="true" error="Isi tanggal antara 2020-01-01 dan 2035-12-31, misalnya 2026-10-08." errorStyle="warning" errorTitle="Tanggal tidak wajar" operator="between" showDropDown="false" showErrorMessage="true" showInputMessage="false" sqref="U5:U64" type="date">
      <formula1>43831</formula1>
      <formula2>49674</formula2>
    </dataValidation>
  </dataValidations>
  <hyperlinks>
    <hyperlink ref="T5" r:id="rId2" display="https://asus.com/laptops/for-home/vivobook/asus-vivobook-14-oled-m1405/techspec"/>
    <hyperlink ref="T6" r:id="rId3" display="https://hp.com/id-id/shop/hp-pavilion-x360-2-in-1-laptop-14-ek1005tu-7n725pa.html"/>
    <hyperlink ref="T7" r:id="rId4" display="https://axiooworld.com/product/compare/hype-1-intel/pongo-735"/>
    <hyperlink ref="T8" r:id="rId5" display="https://psref.lenovo.com/syspool/Sys/PDF/ThinkPad/ThinkPad_T480/ThinkPad_T480_Spec.PDF"/>
    <hyperlink ref="T9" r:id="rId6" display="https://www.dell.com/support/product-details/en-us/product/latitude-14-5400-laptop/resources/manual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
  <legacyDrawing r:id="rId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BB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22"/>
    <col collapsed="false" customWidth="true" hidden="false" outlineLevel="0" max="3" min="3" style="1" width="30"/>
    <col collapsed="false" customWidth="true" hidden="false" outlineLevel="0" max="4" min="4" style="1" width="13"/>
    <col collapsed="false" customWidth="true" hidden="false" outlineLevel="0" max="6" min="5" style="1" width="18"/>
    <col collapsed="false" customWidth="true" hidden="false" outlineLevel="0" max="7" min="7" style="1" width="16"/>
    <col collapsed="false" customWidth="true" hidden="false" outlineLevel="0" max="8" min="8" style="1" width="32"/>
    <col collapsed="false" customWidth="true" hidden="false" outlineLevel="0" max="9" min="9" style="1" width="34"/>
    <col collapsed="false" customWidth="true" hidden="false" outlineLevel="0" max="10" min="10" style="1" width="32"/>
    <col collapsed="false" customWidth="true" hidden="false" outlineLevel="0" max="11" min="11" style="1" width="31"/>
    <col collapsed="false" customWidth="true" hidden="false" outlineLevel="0" max="12" min="12" style="1" width="11"/>
    <col collapsed="false" customWidth="true" hidden="false" outlineLevel="0" max="13" min="13" style="1" width="10"/>
    <col collapsed="false" customWidth="true" hidden="false" outlineLevel="0" max="14" min="14" style="1" width="11"/>
    <col collapsed="false" customWidth="true" hidden="false" outlineLevel="0" max="15" min="15" style="1" width="12"/>
    <col collapsed="false" customWidth="true" hidden="false" outlineLevel="0" max="16" min="16" style="1" width="13"/>
    <col collapsed="false" customWidth="true" hidden="false" outlineLevel="0" max="18" min="17" style="1" width="16"/>
    <col collapsed="false" customWidth="true" hidden="false" outlineLevel="0" max="20" min="19" style="1" width="17"/>
    <col collapsed="false" customWidth="true" hidden="false" outlineLevel="0" max="21" min="21" style="1" width="13"/>
    <col collapsed="false" customWidth="true" hidden="false" outlineLevel="0" max="23" min="22" style="1" width="14"/>
    <col collapsed="false" customWidth="true" hidden="false" outlineLevel="0" max="24" min="24" style="1" width="16"/>
    <col collapsed="false" customWidth="true" hidden="false" outlineLevel="0" max="25" min="25" style="1" width="14"/>
    <col collapsed="false" customWidth="true" hidden="false" outlineLevel="0" max="26" min="26" style="1" width="17"/>
    <col collapsed="false" customWidth="true" hidden="false" outlineLevel="0" max="27" min="27" style="1" width="13"/>
    <col collapsed="false" customWidth="true" hidden="false" outlineLevel="0" max="29" min="28" style="1" width="14"/>
    <col collapsed="false" customWidth="true" hidden="false" outlineLevel="0" max="30" min="30" style="1" width="18"/>
    <col collapsed="false" customWidth="true" hidden="false" outlineLevel="0" max="31" min="31" style="1" width="52"/>
    <col collapsed="false" customWidth="true" hidden="false" outlineLevel="0" max="33" min="32" style="1" width="10"/>
    <col collapsed="false" customWidth="true" hidden="false" outlineLevel="0" max="35" min="34" style="1" width="12"/>
    <col collapsed="false" customWidth="true" hidden="false" outlineLevel="0" max="36" min="36" style="1" width="10"/>
    <col collapsed="false" customWidth="true" hidden="false" outlineLevel="0" max="37" min="37" style="1" width="12"/>
    <col collapsed="false" customWidth="true" hidden="false" outlineLevel="0" max="38" min="38" style="1" width="11"/>
    <col collapsed="false" customWidth="true" hidden="false" outlineLevel="0" max="39" min="39" style="1" width="10"/>
    <col collapsed="false" customWidth="true" hidden="false" outlineLevel="0" max="42" min="40" style="1" width="12"/>
    <col collapsed="false" customWidth="true" hidden="false" outlineLevel="0" max="43" min="43" style="1" width="10"/>
    <col collapsed="false" customWidth="true" hidden="false" outlineLevel="0" max="44" min="44" style="1" width="18"/>
    <col collapsed="false" customWidth="true" hidden="false" outlineLevel="0" max="45" min="45" style="1" width="16"/>
    <col collapsed="false" customWidth="true" hidden="false" outlineLevel="0" max="46" min="46" style="1" width="26"/>
    <col collapsed="false" customWidth="true" hidden="false" outlineLevel="0" max="47" min="47" style="1" width="16"/>
    <col collapsed="false" customWidth="true" hidden="false" outlineLevel="0" max="48" min="48" style="1" width="15"/>
    <col collapsed="false" customWidth="true" hidden="false" outlineLevel="0" max="49" min="49" style="1" width="17"/>
    <col collapsed="false" customWidth="true" hidden="false" outlineLevel="0" max="50" min="50" style="1" width="15"/>
    <col collapsed="false" customWidth="true" hidden="false" outlineLevel="0" max="51" min="51" style="1" width="16"/>
    <col collapsed="false" customWidth="true" hidden="false" outlineLevel="0" max="52" min="52" style="1" width="50"/>
    <col collapsed="false" customWidth="true" hidden="false" outlineLevel="0" max="53" min="53" style="1" width="11"/>
    <col collapsed="false" customWidth="true" hidden="false" outlineLevel="0" max="54" min="54" style="1" width="22"/>
  </cols>
  <sheetData>
    <row r="1" customFormat="false" ht="17.25" hidden="false" customHeight="true" outlineLevel="0" collapsed="false">
      <c r="A1" s="2" t="s">
        <v>109</v>
      </c>
    </row>
    <row r="2" customFormat="false" ht="15" hidden="false" customHeight="true" outlineLevel="0" collapsed="false">
      <c r="A2" s="9" t="s">
        <v>110</v>
      </c>
    </row>
    <row r="3" customFormat="false" ht="57.75" hidden="false" customHeight="true" outlineLevel="0" collapsed="false">
      <c r="A3" s="10" t="s">
        <v>111</v>
      </c>
      <c r="B3" s="10" t="s">
        <v>112</v>
      </c>
      <c r="C3" s="10" t="s">
        <v>113</v>
      </c>
      <c r="D3" s="10" t="s">
        <v>114</v>
      </c>
      <c r="E3" s="10" t="s">
        <v>115</v>
      </c>
      <c r="F3" s="10" t="s">
        <v>116</v>
      </c>
      <c r="G3" s="10" t="s">
        <v>117</v>
      </c>
      <c r="H3" s="10" t="s">
        <v>118</v>
      </c>
      <c r="I3" s="10" t="s">
        <v>119</v>
      </c>
      <c r="J3" s="11" t="s">
        <v>120</v>
      </c>
      <c r="K3" s="11" t="s">
        <v>121</v>
      </c>
      <c r="L3" s="11" t="s">
        <v>122</v>
      </c>
      <c r="M3" s="24" t="s">
        <v>123</v>
      </c>
      <c r="N3" s="24" t="s">
        <v>124</v>
      </c>
      <c r="O3" s="24" t="s">
        <v>125</v>
      </c>
      <c r="P3" s="24" t="s">
        <v>126</v>
      </c>
      <c r="Q3" s="24" t="s">
        <v>127</v>
      </c>
      <c r="R3" s="24" t="s">
        <v>128</v>
      </c>
      <c r="S3" s="24" t="s">
        <v>129</v>
      </c>
      <c r="T3" s="24" t="s">
        <v>130</v>
      </c>
      <c r="U3" s="24" t="s">
        <v>131</v>
      </c>
      <c r="V3" s="12" t="s">
        <v>132</v>
      </c>
      <c r="W3" s="12" t="s">
        <v>133</v>
      </c>
      <c r="X3" s="12" t="s">
        <v>134</v>
      </c>
      <c r="Y3" s="12" t="s">
        <v>135</v>
      </c>
      <c r="Z3" s="12" t="s">
        <v>136</v>
      </c>
      <c r="AA3" s="12" t="s">
        <v>137</v>
      </c>
      <c r="AB3" s="12" t="s">
        <v>138</v>
      </c>
      <c r="AC3" s="12" t="s">
        <v>139</v>
      </c>
      <c r="AD3" s="25" t="s">
        <v>140</v>
      </c>
      <c r="AE3" s="25" t="s">
        <v>141</v>
      </c>
      <c r="AF3" s="26" t="s">
        <v>142</v>
      </c>
      <c r="AG3" s="26" t="s">
        <v>143</v>
      </c>
      <c r="AH3" s="26" t="s">
        <v>144</v>
      </c>
      <c r="AI3" s="26" t="s">
        <v>145</v>
      </c>
      <c r="AJ3" s="26" t="s">
        <v>146</v>
      </c>
      <c r="AK3" s="27" t="s">
        <v>147</v>
      </c>
      <c r="AL3" s="27" t="s">
        <v>148</v>
      </c>
      <c r="AM3" s="27" t="s">
        <v>149</v>
      </c>
      <c r="AN3" s="27" t="s">
        <v>150</v>
      </c>
      <c r="AO3" s="27" t="s">
        <v>151</v>
      </c>
      <c r="AP3" s="27" t="s">
        <v>152</v>
      </c>
      <c r="AQ3" s="27" t="s">
        <v>153</v>
      </c>
      <c r="AR3" s="28" t="s">
        <v>154</v>
      </c>
      <c r="AS3" s="28" t="s">
        <v>155</v>
      </c>
      <c r="AT3" s="28" t="s">
        <v>156</v>
      </c>
      <c r="AU3" s="28" t="s">
        <v>157</v>
      </c>
      <c r="AV3" s="28" t="s">
        <v>158</v>
      </c>
      <c r="AW3" s="28" t="s">
        <v>159</v>
      </c>
      <c r="AX3" s="29" t="s">
        <v>160</v>
      </c>
      <c r="AY3" s="29" t="s">
        <v>161</v>
      </c>
      <c r="AZ3" s="13" t="s">
        <v>162</v>
      </c>
      <c r="BA3" s="30" t="s">
        <v>163</v>
      </c>
      <c r="BB3" s="30" t="s">
        <v>164</v>
      </c>
    </row>
    <row r="4" customFormat="false" ht="39.75" hidden="false" customHeight="true" outlineLevel="0" collapsed="false">
      <c r="A4" s="15" t="s">
        <v>165</v>
      </c>
      <c r="B4" s="15" t="s">
        <v>54</v>
      </c>
      <c r="C4" s="15" t="s">
        <v>166</v>
      </c>
      <c r="D4" s="16" t="n">
        <v>2023</v>
      </c>
      <c r="E4" s="15" t="s">
        <v>58</v>
      </c>
      <c r="F4" s="16"/>
      <c r="G4" s="15" t="s">
        <v>167</v>
      </c>
      <c r="H4" s="15" t="s">
        <v>168</v>
      </c>
      <c r="I4" s="17" t="s">
        <v>169</v>
      </c>
      <c r="J4" s="15" t="s">
        <v>170</v>
      </c>
      <c r="K4" s="15" t="s">
        <v>171</v>
      </c>
      <c r="L4" s="16"/>
      <c r="M4" s="16" t="n">
        <v>8</v>
      </c>
      <c r="N4" s="15" t="s">
        <v>172</v>
      </c>
      <c r="O4" s="16" t="n">
        <v>4266</v>
      </c>
      <c r="P4" s="15" t="s">
        <v>173</v>
      </c>
      <c r="Q4" s="15" t="s">
        <v>174</v>
      </c>
      <c r="R4" s="16" t="n">
        <v>0</v>
      </c>
      <c r="S4" s="16" t="n">
        <v>0</v>
      </c>
      <c r="T4" s="16" t="n">
        <v>8</v>
      </c>
      <c r="U4" s="16" t="n">
        <v>8</v>
      </c>
      <c r="V4" s="16" t="n">
        <v>512</v>
      </c>
      <c r="W4" s="15" t="s">
        <v>175</v>
      </c>
      <c r="X4" s="15" t="s">
        <v>176</v>
      </c>
      <c r="Y4" s="15" t="s">
        <v>177</v>
      </c>
      <c r="Z4" s="15" t="s">
        <v>61</v>
      </c>
      <c r="AA4" s="16" t="n">
        <v>1</v>
      </c>
      <c r="AB4" s="16" t="n">
        <v>0</v>
      </c>
      <c r="AC4" s="15" t="s">
        <v>63</v>
      </c>
      <c r="AD4" s="15" t="s">
        <v>178</v>
      </c>
      <c r="AE4" s="17" t="s">
        <v>179</v>
      </c>
      <c r="AF4" s="16" t="n">
        <v>1.4</v>
      </c>
      <c r="AG4" s="15" t="s">
        <v>180</v>
      </c>
      <c r="AH4" s="15" t="s">
        <v>181</v>
      </c>
      <c r="AI4" s="16" t="n">
        <v>60</v>
      </c>
      <c r="AJ4" s="15" t="s">
        <v>63</v>
      </c>
      <c r="AK4" s="16" t="n">
        <v>42</v>
      </c>
      <c r="AL4" s="16" t="n">
        <v>65</v>
      </c>
      <c r="AM4" s="15" t="s">
        <v>182</v>
      </c>
      <c r="AN4" s="16" t="n">
        <v>5.2</v>
      </c>
      <c r="AO4" s="15" t="s">
        <v>63</v>
      </c>
      <c r="AP4" s="15" t="s">
        <v>61</v>
      </c>
      <c r="AQ4" s="15" t="s">
        <v>183</v>
      </c>
      <c r="AR4" s="15" t="s">
        <v>184</v>
      </c>
      <c r="AS4" s="15" t="s">
        <v>185</v>
      </c>
      <c r="AT4" s="15" t="s">
        <v>186</v>
      </c>
      <c r="AU4" s="15" t="s">
        <v>167</v>
      </c>
      <c r="AV4" s="16" t="n">
        <v>24</v>
      </c>
      <c r="AW4" s="16" t="n">
        <v>12</v>
      </c>
      <c r="AX4" s="15" t="s">
        <v>61</v>
      </c>
      <c r="AY4" s="15" t="s">
        <v>61</v>
      </c>
      <c r="AZ4" s="17" t="s">
        <v>187</v>
      </c>
      <c r="BA4" s="31" t="n">
        <f aca="true">IF(D4="","",YEAR(TODAY())-D4)</f>
        <v>3</v>
      </c>
      <c r="BB4" s="15" t="str">
        <f aca="false">IF(J4="","",IFERROR(IF(INDEX(CPU!$I$4:$I$64,MATCH(J4,CPU!$A$4:$A$64,0))="","(isi di tab CPU)",INDEX(CPU!$I$4:$I$64,MATCH(J4,CPU!$A$4:$A$64,0))),"(CPU belum ada di tab CPU)"))</f>
        <v>ya</v>
      </c>
    </row>
    <row r="5" customFormat="false" ht="45.75" hidden="false" customHeight="true" outlineLevel="0" collapsed="false">
      <c r="A5" s="19" t="s">
        <v>188</v>
      </c>
      <c r="B5" s="19" t="s">
        <v>68</v>
      </c>
      <c r="C5" s="19" t="s">
        <v>189</v>
      </c>
      <c r="D5" s="20"/>
      <c r="E5" s="19" t="s">
        <v>58</v>
      </c>
      <c r="F5" s="20"/>
      <c r="G5" s="19" t="s">
        <v>167</v>
      </c>
      <c r="H5" s="19" t="s">
        <v>190</v>
      </c>
      <c r="I5" s="21"/>
      <c r="J5" s="19" t="s">
        <v>191</v>
      </c>
      <c r="K5" s="19" t="s">
        <v>192</v>
      </c>
      <c r="L5" s="20"/>
      <c r="M5" s="20" t="n">
        <v>16</v>
      </c>
      <c r="N5" s="19" t="s">
        <v>193</v>
      </c>
      <c r="O5" s="20"/>
      <c r="P5" s="19" t="s">
        <v>173</v>
      </c>
      <c r="Q5" s="19" t="s">
        <v>194</v>
      </c>
      <c r="R5" s="20" t="n">
        <v>1</v>
      </c>
      <c r="S5" s="20" t="n">
        <v>0</v>
      </c>
      <c r="T5" s="20" t="n">
        <v>8</v>
      </c>
      <c r="U5" s="20" t="n">
        <v>16</v>
      </c>
      <c r="V5" s="20" t="n">
        <v>512</v>
      </c>
      <c r="W5" s="19" t="s">
        <v>175</v>
      </c>
      <c r="X5" s="19" t="s">
        <v>195</v>
      </c>
      <c r="Y5" s="19" t="s">
        <v>177</v>
      </c>
      <c r="Z5" s="19" t="s">
        <v>61</v>
      </c>
      <c r="AA5" s="20" t="n">
        <v>1</v>
      </c>
      <c r="AB5" s="20" t="n">
        <v>0</v>
      </c>
      <c r="AC5" s="19" t="s">
        <v>63</v>
      </c>
      <c r="AD5" s="19" t="s">
        <v>178</v>
      </c>
      <c r="AE5" s="21" t="s">
        <v>196</v>
      </c>
      <c r="AF5" s="20" t="n">
        <v>1.6</v>
      </c>
      <c r="AG5" s="19" t="s">
        <v>180</v>
      </c>
      <c r="AH5" s="19" t="s">
        <v>197</v>
      </c>
      <c r="AI5" s="20" t="n">
        <v>60</v>
      </c>
      <c r="AJ5" s="19" t="s">
        <v>63</v>
      </c>
      <c r="AK5" s="20" t="n">
        <v>42</v>
      </c>
      <c r="AL5" s="20" t="n">
        <v>45</v>
      </c>
      <c r="AM5" s="19"/>
      <c r="AN5" s="20"/>
      <c r="AO5" s="19" t="s">
        <v>61</v>
      </c>
      <c r="AP5" s="19" t="s">
        <v>61</v>
      </c>
      <c r="AQ5" s="19" t="s">
        <v>183</v>
      </c>
      <c r="AR5" s="19" t="s">
        <v>184</v>
      </c>
      <c r="AS5" s="19" t="s">
        <v>185</v>
      </c>
      <c r="AT5" s="19" t="s">
        <v>186</v>
      </c>
      <c r="AU5" s="19" t="s">
        <v>167</v>
      </c>
      <c r="AV5" s="20" t="n">
        <v>12</v>
      </c>
      <c r="AW5" s="20"/>
      <c r="AX5" s="19" t="s">
        <v>61</v>
      </c>
      <c r="AY5" s="19" t="s">
        <v>71</v>
      </c>
      <c r="AZ5" s="21" t="s">
        <v>198</v>
      </c>
      <c r="BA5" s="32" t="str">
        <f aca="true">IF(D5="","",YEAR(TODAY())-D5)</f>
        <v/>
      </c>
      <c r="BB5" s="33" t="str">
        <f aca="false">IF(J5="","",IFERROR(IF(INDEX(CPU!$I$4:$I$64,MATCH(J5,CPU!$A$4:$A$64,0))="","(isi di tab CPU)",INDEX(CPU!$I$4:$I$64,MATCH(J5,CPU!$A$4:$A$64,0))),"(CPU belum ada di tab CPU)"))</f>
        <v>ya</v>
      </c>
    </row>
    <row r="6" customFormat="false" ht="68.25" hidden="false" customHeight="true" outlineLevel="0" collapsed="false">
      <c r="A6" s="19" t="s">
        <v>199</v>
      </c>
      <c r="B6" s="19" t="s">
        <v>75</v>
      </c>
      <c r="C6" s="19" t="s">
        <v>200</v>
      </c>
      <c r="D6" s="20" t="n">
        <v>2023</v>
      </c>
      <c r="E6" s="19" t="s">
        <v>71</v>
      </c>
      <c r="F6" s="20"/>
      <c r="G6" s="19" t="s">
        <v>167</v>
      </c>
      <c r="H6" s="19" t="s">
        <v>201</v>
      </c>
      <c r="I6" s="21"/>
      <c r="J6" s="19" t="s">
        <v>202</v>
      </c>
      <c r="K6" s="19" t="s">
        <v>203</v>
      </c>
      <c r="L6" s="20"/>
      <c r="M6" s="20" t="n">
        <v>16</v>
      </c>
      <c r="N6" s="19" t="s">
        <v>193</v>
      </c>
      <c r="O6" s="20" t="n">
        <v>3200</v>
      </c>
      <c r="P6" s="19"/>
      <c r="Q6" s="19" t="s">
        <v>174</v>
      </c>
      <c r="R6" s="20" t="n">
        <v>0</v>
      </c>
      <c r="S6" s="20" t="n">
        <v>0</v>
      </c>
      <c r="T6" s="20" t="n">
        <v>16</v>
      </c>
      <c r="U6" s="20" t="n">
        <v>16</v>
      </c>
      <c r="V6" s="20" t="n">
        <v>512</v>
      </c>
      <c r="W6" s="19" t="s">
        <v>175</v>
      </c>
      <c r="X6" s="19" t="s">
        <v>204</v>
      </c>
      <c r="Y6" s="19" t="s">
        <v>71</v>
      </c>
      <c r="Z6" s="19" t="s">
        <v>61</v>
      </c>
      <c r="AA6" s="20"/>
      <c r="AB6" s="20"/>
      <c r="AC6" s="19" t="s">
        <v>71</v>
      </c>
      <c r="AD6" s="19" t="s">
        <v>205</v>
      </c>
      <c r="AE6" s="21" t="s">
        <v>206</v>
      </c>
      <c r="AF6" s="20" t="n">
        <v>1.51</v>
      </c>
      <c r="AG6" s="19" t="s">
        <v>180</v>
      </c>
      <c r="AH6" s="19" t="s">
        <v>181</v>
      </c>
      <c r="AI6" s="20"/>
      <c r="AJ6" s="19" t="s">
        <v>61</v>
      </c>
      <c r="AK6" s="20" t="n">
        <v>43</v>
      </c>
      <c r="AL6" s="20" t="n">
        <v>65</v>
      </c>
      <c r="AM6" s="19" t="s">
        <v>182</v>
      </c>
      <c r="AN6" s="20" t="n">
        <v>5.3</v>
      </c>
      <c r="AO6" s="19" t="s">
        <v>61</v>
      </c>
      <c r="AP6" s="19" t="s">
        <v>61</v>
      </c>
      <c r="AQ6" s="19" t="s">
        <v>207</v>
      </c>
      <c r="AR6" s="19" t="s">
        <v>184</v>
      </c>
      <c r="AS6" s="19" t="s">
        <v>208</v>
      </c>
      <c r="AT6" s="19" t="s">
        <v>186</v>
      </c>
      <c r="AU6" s="19" t="s">
        <v>167</v>
      </c>
      <c r="AV6" s="20" t="n">
        <v>24</v>
      </c>
      <c r="AW6" s="20"/>
      <c r="AX6" s="19" t="s">
        <v>61</v>
      </c>
      <c r="AY6" s="19" t="s">
        <v>71</v>
      </c>
      <c r="AZ6" s="21" t="s">
        <v>209</v>
      </c>
      <c r="BA6" s="32" t="n">
        <f aca="true">IF(D6="","",YEAR(TODAY())-D6)</f>
        <v>3</v>
      </c>
      <c r="BB6" s="33" t="str">
        <f aca="false">IF(J6="","",IFERROR(IF(INDEX(CPU!$I$4:$I$64,MATCH(J6,CPU!$A$4:$A$64,0))="","(isi di tab CPU)",INDEX(CPU!$I$4:$I$64,MATCH(J6,CPU!$A$4:$A$64,0))),"(CPU belum ada di tab CPU)"))</f>
        <v>ya</v>
      </c>
    </row>
    <row r="7" customFormat="false" ht="68.25" hidden="false" customHeight="true" outlineLevel="0" collapsed="false">
      <c r="A7" s="19" t="s">
        <v>210</v>
      </c>
      <c r="B7" s="19" t="s">
        <v>83</v>
      </c>
      <c r="C7" s="19" t="s">
        <v>211</v>
      </c>
      <c r="D7" s="20"/>
      <c r="E7" s="19" t="s">
        <v>71</v>
      </c>
      <c r="F7" s="20"/>
      <c r="G7" s="19" t="s">
        <v>167</v>
      </c>
      <c r="H7" s="19" t="s">
        <v>212</v>
      </c>
      <c r="I7" s="21" t="s">
        <v>213</v>
      </c>
      <c r="J7" s="19" t="s">
        <v>214</v>
      </c>
      <c r="K7" s="19" t="s">
        <v>215</v>
      </c>
      <c r="L7" s="20"/>
      <c r="M7" s="20" t="n">
        <v>8</v>
      </c>
      <c r="N7" s="19" t="s">
        <v>193</v>
      </c>
      <c r="O7" s="20" t="n">
        <v>2400</v>
      </c>
      <c r="P7" s="19" t="s">
        <v>216</v>
      </c>
      <c r="Q7" s="19" t="s">
        <v>217</v>
      </c>
      <c r="R7" s="20" t="n">
        <v>1</v>
      </c>
      <c r="S7" s="20" t="n">
        <v>0</v>
      </c>
      <c r="T7" s="20" t="n">
        <v>0</v>
      </c>
      <c r="U7" s="20" t="n">
        <v>8</v>
      </c>
      <c r="V7" s="20" t="n">
        <v>256</v>
      </c>
      <c r="W7" s="19" t="s">
        <v>218</v>
      </c>
      <c r="X7" s="19" t="s">
        <v>219</v>
      </c>
      <c r="Y7" s="19" t="s">
        <v>177</v>
      </c>
      <c r="Z7" s="19" t="s">
        <v>61</v>
      </c>
      <c r="AA7" s="20" t="n">
        <v>2</v>
      </c>
      <c r="AB7" s="20"/>
      <c r="AC7" s="19" t="s">
        <v>71</v>
      </c>
      <c r="AD7" s="19" t="s">
        <v>205</v>
      </c>
      <c r="AE7" s="21" t="s">
        <v>220</v>
      </c>
      <c r="AF7" s="20" t="n">
        <v>1.4</v>
      </c>
      <c r="AG7" s="19" t="s">
        <v>221</v>
      </c>
      <c r="AH7" s="19" t="s">
        <v>222</v>
      </c>
      <c r="AI7" s="20" t="n">
        <v>60</v>
      </c>
      <c r="AJ7" s="19" t="s">
        <v>63</v>
      </c>
      <c r="AK7" s="20" t="n">
        <v>38</v>
      </c>
      <c r="AL7" s="20"/>
      <c r="AM7" s="19"/>
      <c r="AN7" s="20"/>
      <c r="AO7" s="19"/>
      <c r="AP7" s="19"/>
      <c r="AQ7" s="19"/>
      <c r="AR7" s="19" t="s">
        <v>184</v>
      </c>
      <c r="AS7" s="19" t="s">
        <v>71</v>
      </c>
      <c r="AT7" s="19" t="s">
        <v>71</v>
      </c>
      <c r="AU7" s="19" t="s">
        <v>167</v>
      </c>
      <c r="AV7" s="20"/>
      <c r="AW7" s="20"/>
      <c r="AX7" s="19" t="s">
        <v>61</v>
      </c>
      <c r="AY7" s="19" t="s">
        <v>71</v>
      </c>
      <c r="AZ7" s="21" t="s">
        <v>223</v>
      </c>
      <c r="BA7" s="32" t="str">
        <f aca="true">IF(D7="","",YEAR(TODAY())-D7)</f>
        <v/>
      </c>
      <c r="BB7" s="33" t="str">
        <f aca="false">IF(J7="","",IFERROR(IF(INDEX(CPU!$I$4:$I$64,MATCH(J7,CPU!$A$4:$A$64,0))="","(isi di tab CPU)",INDEX(CPU!$I$4:$I$64,MATCH(J7,CPU!$A$4:$A$64,0))),"(CPU belum ada di tab CPU)"))</f>
        <v>ya</v>
      </c>
    </row>
    <row r="8" customFormat="false" ht="68.25" hidden="false" customHeight="true" outlineLevel="0" collapsed="false">
      <c r="A8" s="19" t="s">
        <v>224</v>
      </c>
      <c r="B8" s="19" t="s">
        <v>83</v>
      </c>
      <c r="C8" s="19" t="s">
        <v>225</v>
      </c>
      <c r="D8" s="20"/>
      <c r="E8" s="19" t="s">
        <v>71</v>
      </c>
      <c r="F8" s="20"/>
      <c r="G8" s="19" t="s">
        <v>167</v>
      </c>
      <c r="H8" s="19" t="s">
        <v>212</v>
      </c>
      <c r="I8" s="21" t="s">
        <v>213</v>
      </c>
      <c r="J8" s="19" t="s">
        <v>214</v>
      </c>
      <c r="K8" s="19" t="s">
        <v>215</v>
      </c>
      <c r="L8" s="20"/>
      <c r="M8" s="20" t="n">
        <v>8</v>
      </c>
      <c r="N8" s="19" t="s">
        <v>193</v>
      </c>
      <c r="O8" s="20" t="n">
        <v>2400</v>
      </c>
      <c r="P8" s="19" t="s">
        <v>216</v>
      </c>
      <c r="Q8" s="19" t="s">
        <v>217</v>
      </c>
      <c r="R8" s="20" t="n">
        <v>1</v>
      </c>
      <c r="S8" s="20" t="n">
        <v>0</v>
      </c>
      <c r="T8" s="20" t="n">
        <v>0</v>
      </c>
      <c r="U8" s="20" t="n">
        <v>8</v>
      </c>
      <c r="V8" s="20" t="n">
        <v>256</v>
      </c>
      <c r="W8" s="19" t="s">
        <v>218</v>
      </c>
      <c r="X8" s="19" t="s">
        <v>219</v>
      </c>
      <c r="Y8" s="19" t="s">
        <v>177</v>
      </c>
      <c r="Z8" s="19" t="s">
        <v>61</v>
      </c>
      <c r="AA8" s="20" t="n">
        <v>2</v>
      </c>
      <c r="AB8" s="20"/>
      <c r="AC8" s="19" t="s">
        <v>71</v>
      </c>
      <c r="AD8" s="19" t="s">
        <v>205</v>
      </c>
      <c r="AE8" s="21" t="s">
        <v>220</v>
      </c>
      <c r="AF8" s="20" t="n">
        <v>1.4</v>
      </c>
      <c r="AG8" s="19" t="s">
        <v>221</v>
      </c>
      <c r="AH8" s="19" t="s">
        <v>222</v>
      </c>
      <c r="AI8" s="20"/>
      <c r="AJ8" s="19" t="s">
        <v>63</v>
      </c>
      <c r="AK8" s="20" t="n">
        <v>38</v>
      </c>
      <c r="AL8" s="20"/>
      <c r="AM8" s="19" t="s">
        <v>226</v>
      </c>
      <c r="AN8" s="20" t="n">
        <v>5.1</v>
      </c>
      <c r="AO8" s="19"/>
      <c r="AP8" s="19"/>
      <c r="AQ8" s="19"/>
      <c r="AR8" s="19" t="s">
        <v>227</v>
      </c>
      <c r="AS8" s="19" t="s">
        <v>71</v>
      </c>
      <c r="AT8" s="19" t="s">
        <v>71</v>
      </c>
      <c r="AU8" s="19" t="s">
        <v>167</v>
      </c>
      <c r="AV8" s="20" t="n">
        <v>12</v>
      </c>
      <c r="AW8" s="20"/>
      <c r="AX8" s="19" t="s">
        <v>61</v>
      </c>
      <c r="AY8" s="19" t="s">
        <v>71</v>
      </c>
      <c r="AZ8" s="21" t="s">
        <v>228</v>
      </c>
      <c r="BA8" s="32" t="str">
        <f aca="true">IF(D8="","",YEAR(TODAY())-D8)</f>
        <v/>
      </c>
      <c r="BB8" s="33" t="str">
        <f aca="false">IF(J8="","",IFERROR(IF(INDEX(CPU!$I$4:$I$64,MATCH(J8,CPU!$A$4:$A$64,0))="","(isi di tab CPU)",INDEX(CPU!$I$4:$I$64,MATCH(J8,CPU!$A$4:$A$64,0))),"(CPU belum ada di tab CPU)"))</f>
        <v>ya</v>
      </c>
    </row>
    <row r="9" customFormat="false" ht="68.25" hidden="false" customHeight="true" outlineLevel="0" collapsed="false">
      <c r="A9" s="19" t="s">
        <v>229</v>
      </c>
      <c r="B9" s="19" t="s">
        <v>91</v>
      </c>
      <c r="C9" s="19" t="s">
        <v>230</v>
      </c>
      <c r="D9" s="20" t="n">
        <v>2018</v>
      </c>
      <c r="E9" s="19" t="s">
        <v>95</v>
      </c>
      <c r="F9" s="20"/>
      <c r="G9" s="19" t="s">
        <v>71</v>
      </c>
      <c r="H9" s="19" t="s">
        <v>231</v>
      </c>
      <c r="I9" s="21"/>
      <c r="J9" s="19" t="s">
        <v>232</v>
      </c>
      <c r="K9" s="19" t="s">
        <v>233</v>
      </c>
      <c r="L9" s="20"/>
      <c r="M9" s="20" t="n">
        <v>8</v>
      </c>
      <c r="N9" s="19" t="s">
        <v>193</v>
      </c>
      <c r="O9" s="20" t="n">
        <v>2400</v>
      </c>
      <c r="P9" s="19" t="s">
        <v>71</v>
      </c>
      <c r="Q9" s="19" t="s">
        <v>217</v>
      </c>
      <c r="R9" s="20" t="n">
        <v>2</v>
      </c>
      <c r="S9" s="20"/>
      <c r="T9" s="20" t="n">
        <v>0</v>
      </c>
      <c r="U9" s="20" t="n">
        <v>32</v>
      </c>
      <c r="V9" s="20" t="n">
        <v>256</v>
      </c>
      <c r="W9" s="19" t="s">
        <v>71</v>
      </c>
      <c r="X9" s="19" t="s">
        <v>71</v>
      </c>
      <c r="Y9" s="19" t="s">
        <v>71</v>
      </c>
      <c r="Z9" s="19" t="s">
        <v>61</v>
      </c>
      <c r="AA9" s="20" t="n">
        <v>1</v>
      </c>
      <c r="AB9" s="20"/>
      <c r="AC9" s="19" t="s">
        <v>63</v>
      </c>
      <c r="AD9" s="19" t="s">
        <v>178</v>
      </c>
      <c r="AE9" s="21" t="s">
        <v>234</v>
      </c>
      <c r="AF9" s="20" t="n">
        <v>1.58</v>
      </c>
      <c r="AG9" s="19" t="s">
        <v>71</v>
      </c>
      <c r="AH9" s="19" t="s">
        <v>71</v>
      </c>
      <c r="AI9" s="20"/>
      <c r="AJ9" s="19" t="s">
        <v>71</v>
      </c>
      <c r="AK9" s="20"/>
      <c r="AL9" s="20"/>
      <c r="AM9" s="19" t="s">
        <v>226</v>
      </c>
      <c r="AN9" s="20" t="n">
        <v>4.1</v>
      </c>
      <c r="AO9" s="19" t="s">
        <v>71</v>
      </c>
      <c r="AP9" s="19" t="s">
        <v>71</v>
      </c>
      <c r="AQ9" s="19" t="s">
        <v>183</v>
      </c>
      <c r="AR9" s="19" t="s">
        <v>71</v>
      </c>
      <c r="AS9" s="19" t="s">
        <v>71</v>
      </c>
      <c r="AT9" s="19" t="s">
        <v>71</v>
      </c>
      <c r="AU9" s="19" t="s">
        <v>235</v>
      </c>
      <c r="AV9" s="20"/>
      <c r="AW9" s="20"/>
      <c r="AX9" s="19" t="s">
        <v>71</v>
      </c>
      <c r="AY9" s="19" t="s">
        <v>61</v>
      </c>
      <c r="AZ9" s="21" t="s">
        <v>236</v>
      </c>
      <c r="BA9" s="32" t="n">
        <f aca="true">IF(D9="","",YEAR(TODAY())-D9)</f>
        <v>8</v>
      </c>
      <c r="BB9" s="33" t="str">
        <f aca="false">IF(J9="","",IFERROR(IF(INDEX(CPU!$I$4:$I$64,MATCH(J9,CPU!$A$4:$A$64,0))="","(isi di tab CPU)",INDEX(CPU!$I$4:$I$64,MATCH(J9,CPU!$A$4:$A$64,0))),"(CPU belum ada di tab CPU)"))</f>
        <v>ya</v>
      </c>
    </row>
    <row r="10" customFormat="false" ht="68.25" hidden="false" customHeight="true" outlineLevel="0" collapsed="false">
      <c r="A10" s="19" t="s">
        <v>237</v>
      </c>
      <c r="B10" s="19" t="s">
        <v>91</v>
      </c>
      <c r="C10" s="19" t="s">
        <v>230</v>
      </c>
      <c r="D10" s="20" t="n">
        <v>2018</v>
      </c>
      <c r="E10" s="19" t="s">
        <v>95</v>
      </c>
      <c r="F10" s="20"/>
      <c r="G10" s="19" t="s">
        <v>71</v>
      </c>
      <c r="H10" s="19" t="s">
        <v>231</v>
      </c>
      <c r="I10" s="21"/>
      <c r="J10" s="19" t="s">
        <v>232</v>
      </c>
      <c r="K10" s="19" t="s">
        <v>233</v>
      </c>
      <c r="L10" s="20"/>
      <c r="M10" s="20" t="n">
        <v>16</v>
      </c>
      <c r="N10" s="19" t="s">
        <v>193</v>
      </c>
      <c r="O10" s="20" t="n">
        <v>2400</v>
      </c>
      <c r="P10" s="19" t="s">
        <v>71</v>
      </c>
      <c r="Q10" s="19" t="s">
        <v>217</v>
      </c>
      <c r="R10" s="20" t="n">
        <v>2</v>
      </c>
      <c r="S10" s="20"/>
      <c r="T10" s="20" t="n">
        <v>0</v>
      </c>
      <c r="U10" s="20" t="n">
        <v>32</v>
      </c>
      <c r="V10" s="20" t="n">
        <v>512</v>
      </c>
      <c r="W10" s="19" t="s">
        <v>71</v>
      </c>
      <c r="X10" s="19" t="s">
        <v>71</v>
      </c>
      <c r="Y10" s="19" t="s">
        <v>71</v>
      </c>
      <c r="Z10" s="19" t="s">
        <v>61</v>
      </c>
      <c r="AA10" s="20" t="n">
        <v>1</v>
      </c>
      <c r="AB10" s="20"/>
      <c r="AC10" s="19" t="s">
        <v>63</v>
      </c>
      <c r="AD10" s="19" t="s">
        <v>178</v>
      </c>
      <c r="AE10" s="21" t="s">
        <v>234</v>
      </c>
      <c r="AF10" s="20" t="n">
        <v>1.58</v>
      </c>
      <c r="AG10" s="19" t="s">
        <v>71</v>
      </c>
      <c r="AH10" s="19" t="s">
        <v>71</v>
      </c>
      <c r="AI10" s="20"/>
      <c r="AJ10" s="19" t="s">
        <v>71</v>
      </c>
      <c r="AK10" s="20"/>
      <c r="AL10" s="20"/>
      <c r="AM10" s="19" t="s">
        <v>226</v>
      </c>
      <c r="AN10" s="20" t="n">
        <v>4.1</v>
      </c>
      <c r="AO10" s="19" t="s">
        <v>71</v>
      </c>
      <c r="AP10" s="19" t="s">
        <v>71</v>
      </c>
      <c r="AQ10" s="19" t="s">
        <v>183</v>
      </c>
      <c r="AR10" s="19" t="s">
        <v>71</v>
      </c>
      <c r="AS10" s="19" t="s">
        <v>71</v>
      </c>
      <c r="AT10" s="19" t="s">
        <v>71</v>
      </c>
      <c r="AU10" s="19" t="s">
        <v>235</v>
      </c>
      <c r="AV10" s="20"/>
      <c r="AW10" s="20"/>
      <c r="AX10" s="19" t="s">
        <v>71</v>
      </c>
      <c r="AY10" s="19" t="s">
        <v>61</v>
      </c>
      <c r="AZ10" s="21" t="s">
        <v>238</v>
      </c>
      <c r="BA10" s="32" t="n">
        <f aca="true">IF(D10="","",YEAR(TODAY())-D10)</f>
        <v>8</v>
      </c>
      <c r="BB10" s="33" t="str">
        <f aca="false">IF(J10="","",IFERROR(IF(INDEX(CPU!$I$4:$I$64,MATCH(J10,CPU!$A$4:$A$64,0))="","(isi di tab CPU)",INDEX(CPU!$I$4:$I$64,MATCH(J10,CPU!$A$4:$A$64,0))),"(CPU belum ada di tab CPU)"))</f>
        <v>ya</v>
      </c>
    </row>
    <row r="11" customFormat="false" ht="68.25" hidden="false" customHeight="true" outlineLevel="0" collapsed="false">
      <c r="A11" s="19" t="s">
        <v>239</v>
      </c>
      <c r="B11" s="19" t="s">
        <v>101</v>
      </c>
      <c r="C11" s="19" t="s">
        <v>230</v>
      </c>
      <c r="D11" s="20" t="n">
        <v>2019</v>
      </c>
      <c r="E11" s="19" t="s">
        <v>95</v>
      </c>
      <c r="F11" s="20"/>
      <c r="G11" s="19" t="s">
        <v>71</v>
      </c>
      <c r="H11" s="19" t="s">
        <v>240</v>
      </c>
      <c r="I11" s="21"/>
      <c r="J11" s="19" t="s">
        <v>241</v>
      </c>
      <c r="K11" s="19" t="s">
        <v>233</v>
      </c>
      <c r="L11" s="20"/>
      <c r="M11" s="20" t="n">
        <v>8</v>
      </c>
      <c r="N11" s="19" t="s">
        <v>193</v>
      </c>
      <c r="O11" s="20" t="n">
        <v>2400</v>
      </c>
      <c r="P11" s="19" t="s">
        <v>71</v>
      </c>
      <c r="Q11" s="19" t="s">
        <v>217</v>
      </c>
      <c r="R11" s="20" t="n">
        <v>2</v>
      </c>
      <c r="S11" s="20"/>
      <c r="T11" s="20" t="n">
        <v>0</v>
      </c>
      <c r="U11" s="20" t="n">
        <v>32</v>
      </c>
      <c r="V11" s="20" t="n">
        <v>256</v>
      </c>
      <c r="W11" s="19" t="s">
        <v>71</v>
      </c>
      <c r="X11" s="19" t="s">
        <v>71</v>
      </c>
      <c r="Y11" s="19" t="s">
        <v>71</v>
      </c>
      <c r="Z11" s="19" t="s">
        <v>61</v>
      </c>
      <c r="AA11" s="20" t="n">
        <v>1</v>
      </c>
      <c r="AB11" s="20"/>
      <c r="AC11" s="19" t="s">
        <v>71</v>
      </c>
      <c r="AD11" s="19" t="s">
        <v>178</v>
      </c>
      <c r="AE11" s="21" t="s">
        <v>242</v>
      </c>
      <c r="AF11" s="20" t="n">
        <v>1.48</v>
      </c>
      <c r="AG11" s="19" t="s">
        <v>71</v>
      </c>
      <c r="AH11" s="19" t="s">
        <v>71</v>
      </c>
      <c r="AI11" s="20"/>
      <c r="AJ11" s="19" t="s">
        <v>71</v>
      </c>
      <c r="AK11" s="20"/>
      <c r="AL11" s="20"/>
      <c r="AM11" s="19"/>
      <c r="AN11" s="20"/>
      <c r="AO11" s="19" t="s">
        <v>71</v>
      </c>
      <c r="AP11" s="19" t="s">
        <v>71</v>
      </c>
      <c r="AQ11" s="19"/>
      <c r="AR11" s="19" t="s">
        <v>71</v>
      </c>
      <c r="AS11" s="19" t="s">
        <v>71</v>
      </c>
      <c r="AT11" s="19" t="s">
        <v>71</v>
      </c>
      <c r="AU11" s="19" t="s">
        <v>235</v>
      </c>
      <c r="AV11" s="20"/>
      <c r="AW11" s="20"/>
      <c r="AX11" s="19" t="s">
        <v>71</v>
      </c>
      <c r="AY11" s="19" t="s">
        <v>61</v>
      </c>
      <c r="AZ11" s="21" t="s">
        <v>243</v>
      </c>
      <c r="BA11" s="32" t="n">
        <f aca="true">IF(D11="","",YEAR(TODAY())-D11)</f>
        <v>7</v>
      </c>
      <c r="BB11" s="33" t="str">
        <f aca="false">IF(J11="","",IFERROR(IF(INDEX(CPU!$I$4:$I$64,MATCH(J11,CPU!$A$4:$A$64,0))="","(isi di tab CPU)",INDEX(CPU!$I$4:$I$64,MATCH(J11,CPU!$A$4:$A$64,0))),"(CPU belum ada di tab CPU)"))</f>
        <v>ya</v>
      </c>
    </row>
    <row r="12" customFormat="false" ht="68.25" hidden="false" customHeight="true" outlineLevel="0" collapsed="false">
      <c r="A12" s="19" t="s">
        <v>244</v>
      </c>
      <c r="B12" s="19" t="s">
        <v>101</v>
      </c>
      <c r="C12" s="19" t="s">
        <v>230</v>
      </c>
      <c r="D12" s="20" t="n">
        <v>2019</v>
      </c>
      <c r="E12" s="19" t="s">
        <v>95</v>
      </c>
      <c r="F12" s="20"/>
      <c r="G12" s="19" t="s">
        <v>71</v>
      </c>
      <c r="H12" s="19" t="s">
        <v>240</v>
      </c>
      <c r="I12" s="21"/>
      <c r="J12" s="19" t="s">
        <v>245</v>
      </c>
      <c r="K12" s="19" t="s">
        <v>233</v>
      </c>
      <c r="L12" s="20"/>
      <c r="M12" s="20" t="n">
        <v>8</v>
      </c>
      <c r="N12" s="19" t="s">
        <v>193</v>
      </c>
      <c r="O12" s="20" t="n">
        <v>2400</v>
      </c>
      <c r="P12" s="19" t="s">
        <v>71</v>
      </c>
      <c r="Q12" s="19" t="s">
        <v>217</v>
      </c>
      <c r="R12" s="20" t="n">
        <v>2</v>
      </c>
      <c r="S12" s="20"/>
      <c r="T12" s="20" t="n">
        <v>0</v>
      </c>
      <c r="U12" s="20" t="n">
        <v>32</v>
      </c>
      <c r="V12" s="20" t="n">
        <v>256</v>
      </c>
      <c r="W12" s="19" t="s">
        <v>71</v>
      </c>
      <c r="X12" s="19" t="s">
        <v>71</v>
      </c>
      <c r="Y12" s="19" t="s">
        <v>71</v>
      </c>
      <c r="Z12" s="19" t="s">
        <v>61</v>
      </c>
      <c r="AA12" s="20" t="n">
        <v>1</v>
      </c>
      <c r="AB12" s="20"/>
      <c r="AC12" s="19" t="s">
        <v>71</v>
      </c>
      <c r="AD12" s="19" t="s">
        <v>178</v>
      </c>
      <c r="AE12" s="21" t="s">
        <v>242</v>
      </c>
      <c r="AF12" s="20" t="n">
        <v>1.48</v>
      </c>
      <c r="AG12" s="19" t="s">
        <v>71</v>
      </c>
      <c r="AH12" s="19" t="s">
        <v>71</v>
      </c>
      <c r="AI12" s="20"/>
      <c r="AJ12" s="19" t="s">
        <v>71</v>
      </c>
      <c r="AK12" s="20"/>
      <c r="AL12" s="20"/>
      <c r="AM12" s="19"/>
      <c r="AN12" s="20"/>
      <c r="AO12" s="19" t="s">
        <v>71</v>
      </c>
      <c r="AP12" s="19" t="s">
        <v>71</v>
      </c>
      <c r="AQ12" s="19"/>
      <c r="AR12" s="19" t="s">
        <v>71</v>
      </c>
      <c r="AS12" s="19" t="s">
        <v>71</v>
      </c>
      <c r="AT12" s="19" t="s">
        <v>71</v>
      </c>
      <c r="AU12" s="19" t="s">
        <v>235</v>
      </c>
      <c r="AV12" s="20"/>
      <c r="AW12" s="20"/>
      <c r="AX12" s="19" t="s">
        <v>71</v>
      </c>
      <c r="AY12" s="19" t="s">
        <v>61</v>
      </c>
      <c r="AZ12" s="21" t="s">
        <v>246</v>
      </c>
      <c r="BA12" s="32" t="n">
        <f aca="true">IF(D12="","",YEAR(TODAY())-D12)</f>
        <v>7</v>
      </c>
      <c r="BB12" s="33" t="str">
        <f aca="false">IF(J12="","",IFERROR(IF(INDEX(CPU!$I$4:$I$64,MATCH(J12,CPU!$A$4:$A$64,0))="","(isi di tab CPU)",INDEX(CPU!$I$4:$I$64,MATCH(J12,CPU!$A$4:$A$64,0))),"(CPU belum ada di tab CPU)"))</f>
        <v>ya</v>
      </c>
    </row>
    <row r="13" customFormat="false" ht="15" hidden="false" customHeight="true" outlineLevel="0" collapsed="false">
      <c r="A13" s="19"/>
      <c r="B13" s="19"/>
      <c r="C13" s="19"/>
      <c r="D13" s="20"/>
      <c r="E13" s="19"/>
      <c r="F13" s="20"/>
      <c r="G13" s="19"/>
      <c r="H13" s="19"/>
      <c r="I13" s="21"/>
      <c r="J13" s="19"/>
      <c r="K13" s="19"/>
      <c r="L13" s="20"/>
      <c r="M13" s="20"/>
      <c r="N13" s="19"/>
      <c r="O13" s="20"/>
      <c r="P13" s="19"/>
      <c r="Q13" s="19"/>
      <c r="R13" s="20"/>
      <c r="S13" s="20"/>
      <c r="T13" s="20"/>
      <c r="U13" s="20"/>
      <c r="V13" s="20"/>
      <c r="W13" s="19"/>
      <c r="X13" s="19"/>
      <c r="Y13" s="19"/>
      <c r="Z13" s="19"/>
      <c r="AA13" s="20"/>
      <c r="AB13" s="20"/>
      <c r="AC13" s="19"/>
      <c r="AD13" s="19"/>
      <c r="AE13" s="21"/>
      <c r="AF13" s="20"/>
      <c r="AG13" s="19"/>
      <c r="AH13" s="19"/>
      <c r="AI13" s="20"/>
      <c r="AJ13" s="19"/>
      <c r="AK13" s="20"/>
      <c r="AL13" s="20"/>
      <c r="AM13" s="19"/>
      <c r="AN13" s="20"/>
      <c r="AO13" s="19"/>
      <c r="AP13" s="19"/>
      <c r="AQ13" s="19"/>
      <c r="AR13" s="19"/>
      <c r="AS13" s="19"/>
      <c r="AT13" s="19"/>
      <c r="AU13" s="19"/>
      <c r="AV13" s="20"/>
      <c r="AW13" s="20"/>
      <c r="AX13" s="19"/>
      <c r="AY13" s="19"/>
      <c r="AZ13" s="21"/>
      <c r="BA13" s="32" t="str">
        <f aca="true">IF(D13="","",YEAR(TODAY())-D13)</f>
        <v/>
      </c>
      <c r="BB13" s="33" t="str">
        <f aca="false">IF(J13="","",IFERROR(IF(INDEX(CPU!$I$4:$I$64,MATCH(J13,CPU!$A$4:$A$64,0))="","(isi di tab CPU)",INDEX(CPU!$I$4:$I$64,MATCH(J13,CPU!$A$4:$A$64,0))),"(CPU belum ada di tab CPU)"))</f>
        <v/>
      </c>
    </row>
    <row r="14" customFormat="false" ht="15" hidden="false" customHeight="true" outlineLevel="0" collapsed="false">
      <c r="A14" s="19"/>
      <c r="B14" s="19"/>
      <c r="C14" s="19"/>
      <c r="D14" s="20"/>
      <c r="E14" s="19"/>
      <c r="F14" s="20"/>
      <c r="G14" s="19"/>
      <c r="H14" s="19"/>
      <c r="I14" s="21"/>
      <c r="J14" s="19"/>
      <c r="K14" s="19"/>
      <c r="L14" s="20"/>
      <c r="M14" s="20"/>
      <c r="N14" s="19"/>
      <c r="O14" s="20"/>
      <c r="P14" s="19"/>
      <c r="Q14" s="19"/>
      <c r="R14" s="20"/>
      <c r="S14" s="20"/>
      <c r="T14" s="20"/>
      <c r="U14" s="20"/>
      <c r="V14" s="20"/>
      <c r="W14" s="19"/>
      <c r="X14" s="19"/>
      <c r="Y14" s="19"/>
      <c r="Z14" s="19"/>
      <c r="AA14" s="20"/>
      <c r="AB14" s="20"/>
      <c r="AC14" s="19"/>
      <c r="AD14" s="19"/>
      <c r="AE14" s="21"/>
      <c r="AF14" s="20"/>
      <c r="AG14" s="19"/>
      <c r="AH14" s="19"/>
      <c r="AI14" s="20"/>
      <c r="AJ14" s="19"/>
      <c r="AK14" s="20"/>
      <c r="AL14" s="20"/>
      <c r="AM14" s="19"/>
      <c r="AN14" s="20"/>
      <c r="AO14" s="19"/>
      <c r="AP14" s="19"/>
      <c r="AQ14" s="19"/>
      <c r="AR14" s="19"/>
      <c r="AS14" s="19"/>
      <c r="AT14" s="19"/>
      <c r="AU14" s="19"/>
      <c r="AV14" s="20"/>
      <c r="AW14" s="20"/>
      <c r="AX14" s="19"/>
      <c r="AY14" s="19"/>
      <c r="AZ14" s="21"/>
      <c r="BA14" s="32" t="str">
        <f aca="true">IF(D14="","",YEAR(TODAY())-D14)</f>
        <v/>
      </c>
      <c r="BB14" s="33" t="str">
        <f aca="false">IF(J14="","",IFERROR(IF(INDEX(CPU!$I$4:$I$64,MATCH(J14,CPU!$A$4:$A$64,0))="","(isi di tab CPU)",INDEX(CPU!$I$4:$I$64,MATCH(J14,CPU!$A$4:$A$64,0))),"(CPU belum ada di tab CPU)"))</f>
        <v/>
      </c>
    </row>
    <row r="15" customFormat="false" ht="15" hidden="false" customHeight="true" outlineLevel="0" collapsed="false">
      <c r="A15" s="19"/>
      <c r="B15" s="19"/>
      <c r="C15" s="19"/>
      <c r="D15" s="20"/>
      <c r="E15" s="19"/>
      <c r="F15" s="20"/>
      <c r="G15" s="19"/>
      <c r="H15" s="19"/>
      <c r="I15" s="21"/>
      <c r="J15" s="19"/>
      <c r="K15" s="19"/>
      <c r="L15" s="20"/>
      <c r="M15" s="20"/>
      <c r="N15" s="19"/>
      <c r="O15" s="20"/>
      <c r="P15" s="19"/>
      <c r="Q15" s="19"/>
      <c r="R15" s="20"/>
      <c r="S15" s="20"/>
      <c r="T15" s="20"/>
      <c r="U15" s="20"/>
      <c r="V15" s="20"/>
      <c r="W15" s="19"/>
      <c r="X15" s="19"/>
      <c r="Y15" s="19"/>
      <c r="Z15" s="19"/>
      <c r="AA15" s="20"/>
      <c r="AB15" s="20"/>
      <c r="AC15" s="19"/>
      <c r="AD15" s="19"/>
      <c r="AE15" s="21"/>
      <c r="AF15" s="20"/>
      <c r="AG15" s="19"/>
      <c r="AH15" s="19"/>
      <c r="AI15" s="20"/>
      <c r="AJ15" s="19"/>
      <c r="AK15" s="20"/>
      <c r="AL15" s="20"/>
      <c r="AM15" s="19"/>
      <c r="AN15" s="20"/>
      <c r="AO15" s="19"/>
      <c r="AP15" s="19"/>
      <c r="AQ15" s="19"/>
      <c r="AR15" s="19"/>
      <c r="AS15" s="19"/>
      <c r="AT15" s="19"/>
      <c r="AU15" s="19"/>
      <c r="AV15" s="20"/>
      <c r="AW15" s="20"/>
      <c r="AX15" s="19"/>
      <c r="AY15" s="19"/>
      <c r="AZ15" s="21"/>
      <c r="BA15" s="32" t="str">
        <f aca="true">IF(D15="","",YEAR(TODAY())-D15)</f>
        <v/>
      </c>
      <c r="BB15" s="33" t="str">
        <f aca="false">IF(J15="","",IFERROR(IF(INDEX(CPU!$I$4:$I$64,MATCH(J15,CPU!$A$4:$A$64,0))="","(isi di tab CPU)",INDEX(CPU!$I$4:$I$64,MATCH(J15,CPU!$A$4:$A$64,0))),"(CPU belum ada di tab CPU)"))</f>
        <v/>
      </c>
    </row>
    <row r="16" customFormat="false" ht="15" hidden="false" customHeight="true" outlineLevel="0" collapsed="false">
      <c r="A16" s="19"/>
      <c r="B16" s="19"/>
      <c r="C16" s="19"/>
      <c r="D16" s="20"/>
      <c r="E16" s="19"/>
      <c r="F16" s="20"/>
      <c r="G16" s="19"/>
      <c r="H16" s="19"/>
      <c r="I16" s="21"/>
      <c r="J16" s="19"/>
      <c r="K16" s="19"/>
      <c r="L16" s="20"/>
      <c r="M16" s="20"/>
      <c r="N16" s="19"/>
      <c r="O16" s="20"/>
      <c r="P16" s="19"/>
      <c r="Q16" s="19"/>
      <c r="R16" s="20"/>
      <c r="S16" s="20"/>
      <c r="T16" s="20"/>
      <c r="U16" s="20"/>
      <c r="V16" s="20"/>
      <c r="W16" s="19"/>
      <c r="X16" s="19"/>
      <c r="Y16" s="19"/>
      <c r="Z16" s="19"/>
      <c r="AA16" s="20"/>
      <c r="AB16" s="20"/>
      <c r="AC16" s="19"/>
      <c r="AD16" s="19"/>
      <c r="AE16" s="21"/>
      <c r="AF16" s="20"/>
      <c r="AG16" s="19"/>
      <c r="AH16" s="19"/>
      <c r="AI16" s="20"/>
      <c r="AJ16" s="19"/>
      <c r="AK16" s="20"/>
      <c r="AL16" s="20"/>
      <c r="AM16" s="19"/>
      <c r="AN16" s="20"/>
      <c r="AO16" s="19"/>
      <c r="AP16" s="19"/>
      <c r="AQ16" s="19"/>
      <c r="AR16" s="19"/>
      <c r="AS16" s="19"/>
      <c r="AT16" s="19"/>
      <c r="AU16" s="19"/>
      <c r="AV16" s="20"/>
      <c r="AW16" s="20"/>
      <c r="AX16" s="19"/>
      <c r="AY16" s="19"/>
      <c r="AZ16" s="21"/>
      <c r="BA16" s="32" t="str">
        <f aca="true">IF(D16="","",YEAR(TODAY())-D16)</f>
        <v/>
      </c>
      <c r="BB16" s="33" t="str">
        <f aca="false">IF(J16="","",IFERROR(IF(INDEX(CPU!$I$4:$I$64,MATCH(J16,CPU!$A$4:$A$64,0))="","(isi di tab CPU)",INDEX(CPU!$I$4:$I$64,MATCH(J16,CPU!$A$4:$A$64,0))),"(CPU belum ada di tab CPU)"))</f>
        <v/>
      </c>
    </row>
    <row r="17" customFormat="false" ht="15" hidden="false" customHeight="true" outlineLevel="0" collapsed="false">
      <c r="A17" s="19"/>
      <c r="B17" s="19"/>
      <c r="C17" s="19"/>
      <c r="D17" s="20"/>
      <c r="E17" s="19"/>
      <c r="F17" s="20"/>
      <c r="G17" s="19"/>
      <c r="H17" s="19"/>
      <c r="I17" s="21"/>
      <c r="J17" s="19"/>
      <c r="K17" s="19"/>
      <c r="L17" s="20"/>
      <c r="M17" s="20"/>
      <c r="N17" s="19"/>
      <c r="O17" s="20"/>
      <c r="P17" s="19"/>
      <c r="Q17" s="19"/>
      <c r="R17" s="20"/>
      <c r="S17" s="20"/>
      <c r="T17" s="20"/>
      <c r="U17" s="20"/>
      <c r="V17" s="20"/>
      <c r="W17" s="19"/>
      <c r="X17" s="19"/>
      <c r="Y17" s="19"/>
      <c r="Z17" s="19"/>
      <c r="AA17" s="20"/>
      <c r="AB17" s="20"/>
      <c r="AC17" s="19"/>
      <c r="AD17" s="19"/>
      <c r="AE17" s="21"/>
      <c r="AF17" s="20"/>
      <c r="AG17" s="19"/>
      <c r="AH17" s="19"/>
      <c r="AI17" s="20"/>
      <c r="AJ17" s="19"/>
      <c r="AK17" s="20"/>
      <c r="AL17" s="20"/>
      <c r="AM17" s="19"/>
      <c r="AN17" s="20"/>
      <c r="AO17" s="19"/>
      <c r="AP17" s="19"/>
      <c r="AQ17" s="19"/>
      <c r="AR17" s="19"/>
      <c r="AS17" s="19"/>
      <c r="AT17" s="19"/>
      <c r="AU17" s="19"/>
      <c r="AV17" s="20"/>
      <c r="AW17" s="20"/>
      <c r="AX17" s="19"/>
      <c r="AY17" s="19"/>
      <c r="AZ17" s="21"/>
      <c r="BA17" s="32" t="str">
        <f aca="true">IF(D17="","",YEAR(TODAY())-D17)</f>
        <v/>
      </c>
      <c r="BB17" s="33" t="str">
        <f aca="false">IF(J17="","",IFERROR(IF(INDEX(CPU!$I$4:$I$64,MATCH(J17,CPU!$A$4:$A$64,0))="","(isi di tab CPU)",INDEX(CPU!$I$4:$I$64,MATCH(J17,CPU!$A$4:$A$64,0))),"(CPU belum ada di tab CPU)"))</f>
        <v/>
      </c>
    </row>
    <row r="18" customFormat="false" ht="15" hidden="false" customHeight="true" outlineLevel="0" collapsed="false">
      <c r="A18" s="19"/>
      <c r="B18" s="19"/>
      <c r="C18" s="19"/>
      <c r="D18" s="20"/>
      <c r="E18" s="19"/>
      <c r="F18" s="20"/>
      <c r="G18" s="19"/>
      <c r="H18" s="19"/>
      <c r="I18" s="21"/>
      <c r="J18" s="19"/>
      <c r="K18" s="19"/>
      <c r="L18" s="20"/>
      <c r="M18" s="20"/>
      <c r="N18" s="19"/>
      <c r="O18" s="20"/>
      <c r="P18" s="19"/>
      <c r="Q18" s="19"/>
      <c r="R18" s="20"/>
      <c r="S18" s="20"/>
      <c r="T18" s="20"/>
      <c r="U18" s="20"/>
      <c r="V18" s="20"/>
      <c r="W18" s="19"/>
      <c r="X18" s="19"/>
      <c r="Y18" s="19"/>
      <c r="Z18" s="19"/>
      <c r="AA18" s="20"/>
      <c r="AB18" s="20"/>
      <c r="AC18" s="19"/>
      <c r="AD18" s="19"/>
      <c r="AE18" s="21"/>
      <c r="AF18" s="20"/>
      <c r="AG18" s="19"/>
      <c r="AH18" s="19"/>
      <c r="AI18" s="20"/>
      <c r="AJ18" s="19"/>
      <c r="AK18" s="20"/>
      <c r="AL18" s="20"/>
      <c r="AM18" s="19"/>
      <c r="AN18" s="20"/>
      <c r="AO18" s="19"/>
      <c r="AP18" s="19"/>
      <c r="AQ18" s="19"/>
      <c r="AR18" s="19"/>
      <c r="AS18" s="19"/>
      <c r="AT18" s="19"/>
      <c r="AU18" s="19"/>
      <c r="AV18" s="20"/>
      <c r="AW18" s="20"/>
      <c r="AX18" s="19"/>
      <c r="AY18" s="19"/>
      <c r="AZ18" s="21"/>
      <c r="BA18" s="32" t="str">
        <f aca="true">IF(D18="","",YEAR(TODAY())-D18)</f>
        <v/>
      </c>
      <c r="BB18" s="33" t="str">
        <f aca="false">IF(J18="","",IFERROR(IF(INDEX(CPU!$I$4:$I$64,MATCH(J18,CPU!$A$4:$A$64,0))="","(isi di tab CPU)",INDEX(CPU!$I$4:$I$64,MATCH(J18,CPU!$A$4:$A$64,0))),"(CPU belum ada di tab CPU)"))</f>
        <v/>
      </c>
    </row>
    <row r="19" customFormat="false" ht="15" hidden="false" customHeight="true" outlineLevel="0" collapsed="false">
      <c r="A19" s="19"/>
      <c r="B19" s="19"/>
      <c r="C19" s="19"/>
      <c r="D19" s="20"/>
      <c r="E19" s="19"/>
      <c r="F19" s="20"/>
      <c r="G19" s="19"/>
      <c r="H19" s="19"/>
      <c r="I19" s="21"/>
      <c r="J19" s="19"/>
      <c r="K19" s="19"/>
      <c r="L19" s="20"/>
      <c r="M19" s="20"/>
      <c r="N19" s="19"/>
      <c r="O19" s="20"/>
      <c r="P19" s="19"/>
      <c r="Q19" s="19"/>
      <c r="R19" s="20"/>
      <c r="S19" s="20"/>
      <c r="T19" s="20"/>
      <c r="U19" s="20"/>
      <c r="V19" s="20"/>
      <c r="W19" s="19"/>
      <c r="X19" s="19"/>
      <c r="Y19" s="19"/>
      <c r="Z19" s="19"/>
      <c r="AA19" s="20"/>
      <c r="AB19" s="20"/>
      <c r="AC19" s="19"/>
      <c r="AD19" s="19"/>
      <c r="AE19" s="21"/>
      <c r="AF19" s="20"/>
      <c r="AG19" s="19"/>
      <c r="AH19" s="19"/>
      <c r="AI19" s="20"/>
      <c r="AJ19" s="19"/>
      <c r="AK19" s="20"/>
      <c r="AL19" s="20"/>
      <c r="AM19" s="19"/>
      <c r="AN19" s="20"/>
      <c r="AO19" s="19"/>
      <c r="AP19" s="19"/>
      <c r="AQ19" s="19"/>
      <c r="AR19" s="19"/>
      <c r="AS19" s="19"/>
      <c r="AT19" s="19"/>
      <c r="AU19" s="19"/>
      <c r="AV19" s="20"/>
      <c r="AW19" s="20"/>
      <c r="AX19" s="19"/>
      <c r="AY19" s="19"/>
      <c r="AZ19" s="21"/>
      <c r="BA19" s="32" t="str">
        <f aca="true">IF(D19="","",YEAR(TODAY())-D19)</f>
        <v/>
      </c>
      <c r="BB19" s="33" t="str">
        <f aca="false">IF(J19="","",IFERROR(IF(INDEX(CPU!$I$4:$I$64,MATCH(J19,CPU!$A$4:$A$64,0))="","(isi di tab CPU)",INDEX(CPU!$I$4:$I$64,MATCH(J19,CPU!$A$4:$A$64,0))),"(CPU belum ada di tab CPU)"))</f>
        <v/>
      </c>
    </row>
    <row r="20" customFormat="false" ht="15" hidden="false" customHeight="true" outlineLevel="0" collapsed="false">
      <c r="A20" s="19"/>
      <c r="B20" s="19"/>
      <c r="C20" s="19"/>
      <c r="D20" s="20"/>
      <c r="E20" s="19"/>
      <c r="F20" s="20"/>
      <c r="G20" s="19"/>
      <c r="H20" s="19"/>
      <c r="I20" s="21"/>
      <c r="J20" s="19"/>
      <c r="K20" s="19"/>
      <c r="L20" s="20"/>
      <c r="M20" s="20"/>
      <c r="N20" s="19"/>
      <c r="O20" s="20"/>
      <c r="P20" s="19"/>
      <c r="Q20" s="19"/>
      <c r="R20" s="20"/>
      <c r="S20" s="20"/>
      <c r="T20" s="20"/>
      <c r="U20" s="20"/>
      <c r="V20" s="20"/>
      <c r="W20" s="19"/>
      <c r="X20" s="19"/>
      <c r="Y20" s="19"/>
      <c r="Z20" s="19"/>
      <c r="AA20" s="20"/>
      <c r="AB20" s="20"/>
      <c r="AC20" s="19"/>
      <c r="AD20" s="19"/>
      <c r="AE20" s="21"/>
      <c r="AF20" s="20"/>
      <c r="AG20" s="19"/>
      <c r="AH20" s="19"/>
      <c r="AI20" s="20"/>
      <c r="AJ20" s="19"/>
      <c r="AK20" s="20"/>
      <c r="AL20" s="20"/>
      <c r="AM20" s="19"/>
      <c r="AN20" s="20"/>
      <c r="AO20" s="19"/>
      <c r="AP20" s="19"/>
      <c r="AQ20" s="19"/>
      <c r="AR20" s="19"/>
      <c r="AS20" s="19"/>
      <c r="AT20" s="19"/>
      <c r="AU20" s="19"/>
      <c r="AV20" s="20"/>
      <c r="AW20" s="20"/>
      <c r="AX20" s="19"/>
      <c r="AY20" s="19"/>
      <c r="AZ20" s="21"/>
      <c r="BA20" s="32" t="str">
        <f aca="true">IF(D20="","",YEAR(TODAY())-D20)</f>
        <v/>
      </c>
      <c r="BB20" s="33" t="str">
        <f aca="false">IF(J20="","",IFERROR(IF(INDEX(CPU!$I$4:$I$64,MATCH(J20,CPU!$A$4:$A$64,0))="","(isi di tab CPU)",INDEX(CPU!$I$4:$I$64,MATCH(J20,CPU!$A$4:$A$64,0))),"(CPU belum ada di tab CPU)"))</f>
        <v/>
      </c>
    </row>
    <row r="21" customFormat="false" ht="15" hidden="false" customHeight="true" outlineLevel="0" collapsed="false">
      <c r="A21" s="19"/>
      <c r="B21" s="19"/>
      <c r="C21" s="19"/>
      <c r="D21" s="20"/>
      <c r="E21" s="19"/>
      <c r="F21" s="20"/>
      <c r="G21" s="19"/>
      <c r="H21" s="19"/>
      <c r="I21" s="21"/>
      <c r="J21" s="19"/>
      <c r="K21" s="19"/>
      <c r="L21" s="20"/>
      <c r="M21" s="20"/>
      <c r="N21" s="19"/>
      <c r="O21" s="20"/>
      <c r="P21" s="19"/>
      <c r="Q21" s="19"/>
      <c r="R21" s="20"/>
      <c r="S21" s="20"/>
      <c r="T21" s="20"/>
      <c r="U21" s="20"/>
      <c r="V21" s="20"/>
      <c r="W21" s="19"/>
      <c r="X21" s="19"/>
      <c r="Y21" s="19"/>
      <c r="Z21" s="19"/>
      <c r="AA21" s="20"/>
      <c r="AB21" s="20"/>
      <c r="AC21" s="19"/>
      <c r="AD21" s="19"/>
      <c r="AE21" s="21"/>
      <c r="AF21" s="20"/>
      <c r="AG21" s="19"/>
      <c r="AH21" s="19"/>
      <c r="AI21" s="20"/>
      <c r="AJ21" s="19"/>
      <c r="AK21" s="20"/>
      <c r="AL21" s="20"/>
      <c r="AM21" s="19"/>
      <c r="AN21" s="20"/>
      <c r="AO21" s="19"/>
      <c r="AP21" s="19"/>
      <c r="AQ21" s="19"/>
      <c r="AR21" s="19"/>
      <c r="AS21" s="19"/>
      <c r="AT21" s="19"/>
      <c r="AU21" s="19"/>
      <c r="AV21" s="20"/>
      <c r="AW21" s="20"/>
      <c r="AX21" s="19"/>
      <c r="AY21" s="19"/>
      <c r="AZ21" s="21"/>
      <c r="BA21" s="32" t="str">
        <f aca="true">IF(D21="","",YEAR(TODAY())-D21)</f>
        <v/>
      </c>
      <c r="BB21" s="33" t="str">
        <f aca="false">IF(J21="","",IFERROR(IF(INDEX(CPU!$I$4:$I$64,MATCH(J21,CPU!$A$4:$A$64,0))="","(isi di tab CPU)",INDEX(CPU!$I$4:$I$64,MATCH(J21,CPU!$A$4:$A$64,0))),"(CPU belum ada di tab CPU)"))</f>
        <v/>
      </c>
    </row>
    <row r="22" customFormat="false" ht="15" hidden="false" customHeight="true" outlineLevel="0" collapsed="false">
      <c r="A22" s="19"/>
      <c r="B22" s="19"/>
      <c r="C22" s="19"/>
      <c r="D22" s="20"/>
      <c r="E22" s="19"/>
      <c r="F22" s="20"/>
      <c r="G22" s="19"/>
      <c r="H22" s="19"/>
      <c r="I22" s="21"/>
      <c r="J22" s="19"/>
      <c r="K22" s="19"/>
      <c r="L22" s="20"/>
      <c r="M22" s="20"/>
      <c r="N22" s="19"/>
      <c r="O22" s="20"/>
      <c r="P22" s="19"/>
      <c r="Q22" s="19"/>
      <c r="R22" s="20"/>
      <c r="S22" s="20"/>
      <c r="T22" s="20"/>
      <c r="U22" s="20"/>
      <c r="V22" s="20"/>
      <c r="W22" s="19"/>
      <c r="X22" s="19"/>
      <c r="Y22" s="19"/>
      <c r="Z22" s="19"/>
      <c r="AA22" s="20"/>
      <c r="AB22" s="20"/>
      <c r="AC22" s="19"/>
      <c r="AD22" s="19"/>
      <c r="AE22" s="21"/>
      <c r="AF22" s="20"/>
      <c r="AG22" s="19"/>
      <c r="AH22" s="19"/>
      <c r="AI22" s="20"/>
      <c r="AJ22" s="19"/>
      <c r="AK22" s="20"/>
      <c r="AL22" s="20"/>
      <c r="AM22" s="19"/>
      <c r="AN22" s="20"/>
      <c r="AO22" s="19"/>
      <c r="AP22" s="19"/>
      <c r="AQ22" s="19"/>
      <c r="AR22" s="19"/>
      <c r="AS22" s="19"/>
      <c r="AT22" s="19"/>
      <c r="AU22" s="19"/>
      <c r="AV22" s="20"/>
      <c r="AW22" s="20"/>
      <c r="AX22" s="19"/>
      <c r="AY22" s="19"/>
      <c r="AZ22" s="21"/>
      <c r="BA22" s="32" t="str">
        <f aca="true">IF(D22="","",YEAR(TODAY())-D22)</f>
        <v/>
      </c>
      <c r="BB22" s="33" t="str">
        <f aca="false">IF(J22="","",IFERROR(IF(INDEX(CPU!$I$4:$I$64,MATCH(J22,CPU!$A$4:$A$64,0))="","(isi di tab CPU)",INDEX(CPU!$I$4:$I$64,MATCH(J22,CPU!$A$4:$A$64,0))),"(CPU belum ada di tab CPU)"))</f>
        <v/>
      </c>
    </row>
    <row r="23" customFormat="false" ht="15" hidden="false" customHeight="true" outlineLevel="0" collapsed="false">
      <c r="A23" s="19"/>
      <c r="B23" s="19"/>
      <c r="C23" s="19"/>
      <c r="D23" s="20"/>
      <c r="E23" s="19"/>
      <c r="F23" s="20"/>
      <c r="G23" s="19"/>
      <c r="H23" s="19"/>
      <c r="I23" s="21"/>
      <c r="J23" s="19"/>
      <c r="K23" s="19"/>
      <c r="L23" s="20"/>
      <c r="M23" s="20"/>
      <c r="N23" s="19"/>
      <c r="O23" s="20"/>
      <c r="P23" s="19"/>
      <c r="Q23" s="19"/>
      <c r="R23" s="20"/>
      <c r="S23" s="20"/>
      <c r="T23" s="20"/>
      <c r="U23" s="20"/>
      <c r="V23" s="20"/>
      <c r="W23" s="19"/>
      <c r="X23" s="19"/>
      <c r="Y23" s="19"/>
      <c r="Z23" s="19"/>
      <c r="AA23" s="20"/>
      <c r="AB23" s="20"/>
      <c r="AC23" s="19"/>
      <c r="AD23" s="19"/>
      <c r="AE23" s="21"/>
      <c r="AF23" s="20"/>
      <c r="AG23" s="19"/>
      <c r="AH23" s="19"/>
      <c r="AI23" s="20"/>
      <c r="AJ23" s="19"/>
      <c r="AK23" s="20"/>
      <c r="AL23" s="20"/>
      <c r="AM23" s="19"/>
      <c r="AN23" s="20"/>
      <c r="AO23" s="19"/>
      <c r="AP23" s="19"/>
      <c r="AQ23" s="19"/>
      <c r="AR23" s="19"/>
      <c r="AS23" s="19"/>
      <c r="AT23" s="19"/>
      <c r="AU23" s="19"/>
      <c r="AV23" s="20"/>
      <c r="AW23" s="20"/>
      <c r="AX23" s="19"/>
      <c r="AY23" s="19"/>
      <c r="AZ23" s="21"/>
      <c r="BA23" s="32" t="str">
        <f aca="true">IF(D23="","",YEAR(TODAY())-D23)</f>
        <v/>
      </c>
      <c r="BB23" s="33" t="str">
        <f aca="false">IF(J23="","",IFERROR(IF(INDEX(CPU!$I$4:$I$64,MATCH(J23,CPU!$A$4:$A$64,0))="","(isi di tab CPU)",INDEX(CPU!$I$4:$I$64,MATCH(J23,CPU!$A$4:$A$64,0))),"(CPU belum ada di tab CPU)"))</f>
        <v/>
      </c>
    </row>
    <row r="24" customFormat="false" ht="15" hidden="false" customHeight="true" outlineLevel="0" collapsed="false">
      <c r="A24" s="19"/>
      <c r="B24" s="19"/>
      <c r="C24" s="19"/>
      <c r="D24" s="20"/>
      <c r="E24" s="19"/>
      <c r="F24" s="20"/>
      <c r="G24" s="19"/>
      <c r="H24" s="19"/>
      <c r="I24" s="21"/>
      <c r="J24" s="19"/>
      <c r="K24" s="19"/>
      <c r="L24" s="20"/>
      <c r="M24" s="20"/>
      <c r="N24" s="19"/>
      <c r="O24" s="20"/>
      <c r="P24" s="19"/>
      <c r="Q24" s="19"/>
      <c r="R24" s="20"/>
      <c r="S24" s="20"/>
      <c r="T24" s="20"/>
      <c r="U24" s="20"/>
      <c r="V24" s="20"/>
      <c r="W24" s="19"/>
      <c r="X24" s="19"/>
      <c r="Y24" s="19"/>
      <c r="Z24" s="19"/>
      <c r="AA24" s="20"/>
      <c r="AB24" s="20"/>
      <c r="AC24" s="19"/>
      <c r="AD24" s="19"/>
      <c r="AE24" s="21"/>
      <c r="AF24" s="20"/>
      <c r="AG24" s="19"/>
      <c r="AH24" s="19"/>
      <c r="AI24" s="20"/>
      <c r="AJ24" s="19"/>
      <c r="AK24" s="20"/>
      <c r="AL24" s="20"/>
      <c r="AM24" s="19"/>
      <c r="AN24" s="20"/>
      <c r="AO24" s="19"/>
      <c r="AP24" s="19"/>
      <c r="AQ24" s="19"/>
      <c r="AR24" s="19"/>
      <c r="AS24" s="19"/>
      <c r="AT24" s="19"/>
      <c r="AU24" s="19"/>
      <c r="AV24" s="20"/>
      <c r="AW24" s="20"/>
      <c r="AX24" s="19"/>
      <c r="AY24" s="19"/>
      <c r="AZ24" s="21"/>
      <c r="BA24" s="32" t="str">
        <f aca="true">IF(D24="","",YEAR(TODAY())-D24)</f>
        <v/>
      </c>
      <c r="BB24" s="33" t="str">
        <f aca="false">IF(J24="","",IFERROR(IF(INDEX(CPU!$I$4:$I$64,MATCH(J24,CPU!$A$4:$A$64,0))="","(isi di tab CPU)",INDEX(CPU!$I$4:$I$64,MATCH(J24,CPU!$A$4:$A$64,0))),"(CPU belum ada di tab CPU)"))</f>
        <v/>
      </c>
    </row>
    <row r="25" customFormat="false" ht="15" hidden="false" customHeight="true" outlineLevel="0" collapsed="false">
      <c r="A25" s="19"/>
      <c r="B25" s="19"/>
      <c r="C25" s="19"/>
      <c r="D25" s="20"/>
      <c r="E25" s="19"/>
      <c r="F25" s="20"/>
      <c r="G25" s="19"/>
      <c r="H25" s="19"/>
      <c r="I25" s="21"/>
      <c r="J25" s="19"/>
      <c r="K25" s="19"/>
      <c r="L25" s="20"/>
      <c r="M25" s="20"/>
      <c r="N25" s="19"/>
      <c r="O25" s="20"/>
      <c r="P25" s="19"/>
      <c r="Q25" s="19"/>
      <c r="R25" s="20"/>
      <c r="S25" s="20"/>
      <c r="T25" s="20"/>
      <c r="U25" s="20"/>
      <c r="V25" s="20"/>
      <c r="W25" s="19"/>
      <c r="X25" s="19"/>
      <c r="Y25" s="19"/>
      <c r="Z25" s="19"/>
      <c r="AA25" s="20"/>
      <c r="AB25" s="20"/>
      <c r="AC25" s="19"/>
      <c r="AD25" s="19"/>
      <c r="AE25" s="21"/>
      <c r="AF25" s="20"/>
      <c r="AG25" s="19"/>
      <c r="AH25" s="19"/>
      <c r="AI25" s="20"/>
      <c r="AJ25" s="19"/>
      <c r="AK25" s="20"/>
      <c r="AL25" s="20"/>
      <c r="AM25" s="19"/>
      <c r="AN25" s="20"/>
      <c r="AO25" s="19"/>
      <c r="AP25" s="19"/>
      <c r="AQ25" s="19"/>
      <c r="AR25" s="19"/>
      <c r="AS25" s="19"/>
      <c r="AT25" s="19"/>
      <c r="AU25" s="19"/>
      <c r="AV25" s="20"/>
      <c r="AW25" s="20"/>
      <c r="AX25" s="19"/>
      <c r="AY25" s="19"/>
      <c r="AZ25" s="21"/>
      <c r="BA25" s="32" t="str">
        <f aca="true">IF(D25="","",YEAR(TODAY())-D25)</f>
        <v/>
      </c>
      <c r="BB25" s="33" t="str">
        <f aca="false">IF(J25="","",IFERROR(IF(INDEX(CPU!$I$4:$I$64,MATCH(J25,CPU!$A$4:$A$64,0))="","(isi di tab CPU)",INDEX(CPU!$I$4:$I$64,MATCH(J25,CPU!$A$4:$A$64,0))),"(CPU belum ada di tab CPU)"))</f>
        <v/>
      </c>
    </row>
    <row r="26" customFormat="false" ht="15" hidden="false" customHeight="true" outlineLevel="0" collapsed="false">
      <c r="A26" s="19"/>
      <c r="B26" s="19"/>
      <c r="C26" s="19"/>
      <c r="D26" s="20"/>
      <c r="E26" s="19"/>
      <c r="F26" s="20"/>
      <c r="G26" s="19"/>
      <c r="H26" s="19"/>
      <c r="I26" s="21"/>
      <c r="J26" s="19"/>
      <c r="K26" s="19"/>
      <c r="L26" s="20"/>
      <c r="M26" s="20"/>
      <c r="N26" s="19"/>
      <c r="O26" s="20"/>
      <c r="P26" s="19"/>
      <c r="Q26" s="19"/>
      <c r="R26" s="20"/>
      <c r="S26" s="20"/>
      <c r="T26" s="20"/>
      <c r="U26" s="20"/>
      <c r="V26" s="20"/>
      <c r="W26" s="19"/>
      <c r="X26" s="19"/>
      <c r="Y26" s="19"/>
      <c r="Z26" s="19"/>
      <c r="AA26" s="20"/>
      <c r="AB26" s="20"/>
      <c r="AC26" s="19"/>
      <c r="AD26" s="19"/>
      <c r="AE26" s="21"/>
      <c r="AF26" s="20"/>
      <c r="AG26" s="19"/>
      <c r="AH26" s="19"/>
      <c r="AI26" s="20"/>
      <c r="AJ26" s="19"/>
      <c r="AK26" s="20"/>
      <c r="AL26" s="20"/>
      <c r="AM26" s="19"/>
      <c r="AN26" s="20"/>
      <c r="AO26" s="19"/>
      <c r="AP26" s="19"/>
      <c r="AQ26" s="19"/>
      <c r="AR26" s="19"/>
      <c r="AS26" s="19"/>
      <c r="AT26" s="19"/>
      <c r="AU26" s="19"/>
      <c r="AV26" s="20"/>
      <c r="AW26" s="20"/>
      <c r="AX26" s="19"/>
      <c r="AY26" s="19"/>
      <c r="AZ26" s="21"/>
      <c r="BA26" s="32" t="str">
        <f aca="true">IF(D26="","",YEAR(TODAY())-D26)</f>
        <v/>
      </c>
      <c r="BB26" s="33" t="str">
        <f aca="false">IF(J26="","",IFERROR(IF(INDEX(CPU!$I$4:$I$64,MATCH(J26,CPU!$A$4:$A$64,0))="","(isi di tab CPU)",INDEX(CPU!$I$4:$I$64,MATCH(J26,CPU!$A$4:$A$64,0))),"(CPU belum ada di tab CPU)"))</f>
        <v/>
      </c>
    </row>
    <row r="27" customFormat="false" ht="15" hidden="false" customHeight="true" outlineLevel="0" collapsed="false">
      <c r="A27" s="19"/>
      <c r="B27" s="19"/>
      <c r="C27" s="19"/>
      <c r="D27" s="20"/>
      <c r="E27" s="19"/>
      <c r="F27" s="20"/>
      <c r="G27" s="19"/>
      <c r="H27" s="19"/>
      <c r="I27" s="21"/>
      <c r="J27" s="19"/>
      <c r="K27" s="19"/>
      <c r="L27" s="20"/>
      <c r="M27" s="20"/>
      <c r="N27" s="19"/>
      <c r="O27" s="20"/>
      <c r="P27" s="19"/>
      <c r="Q27" s="19"/>
      <c r="R27" s="20"/>
      <c r="S27" s="20"/>
      <c r="T27" s="20"/>
      <c r="U27" s="20"/>
      <c r="V27" s="20"/>
      <c r="W27" s="19"/>
      <c r="X27" s="19"/>
      <c r="Y27" s="19"/>
      <c r="Z27" s="19"/>
      <c r="AA27" s="20"/>
      <c r="AB27" s="20"/>
      <c r="AC27" s="19"/>
      <c r="AD27" s="19"/>
      <c r="AE27" s="21"/>
      <c r="AF27" s="20"/>
      <c r="AG27" s="19"/>
      <c r="AH27" s="19"/>
      <c r="AI27" s="20"/>
      <c r="AJ27" s="19"/>
      <c r="AK27" s="20"/>
      <c r="AL27" s="20"/>
      <c r="AM27" s="19"/>
      <c r="AN27" s="20"/>
      <c r="AO27" s="19"/>
      <c r="AP27" s="19"/>
      <c r="AQ27" s="19"/>
      <c r="AR27" s="19"/>
      <c r="AS27" s="19"/>
      <c r="AT27" s="19"/>
      <c r="AU27" s="19"/>
      <c r="AV27" s="20"/>
      <c r="AW27" s="20"/>
      <c r="AX27" s="19"/>
      <c r="AY27" s="19"/>
      <c r="AZ27" s="21"/>
      <c r="BA27" s="32" t="str">
        <f aca="true">IF(D27="","",YEAR(TODAY())-D27)</f>
        <v/>
      </c>
      <c r="BB27" s="33" t="str">
        <f aca="false">IF(J27="","",IFERROR(IF(INDEX(CPU!$I$4:$I$64,MATCH(J27,CPU!$A$4:$A$64,0))="","(isi di tab CPU)",INDEX(CPU!$I$4:$I$64,MATCH(J27,CPU!$A$4:$A$64,0))),"(CPU belum ada di tab CPU)"))</f>
        <v/>
      </c>
    </row>
    <row r="28" customFormat="false" ht="15" hidden="false" customHeight="true" outlineLevel="0" collapsed="false">
      <c r="A28" s="19"/>
      <c r="B28" s="19"/>
      <c r="C28" s="19"/>
      <c r="D28" s="20"/>
      <c r="E28" s="19"/>
      <c r="F28" s="20"/>
      <c r="G28" s="19"/>
      <c r="H28" s="19"/>
      <c r="I28" s="21"/>
      <c r="J28" s="19"/>
      <c r="K28" s="19"/>
      <c r="L28" s="20"/>
      <c r="M28" s="20"/>
      <c r="N28" s="19"/>
      <c r="O28" s="20"/>
      <c r="P28" s="19"/>
      <c r="Q28" s="19"/>
      <c r="R28" s="20"/>
      <c r="S28" s="20"/>
      <c r="T28" s="20"/>
      <c r="U28" s="20"/>
      <c r="V28" s="20"/>
      <c r="W28" s="19"/>
      <c r="X28" s="19"/>
      <c r="Y28" s="19"/>
      <c r="Z28" s="19"/>
      <c r="AA28" s="20"/>
      <c r="AB28" s="20"/>
      <c r="AC28" s="19"/>
      <c r="AD28" s="19"/>
      <c r="AE28" s="21"/>
      <c r="AF28" s="20"/>
      <c r="AG28" s="19"/>
      <c r="AH28" s="19"/>
      <c r="AI28" s="20"/>
      <c r="AJ28" s="19"/>
      <c r="AK28" s="20"/>
      <c r="AL28" s="20"/>
      <c r="AM28" s="19"/>
      <c r="AN28" s="20"/>
      <c r="AO28" s="19"/>
      <c r="AP28" s="19"/>
      <c r="AQ28" s="19"/>
      <c r="AR28" s="19"/>
      <c r="AS28" s="19"/>
      <c r="AT28" s="19"/>
      <c r="AU28" s="19"/>
      <c r="AV28" s="20"/>
      <c r="AW28" s="20"/>
      <c r="AX28" s="19"/>
      <c r="AY28" s="19"/>
      <c r="AZ28" s="21"/>
      <c r="BA28" s="32" t="str">
        <f aca="true">IF(D28="","",YEAR(TODAY())-D28)</f>
        <v/>
      </c>
      <c r="BB28" s="33" t="str">
        <f aca="false">IF(J28="","",IFERROR(IF(INDEX(CPU!$I$4:$I$64,MATCH(J28,CPU!$A$4:$A$64,0))="","(isi di tab CPU)",INDEX(CPU!$I$4:$I$64,MATCH(J28,CPU!$A$4:$A$64,0))),"(CPU belum ada di tab CPU)"))</f>
        <v/>
      </c>
    </row>
    <row r="29" customFormat="false" ht="15" hidden="false" customHeight="true" outlineLevel="0" collapsed="false">
      <c r="A29" s="19"/>
      <c r="B29" s="19"/>
      <c r="C29" s="19"/>
      <c r="D29" s="20"/>
      <c r="E29" s="19"/>
      <c r="F29" s="20"/>
      <c r="G29" s="19"/>
      <c r="H29" s="19"/>
      <c r="I29" s="21"/>
      <c r="J29" s="19"/>
      <c r="K29" s="19"/>
      <c r="L29" s="20"/>
      <c r="M29" s="20"/>
      <c r="N29" s="19"/>
      <c r="O29" s="20"/>
      <c r="P29" s="19"/>
      <c r="Q29" s="19"/>
      <c r="R29" s="20"/>
      <c r="S29" s="20"/>
      <c r="T29" s="20"/>
      <c r="U29" s="20"/>
      <c r="V29" s="20"/>
      <c r="W29" s="19"/>
      <c r="X29" s="19"/>
      <c r="Y29" s="19"/>
      <c r="Z29" s="19"/>
      <c r="AA29" s="20"/>
      <c r="AB29" s="20"/>
      <c r="AC29" s="19"/>
      <c r="AD29" s="19"/>
      <c r="AE29" s="21"/>
      <c r="AF29" s="20"/>
      <c r="AG29" s="19"/>
      <c r="AH29" s="19"/>
      <c r="AI29" s="20"/>
      <c r="AJ29" s="19"/>
      <c r="AK29" s="20"/>
      <c r="AL29" s="20"/>
      <c r="AM29" s="19"/>
      <c r="AN29" s="20"/>
      <c r="AO29" s="19"/>
      <c r="AP29" s="19"/>
      <c r="AQ29" s="19"/>
      <c r="AR29" s="19"/>
      <c r="AS29" s="19"/>
      <c r="AT29" s="19"/>
      <c r="AU29" s="19"/>
      <c r="AV29" s="20"/>
      <c r="AW29" s="20"/>
      <c r="AX29" s="19"/>
      <c r="AY29" s="19"/>
      <c r="AZ29" s="21"/>
      <c r="BA29" s="32" t="str">
        <f aca="true">IF(D29="","",YEAR(TODAY())-D29)</f>
        <v/>
      </c>
      <c r="BB29" s="33" t="str">
        <f aca="false">IF(J29="","",IFERROR(IF(INDEX(CPU!$I$4:$I$64,MATCH(J29,CPU!$A$4:$A$64,0))="","(isi di tab CPU)",INDEX(CPU!$I$4:$I$64,MATCH(J29,CPU!$A$4:$A$64,0))),"(CPU belum ada di tab CPU)"))</f>
        <v/>
      </c>
    </row>
    <row r="30" customFormat="false" ht="15" hidden="false" customHeight="true" outlineLevel="0" collapsed="false">
      <c r="A30" s="19"/>
      <c r="B30" s="19"/>
      <c r="C30" s="19"/>
      <c r="D30" s="20"/>
      <c r="E30" s="19"/>
      <c r="F30" s="20"/>
      <c r="G30" s="19"/>
      <c r="H30" s="19"/>
      <c r="I30" s="21"/>
      <c r="J30" s="19"/>
      <c r="K30" s="19"/>
      <c r="L30" s="20"/>
      <c r="M30" s="20"/>
      <c r="N30" s="19"/>
      <c r="O30" s="20"/>
      <c r="P30" s="19"/>
      <c r="Q30" s="19"/>
      <c r="R30" s="20"/>
      <c r="S30" s="20"/>
      <c r="T30" s="20"/>
      <c r="U30" s="20"/>
      <c r="V30" s="20"/>
      <c r="W30" s="19"/>
      <c r="X30" s="19"/>
      <c r="Y30" s="19"/>
      <c r="Z30" s="19"/>
      <c r="AA30" s="20"/>
      <c r="AB30" s="20"/>
      <c r="AC30" s="19"/>
      <c r="AD30" s="19"/>
      <c r="AE30" s="21"/>
      <c r="AF30" s="20"/>
      <c r="AG30" s="19"/>
      <c r="AH30" s="19"/>
      <c r="AI30" s="20"/>
      <c r="AJ30" s="19"/>
      <c r="AK30" s="20"/>
      <c r="AL30" s="20"/>
      <c r="AM30" s="19"/>
      <c r="AN30" s="20"/>
      <c r="AO30" s="19"/>
      <c r="AP30" s="19"/>
      <c r="AQ30" s="19"/>
      <c r="AR30" s="19"/>
      <c r="AS30" s="19"/>
      <c r="AT30" s="19"/>
      <c r="AU30" s="19"/>
      <c r="AV30" s="20"/>
      <c r="AW30" s="20"/>
      <c r="AX30" s="19"/>
      <c r="AY30" s="19"/>
      <c r="AZ30" s="21"/>
      <c r="BA30" s="32" t="str">
        <f aca="true">IF(D30="","",YEAR(TODAY())-D30)</f>
        <v/>
      </c>
      <c r="BB30" s="33" t="str">
        <f aca="false">IF(J30="","",IFERROR(IF(INDEX(CPU!$I$4:$I$64,MATCH(J30,CPU!$A$4:$A$64,0))="","(isi di tab CPU)",INDEX(CPU!$I$4:$I$64,MATCH(J30,CPU!$A$4:$A$64,0))),"(CPU belum ada di tab CPU)"))</f>
        <v/>
      </c>
    </row>
    <row r="31" customFormat="false" ht="15" hidden="false" customHeight="true" outlineLevel="0" collapsed="false">
      <c r="A31" s="19"/>
      <c r="B31" s="19"/>
      <c r="C31" s="19"/>
      <c r="D31" s="20"/>
      <c r="E31" s="19"/>
      <c r="F31" s="20"/>
      <c r="G31" s="19"/>
      <c r="H31" s="19"/>
      <c r="I31" s="21"/>
      <c r="J31" s="19"/>
      <c r="K31" s="19"/>
      <c r="L31" s="20"/>
      <c r="M31" s="20"/>
      <c r="N31" s="19"/>
      <c r="O31" s="20"/>
      <c r="P31" s="19"/>
      <c r="Q31" s="19"/>
      <c r="R31" s="20"/>
      <c r="S31" s="20"/>
      <c r="T31" s="20"/>
      <c r="U31" s="20"/>
      <c r="V31" s="20"/>
      <c r="W31" s="19"/>
      <c r="X31" s="19"/>
      <c r="Y31" s="19"/>
      <c r="Z31" s="19"/>
      <c r="AA31" s="20"/>
      <c r="AB31" s="20"/>
      <c r="AC31" s="19"/>
      <c r="AD31" s="19"/>
      <c r="AE31" s="21"/>
      <c r="AF31" s="20"/>
      <c r="AG31" s="19"/>
      <c r="AH31" s="19"/>
      <c r="AI31" s="20"/>
      <c r="AJ31" s="19"/>
      <c r="AK31" s="20"/>
      <c r="AL31" s="20"/>
      <c r="AM31" s="19"/>
      <c r="AN31" s="20"/>
      <c r="AO31" s="19"/>
      <c r="AP31" s="19"/>
      <c r="AQ31" s="19"/>
      <c r="AR31" s="19"/>
      <c r="AS31" s="19"/>
      <c r="AT31" s="19"/>
      <c r="AU31" s="19"/>
      <c r="AV31" s="20"/>
      <c r="AW31" s="20"/>
      <c r="AX31" s="19"/>
      <c r="AY31" s="19"/>
      <c r="AZ31" s="21"/>
      <c r="BA31" s="32" t="str">
        <f aca="true">IF(D31="","",YEAR(TODAY())-D31)</f>
        <v/>
      </c>
      <c r="BB31" s="33" t="str">
        <f aca="false">IF(J31="","",IFERROR(IF(INDEX(CPU!$I$4:$I$64,MATCH(J31,CPU!$A$4:$A$64,0))="","(isi di tab CPU)",INDEX(CPU!$I$4:$I$64,MATCH(J31,CPU!$A$4:$A$64,0))),"(CPU belum ada di tab CPU)"))</f>
        <v/>
      </c>
    </row>
    <row r="32" customFormat="false" ht="15" hidden="false" customHeight="true" outlineLevel="0" collapsed="false">
      <c r="A32" s="19"/>
      <c r="B32" s="19"/>
      <c r="C32" s="19"/>
      <c r="D32" s="20"/>
      <c r="E32" s="19"/>
      <c r="F32" s="20"/>
      <c r="G32" s="19"/>
      <c r="H32" s="19"/>
      <c r="I32" s="21"/>
      <c r="J32" s="19"/>
      <c r="K32" s="19"/>
      <c r="L32" s="20"/>
      <c r="M32" s="20"/>
      <c r="N32" s="19"/>
      <c r="O32" s="20"/>
      <c r="P32" s="19"/>
      <c r="Q32" s="19"/>
      <c r="R32" s="20"/>
      <c r="S32" s="20"/>
      <c r="T32" s="20"/>
      <c r="U32" s="20"/>
      <c r="V32" s="20"/>
      <c r="W32" s="19"/>
      <c r="X32" s="19"/>
      <c r="Y32" s="19"/>
      <c r="Z32" s="19"/>
      <c r="AA32" s="20"/>
      <c r="AB32" s="20"/>
      <c r="AC32" s="19"/>
      <c r="AD32" s="19"/>
      <c r="AE32" s="21"/>
      <c r="AF32" s="20"/>
      <c r="AG32" s="19"/>
      <c r="AH32" s="19"/>
      <c r="AI32" s="20"/>
      <c r="AJ32" s="19"/>
      <c r="AK32" s="20"/>
      <c r="AL32" s="20"/>
      <c r="AM32" s="19"/>
      <c r="AN32" s="20"/>
      <c r="AO32" s="19"/>
      <c r="AP32" s="19"/>
      <c r="AQ32" s="19"/>
      <c r="AR32" s="19"/>
      <c r="AS32" s="19"/>
      <c r="AT32" s="19"/>
      <c r="AU32" s="19"/>
      <c r="AV32" s="20"/>
      <c r="AW32" s="20"/>
      <c r="AX32" s="19"/>
      <c r="AY32" s="19"/>
      <c r="AZ32" s="21"/>
      <c r="BA32" s="32" t="str">
        <f aca="true">IF(D32="","",YEAR(TODAY())-D32)</f>
        <v/>
      </c>
      <c r="BB32" s="33" t="str">
        <f aca="false">IF(J32="","",IFERROR(IF(INDEX(CPU!$I$4:$I$64,MATCH(J32,CPU!$A$4:$A$64,0))="","(isi di tab CPU)",INDEX(CPU!$I$4:$I$64,MATCH(J32,CPU!$A$4:$A$64,0))),"(CPU belum ada di tab CPU)"))</f>
        <v/>
      </c>
    </row>
    <row r="33" customFormat="false" ht="15" hidden="false" customHeight="true" outlineLevel="0" collapsed="false">
      <c r="A33" s="19"/>
      <c r="B33" s="19"/>
      <c r="C33" s="19"/>
      <c r="D33" s="20"/>
      <c r="E33" s="19"/>
      <c r="F33" s="20"/>
      <c r="G33" s="19"/>
      <c r="H33" s="19"/>
      <c r="I33" s="21"/>
      <c r="J33" s="19"/>
      <c r="K33" s="19"/>
      <c r="L33" s="20"/>
      <c r="M33" s="20"/>
      <c r="N33" s="19"/>
      <c r="O33" s="20"/>
      <c r="P33" s="19"/>
      <c r="Q33" s="19"/>
      <c r="R33" s="20"/>
      <c r="S33" s="20"/>
      <c r="T33" s="20"/>
      <c r="U33" s="20"/>
      <c r="V33" s="20"/>
      <c r="W33" s="19"/>
      <c r="X33" s="19"/>
      <c r="Y33" s="19"/>
      <c r="Z33" s="19"/>
      <c r="AA33" s="20"/>
      <c r="AB33" s="20"/>
      <c r="AC33" s="19"/>
      <c r="AD33" s="19"/>
      <c r="AE33" s="21"/>
      <c r="AF33" s="20"/>
      <c r="AG33" s="19"/>
      <c r="AH33" s="19"/>
      <c r="AI33" s="20"/>
      <c r="AJ33" s="19"/>
      <c r="AK33" s="20"/>
      <c r="AL33" s="20"/>
      <c r="AM33" s="19"/>
      <c r="AN33" s="20"/>
      <c r="AO33" s="19"/>
      <c r="AP33" s="19"/>
      <c r="AQ33" s="19"/>
      <c r="AR33" s="19"/>
      <c r="AS33" s="19"/>
      <c r="AT33" s="19"/>
      <c r="AU33" s="19"/>
      <c r="AV33" s="20"/>
      <c r="AW33" s="20"/>
      <c r="AX33" s="19"/>
      <c r="AY33" s="19"/>
      <c r="AZ33" s="21"/>
      <c r="BA33" s="32" t="str">
        <f aca="true">IF(D33="","",YEAR(TODAY())-D33)</f>
        <v/>
      </c>
      <c r="BB33" s="33" t="str">
        <f aca="false">IF(J33="","",IFERROR(IF(INDEX(CPU!$I$4:$I$64,MATCH(J33,CPU!$A$4:$A$64,0))="","(isi di tab CPU)",INDEX(CPU!$I$4:$I$64,MATCH(J33,CPU!$A$4:$A$64,0))),"(CPU belum ada di tab CPU)"))</f>
        <v/>
      </c>
    </row>
    <row r="34" customFormat="false" ht="15" hidden="false" customHeight="true" outlineLevel="0" collapsed="false">
      <c r="A34" s="19"/>
      <c r="B34" s="19"/>
      <c r="C34" s="19"/>
      <c r="D34" s="20"/>
      <c r="E34" s="19"/>
      <c r="F34" s="20"/>
      <c r="G34" s="19"/>
      <c r="H34" s="19"/>
      <c r="I34" s="21"/>
      <c r="J34" s="19"/>
      <c r="K34" s="19"/>
      <c r="L34" s="20"/>
      <c r="M34" s="20"/>
      <c r="N34" s="19"/>
      <c r="O34" s="20"/>
      <c r="P34" s="19"/>
      <c r="Q34" s="19"/>
      <c r="R34" s="20"/>
      <c r="S34" s="20"/>
      <c r="T34" s="20"/>
      <c r="U34" s="20"/>
      <c r="V34" s="20"/>
      <c r="W34" s="19"/>
      <c r="X34" s="19"/>
      <c r="Y34" s="19"/>
      <c r="Z34" s="19"/>
      <c r="AA34" s="20"/>
      <c r="AB34" s="20"/>
      <c r="AC34" s="19"/>
      <c r="AD34" s="19"/>
      <c r="AE34" s="21"/>
      <c r="AF34" s="20"/>
      <c r="AG34" s="19"/>
      <c r="AH34" s="19"/>
      <c r="AI34" s="20"/>
      <c r="AJ34" s="19"/>
      <c r="AK34" s="20"/>
      <c r="AL34" s="20"/>
      <c r="AM34" s="19"/>
      <c r="AN34" s="20"/>
      <c r="AO34" s="19"/>
      <c r="AP34" s="19"/>
      <c r="AQ34" s="19"/>
      <c r="AR34" s="19"/>
      <c r="AS34" s="19"/>
      <c r="AT34" s="19"/>
      <c r="AU34" s="19"/>
      <c r="AV34" s="20"/>
      <c r="AW34" s="20"/>
      <c r="AX34" s="19"/>
      <c r="AY34" s="19"/>
      <c r="AZ34" s="21"/>
      <c r="BA34" s="32" t="str">
        <f aca="true">IF(D34="","",YEAR(TODAY())-D34)</f>
        <v/>
      </c>
      <c r="BB34" s="33" t="str">
        <f aca="false">IF(J34="","",IFERROR(IF(INDEX(CPU!$I$4:$I$64,MATCH(J34,CPU!$A$4:$A$64,0))="","(isi di tab CPU)",INDEX(CPU!$I$4:$I$64,MATCH(J34,CPU!$A$4:$A$64,0))),"(CPU belum ada di tab CPU)"))</f>
        <v/>
      </c>
    </row>
    <row r="35" customFormat="false" ht="15" hidden="false" customHeight="true" outlineLevel="0" collapsed="false">
      <c r="A35" s="19"/>
      <c r="B35" s="19"/>
      <c r="C35" s="19"/>
      <c r="D35" s="20"/>
      <c r="E35" s="19"/>
      <c r="F35" s="20"/>
      <c r="G35" s="19"/>
      <c r="H35" s="19"/>
      <c r="I35" s="21"/>
      <c r="J35" s="19"/>
      <c r="K35" s="19"/>
      <c r="L35" s="20"/>
      <c r="M35" s="20"/>
      <c r="N35" s="19"/>
      <c r="O35" s="20"/>
      <c r="P35" s="19"/>
      <c r="Q35" s="19"/>
      <c r="R35" s="20"/>
      <c r="S35" s="20"/>
      <c r="T35" s="20"/>
      <c r="U35" s="20"/>
      <c r="V35" s="20"/>
      <c r="W35" s="19"/>
      <c r="X35" s="19"/>
      <c r="Y35" s="19"/>
      <c r="Z35" s="19"/>
      <c r="AA35" s="20"/>
      <c r="AB35" s="20"/>
      <c r="AC35" s="19"/>
      <c r="AD35" s="19"/>
      <c r="AE35" s="21"/>
      <c r="AF35" s="20"/>
      <c r="AG35" s="19"/>
      <c r="AH35" s="19"/>
      <c r="AI35" s="20"/>
      <c r="AJ35" s="19"/>
      <c r="AK35" s="20"/>
      <c r="AL35" s="20"/>
      <c r="AM35" s="19"/>
      <c r="AN35" s="20"/>
      <c r="AO35" s="19"/>
      <c r="AP35" s="19"/>
      <c r="AQ35" s="19"/>
      <c r="AR35" s="19"/>
      <c r="AS35" s="19"/>
      <c r="AT35" s="19"/>
      <c r="AU35" s="19"/>
      <c r="AV35" s="20"/>
      <c r="AW35" s="20"/>
      <c r="AX35" s="19"/>
      <c r="AY35" s="19"/>
      <c r="AZ35" s="21"/>
      <c r="BA35" s="32" t="str">
        <f aca="true">IF(D35="","",YEAR(TODAY())-D35)</f>
        <v/>
      </c>
      <c r="BB35" s="33" t="str">
        <f aca="false">IF(J35="","",IFERROR(IF(INDEX(CPU!$I$4:$I$64,MATCH(J35,CPU!$A$4:$A$64,0))="","(isi di tab CPU)",INDEX(CPU!$I$4:$I$64,MATCH(J35,CPU!$A$4:$A$64,0))),"(CPU belum ada di tab CPU)"))</f>
        <v/>
      </c>
    </row>
    <row r="36" customFormat="false" ht="15" hidden="false" customHeight="true" outlineLevel="0" collapsed="false">
      <c r="A36" s="19"/>
      <c r="B36" s="19"/>
      <c r="C36" s="19"/>
      <c r="D36" s="20"/>
      <c r="E36" s="19"/>
      <c r="F36" s="20"/>
      <c r="G36" s="19"/>
      <c r="H36" s="19"/>
      <c r="I36" s="21"/>
      <c r="J36" s="19"/>
      <c r="K36" s="19"/>
      <c r="L36" s="20"/>
      <c r="M36" s="20"/>
      <c r="N36" s="19"/>
      <c r="O36" s="20"/>
      <c r="P36" s="19"/>
      <c r="Q36" s="19"/>
      <c r="R36" s="20"/>
      <c r="S36" s="20"/>
      <c r="T36" s="20"/>
      <c r="U36" s="20"/>
      <c r="V36" s="20"/>
      <c r="W36" s="19"/>
      <c r="X36" s="19"/>
      <c r="Y36" s="19"/>
      <c r="Z36" s="19"/>
      <c r="AA36" s="20"/>
      <c r="AB36" s="20"/>
      <c r="AC36" s="19"/>
      <c r="AD36" s="19"/>
      <c r="AE36" s="21"/>
      <c r="AF36" s="20"/>
      <c r="AG36" s="19"/>
      <c r="AH36" s="19"/>
      <c r="AI36" s="20"/>
      <c r="AJ36" s="19"/>
      <c r="AK36" s="20"/>
      <c r="AL36" s="20"/>
      <c r="AM36" s="19"/>
      <c r="AN36" s="20"/>
      <c r="AO36" s="19"/>
      <c r="AP36" s="19"/>
      <c r="AQ36" s="19"/>
      <c r="AR36" s="19"/>
      <c r="AS36" s="19"/>
      <c r="AT36" s="19"/>
      <c r="AU36" s="19"/>
      <c r="AV36" s="20"/>
      <c r="AW36" s="20"/>
      <c r="AX36" s="19"/>
      <c r="AY36" s="19"/>
      <c r="AZ36" s="21"/>
      <c r="BA36" s="32" t="str">
        <f aca="true">IF(D36="","",YEAR(TODAY())-D36)</f>
        <v/>
      </c>
      <c r="BB36" s="33" t="str">
        <f aca="false">IF(J36="","",IFERROR(IF(INDEX(CPU!$I$4:$I$64,MATCH(J36,CPU!$A$4:$A$64,0))="","(isi di tab CPU)",INDEX(CPU!$I$4:$I$64,MATCH(J36,CPU!$A$4:$A$64,0))),"(CPU belum ada di tab CPU)"))</f>
        <v/>
      </c>
    </row>
    <row r="37" customFormat="false" ht="15" hidden="false" customHeight="true" outlineLevel="0" collapsed="false">
      <c r="A37" s="19"/>
      <c r="B37" s="19"/>
      <c r="C37" s="19"/>
      <c r="D37" s="20"/>
      <c r="E37" s="19"/>
      <c r="F37" s="20"/>
      <c r="G37" s="19"/>
      <c r="H37" s="19"/>
      <c r="I37" s="21"/>
      <c r="J37" s="19"/>
      <c r="K37" s="19"/>
      <c r="L37" s="20"/>
      <c r="M37" s="20"/>
      <c r="N37" s="19"/>
      <c r="O37" s="20"/>
      <c r="P37" s="19"/>
      <c r="Q37" s="19"/>
      <c r="R37" s="20"/>
      <c r="S37" s="20"/>
      <c r="T37" s="20"/>
      <c r="U37" s="20"/>
      <c r="V37" s="20"/>
      <c r="W37" s="19"/>
      <c r="X37" s="19"/>
      <c r="Y37" s="19"/>
      <c r="Z37" s="19"/>
      <c r="AA37" s="20"/>
      <c r="AB37" s="20"/>
      <c r="AC37" s="19"/>
      <c r="AD37" s="19"/>
      <c r="AE37" s="21"/>
      <c r="AF37" s="20"/>
      <c r="AG37" s="19"/>
      <c r="AH37" s="19"/>
      <c r="AI37" s="20"/>
      <c r="AJ37" s="19"/>
      <c r="AK37" s="20"/>
      <c r="AL37" s="20"/>
      <c r="AM37" s="19"/>
      <c r="AN37" s="20"/>
      <c r="AO37" s="19"/>
      <c r="AP37" s="19"/>
      <c r="AQ37" s="19"/>
      <c r="AR37" s="19"/>
      <c r="AS37" s="19"/>
      <c r="AT37" s="19"/>
      <c r="AU37" s="19"/>
      <c r="AV37" s="20"/>
      <c r="AW37" s="20"/>
      <c r="AX37" s="19"/>
      <c r="AY37" s="19"/>
      <c r="AZ37" s="21"/>
      <c r="BA37" s="32" t="str">
        <f aca="true">IF(D37="","",YEAR(TODAY())-D37)</f>
        <v/>
      </c>
      <c r="BB37" s="33" t="str">
        <f aca="false">IF(J37="","",IFERROR(IF(INDEX(CPU!$I$4:$I$64,MATCH(J37,CPU!$A$4:$A$64,0))="","(isi di tab CPU)",INDEX(CPU!$I$4:$I$64,MATCH(J37,CPU!$A$4:$A$64,0))),"(CPU belum ada di tab CPU)"))</f>
        <v/>
      </c>
    </row>
    <row r="38" customFormat="false" ht="15" hidden="false" customHeight="true" outlineLevel="0" collapsed="false">
      <c r="A38" s="19"/>
      <c r="B38" s="19"/>
      <c r="C38" s="19"/>
      <c r="D38" s="20"/>
      <c r="E38" s="19"/>
      <c r="F38" s="20"/>
      <c r="G38" s="19"/>
      <c r="H38" s="19"/>
      <c r="I38" s="21"/>
      <c r="J38" s="19"/>
      <c r="K38" s="19"/>
      <c r="L38" s="20"/>
      <c r="M38" s="20"/>
      <c r="N38" s="19"/>
      <c r="O38" s="20"/>
      <c r="P38" s="19"/>
      <c r="Q38" s="19"/>
      <c r="R38" s="20"/>
      <c r="S38" s="20"/>
      <c r="T38" s="20"/>
      <c r="U38" s="20"/>
      <c r="V38" s="20"/>
      <c r="W38" s="19"/>
      <c r="X38" s="19"/>
      <c r="Y38" s="19"/>
      <c r="Z38" s="19"/>
      <c r="AA38" s="20"/>
      <c r="AB38" s="20"/>
      <c r="AC38" s="19"/>
      <c r="AD38" s="19"/>
      <c r="AE38" s="21"/>
      <c r="AF38" s="20"/>
      <c r="AG38" s="19"/>
      <c r="AH38" s="19"/>
      <c r="AI38" s="20"/>
      <c r="AJ38" s="19"/>
      <c r="AK38" s="20"/>
      <c r="AL38" s="20"/>
      <c r="AM38" s="19"/>
      <c r="AN38" s="20"/>
      <c r="AO38" s="19"/>
      <c r="AP38" s="19"/>
      <c r="AQ38" s="19"/>
      <c r="AR38" s="19"/>
      <c r="AS38" s="19"/>
      <c r="AT38" s="19"/>
      <c r="AU38" s="19"/>
      <c r="AV38" s="20"/>
      <c r="AW38" s="20"/>
      <c r="AX38" s="19"/>
      <c r="AY38" s="19"/>
      <c r="AZ38" s="21"/>
      <c r="BA38" s="32" t="str">
        <f aca="true">IF(D38="","",YEAR(TODAY())-D38)</f>
        <v/>
      </c>
      <c r="BB38" s="33" t="str">
        <f aca="false">IF(J38="","",IFERROR(IF(INDEX(CPU!$I$4:$I$64,MATCH(J38,CPU!$A$4:$A$64,0))="","(isi di tab CPU)",INDEX(CPU!$I$4:$I$64,MATCH(J38,CPU!$A$4:$A$64,0))),"(CPU belum ada di tab CPU)"))</f>
        <v/>
      </c>
    </row>
    <row r="39" customFormat="false" ht="15" hidden="false" customHeight="true" outlineLevel="0" collapsed="false">
      <c r="A39" s="19"/>
      <c r="B39" s="19"/>
      <c r="C39" s="19"/>
      <c r="D39" s="20"/>
      <c r="E39" s="19"/>
      <c r="F39" s="20"/>
      <c r="G39" s="19"/>
      <c r="H39" s="19"/>
      <c r="I39" s="21"/>
      <c r="J39" s="19"/>
      <c r="K39" s="19"/>
      <c r="L39" s="20"/>
      <c r="M39" s="20"/>
      <c r="N39" s="19"/>
      <c r="O39" s="20"/>
      <c r="P39" s="19"/>
      <c r="Q39" s="19"/>
      <c r="R39" s="20"/>
      <c r="S39" s="20"/>
      <c r="T39" s="20"/>
      <c r="U39" s="20"/>
      <c r="V39" s="20"/>
      <c r="W39" s="19"/>
      <c r="X39" s="19"/>
      <c r="Y39" s="19"/>
      <c r="Z39" s="19"/>
      <c r="AA39" s="20"/>
      <c r="AB39" s="20"/>
      <c r="AC39" s="19"/>
      <c r="AD39" s="19"/>
      <c r="AE39" s="21"/>
      <c r="AF39" s="20"/>
      <c r="AG39" s="19"/>
      <c r="AH39" s="19"/>
      <c r="AI39" s="20"/>
      <c r="AJ39" s="19"/>
      <c r="AK39" s="20"/>
      <c r="AL39" s="20"/>
      <c r="AM39" s="19"/>
      <c r="AN39" s="20"/>
      <c r="AO39" s="19"/>
      <c r="AP39" s="19"/>
      <c r="AQ39" s="19"/>
      <c r="AR39" s="19"/>
      <c r="AS39" s="19"/>
      <c r="AT39" s="19"/>
      <c r="AU39" s="19"/>
      <c r="AV39" s="20"/>
      <c r="AW39" s="20"/>
      <c r="AX39" s="19"/>
      <c r="AY39" s="19"/>
      <c r="AZ39" s="21"/>
      <c r="BA39" s="32" t="str">
        <f aca="true">IF(D39="","",YEAR(TODAY())-D39)</f>
        <v/>
      </c>
      <c r="BB39" s="33" t="str">
        <f aca="false">IF(J39="","",IFERROR(IF(INDEX(CPU!$I$4:$I$64,MATCH(J39,CPU!$A$4:$A$64,0))="","(isi di tab CPU)",INDEX(CPU!$I$4:$I$64,MATCH(J39,CPU!$A$4:$A$64,0))),"(CPU belum ada di tab CPU)"))</f>
        <v/>
      </c>
    </row>
    <row r="40" customFormat="false" ht="15" hidden="false" customHeight="true" outlineLevel="0" collapsed="false">
      <c r="A40" s="19"/>
      <c r="B40" s="19"/>
      <c r="C40" s="19"/>
      <c r="D40" s="20"/>
      <c r="E40" s="19"/>
      <c r="F40" s="20"/>
      <c r="G40" s="19"/>
      <c r="H40" s="19"/>
      <c r="I40" s="21"/>
      <c r="J40" s="19"/>
      <c r="K40" s="19"/>
      <c r="L40" s="20"/>
      <c r="M40" s="20"/>
      <c r="N40" s="19"/>
      <c r="O40" s="20"/>
      <c r="P40" s="19"/>
      <c r="Q40" s="19"/>
      <c r="R40" s="20"/>
      <c r="S40" s="20"/>
      <c r="T40" s="20"/>
      <c r="U40" s="20"/>
      <c r="V40" s="20"/>
      <c r="W40" s="19"/>
      <c r="X40" s="19"/>
      <c r="Y40" s="19"/>
      <c r="Z40" s="19"/>
      <c r="AA40" s="20"/>
      <c r="AB40" s="20"/>
      <c r="AC40" s="19"/>
      <c r="AD40" s="19"/>
      <c r="AE40" s="21"/>
      <c r="AF40" s="20"/>
      <c r="AG40" s="19"/>
      <c r="AH40" s="19"/>
      <c r="AI40" s="20"/>
      <c r="AJ40" s="19"/>
      <c r="AK40" s="20"/>
      <c r="AL40" s="20"/>
      <c r="AM40" s="19"/>
      <c r="AN40" s="20"/>
      <c r="AO40" s="19"/>
      <c r="AP40" s="19"/>
      <c r="AQ40" s="19"/>
      <c r="AR40" s="19"/>
      <c r="AS40" s="19"/>
      <c r="AT40" s="19"/>
      <c r="AU40" s="19"/>
      <c r="AV40" s="20"/>
      <c r="AW40" s="20"/>
      <c r="AX40" s="19"/>
      <c r="AY40" s="19"/>
      <c r="AZ40" s="21"/>
      <c r="BA40" s="32" t="str">
        <f aca="true">IF(D40="","",YEAR(TODAY())-D40)</f>
        <v/>
      </c>
      <c r="BB40" s="33" t="str">
        <f aca="false">IF(J40="","",IFERROR(IF(INDEX(CPU!$I$4:$I$64,MATCH(J40,CPU!$A$4:$A$64,0))="","(isi di tab CPU)",INDEX(CPU!$I$4:$I$64,MATCH(J40,CPU!$A$4:$A$64,0))),"(CPU belum ada di tab CPU)"))</f>
        <v/>
      </c>
    </row>
    <row r="41" customFormat="false" ht="15" hidden="false" customHeight="true" outlineLevel="0" collapsed="false">
      <c r="A41" s="19"/>
      <c r="B41" s="19"/>
      <c r="C41" s="19"/>
      <c r="D41" s="20"/>
      <c r="E41" s="19"/>
      <c r="F41" s="20"/>
      <c r="G41" s="19"/>
      <c r="H41" s="19"/>
      <c r="I41" s="21"/>
      <c r="J41" s="19"/>
      <c r="K41" s="19"/>
      <c r="L41" s="20"/>
      <c r="M41" s="20"/>
      <c r="N41" s="19"/>
      <c r="O41" s="20"/>
      <c r="P41" s="19"/>
      <c r="Q41" s="19"/>
      <c r="R41" s="20"/>
      <c r="S41" s="20"/>
      <c r="T41" s="20"/>
      <c r="U41" s="20"/>
      <c r="V41" s="20"/>
      <c r="W41" s="19"/>
      <c r="X41" s="19"/>
      <c r="Y41" s="19"/>
      <c r="Z41" s="19"/>
      <c r="AA41" s="20"/>
      <c r="AB41" s="20"/>
      <c r="AC41" s="19"/>
      <c r="AD41" s="19"/>
      <c r="AE41" s="21"/>
      <c r="AF41" s="20"/>
      <c r="AG41" s="19"/>
      <c r="AH41" s="19"/>
      <c r="AI41" s="20"/>
      <c r="AJ41" s="19"/>
      <c r="AK41" s="20"/>
      <c r="AL41" s="20"/>
      <c r="AM41" s="19"/>
      <c r="AN41" s="20"/>
      <c r="AO41" s="19"/>
      <c r="AP41" s="19"/>
      <c r="AQ41" s="19"/>
      <c r="AR41" s="19"/>
      <c r="AS41" s="19"/>
      <c r="AT41" s="19"/>
      <c r="AU41" s="19"/>
      <c r="AV41" s="20"/>
      <c r="AW41" s="20"/>
      <c r="AX41" s="19"/>
      <c r="AY41" s="19"/>
      <c r="AZ41" s="21"/>
      <c r="BA41" s="32" t="str">
        <f aca="true">IF(D41="","",YEAR(TODAY())-D41)</f>
        <v/>
      </c>
      <c r="BB41" s="33" t="str">
        <f aca="false">IF(J41="","",IFERROR(IF(INDEX(CPU!$I$4:$I$64,MATCH(J41,CPU!$A$4:$A$64,0))="","(isi di tab CPU)",INDEX(CPU!$I$4:$I$64,MATCH(J41,CPU!$A$4:$A$64,0))),"(CPU belum ada di tab CPU)"))</f>
        <v/>
      </c>
    </row>
    <row r="42" customFormat="false" ht="15" hidden="false" customHeight="true" outlineLevel="0" collapsed="false">
      <c r="A42" s="19"/>
      <c r="B42" s="19"/>
      <c r="C42" s="19"/>
      <c r="D42" s="20"/>
      <c r="E42" s="19"/>
      <c r="F42" s="20"/>
      <c r="G42" s="19"/>
      <c r="H42" s="19"/>
      <c r="I42" s="21"/>
      <c r="J42" s="19"/>
      <c r="K42" s="19"/>
      <c r="L42" s="20"/>
      <c r="M42" s="20"/>
      <c r="N42" s="19"/>
      <c r="O42" s="20"/>
      <c r="P42" s="19"/>
      <c r="Q42" s="19"/>
      <c r="R42" s="20"/>
      <c r="S42" s="20"/>
      <c r="T42" s="20"/>
      <c r="U42" s="20"/>
      <c r="V42" s="20"/>
      <c r="W42" s="19"/>
      <c r="X42" s="19"/>
      <c r="Y42" s="19"/>
      <c r="Z42" s="19"/>
      <c r="AA42" s="20"/>
      <c r="AB42" s="20"/>
      <c r="AC42" s="19"/>
      <c r="AD42" s="19"/>
      <c r="AE42" s="21"/>
      <c r="AF42" s="20"/>
      <c r="AG42" s="19"/>
      <c r="AH42" s="19"/>
      <c r="AI42" s="20"/>
      <c r="AJ42" s="19"/>
      <c r="AK42" s="20"/>
      <c r="AL42" s="20"/>
      <c r="AM42" s="19"/>
      <c r="AN42" s="20"/>
      <c r="AO42" s="19"/>
      <c r="AP42" s="19"/>
      <c r="AQ42" s="19"/>
      <c r="AR42" s="19"/>
      <c r="AS42" s="19"/>
      <c r="AT42" s="19"/>
      <c r="AU42" s="19"/>
      <c r="AV42" s="20"/>
      <c r="AW42" s="20"/>
      <c r="AX42" s="19"/>
      <c r="AY42" s="19"/>
      <c r="AZ42" s="21"/>
      <c r="BA42" s="32" t="str">
        <f aca="true">IF(D42="","",YEAR(TODAY())-D42)</f>
        <v/>
      </c>
      <c r="BB42" s="33" t="str">
        <f aca="false">IF(J42="","",IFERROR(IF(INDEX(CPU!$I$4:$I$64,MATCH(J42,CPU!$A$4:$A$64,0))="","(isi di tab CPU)",INDEX(CPU!$I$4:$I$64,MATCH(J42,CPU!$A$4:$A$64,0))),"(CPU belum ada di tab CPU)"))</f>
        <v/>
      </c>
    </row>
    <row r="43" customFormat="false" ht="15" hidden="false" customHeight="true" outlineLevel="0" collapsed="false">
      <c r="A43" s="19"/>
      <c r="B43" s="19"/>
      <c r="C43" s="19"/>
      <c r="D43" s="20"/>
      <c r="E43" s="19"/>
      <c r="F43" s="20"/>
      <c r="G43" s="19"/>
      <c r="H43" s="19"/>
      <c r="I43" s="21"/>
      <c r="J43" s="19"/>
      <c r="K43" s="19"/>
      <c r="L43" s="20"/>
      <c r="M43" s="20"/>
      <c r="N43" s="19"/>
      <c r="O43" s="20"/>
      <c r="P43" s="19"/>
      <c r="Q43" s="19"/>
      <c r="R43" s="20"/>
      <c r="S43" s="20"/>
      <c r="T43" s="20"/>
      <c r="U43" s="20"/>
      <c r="V43" s="20"/>
      <c r="W43" s="19"/>
      <c r="X43" s="19"/>
      <c r="Y43" s="19"/>
      <c r="Z43" s="19"/>
      <c r="AA43" s="20"/>
      <c r="AB43" s="20"/>
      <c r="AC43" s="19"/>
      <c r="AD43" s="19"/>
      <c r="AE43" s="21"/>
      <c r="AF43" s="20"/>
      <c r="AG43" s="19"/>
      <c r="AH43" s="19"/>
      <c r="AI43" s="20"/>
      <c r="AJ43" s="19"/>
      <c r="AK43" s="20"/>
      <c r="AL43" s="20"/>
      <c r="AM43" s="19"/>
      <c r="AN43" s="20"/>
      <c r="AO43" s="19"/>
      <c r="AP43" s="19"/>
      <c r="AQ43" s="19"/>
      <c r="AR43" s="19"/>
      <c r="AS43" s="19"/>
      <c r="AT43" s="19"/>
      <c r="AU43" s="19"/>
      <c r="AV43" s="20"/>
      <c r="AW43" s="20"/>
      <c r="AX43" s="19"/>
      <c r="AY43" s="19"/>
      <c r="AZ43" s="21"/>
      <c r="BA43" s="32" t="str">
        <f aca="true">IF(D43="","",YEAR(TODAY())-D43)</f>
        <v/>
      </c>
      <c r="BB43" s="33" t="str">
        <f aca="false">IF(J43="","",IFERROR(IF(INDEX(CPU!$I$4:$I$64,MATCH(J43,CPU!$A$4:$A$64,0))="","(isi di tab CPU)",INDEX(CPU!$I$4:$I$64,MATCH(J43,CPU!$A$4:$A$64,0))),"(CPU belum ada di tab CPU)"))</f>
        <v/>
      </c>
    </row>
    <row r="44" customFormat="false" ht="15" hidden="false" customHeight="true" outlineLevel="0" collapsed="false">
      <c r="A44" s="19"/>
      <c r="B44" s="19"/>
      <c r="C44" s="19"/>
      <c r="D44" s="20"/>
      <c r="E44" s="19"/>
      <c r="F44" s="20"/>
      <c r="G44" s="19"/>
      <c r="H44" s="19"/>
      <c r="I44" s="21"/>
      <c r="J44" s="19"/>
      <c r="K44" s="19"/>
      <c r="L44" s="20"/>
      <c r="M44" s="20"/>
      <c r="N44" s="19"/>
      <c r="O44" s="20"/>
      <c r="P44" s="19"/>
      <c r="Q44" s="19"/>
      <c r="R44" s="20"/>
      <c r="S44" s="20"/>
      <c r="T44" s="20"/>
      <c r="U44" s="20"/>
      <c r="V44" s="20"/>
      <c r="W44" s="19"/>
      <c r="X44" s="19"/>
      <c r="Y44" s="19"/>
      <c r="Z44" s="19"/>
      <c r="AA44" s="20"/>
      <c r="AB44" s="20"/>
      <c r="AC44" s="19"/>
      <c r="AD44" s="19"/>
      <c r="AE44" s="21"/>
      <c r="AF44" s="20"/>
      <c r="AG44" s="19"/>
      <c r="AH44" s="19"/>
      <c r="AI44" s="20"/>
      <c r="AJ44" s="19"/>
      <c r="AK44" s="20"/>
      <c r="AL44" s="20"/>
      <c r="AM44" s="19"/>
      <c r="AN44" s="20"/>
      <c r="AO44" s="19"/>
      <c r="AP44" s="19"/>
      <c r="AQ44" s="19"/>
      <c r="AR44" s="19"/>
      <c r="AS44" s="19"/>
      <c r="AT44" s="19"/>
      <c r="AU44" s="19"/>
      <c r="AV44" s="20"/>
      <c r="AW44" s="20"/>
      <c r="AX44" s="19"/>
      <c r="AY44" s="19"/>
      <c r="AZ44" s="21"/>
      <c r="BA44" s="32" t="str">
        <f aca="true">IF(D44="","",YEAR(TODAY())-D44)</f>
        <v/>
      </c>
      <c r="BB44" s="33" t="str">
        <f aca="false">IF(J44="","",IFERROR(IF(INDEX(CPU!$I$4:$I$64,MATCH(J44,CPU!$A$4:$A$64,0))="","(isi di tab CPU)",INDEX(CPU!$I$4:$I$64,MATCH(J44,CPU!$A$4:$A$64,0))),"(CPU belum ada di tab CPU)"))</f>
        <v/>
      </c>
    </row>
    <row r="45" customFormat="false" ht="15" hidden="false" customHeight="true" outlineLevel="0" collapsed="false">
      <c r="A45" s="19"/>
      <c r="B45" s="19"/>
      <c r="C45" s="19"/>
      <c r="D45" s="20"/>
      <c r="E45" s="19"/>
      <c r="F45" s="20"/>
      <c r="G45" s="19"/>
      <c r="H45" s="19"/>
      <c r="I45" s="21"/>
      <c r="J45" s="19"/>
      <c r="K45" s="19"/>
      <c r="L45" s="20"/>
      <c r="M45" s="20"/>
      <c r="N45" s="19"/>
      <c r="O45" s="20"/>
      <c r="P45" s="19"/>
      <c r="Q45" s="19"/>
      <c r="R45" s="20"/>
      <c r="S45" s="20"/>
      <c r="T45" s="20"/>
      <c r="U45" s="20"/>
      <c r="V45" s="20"/>
      <c r="W45" s="19"/>
      <c r="X45" s="19"/>
      <c r="Y45" s="19"/>
      <c r="Z45" s="19"/>
      <c r="AA45" s="20"/>
      <c r="AB45" s="20"/>
      <c r="AC45" s="19"/>
      <c r="AD45" s="19"/>
      <c r="AE45" s="21"/>
      <c r="AF45" s="20"/>
      <c r="AG45" s="19"/>
      <c r="AH45" s="19"/>
      <c r="AI45" s="20"/>
      <c r="AJ45" s="19"/>
      <c r="AK45" s="20"/>
      <c r="AL45" s="20"/>
      <c r="AM45" s="19"/>
      <c r="AN45" s="20"/>
      <c r="AO45" s="19"/>
      <c r="AP45" s="19"/>
      <c r="AQ45" s="19"/>
      <c r="AR45" s="19"/>
      <c r="AS45" s="19"/>
      <c r="AT45" s="19"/>
      <c r="AU45" s="19"/>
      <c r="AV45" s="20"/>
      <c r="AW45" s="20"/>
      <c r="AX45" s="19"/>
      <c r="AY45" s="19"/>
      <c r="AZ45" s="21"/>
      <c r="BA45" s="32" t="str">
        <f aca="true">IF(D45="","",YEAR(TODAY())-D45)</f>
        <v/>
      </c>
      <c r="BB45" s="33" t="str">
        <f aca="false">IF(J45="","",IFERROR(IF(INDEX(CPU!$I$4:$I$64,MATCH(J45,CPU!$A$4:$A$64,0))="","(isi di tab CPU)",INDEX(CPU!$I$4:$I$64,MATCH(J45,CPU!$A$4:$A$64,0))),"(CPU belum ada di tab CPU)"))</f>
        <v/>
      </c>
    </row>
    <row r="46" customFormat="false" ht="15" hidden="false" customHeight="true" outlineLevel="0" collapsed="false">
      <c r="A46" s="19"/>
      <c r="B46" s="19"/>
      <c r="C46" s="19"/>
      <c r="D46" s="20"/>
      <c r="E46" s="19"/>
      <c r="F46" s="20"/>
      <c r="G46" s="19"/>
      <c r="H46" s="19"/>
      <c r="I46" s="21"/>
      <c r="J46" s="19"/>
      <c r="K46" s="19"/>
      <c r="L46" s="20"/>
      <c r="M46" s="20"/>
      <c r="N46" s="19"/>
      <c r="O46" s="20"/>
      <c r="P46" s="19"/>
      <c r="Q46" s="19"/>
      <c r="R46" s="20"/>
      <c r="S46" s="20"/>
      <c r="T46" s="20"/>
      <c r="U46" s="20"/>
      <c r="V46" s="20"/>
      <c r="W46" s="19"/>
      <c r="X46" s="19"/>
      <c r="Y46" s="19"/>
      <c r="Z46" s="19"/>
      <c r="AA46" s="20"/>
      <c r="AB46" s="20"/>
      <c r="AC46" s="19"/>
      <c r="AD46" s="19"/>
      <c r="AE46" s="21"/>
      <c r="AF46" s="20"/>
      <c r="AG46" s="19"/>
      <c r="AH46" s="19"/>
      <c r="AI46" s="20"/>
      <c r="AJ46" s="19"/>
      <c r="AK46" s="20"/>
      <c r="AL46" s="20"/>
      <c r="AM46" s="19"/>
      <c r="AN46" s="20"/>
      <c r="AO46" s="19"/>
      <c r="AP46" s="19"/>
      <c r="AQ46" s="19"/>
      <c r="AR46" s="19"/>
      <c r="AS46" s="19"/>
      <c r="AT46" s="19"/>
      <c r="AU46" s="19"/>
      <c r="AV46" s="20"/>
      <c r="AW46" s="20"/>
      <c r="AX46" s="19"/>
      <c r="AY46" s="19"/>
      <c r="AZ46" s="21"/>
      <c r="BA46" s="32" t="str">
        <f aca="true">IF(D46="","",YEAR(TODAY())-D46)</f>
        <v/>
      </c>
      <c r="BB46" s="33" t="str">
        <f aca="false">IF(J46="","",IFERROR(IF(INDEX(CPU!$I$4:$I$64,MATCH(J46,CPU!$A$4:$A$64,0))="","(isi di tab CPU)",INDEX(CPU!$I$4:$I$64,MATCH(J46,CPU!$A$4:$A$64,0))),"(CPU belum ada di tab CPU)"))</f>
        <v/>
      </c>
    </row>
    <row r="47" customFormat="false" ht="15" hidden="false" customHeight="true" outlineLevel="0" collapsed="false">
      <c r="A47" s="19"/>
      <c r="B47" s="19"/>
      <c r="C47" s="19"/>
      <c r="D47" s="20"/>
      <c r="E47" s="19"/>
      <c r="F47" s="20"/>
      <c r="G47" s="19"/>
      <c r="H47" s="19"/>
      <c r="I47" s="21"/>
      <c r="J47" s="19"/>
      <c r="K47" s="19"/>
      <c r="L47" s="20"/>
      <c r="M47" s="20"/>
      <c r="N47" s="19"/>
      <c r="O47" s="20"/>
      <c r="P47" s="19"/>
      <c r="Q47" s="19"/>
      <c r="R47" s="20"/>
      <c r="S47" s="20"/>
      <c r="T47" s="20"/>
      <c r="U47" s="20"/>
      <c r="V47" s="20"/>
      <c r="W47" s="19"/>
      <c r="X47" s="19"/>
      <c r="Y47" s="19"/>
      <c r="Z47" s="19"/>
      <c r="AA47" s="20"/>
      <c r="AB47" s="20"/>
      <c r="AC47" s="19"/>
      <c r="AD47" s="19"/>
      <c r="AE47" s="21"/>
      <c r="AF47" s="20"/>
      <c r="AG47" s="19"/>
      <c r="AH47" s="19"/>
      <c r="AI47" s="20"/>
      <c r="AJ47" s="19"/>
      <c r="AK47" s="20"/>
      <c r="AL47" s="20"/>
      <c r="AM47" s="19"/>
      <c r="AN47" s="20"/>
      <c r="AO47" s="19"/>
      <c r="AP47" s="19"/>
      <c r="AQ47" s="19"/>
      <c r="AR47" s="19"/>
      <c r="AS47" s="19"/>
      <c r="AT47" s="19"/>
      <c r="AU47" s="19"/>
      <c r="AV47" s="20"/>
      <c r="AW47" s="20"/>
      <c r="AX47" s="19"/>
      <c r="AY47" s="19"/>
      <c r="AZ47" s="21"/>
      <c r="BA47" s="32" t="str">
        <f aca="true">IF(D47="","",YEAR(TODAY())-D47)</f>
        <v/>
      </c>
      <c r="BB47" s="33" t="str">
        <f aca="false">IF(J47="","",IFERROR(IF(INDEX(CPU!$I$4:$I$64,MATCH(J47,CPU!$A$4:$A$64,0))="","(isi di tab CPU)",INDEX(CPU!$I$4:$I$64,MATCH(J47,CPU!$A$4:$A$64,0))),"(CPU belum ada di tab CPU)"))</f>
        <v/>
      </c>
    </row>
    <row r="48" customFormat="false" ht="15" hidden="false" customHeight="true" outlineLevel="0" collapsed="false">
      <c r="A48" s="19"/>
      <c r="B48" s="19"/>
      <c r="C48" s="19"/>
      <c r="D48" s="20"/>
      <c r="E48" s="19"/>
      <c r="F48" s="20"/>
      <c r="G48" s="19"/>
      <c r="H48" s="19"/>
      <c r="I48" s="21"/>
      <c r="J48" s="19"/>
      <c r="K48" s="19"/>
      <c r="L48" s="20"/>
      <c r="M48" s="20"/>
      <c r="N48" s="19"/>
      <c r="O48" s="20"/>
      <c r="P48" s="19"/>
      <c r="Q48" s="19"/>
      <c r="R48" s="20"/>
      <c r="S48" s="20"/>
      <c r="T48" s="20"/>
      <c r="U48" s="20"/>
      <c r="V48" s="20"/>
      <c r="W48" s="19"/>
      <c r="X48" s="19"/>
      <c r="Y48" s="19"/>
      <c r="Z48" s="19"/>
      <c r="AA48" s="20"/>
      <c r="AB48" s="20"/>
      <c r="AC48" s="19"/>
      <c r="AD48" s="19"/>
      <c r="AE48" s="21"/>
      <c r="AF48" s="20"/>
      <c r="AG48" s="19"/>
      <c r="AH48" s="19"/>
      <c r="AI48" s="20"/>
      <c r="AJ48" s="19"/>
      <c r="AK48" s="20"/>
      <c r="AL48" s="20"/>
      <c r="AM48" s="19"/>
      <c r="AN48" s="20"/>
      <c r="AO48" s="19"/>
      <c r="AP48" s="19"/>
      <c r="AQ48" s="19"/>
      <c r="AR48" s="19"/>
      <c r="AS48" s="19"/>
      <c r="AT48" s="19"/>
      <c r="AU48" s="19"/>
      <c r="AV48" s="20"/>
      <c r="AW48" s="20"/>
      <c r="AX48" s="19"/>
      <c r="AY48" s="19"/>
      <c r="AZ48" s="21"/>
      <c r="BA48" s="32" t="str">
        <f aca="true">IF(D48="","",YEAR(TODAY())-D48)</f>
        <v/>
      </c>
      <c r="BB48" s="33" t="str">
        <f aca="false">IF(J48="","",IFERROR(IF(INDEX(CPU!$I$4:$I$64,MATCH(J48,CPU!$A$4:$A$64,0))="","(isi di tab CPU)",INDEX(CPU!$I$4:$I$64,MATCH(J48,CPU!$A$4:$A$64,0))),"(CPU belum ada di tab CPU)"))</f>
        <v/>
      </c>
    </row>
    <row r="49" customFormat="false" ht="15" hidden="false" customHeight="true" outlineLevel="0" collapsed="false">
      <c r="A49" s="19"/>
      <c r="B49" s="19"/>
      <c r="C49" s="19"/>
      <c r="D49" s="20"/>
      <c r="E49" s="19"/>
      <c r="F49" s="20"/>
      <c r="G49" s="19"/>
      <c r="H49" s="19"/>
      <c r="I49" s="21"/>
      <c r="J49" s="19"/>
      <c r="K49" s="19"/>
      <c r="L49" s="20"/>
      <c r="M49" s="20"/>
      <c r="N49" s="19"/>
      <c r="O49" s="20"/>
      <c r="P49" s="19"/>
      <c r="Q49" s="19"/>
      <c r="R49" s="20"/>
      <c r="S49" s="20"/>
      <c r="T49" s="20"/>
      <c r="U49" s="20"/>
      <c r="V49" s="20"/>
      <c r="W49" s="19"/>
      <c r="X49" s="19"/>
      <c r="Y49" s="19"/>
      <c r="Z49" s="19"/>
      <c r="AA49" s="20"/>
      <c r="AB49" s="20"/>
      <c r="AC49" s="19"/>
      <c r="AD49" s="19"/>
      <c r="AE49" s="21"/>
      <c r="AF49" s="20"/>
      <c r="AG49" s="19"/>
      <c r="AH49" s="19"/>
      <c r="AI49" s="20"/>
      <c r="AJ49" s="19"/>
      <c r="AK49" s="20"/>
      <c r="AL49" s="20"/>
      <c r="AM49" s="19"/>
      <c r="AN49" s="20"/>
      <c r="AO49" s="19"/>
      <c r="AP49" s="19"/>
      <c r="AQ49" s="19"/>
      <c r="AR49" s="19"/>
      <c r="AS49" s="19"/>
      <c r="AT49" s="19"/>
      <c r="AU49" s="19"/>
      <c r="AV49" s="20"/>
      <c r="AW49" s="20"/>
      <c r="AX49" s="19"/>
      <c r="AY49" s="19"/>
      <c r="AZ49" s="21"/>
      <c r="BA49" s="32" t="str">
        <f aca="true">IF(D49="","",YEAR(TODAY())-D49)</f>
        <v/>
      </c>
      <c r="BB49" s="33" t="str">
        <f aca="false">IF(J49="","",IFERROR(IF(INDEX(CPU!$I$4:$I$64,MATCH(J49,CPU!$A$4:$A$64,0))="","(isi di tab CPU)",INDEX(CPU!$I$4:$I$64,MATCH(J49,CPU!$A$4:$A$64,0))),"(CPU belum ada di tab CPU)"))</f>
        <v/>
      </c>
    </row>
    <row r="50" customFormat="false" ht="15" hidden="false" customHeight="true" outlineLevel="0" collapsed="false">
      <c r="A50" s="19"/>
      <c r="B50" s="19"/>
      <c r="C50" s="19"/>
      <c r="D50" s="20"/>
      <c r="E50" s="19"/>
      <c r="F50" s="20"/>
      <c r="G50" s="19"/>
      <c r="H50" s="19"/>
      <c r="I50" s="21"/>
      <c r="J50" s="19"/>
      <c r="K50" s="19"/>
      <c r="L50" s="20"/>
      <c r="M50" s="20"/>
      <c r="N50" s="19"/>
      <c r="O50" s="20"/>
      <c r="P50" s="19"/>
      <c r="Q50" s="19"/>
      <c r="R50" s="20"/>
      <c r="S50" s="20"/>
      <c r="T50" s="20"/>
      <c r="U50" s="20"/>
      <c r="V50" s="20"/>
      <c r="W50" s="19"/>
      <c r="X50" s="19"/>
      <c r="Y50" s="19"/>
      <c r="Z50" s="19"/>
      <c r="AA50" s="20"/>
      <c r="AB50" s="20"/>
      <c r="AC50" s="19"/>
      <c r="AD50" s="19"/>
      <c r="AE50" s="21"/>
      <c r="AF50" s="20"/>
      <c r="AG50" s="19"/>
      <c r="AH50" s="19"/>
      <c r="AI50" s="20"/>
      <c r="AJ50" s="19"/>
      <c r="AK50" s="20"/>
      <c r="AL50" s="20"/>
      <c r="AM50" s="19"/>
      <c r="AN50" s="20"/>
      <c r="AO50" s="19"/>
      <c r="AP50" s="19"/>
      <c r="AQ50" s="19"/>
      <c r="AR50" s="19"/>
      <c r="AS50" s="19"/>
      <c r="AT50" s="19"/>
      <c r="AU50" s="19"/>
      <c r="AV50" s="20"/>
      <c r="AW50" s="20"/>
      <c r="AX50" s="19"/>
      <c r="AY50" s="19"/>
      <c r="AZ50" s="21"/>
      <c r="BA50" s="32" t="str">
        <f aca="true">IF(D50="","",YEAR(TODAY())-D50)</f>
        <v/>
      </c>
      <c r="BB50" s="33" t="str">
        <f aca="false">IF(J50="","",IFERROR(IF(INDEX(CPU!$I$4:$I$64,MATCH(J50,CPU!$A$4:$A$64,0))="","(isi di tab CPU)",INDEX(CPU!$I$4:$I$64,MATCH(J50,CPU!$A$4:$A$64,0))),"(CPU belum ada di tab CPU)"))</f>
        <v/>
      </c>
    </row>
    <row r="51" customFormat="false" ht="15" hidden="false" customHeight="true" outlineLevel="0" collapsed="false">
      <c r="A51" s="19"/>
      <c r="B51" s="19"/>
      <c r="C51" s="19"/>
      <c r="D51" s="20"/>
      <c r="E51" s="19"/>
      <c r="F51" s="20"/>
      <c r="G51" s="19"/>
      <c r="H51" s="19"/>
      <c r="I51" s="21"/>
      <c r="J51" s="19"/>
      <c r="K51" s="19"/>
      <c r="L51" s="20"/>
      <c r="M51" s="20"/>
      <c r="N51" s="19"/>
      <c r="O51" s="20"/>
      <c r="P51" s="19"/>
      <c r="Q51" s="19"/>
      <c r="R51" s="20"/>
      <c r="S51" s="20"/>
      <c r="T51" s="20"/>
      <c r="U51" s="20"/>
      <c r="V51" s="20"/>
      <c r="W51" s="19"/>
      <c r="X51" s="19"/>
      <c r="Y51" s="19"/>
      <c r="Z51" s="19"/>
      <c r="AA51" s="20"/>
      <c r="AB51" s="20"/>
      <c r="AC51" s="19"/>
      <c r="AD51" s="19"/>
      <c r="AE51" s="21"/>
      <c r="AF51" s="20"/>
      <c r="AG51" s="19"/>
      <c r="AH51" s="19"/>
      <c r="AI51" s="20"/>
      <c r="AJ51" s="19"/>
      <c r="AK51" s="20"/>
      <c r="AL51" s="20"/>
      <c r="AM51" s="19"/>
      <c r="AN51" s="20"/>
      <c r="AO51" s="19"/>
      <c r="AP51" s="19"/>
      <c r="AQ51" s="19"/>
      <c r="AR51" s="19"/>
      <c r="AS51" s="19"/>
      <c r="AT51" s="19"/>
      <c r="AU51" s="19"/>
      <c r="AV51" s="20"/>
      <c r="AW51" s="20"/>
      <c r="AX51" s="19"/>
      <c r="AY51" s="19"/>
      <c r="AZ51" s="21"/>
      <c r="BA51" s="32" t="str">
        <f aca="true">IF(D51="","",YEAR(TODAY())-D51)</f>
        <v/>
      </c>
      <c r="BB51" s="33" t="str">
        <f aca="false">IF(J51="","",IFERROR(IF(INDEX(CPU!$I$4:$I$64,MATCH(J51,CPU!$A$4:$A$64,0))="","(isi di tab CPU)",INDEX(CPU!$I$4:$I$64,MATCH(J51,CPU!$A$4:$A$64,0))),"(CPU belum ada di tab CPU)"))</f>
        <v/>
      </c>
    </row>
    <row r="52" customFormat="false" ht="15" hidden="false" customHeight="true" outlineLevel="0" collapsed="false">
      <c r="A52" s="19"/>
      <c r="B52" s="19"/>
      <c r="C52" s="19"/>
      <c r="D52" s="20"/>
      <c r="E52" s="19"/>
      <c r="F52" s="20"/>
      <c r="G52" s="19"/>
      <c r="H52" s="19"/>
      <c r="I52" s="21"/>
      <c r="J52" s="19"/>
      <c r="K52" s="19"/>
      <c r="L52" s="20"/>
      <c r="M52" s="20"/>
      <c r="N52" s="19"/>
      <c r="O52" s="20"/>
      <c r="P52" s="19"/>
      <c r="Q52" s="19"/>
      <c r="R52" s="20"/>
      <c r="S52" s="20"/>
      <c r="T52" s="20"/>
      <c r="U52" s="20"/>
      <c r="V52" s="20"/>
      <c r="W52" s="19"/>
      <c r="X52" s="19"/>
      <c r="Y52" s="19"/>
      <c r="Z52" s="19"/>
      <c r="AA52" s="20"/>
      <c r="AB52" s="20"/>
      <c r="AC52" s="19"/>
      <c r="AD52" s="19"/>
      <c r="AE52" s="21"/>
      <c r="AF52" s="20"/>
      <c r="AG52" s="19"/>
      <c r="AH52" s="19"/>
      <c r="AI52" s="20"/>
      <c r="AJ52" s="19"/>
      <c r="AK52" s="20"/>
      <c r="AL52" s="20"/>
      <c r="AM52" s="19"/>
      <c r="AN52" s="20"/>
      <c r="AO52" s="19"/>
      <c r="AP52" s="19"/>
      <c r="AQ52" s="19"/>
      <c r="AR52" s="19"/>
      <c r="AS52" s="19"/>
      <c r="AT52" s="19"/>
      <c r="AU52" s="19"/>
      <c r="AV52" s="20"/>
      <c r="AW52" s="20"/>
      <c r="AX52" s="19"/>
      <c r="AY52" s="19"/>
      <c r="AZ52" s="21"/>
      <c r="BA52" s="32" t="str">
        <f aca="true">IF(D52="","",YEAR(TODAY())-D52)</f>
        <v/>
      </c>
      <c r="BB52" s="33" t="str">
        <f aca="false">IF(J52="","",IFERROR(IF(INDEX(CPU!$I$4:$I$64,MATCH(J52,CPU!$A$4:$A$64,0))="","(isi di tab CPU)",INDEX(CPU!$I$4:$I$64,MATCH(J52,CPU!$A$4:$A$64,0))),"(CPU belum ada di tab CPU)"))</f>
        <v/>
      </c>
    </row>
    <row r="53" customFormat="false" ht="15" hidden="false" customHeight="true" outlineLevel="0" collapsed="false">
      <c r="A53" s="19"/>
      <c r="B53" s="19"/>
      <c r="C53" s="19"/>
      <c r="D53" s="20"/>
      <c r="E53" s="19"/>
      <c r="F53" s="20"/>
      <c r="G53" s="19"/>
      <c r="H53" s="19"/>
      <c r="I53" s="21"/>
      <c r="J53" s="19"/>
      <c r="K53" s="19"/>
      <c r="L53" s="20"/>
      <c r="M53" s="20"/>
      <c r="N53" s="19"/>
      <c r="O53" s="20"/>
      <c r="P53" s="19"/>
      <c r="Q53" s="19"/>
      <c r="R53" s="20"/>
      <c r="S53" s="20"/>
      <c r="T53" s="20"/>
      <c r="U53" s="20"/>
      <c r="V53" s="20"/>
      <c r="W53" s="19"/>
      <c r="X53" s="19"/>
      <c r="Y53" s="19"/>
      <c r="Z53" s="19"/>
      <c r="AA53" s="20"/>
      <c r="AB53" s="20"/>
      <c r="AC53" s="19"/>
      <c r="AD53" s="19"/>
      <c r="AE53" s="21"/>
      <c r="AF53" s="20"/>
      <c r="AG53" s="19"/>
      <c r="AH53" s="19"/>
      <c r="AI53" s="20"/>
      <c r="AJ53" s="19"/>
      <c r="AK53" s="20"/>
      <c r="AL53" s="20"/>
      <c r="AM53" s="19"/>
      <c r="AN53" s="20"/>
      <c r="AO53" s="19"/>
      <c r="AP53" s="19"/>
      <c r="AQ53" s="19"/>
      <c r="AR53" s="19"/>
      <c r="AS53" s="19"/>
      <c r="AT53" s="19"/>
      <c r="AU53" s="19"/>
      <c r="AV53" s="20"/>
      <c r="AW53" s="20"/>
      <c r="AX53" s="19"/>
      <c r="AY53" s="19"/>
      <c r="AZ53" s="21"/>
      <c r="BA53" s="32" t="str">
        <f aca="true">IF(D53="","",YEAR(TODAY())-D53)</f>
        <v/>
      </c>
      <c r="BB53" s="33" t="str">
        <f aca="false">IF(J53="","",IFERROR(IF(INDEX(CPU!$I$4:$I$64,MATCH(J53,CPU!$A$4:$A$64,0))="","(isi di tab CPU)",INDEX(CPU!$I$4:$I$64,MATCH(J53,CPU!$A$4:$A$64,0))),"(CPU belum ada di tab CPU)"))</f>
        <v/>
      </c>
    </row>
    <row r="54" customFormat="false" ht="15" hidden="false" customHeight="true" outlineLevel="0" collapsed="false">
      <c r="A54" s="19"/>
      <c r="B54" s="19"/>
      <c r="C54" s="19"/>
      <c r="D54" s="20"/>
      <c r="E54" s="19"/>
      <c r="F54" s="20"/>
      <c r="G54" s="19"/>
      <c r="H54" s="19"/>
      <c r="I54" s="21"/>
      <c r="J54" s="19"/>
      <c r="K54" s="19"/>
      <c r="L54" s="20"/>
      <c r="M54" s="20"/>
      <c r="N54" s="19"/>
      <c r="O54" s="20"/>
      <c r="P54" s="19"/>
      <c r="Q54" s="19"/>
      <c r="R54" s="20"/>
      <c r="S54" s="20"/>
      <c r="T54" s="20"/>
      <c r="U54" s="20"/>
      <c r="V54" s="20"/>
      <c r="W54" s="19"/>
      <c r="X54" s="19"/>
      <c r="Y54" s="19"/>
      <c r="Z54" s="19"/>
      <c r="AA54" s="20"/>
      <c r="AB54" s="20"/>
      <c r="AC54" s="19"/>
      <c r="AD54" s="19"/>
      <c r="AE54" s="21"/>
      <c r="AF54" s="20"/>
      <c r="AG54" s="19"/>
      <c r="AH54" s="19"/>
      <c r="AI54" s="20"/>
      <c r="AJ54" s="19"/>
      <c r="AK54" s="20"/>
      <c r="AL54" s="20"/>
      <c r="AM54" s="19"/>
      <c r="AN54" s="20"/>
      <c r="AO54" s="19"/>
      <c r="AP54" s="19"/>
      <c r="AQ54" s="19"/>
      <c r="AR54" s="19"/>
      <c r="AS54" s="19"/>
      <c r="AT54" s="19"/>
      <c r="AU54" s="19"/>
      <c r="AV54" s="20"/>
      <c r="AW54" s="20"/>
      <c r="AX54" s="19"/>
      <c r="AY54" s="19"/>
      <c r="AZ54" s="21"/>
      <c r="BA54" s="32" t="str">
        <f aca="true">IF(D54="","",YEAR(TODAY())-D54)</f>
        <v/>
      </c>
      <c r="BB54" s="33" t="str">
        <f aca="false">IF(J54="","",IFERROR(IF(INDEX(CPU!$I$4:$I$64,MATCH(J54,CPU!$A$4:$A$64,0))="","(isi di tab CPU)",INDEX(CPU!$I$4:$I$64,MATCH(J54,CPU!$A$4:$A$64,0))),"(CPU belum ada di tab CPU)"))</f>
        <v/>
      </c>
    </row>
    <row r="55" customFormat="false" ht="15" hidden="false" customHeight="true" outlineLevel="0" collapsed="false">
      <c r="A55" s="19"/>
      <c r="B55" s="19"/>
      <c r="C55" s="19"/>
      <c r="D55" s="20"/>
      <c r="E55" s="19"/>
      <c r="F55" s="20"/>
      <c r="G55" s="19"/>
      <c r="H55" s="19"/>
      <c r="I55" s="21"/>
      <c r="J55" s="19"/>
      <c r="K55" s="19"/>
      <c r="L55" s="20"/>
      <c r="M55" s="20"/>
      <c r="N55" s="19"/>
      <c r="O55" s="20"/>
      <c r="P55" s="19"/>
      <c r="Q55" s="19"/>
      <c r="R55" s="20"/>
      <c r="S55" s="20"/>
      <c r="T55" s="20"/>
      <c r="U55" s="20"/>
      <c r="V55" s="20"/>
      <c r="W55" s="19"/>
      <c r="X55" s="19"/>
      <c r="Y55" s="19"/>
      <c r="Z55" s="19"/>
      <c r="AA55" s="20"/>
      <c r="AB55" s="20"/>
      <c r="AC55" s="19"/>
      <c r="AD55" s="19"/>
      <c r="AE55" s="21"/>
      <c r="AF55" s="20"/>
      <c r="AG55" s="19"/>
      <c r="AH55" s="19"/>
      <c r="AI55" s="20"/>
      <c r="AJ55" s="19"/>
      <c r="AK55" s="20"/>
      <c r="AL55" s="20"/>
      <c r="AM55" s="19"/>
      <c r="AN55" s="20"/>
      <c r="AO55" s="19"/>
      <c r="AP55" s="19"/>
      <c r="AQ55" s="19"/>
      <c r="AR55" s="19"/>
      <c r="AS55" s="19"/>
      <c r="AT55" s="19"/>
      <c r="AU55" s="19"/>
      <c r="AV55" s="20"/>
      <c r="AW55" s="20"/>
      <c r="AX55" s="19"/>
      <c r="AY55" s="19"/>
      <c r="AZ55" s="21"/>
      <c r="BA55" s="32" t="str">
        <f aca="true">IF(D55="","",YEAR(TODAY())-D55)</f>
        <v/>
      </c>
      <c r="BB55" s="33" t="str">
        <f aca="false">IF(J55="","",IFERROR(IF(INDEX(CPU!$I$4:$I$64,MATCH(J55,CPU!$A$4:$A$64,0))="","(isi di tab CPU)",INDEX(CPU!$I$4:$I$64,MATCH(J55,CPU!$A$4:$A$64,0))),"(CPU belum ada di tab CPU)"))</f>
        <v/>
      </c>
    </row>
    <row r="56" customFormat="false" ht="15" hidden="false" customHeight="true" outlineLevel="0" collapsed="false">
      <c r="A56" s="19"/>
      <c r="B56" s="19"/>
      <c r="C56" s="19"/>
      <c r="D56" s="20"/>
      <c r="E56" s="19"/>
      <c r="F56" s="20"/>
      <c r="G56" s="19"/>
      <c r="H56" s="19"/>
      <c r="I56" s="21"/>
      <c r="J56" s="19"/>
      <c r="K56" s="19"/>
      <c r="L56" s="20"/>
      <c r="M56" s="20"/>
      <c r="N56" s="19"/>
      <c r="O56" s="20"/>
      <c r="P56" s="19"/>
      <c r="Q56" s="19"/>
      <c r="R56" s="20"/>
      <c r="S56" s="20"/>
      <c r="T56" s="20"/>
      <c r="U56" s="20"/>
      <c r="V56" s="20"/>
      <c r="W56" s="19"/>
      <c r="X56" s="19"/>
      <c r="Y56" s="19"/>
      <c r="Z56" s="19"/>
      <c r="AA56" s="20"/>
      <c r="AB56" s="20"/>
      <c r="AC56" s="19"/>
      <c r="AD56" s="19"/>
      <c r="AE56" s="21"/>
      <c r="AF56" s="20"/>
      <c r="AG56" s="19"/>
      <c r="AH56" s="19"/>
      <c r="AI56" s="20"/>
      <c r="AJ56" s="19"/>
      <c r="AK56" s="20"/>
      <c r="AL56" s="20"/>
      <c r="AM56" s="19"/>
      <c r="AN56" s="20"/>
      <c r="AO56" s="19"/>
      <c r="AP56" s="19"/>
      <c r="AQ56" s="19"/>
      <c r="AR56" s="19"/>
      <c r="AS56" s="19"/>
      <c r="AT56" s="19"/>
      <c r="AU56" s="19"/>
      <c r="AV56" s="20"/>
      <c r="AW56" s="20"/>
      <c r="AX56" s="19"/>
      <c r="AY56" s="19"/>
      <c r="AZ56" s="21"/>
      <c r="BA56" s="32" t="str">
        <f aca="true">IF(D56="","",YEAR(TODAY())-D56)</f>
        <v/>
      </c>
      <c r="BB56" s="33" t="str">
        <f aca="false">IF(J56="","",IFERROR(IF(INDEX(CPU!$I$4:$I$64,MATCH(J56,CPU!$A$4:$A$64,0))="","(isi di tab CPU)",INDEX(CPU!$I$4:$I$64,MATCH(J56,CPU!$A$4:$A$64,0))),"(CPU belum ada di tab CPU)"))</f>
        <v/>
      </c>
    </row>
    <row r="57" customFormat="false" ht="15" hidden="false" customHeight="true" outlineLevel="0" collapsed="false">
      <c r="A57" s="19"/>
      <c r="B57" s="19"/>
      <c r="C57" s="19"/>
      <c r="D57" s="20"/>
      <c r="E57" s="19"/>
      <c r="F57" s="20"/>
      <c r="G57" s="19"/>
      <c r="H57" s="19"/>
      <c r="I57" s="21"/>
      <c r="J57" s="19"/>
      <c r="K57" s="19"/>
      <c r="L57" s="20"/>
      <c r="M57" s="20"/>
      <c r="N57" s="19"/>
      <c r="O57" s="20"/>
      <c r="P57" s="19"/>
      <c r="Q57" s="19"/>
      <c r="R57" s="20"/>
      <c r="S57" s="20"/>
      <c r="T57" s="20"/>
      <c r="U57" s="20"/>
      <c r="V57" s="20"/>
      <c r="W57" s="19"/>
      <c r="X57" s="19"/>
      <c r="Y57" s="19"/>
      <c r="Z57" s="19"/>
      <c r="AA57" s="20"/>
      <c r="AB57" s="20"/>
      <c r="AC57" s="19"/>
      <c r="AD57" s="19"/>
      <c r="AE57" s="21"/>
      <c r="AF57" s="20"/>
      <c r="AG57" s="19"/>
      <c r="AH57" s="19"/>
      <c r="AI57" s="20"/>
      <c r="AJ57" s="19"/>
      <c r="AK57" s="20"/>
      <c r="AL57" s="20"/>
      <c r="AM57" s="19"/>
      <c r="AN57" s="20"/>
      <c r="AO57" s="19"/>
      <c r="AP57" s="19"/>
      <c r="AQ57" s="19"/>
      <c r="AR57" s="19"/>
      <c r="AS57" s="19"/>
      <c r="AT57" s="19"/>
      <c r="AU57" s="19"/>
      <c r="AV57" s="20"/>
      <c r="AW57" s="20"/>
      <c r="AX57" s="19"/>
      <c r="AY57" s="19"/>
      <c r="AZ57" s="21"/>
      <c r="BA57" s="32" t="str">
        <f aca="true">IF(D57="","",YEAR(TODAY())-D57)</f>
        <v/>
      </c>
      <c r="BB57" s="33" t="str">
        <f aca="false">IF(J57="","",IFERROR(IF(INDEX(CPU!$I$4:$I$64,MATCH(J57,CPU!$A$4:$A$64,0))="","(isi di tab CPU)",INDEX(CPU!$I$4:$I$64,MATCH(J57,CPU!$A$4:$A$64,0))),"(CPU belum ada di tab CPU)"))</f>
        <v/>
      </c>
    </row>
    <row r="58" customFormat="false" ht="15" hidden="false" customHeight="true" outlineLevel="0" collapsed="false">
      <c r="A58" s="19"/>
      <c r="B58" s="19"/>
      <c r="C58" s="19"/>
      <c r="D58" s="20"/>
      <c r="E58" s="19"/>
      <c r="F58" s="20"/>
      <c r="G58" s="19"/>
      <c r="H58" s="19"/>
      <c r="I58" s="21"/>
      <c r="J58" s="19"/>
      <c r="K58" s="19"/>
      <c r="L58" s="20"/>
      <c r="M58" s="20"/>
      <c r="N58" s="19"/>
      <c r="O58" s="20"/>
      <c r="P58" s="19"/>
      <c r="Q58" s="19"/>
      <c r="R58" s="20"/>
      <c r="S58" s="20"/>
      <c r="T58" s="20"/>
      <c r="U58" s="20"/>
      <c r="V58" s="20"/>
      <c r="W58" s="19"/>
      <c r="X58" s="19"/>
      <c r="Y58" s="19"/>
      <c r="Z58" s="19"/>
      <c r="AA58" s="20"/>
      <c r="AB58" s="20"/>
      <c r="AC58" s="19"/>
      <c r="AD58" s="19"/>
      <c r="AE58" s="21"/>
      <c r="AF58" s="20"/>
      <c r="AG58" s="19"/>
      <c r="AH58" s="19"/>
      <c r="AI58" s="20"/>
      <c r="AJ58" s="19"/>
      <c r="AK58" s="20"/>
      <c r="AL58" s="20"/>
      <c r="AM58" s="19"/>
      <c r="AN58" s="20"/>
      <c r="AO58" s="19"/>
      <c r="AP58" s="19"/>
      <c r="AQ58" s="19"/>
      <c r="AR58" s="19"/>
      <c r="AS58" s="19"/>
      <c r="AT58" s="19"/>
      <c r="AU58" s="19"/>
      <c r="AV58" s="20"/>
      <c r="AW58" s="20"/>
      <c r="AX58" s="19"/>
      <c r="AY58" s="19"/>
      <c r="AZ58" s="21"/>
      <c r="BA58" s="32" t="str">
        <f aca="true">IF(D58="","",YEAR(TODAY())-D58)</f>
        <v/>
      </c>
      <c r="BB58" s="33" t="str">
        <f aca="false">IF(J58="","",IFERROR(IF(INDEX(CPU!$I$4:$I$64,MATCH(J58,CPU!$A$4:$A$64,0))="","(isi di tab CPU)",INDEX(CPU!$I$4:$I$64,MATCH(J58,CPU!$A$4:$A$64,0))),"(CPU belum ada di tab CPU)"))</f>
        <v/>
      </c>
    </row>
    <row r="59" customFormat="false" ht="15" hidden="false" customHeight="true" outlineLevel="0" collapsed="false">
      <c r="A59" s="19"/>
      <c r="B59" s="19"/>
      <c r="C59" s="19"/>
      <c r="D59" s="20"/>
      <c r="E59" s="19"/>
      <c r="F59" s="20"/>
      <c r="G59" s="19"/>
      <c r="H59" s="19"/>
      <c r="I59" s="21"/>
      <c r="J59" s="19"/>
      <c r="K59" s="19"/>
      <c r="L59" s="20"/>
      <c r="M59" s="20"/>
      <c r="N59" s="19"/>
      <c r="O59" s="20"/>
      <c r="P59" s="19"/>
      <c r="Q59" s="19"/>
      <c r="R59" s="20"/>
      <c r="S59" s="20"/>
      <c r="T59" s="20"/>
      <c r="U59" s="20"/>
      <c r="V59" s="20"/>
      <c r="W59" s="19"/>
      <c r="X59" s="19"/>
      <c r="Y59" s="19"/>
      <c r="Z59" s="19"/>
      <c r="AA59" s="20"/>
      <c r="AB59" s="20"/>
      <c r="AC59" s="19"/>
      <c r="AD59" s="19"/>
      <c r="AE59" s="21"/>
      <c r="AF59" s="20"/>
      <c r="AG59" s="19"/>
      <c r="AH59" s="19"/>
      <c r="AI59" s="20"/>
      <c r="AJ59" s="19"/>
      <c r="AK59" s="20"/>
      <c r="AL59" s="20"/>
      <c r="AM59" s="19"/>
      <c r="AN59" s="20"/>
      <c r="AO59" s="19"/>
      <c r="AP59" s="19"/>
      <c r="AQ59" s="19"/>
      <c r="AR59" s="19"/>
      <c r="AS59" s="19"/>
      <c r="AT59" s="19"/>
      <c r="AU59" s="19"/>
      <c r="AV59" s="20"/>
      <c r="AW59" s="20"/>
      <c r="AX59" s="19"/>
      <c r="AY59" s="19"/>
      <c r="AZ59" s="21"/>
      <c r="BA59" s="32" t="str">
        <f aca="true">IF(D59="","",YEAR(TODAY())-D59)</f>
        <v/>
      </c>
      <c r="BB59" s="33" t="str">
        <f aca="false">IF(J59="","",IFERROR(IF(INDEX(CPU!$I$4:$I$64,MATCH(J59,CPU!$A$4:$A$64,0))="","(isi di tab CPU)",INDEX(CPU!$I$4:$I$64,MATCH(J59,CPU!$A$4:$A$64,0))),"(CPU belum ada di tab CPU)"))</f>
        <v/>
      </c>
    </row>
    <row r="60" customFormat="false" ht="15" hidden="false" customHeight="true" outlineLevel="0" collapsed="false">
      <c r="A60" s="19"/>
      <c r="B60" s="19"/>
      <c r="C60" s="19"/>
      <c r="D60" s="20"/>
      <c r="E60" s="19"/>
      <c r="F60" s="20"/>
      <c r="G60" s="19"/>
      <c r="H60" s="19"/>
      <c r="I60" s="21"/>
      <c r="J60" s="19"/>
      <c r="K60" s="19"/>
      <c r="L60" s="20"/>
      <c r="M60" s="20"/>
      <c r="N60" s="19"/>
      <c r="O60" s="20"/>
      <c r="P60" s="19"/>
      <c r="Q60" s="19"/>
      <c r="R60" s="20"/>
      <c r="S60" s="20"/>
      <c r="T60" s="20"/>
      <c r="U60" s="20"/>
      <c r="V60" s="20"/>
      <c r="W60" s="19"/>
      <c r="X60" s="19"/>
      <c r="Y60" s="19"/>
      <c r="Z60" s="19"/>
      <c r="AA60" s="20"/>
      <c r="AB60" s="20"/>
      <c r="AC60" s="19"/>
      <c r="AD60" s="19"/>
      <c r="AE60" s="21"/>
      <c r="AF60" s="20"/>
      <c r="AG60" s="19"/>
      <c r="AH60" s="19"/>
      <c r="AI60" s="20"/>
      <c r="AJ60" s="19"/>
      <c r="AK60" s="20"/>
      <c r="AL60" s="20"/>
      <c r="AM60" s="19"/>
      <c r="AN60" s="20"/>
      <c r="AO60" s="19"/>
      <c r="AP60" s="19"/>
      <c r="AQ60" s="19"/>
      <c r="AR60" s="19"/>
      <c r="AS60" s="19"/>
      <c r="AT60" s="19"/>
      <c r="AU60" s="19"/>
      <c r="AV60" s="20"/>
      <c r="AW60" s="20"/>
      <c r="AX60" s="19"/>
      <c r="AY60" s="19"/>
      <c r="AZ60" s="21"/>
      <c r="BA60" s="32" t="str">
        <f aca="true">IF(D60="","",YEAR(TODAY())-D60)</f>
        <v/>
      </c>
      <c r="BB60" s="33" t="str">
        <f aca="false">IF(J60="","",IFERROR(IF(INDEX(CPU!$I$4:$I$64,MATCH(J60,CPU!$A$4:$A$64,0))="","(isi di tab CPU)",INDEX(CPU!$I$4:$I$64,MATCH(J60,CPU!$A$4:$A$64,0))),"(CPU belum ada di tab CPU)"))</f>
        <v/>
      </c>
    </row>
    <row r="61" customFormat="false" ht="15" hidden="false" customHeight="true" outlineLevel="0" collapsed="false">
      <c r="A61" s="19"/>
      <c r="B61" s="19"/>
      <c r="C61" s="19"/>
      <c r="D61" s="20"/>
      <c r="E61" s="19"/>
      <c r="F61" s="20"/>
      <c r="G61" s="19"/>
      <c r="H61" s="19"/>
      <c r="I61" s="21"/>
      <c r="J61" s="19"/>
      <c r="K61" s="19"/>
      <c r="L61" s="20"/>
      <c r="M61" s="20"/>
      <c r="N61" s="19"/>
      <c r="O61" s="20"/>
      <c r="P61" s="19"/>
      <c r="Q61" s="19"/>
      <c r="R61" s="20"/>
      <c r="S61" s="20"/>
      <c r="T61" s="20"/>
      <c r="U61" s="20"/>
      <c r="V61" s="20"/>
      <c r="W61" s="19"/>
      <c r="X61" s="19"/>
      <c r="Y61" s="19"/>
      <c r="Z61" s="19"/>
      <c r="AA61" s="20"/>
      <c r="AB61" s="20"/>
      <c r="AC61" s="19"/>
      <c r="AD61" s="19"/>
      <c r="AE61" s="21"/>
      <c r="AF61" s="20"/>
      <c r="AG61" s="19"/>
      <c r="AH61" s="19"/>
      <c r="AI61" s="20"/>
      <c r="AJ61" s="19"/>
      <c r="AK61" s="20"/>
      <c r="AL61" s="20"/>
      <c r="AM61" s="19"/>
      <c r="AN61" s="20"/>
      <c r="AO61" s="19"/>
      <c r="AP61" s="19"/>
      <c r="AQ61" s="19"/>
      <c r="AR61" s="19"/>
      <c r="AS61" s="19"/>
      <c r="AT61" s="19"/>
      <c r="AU61" s="19"/>
      <c r="AV61" s="20"/>
      <c r="AW61" s="20"/>
      <c r="AX61" s="19"/>
      <c r="AY61" s="19"/>
      <c r="AZ61" s="21"/>
      <c r="BA61" s="32" t="str">
        <f aca="true">IF(D61="","",YEAR(TODAY())-D61)</f>
        <v/>
      </c>
      <c r="BB61" s="33" t="str">
        <f aca="false">IF(J61="","",IFERROR(IF(INDEX(CPU!$I$4:$I$64,MATCH(J61,CPU!$A$4:$A$64,0))="","(isi di tab CPU)",INDEX(CPU!$I$4:$I$64,MATCH(J61,CPU!$A$4:$A$64,0))),"(CPU belum ada di tab CPU)"))</f>
        <v/>
      </c>
    </row>
    <row r="62" customFormat="false" ht="15" hidden="false" customHeight="true" outlineLevel="0" collapsed="false">
      <c r="A62" s="19"/>
      <c r="B62" s="19"/>
      <c r="C62" s="19"/>
      <c r="D62" s="20"/>
      <c r="E62" s="19"/>
      <c r="F62" s="20"/>
      <c r="G62" s="19"/>
      <c r="H62" s="19"/>
      <c r="I62" s="21"/>
      <c r="J62" s="19"/>
      <c r="K62" s="19"/>
      <c r="L62" s="20"/>
      <c r="M62" s="20"/>
      <c r="N62" s="19"/>
      <c r="O62" s="20"/>
      <c r="P62" s="19"/>
      <c r="Q62" s="19"/>
      <c r="R62" s="20"/>
      <c r="S62" s="20"/>
      <c r="T62" s="20"/>
      <c r="U62" s="20"/>
      <c r="V62" s="20"/>
      <c r="W62" s="19"/>
      <c r="X62" s="19"/>
      <c r="Y62" s="19"/>
      <c r="Z62" s="19"/>
      <c r="AA62" s="20"/>
      <c r="AB62" s="20"/>
      <c r="AC62" s="19"/>
      <c r="AD62" s="19"/>
      <c r="AE62" s="21"/>
      <c r="AF62" s="20"/>
      <c r="AG62" s="19"/>
      <c r="AH62" s="19"/>
      <c r="AI62" s="20"/>
      <c r="AJ62" s="19"/>
      <c r="AK62" s="20"/>
      <c r="AL62" s="20"/>
      <c r="AM62" s="19"/>
      <c r="AN62" s="20"/>
      <c r="AO62" s="19"/>
      <c r="AP62" s="19"/>
      <c r="AQ62" s="19"/>
      <c r="AR62" s="19"/>
      <c r="AS62" s="19"/>
      <c r="AT62" s="19"/>
      <c r="AU62" s="19"/>
      <c r="AV62" s="20"/>
      <c r="AW62" s="20"/>
      <c r="AX62" s="19"/>
      <c r="AY62" s="19"/>
      <c r="AZ62" s="21"/>
      <c r="BA62" s="32" t="str">
        <f aca="true">IF(D62="","",YEAR(TODAY())-D62)</f>
        <v/>
      </c>
      <c r="BB62" s="33" t="str">
        <f aca="false">IF(J62="","",IFERROR(IF(INDEX(CPU!$I$4:$I$64,MATCH(J62,CPU!$A$4:$A$64,0))="","(isi di tab CPU)",INDEX(CPU!$I$4:$I$64,MATCH(J62,CPU!$A$4:$A$64,0))),"(CPU belum ada di tab CPU)"))</f>
        <v/>
      </c>
    </row>
    <row r="63" customFormat="false" ht="15" hidden="false" customHeight="true" outlineLevel="0" collapsed="false">
      <c r="A63" s="19"/>
      <c r="B63" s="19"/>
      <c r="C63" s="19"/>
      <c r="D63" s="20"/>
      <c r="E63" s="19"/>
      <c r="F63" s="20"/>
      <c r="G63" s="19"/>
      <c r="H63" s="19"/>
      <c r="I63" s="21"/>
      <c r="J63" s="19"/>
      <c r="K63" s="19"/>
      <c r="L63" s="20"/>
      <c r="M63" s="20"/>
      <c r="N63" s="19"/>
      <c r="O63" s="20"/>
      <c r="P63" s="19"/>
      <c r="Q63" s="19"/>
      <c r="R63" s="20"/>
      <c r="S63" s="20"/>
      <c r="T63" s="20"/>
      <c r="U63" s="20"/>
      <c r="V63" s="20"/>
      <c r="W63" s="19"/>
      <c r="X63" s="19"/>
      <c r="Y63" s="19"/>
      <c r="Z63" s="19"/>
      <c r="AA63" s="20"/>
      <c r="AB63" s="20"/>
      <c r="AC63" s="19"/>
      <c r="AD63" s="19"/>
      <c r="AE63" s="21"/>
      <c r="AF63" s="20"/>
      <c r="AG63" s="19"/>
      <c r="AH63" s="19"/>
      <c r="AI63" s="20"/>
      <c r="AJ63" s="19"/>
      <c r="AK63" s="20"/>
      <c r="AL63" s="20"/>
      <c r="AM63" s="19"/>
      <c r="AN63" s="20"/>
      <c r="AO63" s="19"/>
      <c r="AP63" s="19"/>
      <c r="AQ63" s="19"/>
      <c r="AR63" s="19"/>
      <c r="AS63" s="19"/>
      <c r="AT63" s="19"/>
      <c r="AU63" s="19"/>
      <c r="AV63" s="20"/>
      <c r="AW63" s="20"/>
      <c r="AX63" s="19"/>
      <c r="AY63" s="19"/>
      <c r="AZ63" s="21"/>
      <c r="BA63" s="32" t="str">
        <f aca="true">IF(D63="","",YEAR(TODAY())-D63)</f>
        <v/>
      </c>
      <c r="BB63" s="33" t="str">
        <f aca="false">IF(J63="","",IFERROR(IF(INDEX(CPU!$I$4:$I$64,MATCH(J63,CPU!$A$4:$A$64,0))="","(isi di tab CPU)",INDEX(CPU!$I$4:$I$64,MATCH(J63,CPU!$A$4:$A$64,0))),"(CPU belum ada di tab CPU)"))</f>
        <v/>
      </c>
    </row>
    <row r="64" customFormat="false" ht="15" hidden="false" customHeight="true" outlineLevel="0" collapsed="false">
      <c r="A64" s="19"/>
      <c r="B64" s="19"/>
      <c r="C64" s="19"/>
      <c r="D64" s="20"/>
      <c r="E64" s="19"/>
      <c r="F64" s="20"/>
      <c r="G64" s="19"/>
      <c r="H64" s="19"/>
      <c r="I64" s="21"/>
      <c r="J64" s="19"/>
      <c r="K64" s="19"/>
      <c r="L64" s="20"/>
      <c r="M64" s="20"/>
      <c r="N64" s="19"/>
      <c r="O64" s="20"/>
      <c r="P64" s="19"/>
      <c r="Q64" s="19"/>
      <c r="R64" s="20"/>
      <c r="S64" s="20"/>
      <c r="T64" s="20"/>
      <c r="U64" s="20"/>
      <c r="V64" s="20"/>
      <c r="W64" s="19"/>
      <c r="X64" s="19"/>
      <c r="Y64" s="19"/>
      <c r="Z64" s="19"/>
      <c r="AA64" s="20"/>
      <c r="AB64" s="20"/>
      <c r="AC64" s="19"/>
      <c r="AD64" s="19"/>
      <c r="AE64" s="21"/>
      <c r="AF64" s="20"/>
      <c r="AG64" s="19"/>
      <c r="AH64" s="19"/>
      <c r="AI64" s="20"/>
      <c r="AJ64" s="19"/>
      <c r="AK64" s="20"/>
      <c r="AL64" s="20"/>
      <c r="AM64" s="19"/>
      <c r="AN64" s="20"/>
      <c r="AO64" s="19"/>
      <c r="AP64" s="19"/>
      <c r="AQ64" s="19"/>
      <c r="AR64" s="19"/>
      <c r="AS64" s="19"/>
      <c r="AT64" s="19"/>
      <c r="AU64" s="19"/>
      <c r="AV64" s="20"/>
      <c r="AW64" s="20"/>
      <c r="AX64" s="19"/>
      <c r="AY64" s="19"/>
      <c r="AZ64" s="21"/>
      <c r="BA64" s="32" t="str">
        <f aca="true">IF(D64="","",YEAR(TODAY())-D64)</f>
        <v/>
      </c>
      <c r="BB64" s="33" t="str">
        <f aca="false">IF(J64="","",IFERROR(IF(INDEX(CPU!$I$4:$I$64,MATCH(J64,CPU!$A$4:$A$64,0))="","(isi di tab CPU)",INDEX(CPU!$I$4:$I$64,MATCH(J64,CPU!$A$4:$A$64,0))),"(CPU belum ada di tab CPU)"))</f>
        <v/>
      </c>
    </row>
  </sheetData>
  <autoFilter ref="A3:BB64"/>
  <dataValidations count="40">
    <dataValidation allowBlank="true" error="Isi angka bulat antara 2000 dan 2035. Periksa lagi bila memang di luar kisaran itu." errorStyle="warning" errorTitle="Angka tidak wajar" operator="between" showDropDown="false" showErrorMessage="true" showInputMessage="false" sqref="D5:D64 F5:F64" type="whole">
      <formula1>2000</formula1>
      <formula2>2035</formula2>
    </dataValidation>
    <dataValidation allowBlank="true" error="Isi angka bulat antara 0 dan 4. Periksa lagi bila memang di luar kisaran itu." errorStyle="warning" errorTitle="Angka tidak wajar" operator="between" showDropDown="false" showErrorMessage="true" showInputMessage="false" sqref="AA5:AB64" type="whole">
      <formula1>0</formula1>
      <formula2>4</formula2>
    </dataValidation>
    <dataValidation allowBlank="true" error="Nilai ini belum ada di tab asalnya. Tambahkan di tab itu terlebih dahulu, lalu pilih dari daftar." errorStyle="warning" errorTitle="Belum ada di tab asalnya" operator="between" showDropDown="false" showErrorMessage="true" showInputMessage="false" sqref="B5:B64" type="list">
      <formula1>Model!$A$5:$A$64</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E5:E64" type="list">
      <formula1>Pilihan!$B$2:$B$5</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G5:G64" type="list">
      <formula1>Pilihan!$C$2:$C$4</formula1>
      <formula2>0</formula2>
    </dataValidation>
    <dataValidation allowBlank="true" error="Nilai ini belum ada di tab asalnya. Tambahkan di tab itu terlebih dahulu, lalu pilih dari daftar." errorStyle="warning" errorTitle="Belum ada di tab asalnya" operator="between" showDropDown="false" showErrorMessage="true" showInputMessage="false" sqref="J5:J64" type="list">
      <formula1>CPU!$A$5:$A$64</formula1>
      <formula2>0</formula2>
    </dataValidation>
    <dataValidation allowBlank="true" error="Nilai ini belum ada di tab asalnya. Tambahkan di tab itu terlebih dahulu, lalu pilih dari daftar." errorStyle="warning" errorTitle="Belum ada di tab asalnya" operator="between" showDropDown="false" showErrorMessage="true" showInputMessage="false" sqref="K5:K64" type="list">
      <formula1>GPU!$A$5:$A$64</formula1>
      <formula2>0</formula2>
    </dataValidation>
    <dataValidation allowBlank="true" error="Isi angka bulat antara 0 dan 300. Periksa lagi bila memang di luar kisaran itu." errorStyle="warning" errorTitle="Angka tidak wajar" operator="between" showDropDown="false" showErrorMessage="true" showInputMessage="false" sqref="L5:L64" type="whole">
      <formula1>0</formula1>
      <formula2>300</formula2>
    </dataValidation>
    <dataValidation allowBlank="true" error="Isi angka bulat antara 1 dan 512. Periksa lagi bila memang di luar kisaran itu." errorStyle="warning" errorTitle="Angka tidak wajar" operator="between" showDropDown="false" showErrorMessage="true" showInputMessage="false" sqref="M5:M64" type="whole">
      <formula1>1</formula1>
      <formula2>512</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N5:N64" type="list">
      <formula1>Pilihan!$M$2:$M$11</formula1>
      <formula2>0</formula2>
    </dataValidation>
    <dataValidation allowBlank="true" error="Isi angka bulat antara 800 dan 10000. Periksa lagi bila memang di luar kisaran itu." errorStyle="warning" errorTitle="Angka tidak wajar" operator="between" showDropDown="false" showErrorMessage="true" showInputMessage="false" sqref="O5:O64" type="whole">
      <formula1>800</formula1>
      <formula2>10000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P5:P64" type="list">
      <formula1>Pilihan!$N$2:$N$4</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Q5:Q64" type="list">
      <formula1>Pilihan!$O$2:$O$5</formula1>
      <formula2>0</formula2>
    </dataValidation>
    <dataValidation allowBlank="true" error="Isi angka bulat antara 0 dan 8. Periksa lagi bila memang di luar kisaran itu." errorStyle="warning" errorTitle="Angka tidak wajar" operator="between" showDropDown="false" showErrorMessage="true" showInputMessage="false" sqref="R5:S64" type="whole">
      <formula1>0</formula1>
      <formula2>8</formula2>
    </dataValidation>
    <dataValidation allowBlank="true" error="Isi angka bulat antara 0 dan 512. Periksa lagi bila memang di luar kisaran itu." errorStyle="warning" errorTitle="Angka tidak wajar" operator="between" showDropDown="false" showErrorMessage="true" showInputMessage="false" sqref="T5:U64" type="whole">
      <formula1>0</formula1>
      <formula2>512</formula2>
    </dataValidation>
    <dataValidation allowBlank="true" error="Isi angka bulat antara 16 dan 16000. Periksa lagi bila memang di luar kisaran itu." errorStyle="warning" errorTitle="Angka tidak wajar" operator="between" showDropDown="false" showErrorMessage="true" showInputMessage="false" sqref="V5:V64" type="whole">
      <formula1>16</formula1>
      <formula2>16000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W5:W64" type="list">
      <formula1>Pilihan!$P$2:$P$6</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Y5:Y64" type="list">
      <formula1>Pilihan!$Q$2:$Q$7</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Z5:Z64" type="list">
      <formula1>Pilihan!$D$2:$D$4</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AC5:AC64" type="list">
      <formula1>Pilihan!$D$2:$D$4</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AD5:AD64" type="list">
      <formula1>Pilihan!$R$2:$R$4</formula1>
      <formula2>0</formula2>
    </dataValidation>
    <dataValidation allowBlank="true" error="Isi angka antara 0.5 dan 5. Periksa lagi bila memang di luar kisaran itu." errorStyle="warning" errorTitle="Angka tidak wajar" operator="between" showDropDown="false" showErrorMessage="true" showInputMessage="false" sqref="AF5:AF64" type="decimal">
      <formula1>0.5</formula1>
      <formula2>5</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AG5:AG64" type="list">
      <formula1>Pilihan!$G$2:$G$6</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AH5:AH64" type="list">
      <formula1>Pilihan!$H$2:$H$10</formula1>
      <formula2>0</formula2>
    </dataValidation>
    <dataValidation allowBlank="true" error="Isi angka bulat antara 30 dan 500. Periksa lagi bila memang di luar kisaran itu." errorStyle="warning" errorTitle="Angka tidak wajar" operator="between" showDropDown="false" showErrorMessage="true" showInputMessage="false" sqref="AI5:AI64" type="whole">
      <formula1>30</formula1>
      <formula2>500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AJ5:AJ64" type="list">
      <formula1>Pilihan!$D$2:$D$4</formula1>
      <formula2>0</formula2>
    </dataValidation>
    <dataValidation allowBlank="true" error="Isi angka antara 10 dan 120. Periksa lagi bila memang di luar kisaran itu." errorStyle="warning" errorTitle="Angka tidak wajar" operator="between" showDropDown="false" showErrorMessage="true" showInputMessage="false" sqref="AK5:AK64" type="decimal">
      <formula1>10</formula1>
      <formula2>120</formula2>
    </dataValidation>
    <dataValidation allowBlank="true" error="Isi angka bulat antara 20 dan 400. Periksa lagi bila memang di luar kisaran itu." errorStyle="warning" errorTitle="Angka tidak wajar" operator="between" showDropDown="false" showErrorMessage="true" showInputMessage="false" sqref="AL5:AL64" type="whole">
      <formula1>20</formula1>
      <formula2>400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AM5:AM64" type="list">
      <formula1>Pilihan!$J$2:$J$7</formula1>
      <formula2>0</formula2>
    </dataValidation>
    <dataValidation allowBlank="true" error="Isi angka antara 3 dan 6. Periksa lagi bila memang di luar kisaran itu." errorStyle="warning" errorTitle="Angka tidak wajar" operator="between" showDropDown="false" showErrorMessage="true" showInputMessage="false" sqref="AN5:AN64" type="decimal">
      <formula1>3</formula1>
      <formula2>6</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AO5:AO64" type="list">
      <formula1>Pilihan!$D$2:$D$4</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AP5:AP64" type="list">
      <formula1>Pilihan!$D$2:$D$4</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AQ5:AQ64" type="list">
      <formula1>Pilihan!$I$2:$I$6</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AR5:AR64" type="list">
      <formula1>Pilihan!$S$2:$S$8</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AS5:AS64" type="list">
      <formula1>Pilihan!$T$2:$T$8</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AT5:AT64" type="list">
      <formula1>Pilihan!$U$2:$U$5</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AU5:AU64" type="list">
      <formula1>Pilihan!$V$2:$V$7</formula1>
      <formula2>0</formula2>
    </dataValidation>
    <dataValidation allowBlank="true" error="Isi angka bulat antara 0 dan 120. Periksa lagi bila memang di luar kisaran itu." errorStyle="warning" errorTitle="Angka tidak wajar" operator="between" showDropDown="false" showErrorMessage="true" showInputMessage="false" sqref="AV5:AW64" type="whole">
      <formula1>0</formula1>
      <formula2>120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AX5:AX64" type="list">
      <formula1>Pilihan!$D$2:$D$4</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AY5:AY64" type="list">
      <formula1>Pilihan!$D$2:$D$4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N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1"/>
    <col collapsed="false" customWidth="true" hidden="false" outlineLevel="0" max="4" min="3" style="1" width="22"/>
    <col collapsed="false" customWidth="true" hidden="false" outlineLevel="0" max="7" min="5" style="1" width="9"/>
    <col collapsed="false" customWidth="true" hidden="false" outlineLevel="0" max="9" min="8" style="1" width="11"/>
    <col collapsed="false" customWidth="true" hidden="false" outlineLevel="0" max="10" min="10" style="1" width="10"/>
    <col collapsed="false" customWidth="true" hidden="false" outlineLevel="0" max="12" min="11" style="1" width="44"/>
    <col collapsed="false" customWidth="true" hidden="false" outlineLevel="0" max="13" min="13" style="1" width="46"/>
    <col collapsed="false" customWidth="true" hidden="false" outlineLevel="0" max="14" min="14" style="1" width="12"/>
  </cols>
  <sheetData>
    <row r="1" customFormat="false" ht="17.25" hidden="false" customHeight="true" outlineLevel="0" collapsed="false">
      <c r="A1" s="2" t="s">
        <v>247</v>
      </c>
    </row>
    <row r="2" customFormat="false" ht="15" hidden="false" customHeight="true" outlineLevel="0" collapsed="false">
      <c r="A2" s="9" t="s">
        <v>248</v>
      </c>
    </row>
    <row r="3" customFormat="false" ht="45" hidden="false" customHeight="true" outlineLevel="0" collapsed="false">
      <c r="A3" s="10" t="s">
        <v>249</v>
      </c>
      <c r="B3" s="10" t="s">
        <v>250</v>
      </c>
      <c r="C3" s="10" t="s">
        <v>251</v>
      </c>
      <c r="D3" s="10" t="s">
        <v>252</v>
      </c>
      <c r="E3" s="10" t="s">
        <v>253</v>
      </c>
      <c r="F3" s="11" t="s">
        <v>254</v>
      </c>
      <c r="G3" s="11" t="s">
        <v>255</v>
      </c>
      <c r="H3" s="11" t="s">
        <v>256</v>
      </c>
      <c r="I3" s="11" t="s">
        <v>257</v>
      </c>
      <c r="J3" s="24" t="s">
        <v>258</v>
      </c>
      <c r="K3" s="24" t="s">
        <v>259</v>
      </c>
      <c r="L3" s="24" t="s">
        <v>260</v>
      </c>
      <c r="M3" s="14" t="s">
        <v>261</v>
      </c>
      <c r="N3" s="14" t="s">
        <v>262</v>
      </c>
    </row>
    <row r="4" customFormat="false" ht="39.75" hidden="false" customHeight="true" outlineLevel="0" collapsed="false">
      <c r="A4" s="15" t="s">
        <v>170</v>
      </c>
      <c r="B4" s="15" t="s">
        <v>263</v>
      </c>
      <c r="C4" s="15" t="s">
        <v>264</v>
      </c>
      <c r="D4" s="15" t="s">
        <v>265</v>
      </c>
      <c r="E4" s="16" t="n">
        <v>2022</v>
      </c>
      <c r="F4" s="16" t="n">
        <v>10</v>
      </c>
      <c r="G4" s="16" t="n">
        <v>12</v>
      </c>
      <c r="H4" s="15" t="s">
        <v>266</v>
      </c>
      <c r="I4" s="15" t="s">
        <v>61</v>
      </c>
      <c r="J4" s="16" t="n">
        <v>3</v>
      </c>
      <c r="K4" s="17" t="s">
        <v>267</v>
      </c>
      <c r="L4" s="17" t="s">
        <v>268</v>
      </c>
      <c r="M4" s="17" t="s">
        <v>269</v>
      </c>
      <c r="N4" s="18" t="n">
        <v>46303</v>
      </c>
    </row>
    <row r="5" customFormat="false" ht="68.25" hidden="false" customHeight="true" outlineLevel="0" collapsed="false">
      <c r="A5" s="19" t="s">
        <v>191</v>
      </c>
      <c r="B5" s="19" t="s">
        <v>270</v>
      </c>
      <c r="C5" s="19" t="s">
        <v>271</v>
      </c>
      <c r="D5" s="19" t="s">
        <v>272</v>
      </c>
      <c r="E5" s="20" t="n">
        <v>2023</v>
      </c>
      <c r="F5" s="20" t="n">
        <v>6</v>
      </c>
      <c r="G5" s="20" t="n">
        <v>12</v>
      </c>
      <c r="H5" s="19" t="s">
        <v>266</v>
      </c>
      <c r="I5" s="19" t="s">
        <v>61</v>
      </c>
      <c r="J5" s="20" t="n">
        <v>3</v>
      </c>
      <c r="K5" s="21" t="s">
        <v>273</v>
      </c>
      <c r="L5" s="21" t="s">
        <v>274</v>
      </c>
      <c r="M5" s="21" t="s">
        <v>275</v>
      </c>
      <c r="N5" s="23" t="n">
        <v>46303</v>
      </c>
    </row>
    <row r="6" customFormat="false" ht="68.25" hidden="false" customHeight="true" outlineLevel="0" collapsed="false">
      <c r="A6" s="19" t="s">
        <v>202</v>
      </c>
      <c r="B6" s="19" t="s">
        <v>263</v>
      </c>
      <c r="C6" s="19" t="s">
        <v>276</v>
      </c>
      <c r="D6" s="19" t="s">
        <v>277</v>
      </c>
      <c r="E6" s="20" t="n">
        <v>2023</v>
      </c>
      <c r="F6" s="20" t="n">
        <v>10</v>
      </c>
      <c r="G6" s="20" t="n">
        <v>12</v>
      </c>
      <c r="H6" s="19" t="s">
        <v>266</v>
      </c>
      <c r="I6" s="19" t="s">
        <v>61</v>
      </c>
      <c r="J6" s="20" t="n">
        <v>3</v>
      </c>
      <c r="K6" s="21" t="s">
        <v>278</v>
      </c>
      <c r="L6" s="21" t="s">
        <v>279</v>
      </c>
      <c r="M6" s="21" t="s">
        <v>280</v>
      </c>
      <c r="N6" s="23" t="n">
        <v>46303</v>
      </c>
    </row>
    <row r="7" customFormat="false" ht="68.25" hidden="false" customHeight="true" outlineLevel="0" collapsed="false">
      <c r="A7" s="19" t="s">
        <v>214</v>
      </c>
      <c r="B7" s="19" t="s">
        <v>263</v>
      </c>
      <c r="C7" s="19" t="s">
        <v>281</v>
      </c>
      <c r="D7" s="19" t="s">
        <v>282</v>
      </c>
      <c r="E7" s="20" t="n">
        <v>2019</v>
      </c>
      <c r="F7" s="20" t="n">
        <v>2</v>
      </c>
      <c r="G7" s="20" t="n">
        <v>2</v>
      </c>
      <c r="H7" s="19" t="s">
        <v>266</v>
      </c>
      <c r="I7" s="19" t="s">
        <v>61</v>
      </c>
      <c r="J7" s="20" t="n">
        <v>1</v>
      </c>
      <c r="K7" s="21" t="s">
        <v>283</v>
      </c>
      <c r="L7" s="21" t="s">
        <v>284</v>
      </c>
      <c r="M7" s="21" t="s">
        <v>285</v>
      </c>
      <c r="N7" s="23" t="n">
        <v>46303</v>
      </c>
    </row>
    <row r="8" customFormat="false" ht="68.25" hidden="false" customHeight="true" outlineLevel="0" collapsed="false">
      <c r="A8" s="19" t="s">
        <v>232</v>
      </c>
      <c r="B8" s="19" t="s">
        <v>263</v>
      </c>
      <c r="C8" s="19" t="s">
        <v>286</v>
      </c>
      <c r="D8" s="19" t="s">
        <v>287</v>
      </c>
      <c r="E8" s="20" t="n">
        <v>2017</v>
      </c>
      <c r="F8" s="20" t="n">
        <v>4</v>
      </c>
      <c r="G8" s="20" t="n">
        <v>8</v>
      </c>
      <c r="H8" s="19" t="s">
        <v>266</v>
      </c>
      <c r="I8" s="19" t="s">
        <v>61</v>
      </c>
      <c r="J8" s="20" t="n">
        <v>2</v>
      </c>
      <c r="K8" s="21" t="s">
        <v>288</v>
      </c>
      <c r="L8" s="21" t="s">
        <v>289</v>
      </c>
      <c r="M8" s="21" t="s">
        <v>290</v>
      </c>
      <c r="N8" s="23" t="n">
        <v>46303</v>
      </c>
    </row>
    <row r="9" customFormat="false" ht="68.25" hidden="false" customHeight="true" outlineLevel="0" collapsed="false">
      <c r="A9" s="19" t="s">
        <v>241</v>
      </c>
      <c r="B9" s="19" t="s">
        <v>263</v>
      </c>
      <c r="C9" s="19" t="s">
        <v>286</v>
      </c>
      <c r="D9" s="19" t="s">
        <v>291</v>
      </c>
      <c r="E9" s="20" t="n">
        <v>2018</v>
      </c>
      <c r="F9" s="20" t="n">
        <v>4</v>
      </c>
      <c r="G9" s="20" t="n">
        <v>8</v>
      </c>
      <c r="H9" s="19" t="s">
        <v>266</v>
      </c>
      <c r="I9" s="19" t="s">
        <v>61</v>
      </c>
      <c r="J9" s="20" t="n">
        <v>2</v>
      </c>
      <c r="K9" s="21" t="s">
        <v>292</v>
      </c>
      <c r="L9" s="21" t="s">
        <v>293</v>
      </c>
      <c r="M9" s="21" t="s">
        <v>294</v>
      </c>
      <c r="N9" s="23" t="n">
        <v>46303</v>
      </c>
    </row>
    <row r="10" customFormat="false" ht="79.5" hidden="false" customHeight="true" outlineLevel="0" collapsed="false">
      <c r="A10" s="19" t="s">
        <v>245</v>
      </c>
      <c r="B10" s="19" t="s">
        <v>263</v>
      </c>
      <c r="C10" s="19" t="s">
        <v>286</v>
      </c>
      <c r="D10" s="19" t="s">
        <v>291</v>
      </c>
      <c r="E10" s="20" t="n">
        <v>2019</v>
      </c>
      <c r="F10" s="20" t="n">
        <v>4</v>
      </c>
      <c r="G10" s="20" t="n">
        <v>8</v>
      </c>
      <c r="H10" s="19" t="s">
        <v>266</v>
      </c>
      <c r="I10" s="19" t="s">
        <v>61</v>
      </c>
      <c r="J10" s="20" t="n">
        <v>2</v>
      </c>
      <c r="K10" s="21" t="s">
        <v>295</v>
      </c>
      <c r="L10" s="21" t="s">
        <v>296</v>
      </c>
      <c r="M10" s="21" t="s">
        <v>297</v>
      </c>
      <c r="N10" s="23" t="n">
        <v>46303</v>
      </c>
    </row>
    <row r="11" customFormat="false" ht="15" hidden="false" customHeight="true" outlineLevel="0" collapsed="false">
      <c r="A11" s="19"/>
      <c r="B11" s="19"/>
      <c r="C11" s="19"/>
      <c r="D11" s="19"/>
      <c r="E11" s="20"/>
      <c r="F11" s="20"/>
      <c r="G11" s="20"/>
      <c r="H11" s="19"/>
      <c r="I11" s="19"/>
      <c r="J11" s="20"/>
      <c r="K11" s="21"/>
      <c r="L11" s="21"/>
      <c r="M11" s="21"/>
      <c r="N11" s="23"/>
    </row>
    <row r="12" customFormat="false" ht="15" hidden="false" customHeight="true" outlineLevel="0" collapsed="false">
      <c r="A12" s="19"/>
      <c r="B12" s="19"/>
      <c r="C12" s="19"/>
      <c r="D12" s="19"/>
      <c r="E12" s="20"/>
      <c r="F12" s="20"/>
      <c r="G12" s="20"/>
      <c r="H12" s="19"/>
      <c r="I12" s="19"/>
      <c r="J12" s="20"/>
      <c r="K12" s="21"/>
      <c r="L12" s="21"/>
      <c r="M12" s="21"/>
      <c r="N12" s="23"/>
    </row>
    <row r="13" customFormat="false" ht="15" hidden="false" customHeight="true" outlineLevel="0" collapsed="false">
      <c r="A13" s="19"/>
      <c r="B13" s="19"/>
      <c r="C13" s="19"/>
      <c r="D13" s="19"/>
      <c r="E13" s="20"/>
      <c r="F13" s="20"/>
      <c r="G13" s="20"/>
      <c r="H13" s="19"/>
      <c r="I13" s="19"/>
      <c r="J13" s="20"/>
      <c r="K13" s="21"/>
      <c r="L13" s="21"/>
      <c r="M13" s="21"/>
      <c r="N13" s="23"/>
    </row>
    <row r="14" customFormat="false" ht="15" hidden="false" customHeight="true" outlineLevel="0" collapsed="false">
      <c r="A14" s="19"/>
      <c r="B14" s="19"/>
      <c r="C14" s="19"/>
      <c r="D14" s="19"/>
      <c r="E14" s="20"/>
      <c r="F14" s="20"/>
      <c r="G14" s="20"/>
      <c r="H14" s="19"/>
      <c r="I14" s="19"/>
      <c r="J14" s="20"/>
      <c r="K14" s="21"/>
      <c r="L14" s="21"/>
      <c r="M14" s="21"/>
      <c r="N14" s="23"/>
    </row>
    <row r="15" customFormat="false" ht="15" hidden="false" customHeight="true" outlineLevel="0" collapsed="false">
      <c r="A15" s="19"/>
      <c r="B15" s="19"/>
      <c r="C15" s="19"/>
      <c r="D15" s="19"/>
      <c r="E15" s="20"/>
      <c r="F15" s="20"/>
      <c r="G15" s="20"/>
      <c r="H15" s="19"/>
      <c r="I15" s="19"/>
      <c r="J15" s="20"/>
      <c r="K15" s="21"/>
      <c r="L15" s="21"/>
      <c r="M15" s="21"/>
      <c r="N15" s="23"/>
    </row>
    <row r="16" customFormat="false" ht="15" hidden="false" customHeight="true" outlineLevel="0" collapsed="false">
      <c r="A16" s="19"/>
      <c r="B16" s="19"/>
      <c r="C16" s="19"/>
      <c r="D16" s="19"/>
      <c r="E16" s="20"/>
      <c r="F16" s="20"/>
      <c r="G16" s="20"/>
      <c r="H16" s="19"/>
      <c r="I16" s="19"/>
      <c r="J16" s="20"/>
      <c r="K16" s="21"/>
      <c r="L16" s="21"/>
      <c r="M16" s="21"/>
      <c r="N16" s="23"/>
    </row>
    <row r="17" customFormat="false" ht="15" hidden="false" customHeight="true" outlineLevel="0" collapsed="false">
      <c r="A17" s="19"/>
      <c r="B17" s="19"/>
      <c r="C17" s="19"/>
      <c r="D17" s="19"/>
      <c r="E17" s="20"/>
      <c r="F17" s="20"/>
      <c r="G17" s="20"/>
      <c r="H17" s="19"/>
      <c r="I17" s="19"/>
      <c r="J17" s="20"/>
      <c r="K17" s="21"/>
      <c r="L17" s="21"/>
      <c r="M17" s="21"/>
      <c r="N17" s="23"/>
    </row>
    <row r="18" customFormat="false" ht="15" hidden="false" customHeight="true" outlineLevel="0" collapsed="false">
      <c r="A18" s="19"/>
      <c r="B18" s="19"/>
      <c r="C18" s="19"/>
      <c r="D18" s="19"/>
      <c r="E18" s="20"/>
      <c r="F18" s="20"/>
      <c r="G18" s="20"/>
      <c r="H18" s="19"/>
      <c r="I18" s="19"/>
      <c r="J18" s="20"/>
      <c r="K18" s="21"/>
      <c r="L18" s="21"/>
      <c r="M18" s="21"/>
      <c r="N18" s="23"/>
    </row>
    <row r="19" customFormat="false" ht="15" hidden="false" customHeight="true" outlineLevel="0" collapsed="false">
      <c r="A19" s="19"/>
      <c r="B19" s="19"/>
      <c r="C19" s="19"/>
      <c r="D19" s="19"/>
      <c r="E19" s="20"/>
      <c r="F19" s="20"/>
      <c r="G19" s="20"/>
      <c r="H19" s="19"/>
      <c r="I19" s="19"/>
      <c r="J19" s="20"/>
      <c r="K19" s="21"/>
      <c r="L19" s="21"/>
      <c r="M19" s="21"/>
      <c r="N19" s="23"/>
    </row>
    <row r="20" customFormat="false" ht="15" hidden="false" customHeight="true" outlineLevel="0" collapsed="false">
      <c r="A20" s="19"/>
      <c r="B20" s="19"/>
      <c r="C20" s="19"/>
      <c r="D20" s="19"/>
      <c r="E20" s="20"/>
      <c r="F20" s="20"/>
      <c r="G20" s="20"/>
      <c r="H20" s="19"/>
      <c r="I20" s="19"/>
      <c r="J20" s="20"/>
      <c r="K20" s="21"/>
      <c r="L20" s="21"/>
      <c r="M20" s="21"/>
      <c r="N20" s="23"/>
    </row>
    <row r="21" customFormat="false" ht="15" hidden="false" customHeight="true" outlineLevel="0" collapsed="false">
      <c r="A21" s="19"/>
      <c r="B21" s="19"/>
      <c r="C21" s="19"/>
      <c r="D21" s="19"/>
      <c r="E21" s="20"/>
      <c r="F21" s="20"/>
      <c r="G21" s="20"/>
      <c r="H21" s="19"/>
      <c r="I21" s="19"/>
      <c r="J21" s="20"/>
      <c r="K21" s="21"/>
      <c r="L21" s="21"/>
      <c r="M21" s="21"/>
      <c r="N21" s="23"/>
    </row>
    <row r="22" customFormat="false" ht="15" hidden="false" customHeight="true" outlineLevel="0" collapsed="false">
      <c r="A22" s="19"/>
      <c r="B22" s="19"/>
      <c r="C22" s="19"/>
      <c r="D22" s="19"/>
      <c r="E22" s="20"/>
      <c r="F22" s="20"/>
      <c r="G22" s="20"/>
      <c r="H22" s="19"/>
      <c r="I22" s="19"/>
      <c r="J22" s="20"/>
      <c r="K22" s="21"/>
      <c r="L22" s="21"/>
      <c r="M22" s="21"/>
      <c r="N22" s="23"/>
    </row>
    <row r="23" customFormat="false" ht="15" hidden="false" customHeight="true" outlineLevel="0" collapsed="false">
      <c r="A23" s="19"/>
      <c r="B23" s="19"/>
      <c r="C23" s="19"/>
      <c r="D23" s="19"/>
      <c r="E23" s="20"/>
      <c r="F23" s="20"/>
      <c r="G23" s="20"/>
      <c r="H23" s="19"/>
      <c r="I23" s="19"/>
      <c r="J23" s="20"/>
      <c r="K23" s="21"/>
      <c r="L23" s="21"/>
      <c r="M23" s="21"/>
      <c r="N23" s="23"/>
    </row>
    <row r="24" customFormat="false" ht="15" hidden="false" customHeight="true" outlineLevel="0" collapsed="false">
      <c r="A24" s="19"/>
      <c r="B24" s="19"/>
      <c r="C24" s="19"/>
      <c r="D24" s="19"/>
      <c r="E24" s="20"/>
      <c r="F24" s="20"/>
      <c r="G24" s="20"/>
      <c r="H24" s="19"/>
      <c r="I24" s="19"/>
      <c r="J24" s="20"/>
      <c r="K24" s="21"/>
      <c r="L24" s="21"/>
      <c r="M24" s="21"/>
      <c r="N24" s="23"/>
    </row>
    <row r="25" customFormat="false" ht="15" hidden="false" customHeight="true" outlineLevel="0" collapsed="false">
      <c r="A25" s="19"/>
      <c r="B25" s="19"/>
      <c r="C25" s="19"/>
      <c r="D25" s="19"/>
      <c r="E25" s="20"/>
      <c r="F25" s="20"/>
      <c r="G25" s="20"/>
      <c r="H25" s="19"/>
      <c r="I25" s="19"/>
      <c r="J25" s="20"/>
      <c r="K25" s="21"/>
      <c r="L25" s="21"/>
      <c r="M25" s="21"/>
      <c r="N25" s="23"/>
    </row>
    <row r="26" customFormat="false" ht="15" hidden="false" customHeight="true" outlineLevel="0" collapsed="false">
      <c r="A26" s="19"/>
      <c r="B26" s="19"/>
      <c r="C26" s="19"/>
      <c r="D26" s="19"/>
      <c r="E26" s="20"/>
      <c r="F26" s="20"/>
      <c r="G26" s="20"/>
      <c r="H26" s="19"/>
      <c r="I26" s="19"/>
      <c r="J26" s="20"/>
      <c r="K26" s="21"/>
      <c r="L26" s="21"/>
      <c r="M26" s="21"/>
      <c r="N26" s="23"/>
    </row>
    <row r="27" customFormat="false" ht="15" hidden="false" customHeight="true" outlineLevel="0" collapsed="false">
      <c r="A27" s="19"/>
      <c r="B27" s="19"/>
      <c r="C27" s="19"/>
      <c r="D27" s="19"/>
      <c r="E27" s="20"/>
      <c r="F27" s="20"/>
      <c r="G27" s="20"/>
      <c r="H27" s="19"/>
      <c r="I27" s="19"/>
      <c r="J27" s="20"/>
      <c r="K27" s="21"/>
      <c r="L27" s="21"/>
      <c r="M27" s="21"/>
      <c r="N27" s="23"/>
    </row>
    <row r="28" customFormat="false" ht="15" hidden="false" customHeight="true" outlineLevel="0" collapsed="false">
      <c r="A28" s="19"/>
      <c r="B28" s="19"/>
      <c r="C28" s="19"/>
      <c r="D28" s="19"/>
      <c r="E28" s="20"/>
      <c r="F28" s="20"/>
      <c r="G28" s="20"/>
      <c r="H28" s="19"/>
      <c r="I28" s="19"/>
      <c r="J28" s="20"/>
      <c r="K28" s="21"/>
      <c r="L28" s="21"/>
      <c r="M28" s="21"/>
      <c r="N28" s="23"/>
    </row>
    <row r="29" customFormat="false" ht="15" hidden="false" customHeight="true" outlineLevel="0" collapsed="false">
      <c r="A29" s="19"/>
      <c r="B29" s="19"/>
      <c r="C29" s="19"/>
      <c r="D29" s="19"/>
      <c r="E29" s="20"/>
      <c r="F29" s="20"/>
      <c r="G29" s="20"/>
      <c r="H29" s="19"/>
      <c r="I29" s="19"/>
      <c r="J29" s="20"/>
      <c r="K29" s="21"/>
      <c r="L29" s="21"/>
      <c r="M29" s="21"/>
      <c r="N29" s="23"/>
    </row>
    <row r="30" customFormat="false" ht="15" hidden="false" customHeight="true" outlineLevel="0" collapsed="false">
      <c r="A30" s="19"/>
      <c r="B30" s="19"/>
      <c r="C30" s="19"/>
      <c r="D30" s="19"/>
      <c r="E30" s="20"/>
      <c r="F30" s="20"/>
      <c r="G30" s="20"/>
      <c r="H30" s="19"/>
      <c r="I30" s="19"/>
      <c r="J30" s="20"/>
      <c r="K30" s="21"/>
      <c r="L30" s="21"/>
      <c r="M30" s="21"/>
      <c r="N30" s="23"/>
    </row>
    <row r="31" customFormat="false" ht="15" hidden="false" customHeight="true" outlineLevel="0" collapsed="false">
      <c r="A31" s="19"/>
      <c r="B31" s="19"/>
      <c r="C31" s="19"/>
      <c r="D31" s="19"/>
      <c r="E31" s="20"/>
      <c r="F31" s="20"/>
      <c r="G31" s="20"/>
      <c r="H31" s="19"/>
      <c r="I31" s="19"/>
      <c r="J31" s="20"/>
      <c r="K31" s="21"/>
      <c r="L31" s="21"/>
      <c r="M31" s="21"/>
      <c r="N31" s="23"/>
    </row>
    <row r="32" customFormat="false" ht="15" hidden="false" customHeight="true" outlineLevel="0" collapsed="false">
      <c r="A32" s="19"/>
      <c r="B32" s="19"/>
      <c r="C32" s="19"/>
      <c r="D32" s="19"/>
      <c r="E32" s="20"/>
      <c r="F32" s="20"/>
      <c r="G32" s="20"/>
      <c r="H32" s="19"/>
      <c r="I32" s="19"/>
      <c r="J32" s="20"/>
      <c r="K32" s="21"/>
      <c r="L32" s="21"/>
      <c r="M32" s="21"/>
      <c r="N32" s="23"/>
    </row>
    <row r="33" customFormat="false" ht="15" hidden="false" customHeight="true" outlineLevel="0" collapsed="false">
      <c r="A33" s="19"/>
      <c r="B33" s="19"/>
      <c r="C33" s="19"/>
      <c r="D33" s="19"/>
      <c r="E33" s="20"/>
      <c r="F33" s="20"/>
      <c r="G33" s="20"/>
      <c r="H33" s="19"/>
      <c r="I33" s="19"/>
      <c r="J33" s="20"/>
      <c r="K33" s="21"/>
      <c r="L33" s="21"/>
      <c r="M33" s="21"/>
      <c r="N33" s="23"/>
    </row>
    <row r="34" customFormat="false" ht="15" hidden="false" customHeight="true" outlineLevel="0" collapsed="false">
      <c r="A34" s="19"/>
      <c r="B34" s="19"/>
      <c r="C34" s="19"/>
      <c r="D34" s="19"/>
      <c r="E34" s="20"/>
      <c r="F34" s="20"/>
      <c r="G34" s="20"/>
      <c r="H34" s="19"/>
      <c r="I34" s="19"/>
      <c r="J34" s="20"/>
      <c r="K34" s="21"/>
      <c r="L34" s="21"/>
      <c r="M34" s="21"/>
      <c r="N34" s="23"/>
    </row>
    <row r="35" customFormat="false" ht="15" hidden="false" customHeight="true" outlineLevel="0" collapsed="false">
      <c r="A35" s="19"/>
      <c r="B35" s="19"/>
      <c r="C35" s="19"/>
      <c r="D35" s="19"/>
      <c r="E35" s="20"/>
      <c r="F35" s="20"/>
      <c r="G35" s="20"/>
      <c r="H35" s="19"/>
      <c r="I35" s="19"/>
      <c r="J35" s="20"/>
      <c r="K35" s="21"/>
      <c r="L35" s="21"/>
      <c r="M35" s="21"/>
      <c r="N35" s="23"/>
    </row>
    <row r="36" customFormat="false" ht="15" hidden="false" customHeight="true" outlineLevel="0" collapsed="false">
      <c r="A36" s="19"/>
      <c r="B36" s="19"/>
      <c r="C36" s="19"/>
      <c r="D36" s="19"/>
      <c r="E36" s="20"/>
      <c r="F36" s="20"/>
      <c r="G36" s="20"/>
      <c r="H36" s="19"/>
      <c r="I36" s="19"/>
      <c r="J36" s="20"/>
      <c r="K36" s="21"/>
      <c r="L36" s="21"/>
      <c r="M36" s="21"/>
      <c r="N36" s="23"/>
    </row>
    <row r="37" customFormat="false" ht="15" hidden="false" customHeight="true" outlineLevel="0" collapsed="false">
      <c r="A37" s="19"/>
      <c r="B37" s="19"/>
      <c r="C37" s="19"/>
      <c r="D37" s="19"/>
      <c r="E37" s="20"/>
      <c r="F37" s="20"/>
      <c r="G37" s="20"/>
      <c r="H37" s="19"/>
      <c r="I37" s="19"/>
      <c r="J37" s="20"/>
      <c r="K37" s="21"/>
      <c r="L37" s="21"/>
      <c r="M37" s="21"/>
      <c r="N37" s="23"/>
    </row>
    <row r="38" customFormat="false" ht="15" hidden="false" customHeight="true" outlineLevel="0" collapsed="false">
      <c r="A38" s="19"/>
      <c r="B38" s="19"/>
      <c r="C38" s="19"/>
      <c r="D38" s="19"/>
      <c r="E38" s="20"/>
      <c r="F38" s="20"/>
      <c r="G38" s="20"/>
      <c r="H38" s="19"/>
      <c r="I38" s="19"/>
      <c r="J38" s="20"/>
      <c r="K38" s="21"/>
      <c r="L38" s="21"/>
      <c r="M38" s="21"/>
      <c r="N38" s="23"/>
    </row>
    <row r="39" customFormat="false" ht="15" hidden="false" customHeight="true" outlineLevel="0" collapsed="false">
      <c r="A39" s="19"/>
      <c r="B39" s="19"/>
      <c r="C39" s="19"/>
      <c r="D39" s="19"/>
      <c r="E39" s="20"/>
      <c r="F39" s="20"/>
      <c r="G39" s="20"/>
      <c r="H39" s="19"/>
      <c r="I39" s="19"/>
      <c r="J39" s="20"/>
      <c r="K39" s="21"/>
      <c r="L39" s="21"/>
      <c r="M39" s="21"/>
      <c r="N39" s="23"/>
    </row>
    <row r="40" customFormat="false" ht="15" hidden="false" customHeight="true" outlineLevel="0" collapsed="false">
      <c r="A40" s="19"/>
      <c r="B40" s="19"/>
      <c r="C40" s="19"/>
      <c r="D40" s="19"/>
      <c r="E40" s="20"/>
      <c r="F40" s="20"/>
      <c r="G40" s="20"/>
      <c r="H40" s="19"/>
      <c r="I40" s="19"/>
      <c r="J40" s="20"/>
      <c r="K40" s="21"/>
      <c r="L40" s="21"/>
      <c r="M40" s="21"/>
      <c r="N40" s="23"/>
    </row>
    <row r="41" customFormat="false" ht="15" hidden="false" customHeight="true" outlineLevel="0" collapsed="false">
      <c r="A41" s="19"/>
      <c r="B41" s="19"/>
      <c r="C41" s="19"/>
      <c r="D41" s="19"/>
      <c r="E41" s="20"/>
      <c r="F41" s="20"/>
      <c r="G41" s="20"/>
      <c r="H41" s="19"/>
      <c r="I41" s="19"/>
      <c r="J41" s="20"/>
      <c r="K41" s="21"/>
      <c r="L41" s="21"/>
      <c r="M41" s="21"/>
      <c r="N41" s="23"/>
    </row>
    <row r="42" customFormat="false" ht="15" hidden="false" customHeight="true" outlineLevel="0" collapsed="false">
      <c r="A42" s="19"/>
      <c r="B42" s="19"/>
      <c r="C42" s="19"/>
      <c r="D42" s="19"/>
      <c r="E42" s="20"/>
      <c r="F42" s="20"/>
      <c r="G42" s="20"/>
      <c r="H42" s="19"/>
      <c r="I42" s="19"/>
      <c r="J42" s="20"/>
      <c r="K42" s="21"/>
      <c r="L42" s="21"/>
      <c r="M42" s="21"/>
      <c r="N42" s="23"/>
    </row>
    <row r="43" customFormat="false" ht="15" hidden="false" customHeight="true" outlineLevel="0" collapsed="false">
      <c r="A43" s="19"/>
      <c r="B43" s="19"/>
      <c r="C43" s="19"/>
      <c r="D43" s="19"/>
      <c r="E43" s="20"/>
      <c r="F43" s="20"/>
      <c r="G43" s="20"/>
      <c r="H43" s="19"/>
      <c r="I43" s="19"/>
      <c r="J43" s="20"/>
      <c r="K43" s="21"/>
      <c r="L43" s="21"/>
      <c r="M43" s="21"/>
      <c r="N43" s="23"/>
    </row>
    <row r="44" customFormat="false" ht="15" hidden="false" customHeight="true" outlineLevel="0" collapsed="false">
      <c r="A44" s="19"/>
      <c r="B44" s="19"/>
      <c r="C44" s="19"/>
      <c r="D44" s="19"/>
      <c r="E44" s="20"/>
      <c r="F44" s="20"/>
      <c r="G44" s="20"/>
      <c r="H44" s="19"/>
      <c r="I44" s="19"/>
      <c r="J44" s="20"/>
      <c r="K44" s="21"/>
      <c r="L44" s="21"/>
      <c r="M44" s="21"/>
      <c r="N44" s="23"/>
    </row>
    <row r="45" customFormat="false" ht="15" hidden="false" customHeight="true" outlineLevel="0" collapsed="false">
      <c r="A45" s="19"/>
      <c r="B45" s="19"/>
      <c r="C45" s="19"/>
      <c r="D45" s="19"/>
      <c r="E45" s="20"/>
      <c r="F45" s="20"/>
      <c r="G45" s="20"/>
      <c r="H45" s="19"/>
      <c r="I45" s="19"/>
      <c r="J45" s="20"/>
      <c r="K45" s="21"/>
      <c r="L45" s="21"/>
      <c r="M45" s="21"/>
      <c r="N45" s="23"/>
    </row>
    <row r="46" customFormat="false" ht="15" hidden="false" customHeight="true" outlineLevel="0" collapsed="false">
      <c r="A46" s="19"/>
      <c r="B46" s="19"/>
      <c r="C46" s="19"/>
      <c r="D46" s="19"/>
      <c r="E46" s="20"/>
      <c r="F46" s="20"/>
      <c r="G46" s="20"/>
      <c r="H46" s="19"/>
      <c r="I46" s="19"/>
      <c r="J46" s="20"/>
      <c r="K46" s="21"/>
      <c r="L46" s="21"/>
      <c r="M46" s="21"/>
      <c r="N46" s="23"/>
    </row>
    <row r="47" customFormat="false" ht="15" hidden="false" customHeight="true" outlineLevel="0" collapsed="false">
      <c r="A47" s="19"/>
      <c r="B47" s="19"/>
      <c r="C47" s="19"/>
      <c r="D47" s="19"/>
      <c r="E47" s="20"/>
      <c r="F47" s="20"/>
      <c r="G47" s="20"/>
      <c r="H47" s="19"/>
      <c r="I47" s="19"/>
      <c r="J47" s="20"/>
      <c r="K47" s="21"/>
      <c r="L47" s="21"/>
      <c r="M47" s="21"/>
      <c r="N47" s="23"/>
    </row>
    <row r="48" customFormat="false" ht="15" hidden="false" customHeight="true" outlineLevel="0" collapsed="false">
      <c r="A48" s="19"/>
      <c r="B48" s="19"/>
      <c r="C48" s="19"/>
      <c r="D48" s="19"/>
      <c r="E48" s="20"/>
      <c r="F48" s="20"/>
      <c r="G48" s="20"/>
      <c r="H48" s="19"/>
      <c r="I48" s="19"/>
      <c r="J48" s="20"/>
      <c r="K48" s="21"/>
      <c r="L48" s="21"/>
      <c r="M48" s="21"/>
      <c r="N48" s="23"/>
    </row>
    <row r="49" customFormat="false" ht="15" hidden="false" customHeight="true" outlineLevel="0" collapsed="false">
      <c r="A49" s="19"/>
      <c r="B49" s="19"/>
      <c r="C49" s="19"/>
      <c r="D49" s="19"/>
      <c r="E49" s="20"/>
      <c r="F49" s="20"/>
      <c r="G49" s="20"/>
      <c r="H49" s="19"/>
      <c r="I49" s="19"/>
      <c r="J49" s="20"/>
      <c r="K49" s="21"/>
      <c r="L49" s="21"/>
      <c r="M49" s="21"/>
      <c r="N49" s="23"/>
    </row>
    <row r="50" customFormat="false" ht="15" hidden="false" customHeight="true" outlineLevel="0" collapsed="false">
      <c r="A50" s="19"/>
      <c r="B50" s="19"/>
      <c r="C50" s="19"/>
      <c r="D50" s="19"/>
      <c r="E50" s="20"/>
      <c r="F50" s="20"/>
      <c r="G50" s="20"/>
      <c r="H50" s="19"/>
      <c r="I50" s="19"/>
      <c r="J50" s="20"/>
      <c r="K50" s="21"/>
      <c r="L50" s="21"/>
      <c r="M50" s="21"/>
      <c r="N50" s="23"/>
    </row>
    <row r="51" customFormat="false" ht="15" hidden="false" customHeight="true" outlineLevel="0" collapsed="false">
      <c r="A51" s="19"/>
      <c r="B51" s="19"/>
      <c r="C51" s="19"/>
      <c r="D51" s="19"/>
      <c r="E51" s="20"/>
      <c r="F51" s="20"/>
      <c r="G51" s="20"/>
      <c r="H51" s="19"/>
      <c r="I51" s="19"/>
      <c r="J51" s="20"/>
      <c r="K51" s="21"/>
      <c r="L51" s="21"/>
      <c r="M51" s="21"/>
      <c r="N51" s="23"/>
    </row>
    <row r="52" customFormat="false" ht="15" hidden="false" customHeight="true" outlineLevel="0" collapsed="false">
      <c r="A52" s="19"/>
      <c r="B52" s="19"/>
      <c r="C52" s="19"/>
      <c r="D52" s="19"/>
      <c r="E52" s="20"/>
      <c r="F52" s="20"/>
      <c r="G52" s="20"/>
      <c r="H52" s="19"/>
      <c r="I52" s="19"/>
      <c r="J52" s="20"/>
      <c r="K52" s="21"/>
      <c r="L52" s="21"/>
      <c r="M52" s="21"/>
      <c r="N52" s="23"/>
    </row>
    <row r="53" customFormat="false" ht="15" hidden="false" customHeight="true" outlineLevel="0" collapsed="false">
      <c r="A53" s="19"/>
      <c r="B53" s="19"/>
      <c r="C53" s="19"/>
      <c r="D53" s="19"/>
      <c r="E53" s="20"/>
      <c r="F53" s="20"/>
      <c r="G53" s="20"/>
      <c r="H53" s="19"/>
      <c r="I53" s="19"/>
      <c r="J53" s="20"/>
      <c r="K53" s="21"/>
      <c r="L53" s="21"/>
      <c r="M53" s="21"/>
      <c r="N53" s="23"/>
    </row>
    <row r="54" customFormat="false" ht="15" hidden="false" customHeight="true" outlineLevel="0" collapsed="false">
      <c r="A54" s="19"/>
      <c r="B54" s="19"/>
      <c r="C54" s="19"/>
      <c r="D54" s="19"/>
      <c r="E54" s="20"/>
      <c r="F54" s="20"/>
      <c r="G54" s="20"/>
      <c r="H54" s="19"/>
      <c r="I54" s="19"/>
      <c r="J54" s="20"/>
      <c r="K54" s="21"/>
      <c r="L54" s="21"/>
      <c r="M54" s="21"/>
      <c r="N54" s="23"/>
    </row>
    <row r="55" customFormat="false" ht="15" hidden="false" customHeight="true" outlineLevel="0" collapsed="false">
      <c r="A55" s="19"/>
      <c r="B55" s="19"/>
      <c r="C55" s="19"/>
      <c r="D55" s="19"/>
      <c r="E55" s="20"/>
      <c r="F55" s="20"/>
      <c r="G55" s="20"/>
      <c r="H55" s="19"/>
      <c r="I55" s="19"/>
      <c r="J55" s="20"/>
      <c r="K55" s="21"/>
      <c r="L55" s="21"/>
      <c r="M55" s="21"/>
      <c r="N55" s="23"/>
    </row>
    <row r="56" customFormat="false" ht="15" hidden="false" customHeight="true" outlineLevel="0" collapsed="false">
      <c r="A56" s="19"/>
      <c r="B56" s="19"/>
      <c r="C56" s="19"/>
      <c r="D56" s="19"/>
      <c r="E56" s="20"/>
      <c r="F56" s="20"/>
      <c r="G56" s="20"/>
      <c r="H56" s="19"/>
      <c r="I56" s="19"/>
      <c r="J56" s="20"/>
      <c r="K56" s="21"/>
      <c r="L56" s="21"/>
      <c r="M56" s="21"/>
      <c r="N56" s="23"/>
    </row>
    <row r="57" customFormat="false" ht="15" hidden="false" customHeight="true" outlineLevel="0" collapsed="false">
      <c r="A57" s="19"/>
      <c r="B57" s="19"/>
      <c r="C57" s="19"/>
      <c r="D57" s="19"/>
      <c r="E57" s="20"/>
      <c r="F57" s="20"/>
      <c r="G57" s="20"/>
      <c r="H57" s="19"/>
      <c r="I57" s="19"/>
      <c r="J57" s="20"/>
      <c r="K57" s="21"/>
      <c r="L57" s="21"/>
      <c r="M57" s="21"/>
      <c r="N57" s="23"/>
    </row>
    <row r="58" customFormat="false" ht="15" hidden="false" customHeight="true" outlineLevel="0" collapsed="false">
      <c r="A58" s="19"/>
      <c r="B58" s="19"/>
      <c r="C58" s="19"/>
      <c r="D58" s="19"/>
      <c r="E58" s="20"/>
      <c r="F58" s="20"/>
      <c r="G58" s="20"/>
      <c r="H58" s="19"/>
      <c r="I58" s="19"/>
      <c r="J58" s="20"/>
      <c r="K58" s="21"/>
      <c r="L58" s="21"/>
      <c r="M58" s="21"/>
      <c r="N58" s="23"/>
    </row>
    <row r="59" customFormat="false" ht="15" hidden="false" customHeight="true" outlineLevel="0" collapsed="false">
      <c r="A59" s="19"/>
      <c r="B59" s="19"/>
      <c r="C59" s="19"/>
      <c r="D59" s="19"/>
      <c r="E59" s="20"/>
      <c r="F59" s="20"/>
      <c r="G59" s="20"/>
      <c r="H59" s="19"/>
      <c r="I59" s="19"/>
      <c r="J59" s="20"/>
      <c r="K59" s="21"/>
      <c r="L59" s="21"/>
      <c r="M59" s="21"/>
      <c r="N59" s="23"/>
    </row>
    <row r="60" customFormat="false" ht="15" hidden="false" customHeight="true" outlineLevel="0" collapsed="false">
      <c r="A60" s="19"/>
      <c r="B60" s="19"/>
      <c r="C60" s="19"/>
      <c r="D60" s="19"/>
      <c r="E60" s="20"/>
      <c r="F60" s="20"/>
      <c r="G60" s="20"/>
      <c r="H60" s="19"/>
      <c r="I60" s="19"/>
      <c r="J60" s="20"/>
      <c r="K60" s="21"/>
      <c r="L60" s="21"/>
      <c r="M60" s="21"/>
      <c r="N60" s="23"/>
    </row>
    <row r="61" customFormat="false" ht="15" hidden="false" customHeight="true" outlineLevel="0" collapsed="false">
      <c r="A61" s="19"/>
      <c r="B61" s="19"/>
      <c r="C61" s="19"/>
      <c r="D61" s="19"/>
      <c r="E61" s="20"/>
      <c r="F61" s="20"/>
      <c r="G61" s="20"/>
      <c r="H61" s="19"/>
      <c r="I61" s="19"/>
      <c r="J61" s="20"/>
      <c r="K61" s="21"/>
      <c r="L61" s="21"/>
      <c r="M61" s="21"/>
      <c r="N61" s="23"/>
    </row>
    <row r="62" customFormat="false" ht="15" hidden="false" customHeight="true" outlineLevel="0" collapsed="false">
      <c r="A62" s="19"/>
      <c r="B62" s="19"/>
      <c r="C62" s="19"/>
      <c r="D62" s="19"/>
      <c r="E62" s="20"/>
      <c r="F62" s="20"/>
      <c r="G62" s="20"/>
      <c r="H62" s="19"/>
      <c r="I62" s="19"/>
      <c r="J62" s="20"/>
      <c r="K62" s="21"/>
      <c r="L62" s="21"/>
      <c r="M62" s="21"/>
      <c r="N62" s="23"/>
    </row>
    <row r="63" customFormat="false" ht="15" hidden="false" customHeight="true" outlineLevel="0" collapsed="false">
      <c r="A63" s="19"/>
      <c r="B63" s="19"/>
      <c r="C63" s="19"/>
      <c r="D63" s="19"/>
      <c r="E63" s="20"/>
      <c r="F63" s="20"/>
      <c r="G63" s="20"/>
      <c r="H63" s="19"/>
      <c r="I63" s="19"/>
      <c r="J63" s="20"/>
      <c r="K63" s="21"/>
      <c r="L63" s="21"/>
      <c r="M63" s="21"/>
      <c r="N63" s="23"/>
    </row>
    <row r="64" customFormat="false" ht="15" hidden="false" customHeight="true" outlineLevel="0" collapsed="false">
      <c r="A64" s="19"/>
      <c r="B64" s="19"/>
      <c r="C64" s="19"/>
      <c r="D64" s="19"/>
      <c r="E64" s="20"/>
      <c r="F64" s="20"/>
      <c r="G64" s="20"/>
      <c r="H64" s="19"/>
      <c r="I64" s="19"/>
      <c r="J64" s="20"/>
      <c r="K64" s="21"/>
      <c r="L64" s="21"/>
      <c r="M64" s="21"/>
      <c r="N64" s="23"/>
    </row>
  </sheetData>
  <autoFilter ref="A3:N64"/>
  <dataValidations count="8">
    <dataValidation allowBlank="true" error="Isi angka bulat antara 2000 dan 2035. Periksa lagi bila memang di luar kisaran itu." errorStyle="warning" errorTitle="Angka tidak wajar" operator="between" showDropDown="false" showErrorMessage="true" showInputMessage="false" sqref="E5:E64" type="whole">
      <formula1>2000</formula1>
      <formula2>2035</formula2>
    </dataValidation>
    <dataValidation allowBlank="true" error="Isi tanggal antara 2020-01-01 dan 2035-12-31, misalnya 2026-10-08." errorStyle="warning" errorTitle="Tanggal tidak wajar" operator="between" showDropDown="false" showErrorMessage="true" showInputMessage="false" sqref="N5:N64" type="date">
      <formula1>43831</formula1>
      <formula2>49674</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B5:B64" type="list">
      <formula1>Pilihan!$AB$2:$AB$5</formula1>
      <formula2>0</formula2>
    </dataValidation>
    <dataValidation allowBlank="true" error="Isi angka bulat antara 1 dan 64. Periksa lagi bila memang di luar kisaran itu." errorStyle="warning" errorTitle="Angka tidak wajar" operator="between" showDropDown="false" showErrorMessage="true" showInputMessage="false" sqref="F5:F64" type="whole">
      <formula1>1</formula1>
      <formula2>64</formula2>
    </dataValidation>
    <dataValidation allowBlank="true" error="Isi angka bulat antara 1 dan 128. Periksa lagi bila memang di luar kisaran itu." errorStyle="warning" errorTitle="Angka tidak wajar" operator="between" showDropDown="false" showErrorMessage="true" showInputMessage="false" sqref="G5:G64" type="whole">
      <formula1>1</formula1>
      <formula2>128</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H5:H64" type="list">
      <formula1>Pilihan!$Y$2:$Y$4</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I5:I64" type="list">
      <formula1>Pilihan!$D$2:$D$4</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J5:J64" type="list">
      <formula1>Pilihan!$AA$2:$AA$6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K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3" min="2" style="1" width="11"/>
    <col collapsed="false" customWidth="true" hidden="false" outlineLevel="0" max="4" min="4" style="1" width="16"/>
    <col collapsed="false" customWidth="true" hidden="false" outlineLevel="0" max="5" min="5" style="1" width="9"/>
    <col collapsed="false" customWidth="true" hidden="false" outlineLevel="0" max="6" min="6" style="1" width="13"/>
    <col collapsed="false" customWidth="true" hidden="false" outlineLevel="0" max="7" min="7" style="1" width="10"/>
    <col collapsed="false" customWidth="true" hidden="false" outlineLevel="0" max="9" min="8" style="1" width="44"/>
    <col collapsed="false" customWidth="true" hidden="false" outlineLevel="0" max="10" min="10" style="1" width="46"/>
    <col collapsed="false" customWidth="true" hidden="false" outlineLevel="0" max="11" min="11" style="1" width="12"/>
  </cols>
  <sheetData>
    <row r="1" customFormat="false" ht="17.25" hidden="false" customHeight="true" outlineLevel="0" collapsed="false">
      <c r="A1" s="2" t="s">
        <v>298</v>
      </c>
    </row>
    <row r="2" customFormat="false" ht="15" hidden="false" customHeight="true" outlineLevel="0" collapsed="false">
      <c r="A2" s="9" t="s">
        <v>299</v>
      </c>
    </row>
    <row r="3" customFormat="false" ht="57.75" hidden="false" customHeight="true" outlineLevel="0" collapsed="false">
      <c r="A3" s="10" t="s">
        <v>300</v>
      </c>
      <c r="B3" s="10" t="s">
        <v>250</v>
      </c>
      <c r="C3" s="10" t="s">
        <v>301</v>
      </c>
      <c r="D3" s="10" t="s">
        <v>302</v>
      </c>
      <c r="E3" s="10" t="s">
        <v>253</v>
      </c>
      <c r="F3" s="10" t="s">
        <v>303</v>
      </c>
      <c r="G3" s="24" t="s">
        <v>258</v>
      </c>
      <c r="H3" s="24" t="s">
        <v>259</v>
      </c>
      <c r="I3" s="24" t="s">
        <v>260</v>
      </c>
      <c r="J3" s="14" t="s">
        <v>261</v>
      </c>
      <c r="K3" s="14" t="s">
        <v>262</v>
      </c>
    </row>
    <row r="4" customFormat="false" ht="39.75" hidden="false" customHeight="true" outlineLevel="0" collapsed="false">
      <c r="A4" s="15" t="s">
        <v>171</v>
      </c>
      <c r="B4" s="15" t="s">
        <v>263</v>
      </c>
      <c r="C4" s="15" t="s">
        <v>304</v>
      </c>
      <c r="D4" s="15" t="s">
        <v>305</v>
      </c>
      <c r="E4" s="16" t="n">
        <v>2020</v>
      </c>
      <c r="F4" s="16" t="n">
        <v>0</v>
      </c>
      <c r="G4" s="16" t="n">
        <v>2</v>
      </c>
      <c r="H4" s="17" t="s">
        <v>306</v>
      </c>
      <c r="I4" s="17" t="s">
        <v>307</v>
      </c>
      <c r="J4" s="17" t="s">
        <v>269</v>
      </c>
      <c r="K4" s="18" t="n">
        <v>46303</v>
      </c>
    </row>
    <row r="5" customFormat="false" ht="34.5" hidden="false" customHeight="true" outlineLevel="0" collapsed="false">
      <c r="A5" s="19" t="s">
        <v>192</v>
      </c>
      <c r="B5" s="19" t="s">
        <v>270</v>
      </c>
      <c r="C5" s="19" t="s">
        <v>304</v>
      </c>
      <c r="D5" s="19"/>
      <c r="E5" s="20"/>
      <c r="F5" s="20" t="n">
        <v>0</v>
      </c>
      <c r="G5" s="20" t="n">
        <v>2</v>
      </c>
      <c r="H5" s="21" t="s">
        <v>308</v>
      </c>
      <c r="I5" s="21" t="s">
        <v>309</v>
      </c>
      <c r="J5" s="21" t="s">
        <v>310</v>
      </c>
      <c r="K5" s="23" t="n">
        <v>46303</v>
      </c>
    </row>
    <row r="6" customFormat="false" ht="34.5" hidden="false" customHeight="true" outlineLevel="0" collapsed="false">
      <c r="A6" s="19" t="s">
        <v>203</v>
      </c>
      <c r="B6" s="19" t="s">
        <v>263</v>
      </c>
      <c r="C6" s="19" t="s">
        <v>304</v>
      </c>
      <c r="D6" s="19"/>
      <c r="E6" s="20"/>
      <c r="F6" s="20" t="n">
        <v>0</v>
      </c>
      <c r="G6" s="20" t="n">
        <v>2</v>
      </c>
      <c r="H6" s="21" t="s">
        <v>311</v>
      </c>
      <c r="I6" s="21" t="s">
        <v>309</v>
      </c>
      <c r="J6" s="21" t="s">
        <v>312</v>
      </c>
      <c r="K6" s="23" t="n">
        <v>46303</v>
      </c>
    </row>
    <row r="7" customFormat="false" ht="34.5" hidden="false" customHeight="true" outlineLevel="0" collapsed="false">
      <c r="A7" s="19" t="s">
        <v>215</v>
      </c>
      <c r="B7" s="19" t="s">
        <v>263</v>
      </c>
      <c r="C7" s="19" t="s">
        <v>304</v>
      </c>
      <c r="D7" s="19"/>
      <c r="E7" s="20"/>
      <c r="F7" s="20" t="n">
        <v>0</v>
      </c>
      <c r="G7" s="20" t="n">
        <v>1</v>
      </c>
      <c r="H7" s="21" t="s">
        <v>313</v>
      </c>
      <c r="I7" s="21" t="s">
        <v>314</v>
      </c>
      <c r="J7" s="21" t="s">
        <v>315</v>
      </c>
      <c r="K7" s="23" t="n">
        <v>46303</v>
      </c>
    </row>
    <row r="8" customFormat="false" ht="57" hidden="false" customHeight="true" outlineLevel="0" collapsed="false">
      <c r="A8" s="19" t="s">
        <v>233</v>
      </c>
      <c r="B8" s="19" t="s">
        <v>263</v>
      </c>
      <c r="C8" s="19" t="s">
        <v>304</v>
      </c>
      <c r="D8" s="19"/>
      <c r="E8" s="20"/>
      <c r="F8" s="20" t="n">
        <v>0</v>
      </c>
      <c r="G8" s="20" t="n">
        <v>1</v>
      </c>
      <c r="H8" s="21" t="s">
        <v>316</v>
      </c>
      <c r="I8" s="21" t="s">
        <v>317</v>
      </c>
      <c r="J8" s="21" t="s">
        <v>318</v>
      </c>
      <c r="K8" s="23" t="n">
        <v>46303</v>
      </c>
    </row>
    <row r="9" customFormat="false" ht="15" hidden="false" customHeight="true" outlineLevel="0" collapsed="false">
      <c r="A9" s="19"/>
      <c r="B9" s="19"/>
      <c r="C9" s="19"/>
      <c r="D9" s="19"/>
      <c r="E9" s="20"/>
      <c r="F9" s="20"/>
      <c r="G9" s="20"/>
      <c r="H9" s="21"/>
      <c r="I9" s="21"/>
      <c r="J9" s="21"/>
      <c r="K9" s="23"/>
    </row>
    <row r="10" customFormat="false" ht="15" hidden="false" customHeight="true" outlineLevel="0" collapsed="false">
      <c r="A10" s="19"/>
      <c r="B10" s="19"/>
      <c r="C10" s="19"/>
      <c r="D10" s="19"/>
      <c r="E10" s="20"/>
      <c r="F10" s="20"/>
      <c r="G10" s="20"/>
      <c r="H10" s="21"/>
      <c r="I10" s="21"/>
      <c r="J10" s="21"/>
      <c r="K10" s="23"/>
    </row>
    <row r="11" customFormat="false" ht="15" hidden="false" customHeight="true" outlineLevel="0" collapsed="false">
      <c r="A11" s="19"/>
      <c r="B11" s="19"/>
      <c r="C11" s="19"/>
      <c r="D11" s="19"/>
      <c r="E11" s="20"/>
      <c r="F11" s="20"/>
      <c r="G11" s="20"/>
      <c r="H11" s="21"/>
      <c r="I11" s="21"/>
      <c r="J11" s="21"/>
      <c r="K11" s="23"/>
    </row>
    <row r="12" customFormat="false" ht="15" hidden="false" customHeight="true" outlineLevel="0" collapsed="false">
      <c r="A12" s="19"/>
      <c r="B12" s="19"/>
      <c r="C12" s="19"/>
      <c r="D12" s="19"/>
      <c r="E12" s="20"/>
      <c r="F12" s="20"/>
      <c r="G12" s="20"/>
      <c r="H12" s="21"/>
      <c r="I12" s="21"/>
      <c r="J12" s="21"/>
      <c r="K12" s="23"/>
    </row>
    <row r="13" customFormat="false" ht="15" hidden="false" customHeight="true" outlineLevel="0" collapsed="false">
      <c r="A13" s="19"/>
      <c r="B13" s="19"/>
      <c r="C13" s="19"/>
      <c r="D13" s="19"/>
      <c r="E13" s="20"/>
      <c r="F13" s="20"/>
      <c r="G13" s="20"/>
      <c r="H13" s="21"/>
      <c r="I13" s="21"/>
      <c r="J13" s="21"/>
      <c r="K13" s="23"/>
    </row>
    <row r="14" customFormat="false" ht="15" hidden="false" customHeight="true" outlineLevel="0" collapsed="false">
      <c r="A14" s="19"/>
      <c r="B14" s="19"/>
      <c r="C14" s="19"/>
      <c r="D14" s="19"/>
      <c r="E14" s="20"/>
      <c r="F14" s="20"/>
      <c r="G14" s="20"/>
      <c r="H14" s="21"/>
      <c r="I14" s="21"/>
      <c r="J14" s="21"/>
      <c r="K14" s="23"/>
    </row>
    <row r="15" customFormat="false" ht="15" hidden="false" customHeight="true" outlineLevel="0" collapsed="false">
      <c r="A15" s="19"/>
      <c r="B15" s="19"/>
      <c r="C15" s="19"/>
      <c r="D15" s="19"/>
      <c r="E15" s="20"/>
      <c r="F15" s="20"/>
      <c r="G15" s="20"/>
      <c r="H15" s="21"/>
      <c r="I15" s="21"/>
      <c r="J15" s="21"/>
      <c r="K15" s="23"/>
    </row>
    <row r="16" customFormat="false" ht="15" hidden="false" customHeight="true" outlineLevel="0" collapsed="false">
      <c r="A16" s="19"/>
      <c r="B16" s="19"/>
      <c r="C16" s="19"/>
      <c r="D16" s="19"/>
      <c r="E16" s="20"/>
      <c r="F16" s="20"/>
      <c r="G16" s="20"/>
      <c r="H16" s="21"/>
      <c r="I16" s="21"/>
      <c r="J16" s="21"/>
      <c r="K16" s="23"/>
    </row>
    <row r="17" customFormat="false" ht="15" hidden="false" customHeight="true" outlineLevel="0" collapsed="false">
      <c r="A17" s="19"/>
      <c r="B17" s="19"/>
      <c r="C17" s="19"/>
      <c r="D17" s="19"/>
      <c r="E17" s="20"/>
      <c r="F17" s="20"/>
      <c r="G17" s="20"/>
      <c r="H17" s="21"/>
      <c r="I17" s="21"/>
      <c r="J17" s="21"/>
      <c r="K17" s="23"/>
    </row>
    <row r="18" customFormat="false" ht="15" hidden="false" customHeight="true" outlineLevel="0" collapsed="false">
      <c r="A18" s="19"/>
      <c r="B18" s="19"/>
      <c r="C18" s="19"/>
      <c r="D18" s="19"/>
      <c r="E18" s="20"/>
      <c r="F18" s="20"/>
      <c r="G18" s="20"/>
      <c r="H18" s="21"/>
      <c r="I18" s="21"/>
      <c r="J18" s="21"/>
      <c r="K18" s="23"/>
    </row>
    <row r="19" customFormat="false" ht="15" hidden="false" customHeight="true" outlineLevel="0" collapsed="false">
      <c r="A19" s="19"/>
      <c r="B19" s="19"/>
      <c r="C19" s="19"/>
      <c r="D19" s="19"/>
      <c r="E19" s="20"/>
      <c r="F19" s="20"/>
      <c r="G19" s="20"/>
      <c r="H19" s="21"/>
      <c r="I19" s="21"/>
      <c r="J19" s="21"/>
      <c r="K19" s="23"/>
    </row>
    <row r="20" customFormat="false" ht="15" hidden="false" customHeight="true" outlineLevel="0" collapsed="false">
      <c r="A20" s="19"/>
      <c r="B20" s="19"/>
      <c r="C20" s="19"/>
      <c r="D20" s="19"/>
      <c r="E20" s="20"/>
      <c r="F20" s="20"/>
      <c r="G20" s="20"/>
      <c r="H20" s="21"/>
      <c r="I20" s="21"/>
      <c r="J20" s="21"/>
      <c r="K20" s="23"/>
    </row>
    <row r="21" customFormat="false" ht="15" hidden="false" customHeight="true" outlineLevel="0" collapsed="false">
      <c r="A21" s="19"/>
      <c r="B21" s="19"/>
      <c r="C21" s="19"/>
      <c r="D21" s="19"/>
      <c r="E21" s="20"/>
      <c r="F21" s="20"/>
      <c r="G21" s="20"/>
      <c r="H21" s="21"/>
      <c r="I21" s="21"/>
      <c r="J21" s="21"/>
      <c r="K21" s="23"/>
    </row>
    <row r="22" customFormat="false" ht="15" hidden="false" customHeight="true" outlineLevel="0" collapsed="false">
      <c r="A22" s="19"/>
      <c r="B22" s="19"/>
      <c r="C22" s="19"/>
      <c r="D22" s="19"/>
      <c r="E22" s="20"/>
      <c r="F22" s="20"/>
      <c r="G22" s="20"/>
      <c r="H22" s="21"/>
      <c r="I22" s="21"/>
      <c r="J22" s="21"/>
      <c r="K22" s="23"/>
    </row>
    <row r="23" customFormat="false" ht="15" hidden="false" customHeight="true" outlineLevel="0" collapsed="false">
      <c r="A23" s="19"/>
      <c r="B23" s="19"/>
      <c r="C23" s="19"/>
      <c r="D23" s="19"/>
      <c r="E23" s="20"/>
      <c r="F23" s="20"/>
      <c r="G23" s="20"/>
      <c r="H23" s="21"/>
      <c r="I23" s="21"/>
      <c r="J23" s="21"/>
      <c r="K23" s="23"/>
    </row>
    <row r="24" customFormat="false" ht="15" hidden="false" customHeight="true" outlineLevel="0" collapsed="false">
      <c r="A24" s="19"/>
      <c r="B24" s="19"/>
      <c r="C24" s="19"/>
      <c r="D24" s="19"/>
      <c r="E24" s="20"/>
      <c r="F24" s="20"/>
      <c r="G24" s="20"/>
      <c r="H24" s="21"/>
      <c r="I24" s="21"/>
      <c r="J24" s="21"/>
      <c r="K24" s="23"/>
    </row>
    <row r="25" customFormat="false" ht="15" hidden="false" customHeight="true" outlineLevel="0" collapsed="false">
      <c r="A25" s="19"/>
      <c r="B25" s="19"/>
      <c r="C25" s="19"/>
      <c r="D25" s="19"/>
      <c r="E25" s="20"/>
      <c r="F25" s="20"/>
      <c r="G25" s="20"/>
      <c r="H25" s="21"/>
      <c r="I25" s="21"/>
      <c r="J25" s="21"/>
      <c r="K25" s="23"/>
    </row>
    <row r="26" customFormat="false" ht="15" hidden="false" customHeight="true" outlineLevel="0" collapsed="false">
      <c r="A26" s="19"/>
      <c r="B26" s="19"/>
      <c r="C26" s="19"/>
      <c r="D26" s="19"/>
      <c r="E26" s="20"/>
      <c r="F26" s="20"/>
      <c r="G26" s="20"/>
      <c r="H26" s="21"/>
      <c r="I26" s="21"/>
      <c r="J26" s="21"/>
      <c r="K26" s="23"/>
    </row>
    <row r="27" customFormat="false" ht="15" hidden="false" customHeight="true" outlineLevel="0" collapsed="false">
      <c r="A27" s="19"/>
      <c r="B27" s="19"/>
      <c r="C27" s="19"/>
      <c r="D27" s="19"/>
      <c r="E27" s="20"/>
      <c r="F27" s="20"/>
      <c r="G27" s="20"/>
      <c r="H27" s="21"/>
      <c r="I27" s="21"/>
      <c r="J27" s="21"/>
      <c r="K27" s="23"/>
    </row>
    <row r="28" customFormat="false" ht="15" hidden="false" customHeight="true" outlineLevel="0" collapsed="false">
      <c r="A28" s="19"/>
      <c r="B28" s="19"/>
      <c r="C28" s="19"/>
      <c r="D28" s="19"/>
      <c r="E28" s="20"/>
      <c r="F28" s="20"/>
      <c r="G28" s="20"/>
      <c r="H28" s="21"/>
      <c r="I28" s="21"/>
      <c r="J28" s="21"/>
      <c r="K28" s="23"/>
    </row>
    <row r="29" customFormat="false" ht="15" hidden="false" customHeight="true" outlineLevel="0" collapsed="false">
      <c r="A29" s="19"/>
      <c r="B29" s="19"/>
      <c r="C29" s="19"/>
      <c r="D29" s="19"/>
      <c r="E29" s="20"/>
      <c r="F29" s="20"/>
      <c r="G29" s="20"/>
      <c r="H29" s="21"/>
      <c r="I29" s="21"/>
      <c r="J29" s="21"/>
      <c r="K29" s="23"/>
    </row>
    <row r="30" customFormat="false" ht="15" hidden="false" customHeight="true" outlineLevel="0" collapsed="false">
      <c r="A30" s="19"/>
      <c r="B30" s="19"/>
      <c r="C30" s="19"/>
      <c r="D30" s="19"/>
      <c r="E30" s="20"/>
      <c r="F30" s="20"/>
      <c r="G30" s="20"/>
      <c r="H30" s="21"/>
      <c r="I30" s="21"/>
      <c r="J30" s="21"/>
      <c r="K30" s="23"/>
    </row>
    <row r="31" customFormat="false" ht="15" hidden="false" customHeight="true" outlineLevel="0" collapsed="false">
      <c r="A31" s="19"/>
      <c r="B31" s="19"/>
      <c r="C31" s="19"/>
      <c r="D31" s="19"/>
      <c r="E31" s="20"/>
      <c r="F31" s="20"/>
      <c r="G31" s="20"/>
      <c r="H31" s="21"/>
      <c r="I31" s="21"/>
      <c r="J31" s="21"/>
      <c r="K31" s="23"/>
    </row>
    <row r="32" customFormat="false" ht="15" hidden="false" customHeight="true" outlineLevel="0" collapsed="false">
      <c r="A32" s="19"/>
      <c r="B32" s="19"/>
      <c r="C32" s="19"/>
      <c r="D32" s="19"/>
      <c r="E32" s="20"/>
      <c r="F32" s="20"/>
      <c r="G32" s="20"/>
      <c r="H32" s="21"/>
      <c r="I32" s="21"/>
      <c r="J32" s="21"/>
      <c r="K32" s="23"/>
    </row>
    <row r="33" customFormat="false" ht="15" hidden="false" customHeight="true" outlineLevel="0" collapsed="false">
      <c r="A33" s="19"/>
      <c r="B33" s="19"/>
      <c r="C33" s="19"/>
      <c r="D33" s="19"/>
      <c r="E33" s="20"/>
      <c r="F33" s="20"/>
      <c r="G33" s="20"/>
      <c r="H33" s="21"/>
      <c r="I33" s="21"/>
      <c r="J33" s="21"/>
      <c r="K33" s="23"/>
    </row>
    <row r="34" customFormat="false" ht="15" hidden="false" customHeight="true" outlineLevel="0" collapsed="false">
      <c r="A34" s="19"/>
      <c r="B34" s="19"/>
      <c r="C34" s="19"/>
      <c r="D34" s="19"/>
      <c r="E34" s="20"/>
      <c r="F34" s="20"/>
      <c r="G34" s="20"/>
      <c r="H34" s="21"/>
      <c r="I34" s="21"/>
      <c r="J34" s="21"/>
      <c r="K34" s="23"/>
    </row>
    <row r="35" customFormat="false" ht="15" hidden="false" customHeight="true" outlineLevel="0" collapsed="false">
      <c r="A35" s="19"/>
      <c r="B35" s="19"/>
      <c r="C35" s="19"/>
      <c r="D35" s="19"/>
      <c r="E35" s="20"/>
      <c r="F35" s="20"/>
      <c r="G35" s="20"/>
      <c r="H35" s="21"/>
      <c r="I35" s="21"/>
      <c r="J35" s="21"/>
      <c r="K35" s="23"/>
    </row>
    <row r="36" customFormat="false" ht="15" hidden="false" customHeight="true" outlineLevel="0" collapsed="false">
      <c r="A36" s="19"/>
      <c r="B36" s="19"/>
      <c r="C36" s="19"/>
      <c r="D36" s="19"/>
      <c r="E36" s="20"/>
      <c r="F36" s="20"/>
      <c r="G36" s="20"/>
      <c r="H36" s="21"/>
      <c r="I36" s="21"/>
      <c r="J36" s="21"/>
      <c r="K36" s="23"/>
    </row>
    <row r="37" customFormat="false" ht="15" hidden="false" customHeight="true" outlineLevel="0" collapsed="false">
      <c r="A37" s="19"/>
      <c r="B37" s="19"/>
      <c r="C37" s="19"/>
      <c r="D37" s="19"/>
      <c r="E37" s="20"/>
      <c r="F37" s="20"/>
      <c r="G37" s="20"/>
      <c r="H37" s="21"/>
      <c r="I37" s="21"/>
      <c r="J37" s="21"/>
      <c r="K37" s="23"/>
    </row>
    <row r="38" customFormat="false" ht="15" hidden="false" customHeight="true" outlineLevel="0" collapsed="false">
      <c r="A38" s="19"/>
      <c r="B38" s="19"/>
      <c r="C38" s="19"/>
      <c r="D38" s="19"/>
      <c r="E38" s="20"/>
      <c r="F38" s="20"/>
      <c r="G38" s="20"/>
      <c r="H38" s="21"/>
      <c r="I38" s="21"/>
      <c r="J38" s="21"/>
      <c r="K38" s="23"/>
    </row>
    <row r="39" customFormat="false" ht="15" hidden="false" customHeight="true" outlineLevel="0" collapsed="false">
      <c r="A39" s="19"/>
      <c r="B39" s="19"/>
      <c r="C39" s="19"/>
      <c r="D39" s="19"/>
      <c r="E39" s="20"/>
      <c r="F39" s="20"/>
      <c r="G39" s="20"/>
      <c r="H39" s="21"/>
      <c r="I39" s="21"/>
      <c r="J39" s="21"/>
      <c r="K39" s="23"/>
    </row>
    <row r="40" customFormat="false" ht="15" hidden="false" customHeight="true" outlineLevel="0" collapsed="false">
      <c r="A40" s="19"/>
      <c r="B40" s="19"/>
      <c r="C40" s="19"/>
      <c r="D40" s="19"/>
      <c r="E40" s="20"/>
      <c r="F40" s="20"/>
      <c r="G40" s="20"/>
      <c r="H40" s="21"/>
      <c r="I40" s="21"/>
      <c r="J40" s="21"/>
      <c r="K40" s="23"/>
    </row>
    <row r="41" customFormat="false" ht="15" hidden="false" customHeight="true" outlineLevel="0" collapsed="false">
      <c r="A41" s="19"/>
      <c r="B41" s="19"/>
      <c r="C41" s="19"/>
      <c r="D41" s="19"/>
      <c r="E41" s="20"/>
      <c r="F41" s="20"/>
      <c r="G41" s="20"/>
      <c r="H41" s="21"/>
      <c r="I41" s="21"/>
      <c r="J41" s="21"/>
      <c r="K41" s="23"/>
    </row>
    <row r="42" customFormat="false" ht="15" hidden="false" customHeight="true" outlineLevel="0" collapsed="false">
      <c r="A42" s="19"/>
      <c r="B42" s="19"/>
      <c r="C42" s="19"/>
      <c r="D42" s="19"/>
      <c r="E42" s="20"/>
      <c r="F42" s="20"/>
      <c r="G42" s="20"/>
      <c r="H42" s="21"/>
      <c r="I42" s="21"/>
      <c r="J42" s="21"/>
      <c r="K42" s="23"/>
    </row>
    <row r="43" customFormat="false" ht="15" hidden="false" customHeight="true" outlineLevel="0" collapsed="false">
      <c r="A43" s="19"/>
      <c r="B43" s="19"/>
      <c r="C43" s="19"/>
      <c r="D43" s="19"/>
      <c r="E43" s="20"/>
      <c r="F43" s="20"/>
      <c r="G43" s="20"/>
      <c r="H43" s="21"/>
      <c r="I43" s="21"/>
      <c r="J43" s="21"/>
      <c r="K43" s="23"/>
    </row>
    <row r="44" customFormat="false" ht="15" hidden="false" customHeight="true" outlineLevel="0" collapsed="false">
      <c r="A44" s="19"/>
      <c r="B44" s="19"/>
      <c r="C44" s="19"/>
      <c r="D44" s="19"/>
      <c r="E44" s="20"/>
      <c r="F44" s="20"/>
      <c r="G44" s="20"/>
      <c r="H44" s="21"/>
      <c r="I44" s="21"/>
      <c r="J44" s="21"/>
      <c r="K44" s="23"/>
    </row>
    <row r="45" customFormat="false" ht="15" hidden="false" customHeight="true" outlineLevel="0" collapsed="false">
      <c r="A45" s="19"/>
      <c r="B45" s="19"/>
      <c r="C45" s="19"/>
      <c r="D45" s="19"/>
      <c r="E45" s="20"/>
      <c r="F45" s="20"/>
      <c r="G45" s="20"/>
      <c r="H45" s="21"/>
      <c r="I45" s="21"/>
      <c r="J45" s="21"/>
      <c r="K45" s="23"/>
    </row>
    <row r="46" customFormat="false" ht="15" hidden="false" customHeight="true" outlineLevel="0" collapsed="false">
      <c r="A46" s="19"/>
      <c r="B46" s="19"/>
      <c r="C46" s="19"/>
      <c r="D46" s="19"/>
      <c r="E46" s="20"/>
      <c r="F46" s="20"/>
      <c r="G46" s="20"/>
      <c r="H46" s="21"/>
      <c r="I46" s="21"/>
      <c r="J46" s="21"/>
      <c r="K46" s="23"/>
    </row>
    <row r="47" customFormat="false" ht="15" hidden="false" customHeight="true" outlineLevel="0" collapsed="false">
      <c r="A47" s="19"/>
      <c r="B47" s="19"/>
      <c r="C47" s="19"/>
      <c r="D47" s="19"/>
      <c r="E47" s="20"/>
      <c r="F47" s="20"/>
      <c r="G47" s="20"/>
      <c r="H47" s="21"/>
      <c r="I47" s="21"/>
      <c r="J47" s="21"/>
      <c r="K47" s="23"/>
    </row>
    <row r="48" customFormat="false" ht="15" hidden="false" customHeight="true" outlineLevel="0" collapsed="false">
      <c r="A48" s="19"/>
      <c r="B48" s="19"/>
      <c r="C48" s="19"/>
      <c r="D48" s="19"/>
      <c r="E48" s="20"/>
      <c r="F48" s="20"/>
      <c r="G48" s="20"/>
      <c r="H48" s="21"/>
      <c r="I48" s="21"/>
      <c r="J48" s="21"/>
      <c r="K48" s="23"/>
    </row>
    <row r="49" customFormat="false" ht="15" hidden="false" customHeight="true" outlineLevel="0" collapsed="false">
      <c r="A49" s="19"/>
      <c r="B49" s="19"/>
      <c r="C49" s="19"/>
      <c r="D49" s="19"/>
      <c r="E49" s="20"/>
      <c r="F49" s="20"/>
      <c r="G49" s="20"/>
      <c r="H49" s="21"/>
      <c r="I49" s="21"/>
      <c r="J49" s="21"/>
      <c r="K49" s="23"/>
    </row>
    <row r="50" customFormat="false" ht="15" hidden="false" customHeight="true" outlineLevel="0" collapsed="false">
      <c r="A50" s="19"/>
      <c r="B50" s="19"/>
      <c r="C50" s="19"/>
      <c r="D50" s="19"/>
      <c r="E50" s="20"/>
      <c r="F50" s="20"/>
      <c r="G50" s="20"/>
      <c r="H50" s="21"/>
      <c r="I50" s="21"/>
      <c r="J50" s="21"/>
      <c r="K50" s="23"/>
    </row>
    <row r="51" customFormat="false" ht="15" hidden="false" customHeight="true" outlineLevel="0" collapsed="false">
      <c r="A51" s="19"/>
      <c r="B51" s="19"/>
      <c r="C51" s="19"/>
      <c r="D51" s="19"/>
      <c r="E51" s="20"/>
      <c r="F51" s="20"/>
      <c r="G51" s="20"/>
      <c r="H51" s="21"/>
      <c r="I51" s="21"/>
      <c r="J51" s="21"/>
      <c r="K51" s="23"/>
    </row>
    <row r="52" customFormat="false" ht="15" hidden="false" customHeight="true" outlineLevel="0" collapsed="false">
      <c r="A52" s="19"/>
      <c r="B52" s="19"/>
      <c r="C52" s="19"/>
      <c r="D52" s="19"/>
      <c r="E52" s="20"/>
      <c r="F52" s="20"/>
      <c r="G52" s="20"/>
      <c r="H52" s="21"/>
      <c r="I52" s="21"/>
      <c r="J52" s="21"/>
      <c r="K52" s="23"/>
    </row>
    <row r="53" customFormat="false" ht="15" hidden="false" customHeight="true" outlineLevel="0" collapsed="false">
      <c r="A53" s="19"/>
      <c r="B53" s="19"/>
      <c r="C53" s="19"/>
      <c r="D53" s="19"/>
      <c r="E53" s="20"/>
      <c r="F53" s="20"/>
      <c r="G53" s="20"/>
      <c r="H53" s="21"/>
      <c r="I53" s="21"/>
      <c r="J53" s="21"/>
      <c r="K53" s="23"/>
    </row>
    <row r="54" customFormat="false" ht="15" hidden="false" customHeight="true" outlineLevel="0" collapsed="false">
      <c r="A54" s="19"/>
      <c r="B54" s="19"/>
      <c r="C54" s="19"/>
      <c r="D54" s="19"/>
      <c r="E54" s="20"/>
      <c r="F54" s="20"/>
      <c r="G54" s="20"/>
      <c r="H54" s="21"/>
      <c r="I54" s="21"/>
      <c r="J54" s="21"/>
      <c r="K54" s="23"/>
    </row>
    <row r="55" customFormat="false" ht="15" hidden="false" customHeight="true" outlineLevel="0" collapsed="false">
      <c r="A55" s="19"/>
      <c r="B55" s="19"/>
      <c r="C55" s="19"/>
      <c r="D55" s="19"/>
      <c r="E55" s="20"/>
      <c r="F55" s="20"/>
      <c r="G55" s="20"/>
      <c r="H55" s="21"/>
      <c r="I55" s="21"/>
      <c r="J55" s="21"/>
      <c r="K55" s="23"/>
    </row>
    <row r="56" customFormat="false" ht="15" hidden="false" customHeight="true" outlineLevel="0" collapsed="false">
      <c r="A56" s="19"/>
      <c r="B56" s="19"/>
      <c r="C56" s="19"/>
      <c r="D56" s="19"/>
      <c r="E56" s="20"/>
      <c r="F56" s="20"/>
      <c r="G56" s="20"/>
      <c r="H56" s="21"/>
      <c r="I56" s="21"/>
      <c r="J56" s="21"/>
      <c r="K56" s="23"/>
    </row>
    <row r="57" customFormat="false" ht="15" hidden="false" customHeight="true" outlineLevel="0" collapsed="false">
      <c r="A57" s="19"/>
      <c r="B57" s="19"/>
      <c r="C57" s="19"/>
      <c r="D57" s="19"/>
      <c r="E57" s="20"/>
      <c r="F57" s="20"/>
      <c r="G57" s="20"/>
      <c r="H57" s="21"/>
      <c r="I57" s="21"/>
      <c r="J57" s="21"/>
      <c r="K57" s="23"/>
    </row>
    <row r="58" customFormat="false" ht="15" hidden="false" customHeight="true" outlineLevel="0" collapsed="false">
      <c r="A58" s="19"/>
      <c r="B58" s="19"/>
      <c r="C58" s="19"/>
      <c r="D58" s="19"/>
      <c r="E58" s="20"/>
      <c r="F58" s="20"/>
      <c r="G58" s="20"/>
      <c r="H58" s="21"/>
      <c r="I58" s="21"/>
      <c r="J58" s="21"/>
      <c r="K58" s="23"/>
    </row>
    <row r="59" customFormat="false" ht="15" hidden="false" customHeight="true" outlineLevel="0" collapsed="false">
      <c r="A59" s="19"/>
      <c r="B59" s="19"/>
      <c r="C59" s="19"/>
      <c r="D59" s="19"/>
      <c r="E59" s="20"/>
      <c r="F59" s="20"/>
      <c r="G59" s="20"/>
      <c r="H59" s="21"/>
      <c r="I59" s="21"/>
      <c r="J59" s="21"/>
      <c r="K59" s="23"/>
    </row>
    <row r="60" customFormat="false" ht="15" hidden="false" customHeight="true" outlineLevel="0" collapsed="false">
      <c r="A60" s="19"/>
      <c r="B60" s="19"/>
      <c r="C60" s="19"/>
      <c r="D60" s="19"/>
      <c r="E60" s="20"/>
      <c r="F60" s="20"/>
      <c r="G60" s="20"/>
      <c r="H60" s="21"/>
      <c r="I60" s="21"/>
      <c r="J60" s="21"/>
      <c r="K60" s="23"/>
    </row>
    <row r="61" customFormat="false" ht="15" hidden="false" customHeight="true" outlineLevel="0" collapsed="false">
      <c r="A61" s="19"/>
      <c r="B61" s="19"/>
      <c r="C61" s="19"/>
      <c r="D61" s="19"/>
      <c r="E61" s="20"/>
      <c r="F61" s="20"/>
      <c r="G61" s="20"/>
      <c r="H61" s="21"/>
      <c r="I61" s="21"/>
      <c r="J61" s="21"/>
      <c r="K61" s="23"/>
    </row>
    <row r="62" customFormat="false" ht="15" hidden="false" customHeight="true" outlineLevel="0" collapsed="false">
      <c r="A62" s="19"/>
      <c r="B62" s="19"/>
      <c r="C62" s="19"/>
      <c r="D62" s="19"/>
      <c r="E62" s="20"/>
      <c r="F62" s="20"/>
      <c r="G62" s="20"/>
      <c r="H62" s="21"/>
      <c r="I62" s="21"/>
      <c r="J62" s="21"/>
      <c r="K62" s="23"/>
    </row>
    <row r="63" customFormat="false" ht="15" hidden="false" customHeight="true" outlineLevel="0" collapsed="false">
      <c r="A63" s="19"/>
      <c r="B63" s="19"/>
      <c r="C63" s="19"/>
      <c r="D63" s="19"/>
      <c r="E63" s="20"/>
      <c r="F63" s="20"/>
      <c r="G63" s="20"/>
      <c r="H63" s="21"/>
      <c r="I63" s="21"/>
      <c r="J63" s="21"/>
      <c r="K63" s="23"/>
    </row>
    <row r="64" customFormat="false" ht="15" hidden="false" customHeight="true" outlineLevel="0" collapsed="false">
      <c r="A64" s="19"/>
      <c r="B64" s="19"/>
      <c r="C64" s="19"/>
      <c r="D64" s="19"/>
      <c r="E64" s="20"/>
      <c r="F64" s="20"/>
      <c r="G64" s="20"/>
      <c r="H64" s="21"/>
      <c r="I64" s="21"/>
      <c r="J64" s="21"/>
      <c r="K64" s="23"/>
    </row>
  </sheetData>
  <autoFilter ref="A3:K64"/>
  <dataValidations count="6">
    <dataValidation allowBlank="true" error="Isi angka bulat antara 2000 dan 2035. Periksa lagi bila memang di luar kisaran itu." errorStyle="warning" errorTitle="Angka tidak wajar" operator="between" showDropDown="false" showErrorMessage="true" showInputMessage="false" sqref="E5:E64" type="whole">
      <formula1>2000</formula1>
      <formula2>2035</formula2>
    </dataValidation>
    <dataValidation allowBlank="true" error="Isi tanggal antara 2020-01-01 dan 2035-12-31, misalnya 2026-10-08." errorStyle="warning" errorTitle="Tanggal tidak wajar" operator="between" showDropDown="false" showErrorMessage="true" showInputMessage="false" sqref="K5:K64" type="date">
      <formula1>43831</formula1>
      <formula2>49674</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B5:B64" type="list">
      <formula1>Pilihan!$AC$2:$AC$6</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C5:C64" type="list">
      <formula1>Pilihan!$Z$2:$Z$3</formula1>
      <formula2>0</formula2>
    </dataValidation>
    <dataValidation allowBlank="true" error="Isi angka bulat antara 0 dan 48. Periksa lagi bila memang di luar kisaran itu." errorStyle="warning" errorTitle="Angka tidak wajar" operator="between" showDropDown="false" showErrorMessage="true" showInputMessage="false" sqref="F5:F64" type="whole">
      <formula1>0</formula1>
      <formula2>48</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G5:G64" type="list">
      <formula1>Pilihan!$AA$2:$AA$6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I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0"/>
    <col collapsed="false" customWidth="true" hidden="false" outlineLevel="0" max="5" min="3" style="1" width="17"/>
    <col collapsed="false" customWidth="true" hidden="false" outlineLevel="0" max="6" min="6" style="1" width="14"/>
    <col collapsed="false" customWidth="true" hidden="false" outlineLevel="0" max="7" min="7" style="1" width="50"/>
    <col collapsed="false" customWidth="true" hidden="false" outlineLevel="0" max="8" min="8" style="1" width="12"/>
    <col collapsed="false" customWidth="true" hidden="false" outlineLevel="0" max="9" min="9" style="1" width="64"/>
  </cols>
  <sheetData>
    <row r="1" customFormat="false" ht="17.25" hidden="false" customHeight="true" outlineLevel="0" collapsed="false">
      <c r="A1" s="2" t="s">
        <v>319</v>
      </c>
    </row>
    <row r="2" customFormat="false" ht="15" hidden="false" customHeight="true" outlineLevel="0" collapsed="false">
      <c r="A2" s="9" t="s">
        <v>320</v>
      </c>
    </row>
    <row r="3" customFormat="false" ht="57.75" hidden="false" customHeight="true" outlineLevel="0" collapsed="false">
      <c r="A3" s="10" t="s">
        <v>111</v>
      </c>
      <c r="B3" s="10" t="s">
        <v>321</v>
      </c>
      <c r="C3" s="24" t="s">
        <v>322</v>
      </c>
      <c r="D3" s="24" t="s">
        <v>323</v>
      </c>
      <c r="E3" s="30" t="s">
        <v>324</v>
      </c>
      <c r="F3" s="12" t="s">
        <v>325</v>
      </c>
      <c r="G3" s="12" t="s">
        <v>326</v>
      </c>
      <c r="H3" s="12" t="s">
        <v>327</v>
      </c>
      <c r="I3" s="13" t="s">
        <v>328</v>
      </c>
    </row>
    <row r="4" customFormat="false" ht="39.75" hidden="false" customHeight="true" outlineLevel="0" collapsed="false">
      <c r="A4" s="15" t="s">
        <v>165</v>
      </c>
      <c r="B4" s="15" t="s">
        <v>329</v>
      </c>
      <c r="C4" s="34" t="n">
        <v>7000000</v>
      </c>
      <c r="D4" s="34" t="n">
        <v>7500000</v>
      </c>
      <c r="E4" s="35" t="n">
        <f aca="false">IF(OR(C4="",D4=""),"",(C4+D4)/2)</f>
        <v>7250000</v>
      </c>
      <c r="F4" s="15" t="s">
        <v>330</v>
      </c>
      <c r="G4" s="17" t="s">
        <v>331</v>
      </c>
      <c r="H4" s="18" t="n">
        <v>46303</v>
      </c>
      <c r="I4" s="17" t="s">
        <v>332</v>
      </c>
    </row>
    <row r="5" customFormat="false" ht="15" hidden="false" customHeight="true" outlineLevel="0" collapsed="false">
      <c r="A5" s="19" t="s">
        <v>188</v>
      </c>
      <c r="B5" s="19" t="s">
        <v>329</v>
      </c>
      <c r="C5" s="36" t="n">
        <v>8839000</v>
      </c>
      <c r="D5" s="36" t="n">
        <v>8839000</v>
      </c>
      <c r="E5" s="37" t="n">
        <f aca="false">IF(OR(C5="",D5=""),"",(C5+D5)/2)</f>
        <v>8839000</v>
      </c>
      <c r="F5" s="19" t="s">
        <v>330</v>
      </c>
      <c r="G5" s="38" t="s">
        <v>333</v>
      </c>
      <c r="H5" s="23" t="n">
        <v>46303</v>
      </c>
      <c r="I5" s="21" t="s">
        <v>334</v>
      </c>
    </row>
    <row r="6" customFormat="false" ht="15" hidden="false" customHeight="true" outlineLevel="0" collapsed="false">
      <c r="A6" s="19" t="s">
        <v>188</v>
      </c>
      <c r="B6" s="19" t="s">
        <v>329</v>
      </c>
      <c r="C6" s="36" t="n">
        <v>8590000</v>
      </c>
      <c r="D6" s="36" t="n">
        <v>8590000</v>
      </c>
      <c r="E6" s="37" t="n">
        <f aca="false">IF(OR(C6="",D6=""),"",(C6+D6)/2)</f>
        <v>8590000</v>
      </c>
      <c r="F6" s="19" t="s">
        <v>330</v>
      </c>
      <c r="G6" s="38" t="s">
        <v>335</v>
      </c>
      <c r="H6" s="23" t="n">
        <v>46303</v>
      </c>
      <c r="I6" s="21" t="s">
        <v>336</v>
      </c>
    </row>
    <row r="7" customFormat="false" ht="23.25" hidden="false" customHeight="true" outlineLevel="0" collapsed="false">
      <c r="A7" s="19" t="s">
        <v>188</v>
      </c>
      <c r="B7" s="19" t="s">
        <v>329</v>
      </c>
      <c r="C7" s="36" t="n">
        <v>8039000</v>
      </c>
      <c r="D7" s="36" t="n">
        <v>8039000</v>
      </c>
      <c r="E7" s="37" t="n">
        <f aca="false">IF(OR(C7="",D7=""),"",(C7+D7)/2)</f>
        <v>8039000</v>
      </c>
      <c r="F7" s="19" t="s">
        <v>330</v>
      </c>
      <c r="G7" s="38" t="s">
        <v>337</v>
      </c>
      <c r="H7" s="23" t="n">
        <v>46303</v>
      </c>
      <c r="I7" s="21" t="s">
        <v>338</v>
      </c>
    </row>
    <row r="8" customFormat="false" ht="34.5" hidden="false" customHeight="true" outlineLevel="0" collapsed="false">
      <c r="A8" s="19" t="s">
        <v>188</v>
      </c>
      <c r="B8" s="19" t="s">
        <v>329</v>
      </c>
      <c r="C8" s="36" t="n">
        <v>7729000</v>
      </c>
      <c r="D8" s="36" t="n">
        <v>9394000</v>
      </c>
      <c r="E8" s="37" t="n">
        <f aca="false">IF(OR(C8="",D8=""),"",(C8+D8)/2)</f>
        <v>8561500</v>
      </c>
      <c r="F8" s="19" t="s">
        <v>330</v>
      </c>
      <c r="G8" s="38" t="s">
        <v>339</v>
      </c>
      <c r="H8" s="23" t="n">
        <v>46303</v>
      </c>
      <c r="I8" s="21" t="s">
        <v>340</v>
      </c>
    </row>
    <row r="9" customFormat="false" ht="15" hidden="false" customHeight="true" outlineLevel="0" collapsed="false">
      <c r="A9" s="19" t="s">
        <v>199</v>
      </c>
      <c r="B9" s="19" t="s">
        <v>329</v>
      </c>
      <c r="C9" s="36" t="n">
        <v>13499000</v>
      </c>
      <c r="D9" s="36" t="n">
        <v>13499000</v>
      </c>
      <c r="E9" s="37" t="n">
        <f aca="false">IF(OR(C9="",D9=""),"",(C9+D9)/2)</f>
        <v>13499000</v>
      </c>
      <c r="F9" s="19" t="s">
        <v>341</v>
      </c>
      <c r="G9" s="38" t="s">
        <v>82</v>
      </c>
      <c r="H9" s="23" t="n">
        <v>46303</v>
      </c>
      <c r="I9" s="21" t="s">
        <v>342</v>
      </c>
    </row>
    <row r="10" customFormat="false" ht="34.5" hidden="false" customHeight="true" outlineLevel="0" collapsed="false">
      <c r="A10" s="19" t="s">
        <v>199</v>
      </c>
      <c r="B10" s="19" t="s">
        <v>329</v>
      </c>
      <c r="C10" s="36" t="n">
        <v>17365000</v>
      </c>
      <c r="D10" s="36" t="n">
        <v>17365000</v>
      </c>
      <c r="E10" s="37" t="n">
        <f aca="false">IF(OR(C10="",D10=""),"",(C10+D10)/2)</f>
        <v>17365000</v>
      </c>
      <c r="F10" s="19" t="s">
        <v>330</v>
      </c>
      <c r="G10" s="38" t="s">
        <v>343</v>
      </c>
      <c r="H10" s="23" t="n">
        <v>46303</v>
      </c>
      <c r="I10" s="21" t="s">
        <v>344</v>
      </c>
    </row>
    <row r="11" customFormat="false" ht="15" hidden="false" customHeight="true" outlineLevel="0" collapsed="false">
      <c r="A11" s="19" t="s">
        <v>210</v>
      </c>
      <c r="B11" s="19" t="s">
        <v>329</v>
      </c>
      <c r="C11" s="36" t="n">
        <v>4799000</v>
      </c>
      <c r="D11" s="36" t="n">
        <v>4799000</v>
      </c>
      <c r="E11" s="37" t="n">
        <f aca="false">IF(OR(C11="",D11=""),"",(C11+D11)/2)</f>
        <v>4799000</v>
      </c>
      <c r="F11" s="19" t="s">
        <v>341</v>
      </c>
      <c r="G11" s="38" t="s">
        <v>345</v>
      </c>
      <c r="H11" s="23" t="n">
        <v>46303</v>
      </c>
      <c r="I11" s="21" t="s">
        <v>346</v>
      </c>
    </row>
    <row r="12" customFormat="false" ht="45.75" hidden="false" customHeight="true" outlineLevel="0" collapsed="false">
      <c r="A12" s="19" t="s">
        <v>210</v>
      </c>
      <c r="B12" s="19" t="s">
        <v>329</v>
      </c>
      <c r="C12" s="36" t="n">
        <v>5459000</v>
      </c>
      <c r="D12" s="36" t="n">
        <v>5499000</v>
      </c>
      <c r="E12" s="37" t="n">
        <f aca="false">IF(OR(C12="",D12=""),"",(C12+D12)/2)</f>
        <v>5479000</v>
      </c>
      <c r="F12" s="19" t="s">
        <v>330</v>
      </c>
      <c r="G12" s="38" t="s">
        <v>347</v>
      </c>
      <c r="H12" s="23" t="n">
        <v>46303</v>
      </c>
      <c r="I12" s="21" t="s">
        <v>348</v>
      </c>
    </row>
    <row r="13" customFormat="false" ht="15" hidden="false" customHeight="true" outlineLevel="0" collapsed="false">
      <c r="A13" s="19" t="s">
        <v>224</v>
      </c>
      <c r="B13" s="19" t="s">
        <v>329</v>
      </c>
      <c r="C13" s="36" t="n">
        <v>3099000</v>
      </c>
      <c r="D13" s="36" t="n">
        <v>3099000</v>
      </c>
      <c r="E13" s="37" t="n">
        <f aca="false">IF(OR(C13="",D13=""),"",(C13+D13)/2)</f>
        <v>3099000</v>
      </c>
      <c r="F13" s="19" t="s">
        <v>330</v>
      </c>
      <c r="G13" s="38" t="s">
        <v>349</v>
      </c>
      <c r="H13" s="23" t="n">
        <v>46303</v>
      </c>
      <c r="I13" s="21" t="s">
        <v>350</v>
      </c>
    </row>
    <row r="14" customFormat="false" ht="23.25" hidden="false" customHeight="true" outlineLevel="0" collapsed="false">
      <c r="A14" s="19" t="s">
        <v>224</v>
      </c>
      <c r="B14" s="19" t="s">
        <v>329</v>
      </c>
      <c r="C14" s="36" t="n">
        <v>4849000</v>
      </c>
      <c r="D14" s="36" t="n">
        <v>4909000</v>
      </c>
      <c r="E14" s="37" t="n">
        <f aca="false">IF(OR(C14="",D14=""),"",(C14+D14)/2)</f>
        <v>4879000</v>
      </c>
      <c r="F14" s="19" t="s">
        <v>330</v>
      </c>
      <c r="G14" s="38" t="s">
        <v>347</v>
      </c>
      <c r="H14" s="23" t="n">
        <v>46303</v>
      </c>
      <c r="I14" s="21" t="s">
        <v>351</v>
      </c>
    </row>
    <row r="15" customFormat="false" ht="34.5" hidden="false" customHeight="true" outlineLevel="0" collapsed="false">
      <c r="A15" s="19" t="s">
        <v>229</v>
      </c>
      <c r="B15" s="19" t="s">
        <v>352</v>
      </c>
      <c r="C15" s="36" t="n">
        <v>3150000</v>
      </c>
      <c r="D15" s="36" t="n">
        <v>4163000</v>
      </c>
      <c r="E15" s="37" t="n">
        <f aca="false">IF(OR(C15="",D15=""),"",(C15+D15)/2)</f>
        <v>3656500</v>
      </c>
      <c r="F15" s="19" t="s">
        <v>330</v>
      </c>
      <c r="G15" s="38" t="s">
        <v>353</v>
      </c>
      <c r="H15" s="23" t="n">
        <v>46303</v>
      </c>
      <c r="I15" s="21" t="s">
        <v>354</v>
      </c>
    </row>
    <row r="16" customFormat="false" ht="23.25" hidden="false" customHeight="true" outlineLevel="0" collapsed="false">
      <c r="A16" s="19" t="s">
        <v>229</v>
      </c>
      <c r="B16" s="19" t="s">
        <v>352</v>
      </c>
      <c r="C16" s="36" t="n">
        <v>5597000</v>
      </c>
      <c r="D16" s="36" t="n">
        <v>5597000</v>
      </c>
      <c r="E16" s="37" t="n">
        <f aca="false">IF(OR(C16="",D16=""),"",(C16+D16)/2)</f>
        <v>5597000</v>
      </c>
      <c r="F16" s="19" t="s">
        <v>330</v>
      </c>
      <c r="G16" s="38" t="s">
        <v>355</v>
      </c>
      <c r="H16" s="23" t="n">
        <v>46303</v>
      </c>
      <c r="I16" s="21" t="s">
        <v>356</v>
      </c>
    </row>
    <row r="17" customFormat="false" ht="23.25" hidden="false" customHeight="true" outlineLevel="0" collapsed="false">
      <c r="A17" s="19" t="s">
        <v>237</v>
      </c>
      <c r="B17" s="19" t="s">
        <v>352</v>
      </c>
      <c r="C17" s="36" t="n">
        <v>5850000</v>
      </c>
      <c r="D17" s="36" t="n">
        <v>5850000</v>
      </c>
      <c r="E17" s="37" t="n">
        <f aca="false">IF(OR(C17="",D17=""),"",(C17+D17)/2)</f>
        <v>5850000</v>
      </c>
      <c r="F17" s="19" t="s">
        <v>330</v>
      </c>
      <c r="G17" s="38" t="s">
        <v>357</v>
      </c>
      <c r="H17" s="23" t="n">
        <v>46303</v>
      </c>
      <c r="I17" s="21" t="s">
        <v>358</v>
      </c>
    </row>
    <row r="18" customFormat="false" ht="34.5" hidden="false" customHeight="true" outlineLevel="0" collapsed="false">
      <c r="A18" s="19" t="s">
        <v>239</v>
      </c>
      <c r="B18" s="19" t="s">
        <v>352</v>
      </c>
      <c r="C18" s="36" t="n">
        <v>3000000</v>
      </c>
      <c r="D18" s="36" t="n">
        <v>3100000</v>
      </c>
      <c r="E18" s="37" t="n">
        <f aca="false">IF(OR(C18="",D18=""),"",(C18+D18)/2)</f>
        <v>3050000</v>
      </c>
      <c r="F18" s="19" t="s">
        <v>330</v>
      </c>
      <c r="G18" s="38" t="s">
        <v>359</v>
      </c>
      <c r="H18" s="23" t="n">
        <v>46303</v>
      </c>
      <c r="I18" s="21" t="s">
        <v>360</v>
      </c>
    </row>
    <row r="19" customFormat="false" ht="34.5" hidden="false" customHeight="true" outlineLevel="0" collapsed="false">
      <c r="A19" s="19" t="s">
        <v>244</v>
      </c>
      <c r="B19" s="19" t="s">
        <v>352</v>
      </c>
      <c r="C19" s="36" t="n">
        <v>3500000</v>
      </c>
      <c r="D19" s="36" t="n">
        <v>4212000</v>
      </c>
      <c r="E19" s="37" t="n">
        <f aca="false">IF(OR(C19="",D19=""),"",(C19+D19)/2)</f>
        <v>3856000</v>
      </c>
      <c r="F19" s="19" t="s">
        <v>330</v>
      </c>
      <c r="G19" s="38" t="s">
        <v>361</v>
      </c>
      <c r="H19" s="23" t="n">
        <v>46303</v>
      </c>
      <c r="I19" s="21" t="s">
        <v>362</v>
      </c>
    </row>
    <row r="20" customFormat="false" ht="15" hidden="false" customHeight="true" outlineLevel="0" collapsed="false">
      <c r="A20" s="19"/>
      <c r="B20" s="19"/>
      <c r="C20" s="36"/>
      <c r="D20" s="36"/>
      <c r="E20" s="37" t="str">
        <f aca="false">IF(OR(C20="",D20=""),"",(C20+D20)/2)</f>
        <v/>
      </c>
      <c r="F20" s="19"/>
      <c r="G20" s="21"/>
      <c r="H20" s="23"/>
      <c r="I20" s="21"/>
    </row>
    <row r="21" customFormat="false" ht="15" hidden="false" customHeight="true" outlineLevel="0" collapsed="false">
      <c r="A21" s="19"/>
      <c r="B21" s="19"/>
      <c r="C21" s="36"/>
      <c r="D21" s="36"/>
      <c r="E21" s="37" t="str">
        <f aca="false">IF(OR(C21="",D21=""),"",(C21+D21)/2)</f>
        <v/>
      </c>
      <c r="F21" s="19"/>
      <c r="G21" s="21"/>
      <c r="H21" s="23"/>
      <c r="I21" s="21"/>
    </row>
    <row r="22" customFormat="false" ht="15" hidden="false" customHeight="true" outlineLevel="0" collapsed="false">
      <c r="A22" s="19"/>
      <c r="B22" s="19"/>
      <c r="C22" s="36"/>
      <c r="D22" s="36"/>
      <c r="E22" s="37" t="str">
        <f aca="false">IF(OR(C22="",D22=""),"",(C22+D22)/2)</f>
        <v/>
      </c>
      <c r="F22" s="19"/>
      <c r="G22" s="21"/>
      <c r="H22" s="23"/>
      <c r="I22" s="21"/>
    </row>
    <row r="23" customFormat="false" ht="15" hidden="false" customHeight="true" outlineLevel="0" collapsed="false">
      <c r="A23" s="19"/>
      <c r="B23" s="19"/>
      <c r="C23" s="36"/>
      <c r="D23" s="36"/>
      <c r="E23" s="37" t="str">
        <f aca="false">IF(OR(C23="",D23=""),"",(C23+D23)/2)</f>
        <v/>
      </c>
      <c r="F23" s="19"/>
      <c r="G23" s="21"/>
      <c r="H23" s="23"/>
      <c r="I23" s="21"/>
    </row>
    <row r="24" customFormat="false" ht="15" hidden="false" customHeight="true" outlineLevel="0" collapsed="false">
      <c r="A24" s="19"/>
      <c r="B24" s="19"/>
      <c r="C24" s="36"/>
      <c r="D24" s="36"/>
      <c r="E24" s="37" t="str">
        <f aca="false">IF(OR(C24="",D24=""),"",(C24+D24)/2)</f>
        <v/>
      </c>
      <c r="F24" s="19"/>
      <c r="G24" s="21"/>
      <c r="H24" s="23"/>
      <c r="I24" s="21"/>
    </row>
    <row r="25" customFormat="false" ht="15" hidden="false" customHeight="true" outlineLevel="0" collapsed="false">
      <c r="A25" s="19"/>
      <c r="B25" s="19"/>
      <c r="C25" s="36"/>
      <c r="D25" s="36"/>
      <c r="E25" s="37" t="str">
        <f aca="false">IF(OR(C25="",D25=""),"",(C25+D25)/2)</f>
        <v/>
      </c>
      <c r="F25" s="19"/>
      <c r="G25" s="21"/>
      <c r="H25" s="23"/>
      <c r="I25" s="21"/>
    </row>
    <row r="26" customFormat="false" ht="15" hidden="false" customHeight="true" outlineLevel="0" collapsed="false">
      <c r="A26" s="19"/>
      <c r="B26" s="19"/>
      <c r="C26" s="36"/>
      <c r="D26" s="36"/>
      <c r="E26" s="37" t="str">
        <f aca="false">IF(OR(C26="",D26=""),"",(C26+D26)/2)</f>
        <v/>
      </c>
      <c r="F26" s="19"/>
      <c r="G26" s="21"/>
      <c r="H26" s="23"/>
      <c r="I26" s="21"/>
    </row>
    <row r="27" customFormat="false" ht="15" hidden="false" customHeight="true" outlineLevel="0" collapsed="false">
      <c r="A27" s="19"/>
      <c r="B27" s="19"/>
      <c r="C27" s="36"/>
      <c r="D27" s="36"/>
      <c r="E27" s="37" t="str">
        <f aca="false">IF(OR(C27="",D27=""),"",(C27+D27)/2)</f>
        <v/>
      </c>
      <c r="F27" s="19"/>
      <c r="G27" s="21"/>
      <c r="H27" s="23"/>
      <c r="I27" s="21"/>
    </row>
    <row r="28" customFormat="false" ht="15" hidden="false" customHeight="true" outlineLevel="0" collapsed="false">
      <c r="A28" s="19"/>
      <c r="B28" s="19"/>
      <c r="C28" s="36"/>
      <c r="D28" s="36"/>
      <c r="E28" s="37" t="str">
        <f aca="false">IF(OR(C28="",D28=""),"",(C28+D28)/2)</f>
        <v/>
      </c>
      <c r="F28" s="19"/>
      <c r="G28" s="21"/>
      <c r="H28" s="23"/>
      <c r="I28" s="21"/>
    </row>
    <row r="29" customFormat="false" ht="15" hidden="false" customHeight="true" outlineLevel="0" collapsed="false">
      <c r="A29" s="19"/>
      <c r="B29" s="19"/>
      <c r="C29" s="36"/>
      <c r="D29" s="36"/>
      <c r="E29" s="37" t="str">
        <f aca="false">IF(OR(C29="",D29=""),"",(C29+D29)/2)</f>
        <v/>
      </c>
      <c r="F29" s="19"/>
      <c r="G29" s="21"/>
      <c r="H29" s="23"/>
      <c r="I29" s="21"/>
    </row>
    <row r="30" customFormat="false" ht="15" hidden="false" customHeight="true" outlineLevel="0" collapsed="false">
      <c r="A30" s="19"/>
      <c r="B30" s="19"/>
      <c r="C30" s="36"/>
      <c r="D30" s="36"/>
      <c r="E30" s="37" t="str">
        <f aca="false">IF(OR(C30="",D30=""),"",(C30+D30)/2)</f>
        <v/>
      </c>
      <c r="F30" s="19"/>
      <c r="G30" s="21"/>
      <c r="H30" s="23"/>
      <c r="I30" s="21"/>
    </row>
    <row r="31" customFormat="false" ht="15" hidden="false" customHeight="true" outlineLevel="0" collapsed="false">
      <c r="A31" s="19"/>
      <c r="B31" s="19"/>
      <c r="C31" s="36"/>
      <c r="D31" s="36"/>
      <c r="E31" s="37" t="str">
        <f aca="false">IF(OR(C31="",D31=""),"",(C31+D31)/2)</f>
        <v/>
      </c>
      <c r="F31" s="19"/>
      <c r="G31" s="21"/>
      <c r="H31" s="23"/>
      <c r="I31" s="21"/>
    </row>
    <row r="32" customFormat="false" ht="15" hidden="false" customHeight="true" outlineLevel="0" collapsed="false">
      <c r="A32" s="19"/>
      <c r="B32" s="19"/>
      <c r="C32" s="36"/>
      <c r="D32" s="36"/>
      <c r="E32" s="37" t="str">
        <f aca="false">IF(OR(C32="",D32=""),"",(C32+D32)/2)</f>
        <v/>
      </c>
      <c r="F32" s="19"/>
      <c r="G32" s="21"/>
      <c r="H32" s="23"/>
      <c r="I32" s="21"/>
    </row>
    <row r="33" customFormat="false" ht="15" hidden="false" customHeight="true" outlineLevel="0" collapsed="false">
      <c r="A33" s="19"/>
      <c r="B33" s="19"/>
      <c r="C33" s="36"/>
      <c r="D33" s="36"/>
      <c r="E33" s="37" t="str">
        <f aca="false">IF(OR(C33="",D33=""),"",(C33+D33)/2)</f>
        <v/>
      </c>
      <c r="F33" s="19"/>
      <c r="G33" s="21"/>
      <c r="H33" s="23"/>
      <c r="I33" s="21"/>
    </row>
    <row r="34" customFormat="false" ht="15" hidden="false" customHeight="true" outlineLevel="0" collapsed="false">
      <c r="A34" s="19"/>
      <c r="B34" s="19"/>
      <c r="C34" s="36"/>
      <c r="D34" s="36"/>
      <c r="E34" s="37" t="str">
        <f aca="false">IF(OR(C34="",D34=""),"",(C34+D34)/2)</f>
        <v/>
      </c>
      <c r="F34" s="19"/>
      <c r="G34" s="21"/>
      <c r="H34" s="23"/>
      <c r="I34" s="21"/>
    </row>
    <row r="35" customFormat="false" ht="15" hidden="false" customHeight="true" outlineLevel="0" collapsed="false">
      <c r="A35" s="19"/>
      <c r="B35" s="19"/>
      <c r="C35" s="36"/>
      <c r="D35" s="36"/>
      <c r="E35" s="37" t="str">
        <f aca="false">IF(OR(C35="",D35=""),"",(C35+D35)/2)</f>
        <v/>
      </c>
      <c r="F35" s="19"/>
      <c r="G35" s="21"/>
      <c r="H35" s="23"/>
      <c r="I35" s="21"/>
    </row>
    <row r="36" customFormat="false" ht="15" hidden="false" customHeight="true" outlineLevel="0" collapsed="false">
      <c r="A36" s="19"/>
      <c r="B36" s="19"/>
      <c r="C36" s="36"/>
      <c r="D36" s="36"/>
      <c r="E36" s="37" t="str">
        <f aca="false">IF(OR(C36="",D36=""),"",(C36+D36)/2)</f>
        <v/>
      </c>
      <c r="F36" s="19"/>
      <c r="G36" s="21"/>
      <c r="H36" s="23"/>
      <c r="I36" s="21"/>
    </row>
    <row r="37" customFormat="false" ht="15" hidden="false" customHeight="true" outlineLevel="0" collapsed="false">
      <c r="A37" s="19"/>
      <c r="B37" s="19"/>
      <c r="C37" s="36"/>
      <c r="D37" s="36"/>
      <c r="E37" s="37" t="str">
        <f aca="false">IF(OR(C37="",D37=""),"",(C37+D37)/2)</f>
        <v/>
      </c>
      <c r="F37" s="19"/>
      <c r="G37" s="21"/>
      <c r="H37" s="23"/>
      <c r="I37" s="21"/>
    </row>
    <row r="38" customFormat="false" ht="15" hidden="false" customHeight="true" outlineLevel="0" collapsed="false">
      <c r="A38" s="19"/>
      <c r="B38" s="19"/>
      <c r="C38" s="36"/>
      <c r="D38" s="36"/>
      <c r="E38" s="37" t="str">
        <f aca="false">IF(OR(C38="",D38=""),"",(C38+D38)/2)</f>
        <v/>
      </c>
      <c r="F38" s="19"/>
      <c r="G38" s="21"/>
      <c r="H38" s="23"/>
      <c r="I38" s="21"/>
    </row>
    <row r="39" customFormat="false" ht="15" hidden="false" customHeight="true" outlineLevel="0" collapsed="false">
      <c r="A39" s="19"/>
      <c r="B39" s="19"/>
      <c r="C39" s="36"/>
      <c r="D39" s="36"/>
      <c r="E39" s="37" t="str">
        <f aca="false">IF(OR(C39="",D39=""),"",(C39+D39)/2)</f>
        <v/>
      </c>
      <c r="F39" s="19"/>
      <c r="G39" s="21"/>
      <c r="H39" s="23"/>
      <c r="I39" s="21"/>
    </row>
    <row r="40" customFormat="false" ht="15" hidden="false" customHeight="true" outlineLevel="0" collapsed="false">
      <c r="A40" s="19"/>
      <c r="B40" s="19"/>
      <c r="C40" s="36"/>
      <c r="D40" s="36"/>
      <c r="E40" s="37" t="str">
        <f aca="false">IF(OR(C40="",D40=""),"",(C40+D40)/2)</f>
        <v/>
      </c>
      <c r="F40" s="19"/>
      <c r="G40" s="21"/>
      <c r="H40" s="23"/>
      <c r="I40" s="21"/>
    </row>
    <row r="41" customFormat="false" ht="15" hidden="false" customHeight="true" outlineLevel="0" collapsed="false">
      <c r="A41" s="19"/>
      <c r="B41" s="19"/>
      <c r="C41" s="36"/>
      <c r="D41" s="36"/>
      <c r="E41" s="37" t="str">
        <f aca="false">IF(OR(C41="",D41=""),"",(C41+D41)/2)</f>
        <v/>
      </c>
      <c r="F41" s="19"/>
      <c r="G41" s="21"/>
      <c r="H41" s="23"/>
      <c r="I41" s="21"/>
    </row>
    <row r="42" customFormat="false" ht="15" hidden="false" customHeight="true" outlineLevel="0" collapsed="false">
      <c r="A42" s="19"/>
      <c r="B42" s="19"/>
      <c r="C42" s="36"/>
      <c r="D42" s="36"/>
      <c r="E42" s="37" t="str">
        <f aca="false">IF(OR(C42="",D42=""),"",(C42+D42)/2)</f>
        <v/>
      </c>
      <c r="F42" s="19"/>
      <c r="G42" s="21"/>
      <c r="H42" s="23"/>
      <c r="I42" s="21"/>
    </row>
    <row r="43" customFormat="false" ht="15" hidden="false" customHeight="true" outlineLevel="0" collapsed="false">
      <c r="A43" s="19"/>
      <c r="B43" s="19"/>
      <c r="C43" s="36"/>
      <c r="D43" s="36"/>
      <c r="E43" s="37" t="str">
        <f aca="false">IF(OR(C43="",D43=""),"",(C43+D43)/2)</f>
        <v/>
      </c>
      <c r="F43" s="19"/>
      <c r="G43" s="21"/>
      <c r="H43" s="23"/>
      <c r="I43" s="21"/>
    </row>
    <row r="44" customFormat="false" ht="15" hidden="false" customHeight="true" outlineLevel="0" collapsed="false">
      <c r="A44" s="19"/>
      <c r="B44" s="19"/>
      <c r="C44" s="36"/>
      <c r="D44" s="36"/>
      <c r="E44" s="37" t="str">
        <f aca="false">IF(OR(C44="",D44=""),"",(C44+D44)/2)</f>
        <v/>
      </c>
      <c r="F44" s="19"/>
      <c r="G44" s="21"/>
      <c r="H44" s="23"/>
      <c r="I44" s="21"/>
    </row>
    <row r="45" customFormat="false" ht="15" hidden="false" customHeight="true" outlineLevel="0" collapsed="false">
      <c r="A45" s="19"/>
      <c r="B45" s="19"/>
      <c r="C45" s="36"/>
      <c r="D45" s="36"/>
      <c r="E45" s="37" t="str">
        <f aca="false">IF(OR(C45="",D45=""),"",(C45+D45)/2)</f>
        <v/>
      </c>
      <c r="F45" s="19"/>
      <c r="G45" s="21"/>
      <c r="H45" s="23"/>
      <c r="I45" s="21"/>
    </row>
    <row r="46" customFormat="false" ht="15" hidden="false" customHeight="true" outlineLevel="0" collapsed="false">
      <c r="A46" s="19"/>
      <c r="B46" s="19"/>
      <c r="C46" s="36"/>
      <c r="D46" s="36"/>
      <c r="E46" s="37" t="str">
        <f aca="false">IF(OR(C46="",D46=""),"",(C46+D46)/2)</f>
        <v/>
      </c>
      <c r="F46" s="19"/>
      <c r="G46" s="21"/>
      <c r="H46" s="23"/>
      <c r="I46" s="21"/>
    </row>
    <row r="47" customFormat="false" ht="15" hidden="false" customHeight="true" outlineLevel="0" collapsed="false">
      <c r="A47" s="19"/>
      <c r="B47" s="19"/>
      <c r="C47" s="36"/>
      <c r="D47" s="36"/>
      <c r="E47" s="37" t="str">
        <f aca="false">IF(OR(C47="",D47=""),"",(C47+D47)/2)</f>
        <v/>
      </c>
      <c r="F47" s="19"/>
      <c r="G47" s="21"/>
      <c r="H47" s="23"/>
      <c r="I47" s="21"/>
    </row>
    <row r="48" customFormat="false" ht="15" hidden="false" customHeight="true" outlineLevel="0" collapsed="false">
      <c r="A48" s="19"/>
      <c r="B48" s="19"/>
      <c r="C48" s="36"/>
      <c r="D48" s="36"/>
      <c r="E48" s="37" t="str">
        <f aca="false">IF(OR(C48="",D48=""),"",(C48+D48)/2)</f>
        <v/>
      </c>
      <c r="F48" s="19"/>
      <c r="G48" s="21"/>
      <c r="H48" s="23"/>
      <c r="I48" s="21"/>
    </row>
    <row r="49" customFormat="false" ht="15" hidden="false" customHeight="true" outlineLevel="0" collapsed="false">
      <c r="A49" s="19"/>
      <c r="B49" s="19"/>
      <c r="C49" s="36"/>
      <c r="D49" s="36"/>
      <c r="E49" s="37" t="str">
        <f aca="false">IF(OR(C49="",D49=""),"",(C49+D49)/2)</f>
        <v/>
      </c>
      <c r="F49" s="19"/>
      <c r="G49" s="21"/>
      <c r="H49" s="23"/>
      <c r="I49" s="21"/>
    </row>
    <row r="50" customFormat="false" ht="15" hidden="false" customHeight="true" outlineLevel="0" collapsed="false">
      <c r="A50" s="19"/>
      <c r="B50" s="19"/>
      <c r="C50" s="36"/>
      <c r="D50" s="36"/>
      <c r="E50" s="37" t="str">
        <f aca="false">IF(OR(C50="",D50=""),"",(C50+D50)/2)</f>
        <v/>
      </c>
      <c r="F50" s="19"/>
      <c r="G50" s="21"/>
      <c r="H50" s="23"/>
      <c r="I50" s="21"/>
    </row>
    <row r="51" customFormat="false" ht="15" hidden="false" customHeight="true" outlineLevel="0" collapsed="false">
      <c r="A51" s="19"/>
      <c r="B51" s="19"/>
      <c r="C51" s="36"/>
      <c r="D51" s="36"/>
      <c r="E51" s="37" t="str">
        <f aca="false">IF(OR(C51="",D51=""),"",(C51+D51)/2)</f>
        <v/>
      </c>
      <c r="F51" s="19"/>
      <c r="G51" s="21"/>
      <c r="H51" s="23"/>
      <c r="I51" s="21"/>
    </row>
    <row r="52" customFormat="false" ht="15" hidden="false" customHeight="true" outlineLevel="0" collapsed="false">
      <c r="A52" s="19"/>
      <c r="B52" s="19"/>
      <c r="C52" s="36"/>
      <c r="D52" s="36"/>
      <c r="E52" s="37" t="str">
        <f aca="false">IF(OR(C52="",D52=""),"",(C52+D52)/2)</f>
        <v/>
      </c>
      <c r="F52" s="19"/>
      <c r="G52" s="21"/>
      <c r="H52" s="23"/>
      <c r="I52" s="21"/>
    </row>
    <row r="53" customFormat="false" ht="15" hidden="false" customHeight="true" outlineLevel="0" collapsed="false">
      <c r="A53" s="19"/>
      <c r="B53" s="19"/>
      <c r="C53" s="36"/>
      <c r="D53" s="36"/>
      <c r="E53" s="37" t="str">
        <f aca="false">IF(OR(C53="",D53=""),"",(C53+D53)/2)</f>
        <v/>
      </c>
      <c r="F53" s="19"/>
      <c r="G53" s="21"/>
      <c r="H53" s="23"/>
      <c r="I53" s="21"/>
    </row>
    <row r="54" customFormat="false" ht="15" hidden="false" customHeight="true" outlineLevel="0" collapsed="false">
      <c r="A54" s="19"/>
      <c r="B54" s="19"/>
      <c r="C54" s="36"/>
      <c r="D54" s="36"/>
      <c r="E54" s="37" t="str">
        <f aca="false">IF(OR(C54="",D54=""),"",(C54+D54)/2)</f>
        <v/>
      </c>
      <c r="F54" s="19"/>
      <c r="G54" s="21"/>
      <c r="H54" s="23"/>
      <c r="I54" s="21"/>
    </row>
    <row r="55" customFormat="false" ht="15" hidden="false" customHeight="true" outlineLevel="0" collapsed="false">
      <c r="A55" s="19"/>
      <c r="B55" s="19"/>
      <c r="C55" s="36"/>
      <c r="D55" s="36"/>
      <c r="E55" s="37" t="str">
        <f aca="false">IF(OR(C55="",D55=""),"",(C55+D55)/2)</f>
        <v/>
      </c>
      <c r="F55" s="19"/>
      <c r="G55" s="21"/>
      <c r="H55" s="23"/>
      <c r="I55" s="21"/>
    </row>
    <row r="56" customFormat="false" ht="15" hidden="false" customHeight="true" outlineLevel="0" collapsed="false">
      <c r="A56" s="19"/>
      <c r="B56" s="19"/>
      <c r="C56" s="36"/>
      <c r="D56" s="36"/>
      <c r="E56" s="37" t="str">
        <f aca="false">IF(OR(C56="",D56=""),"",(C56+D56)/2)</f>
        <v/>
      </c>
      <c r="F56" s="19"/>
      <c r="G56" s="21"/>
      <c r="H56" s="23"/>
      <c r="I56" s="21"/>
    </row>
    <row r="57" customFormat="false" ht="15" hidden="false" customHeight="true" outlineLevel="0" collapsed="false">
      <c r="A57" s="19"/>
      <c r="B57" s="19"/>
      <c r="C57" s="36"/>
      <c r="D57" s="36"/>
      <c r="E57" s="37" t="str">
        <f aca="false">IF(OR(C57="",D57=""),"",(C57+D57)/2)</f>
        <v/>
      </c>
      <c r="F57" s="19"/>
      <c r="G57" s="21"/>
      <c r="H57" s="23"/>
      <c r="I57" s="21"/>
    </row>
    <row r="58" customFormat="false" ht="15" hidden="false" customHeight="true" outlineLevel="0" collapsed="false">
      <c r="A58" s="19"/>
      <c r="B58" s="19"/>
      <c r="C58" s="36"/>
      <c r="D58" s="36"/>
      <c r="E58" s="37" t="str">
        <f aca="false">IF(OR(C58="",D58=""),"",(C58+D58)/2)</f>
        <v/>
      </c>
      <c r="F58" s="19"/>
      <c r="G58" s="21"/>
      <c r="H58" s="23"/>
      <c r="I58" s="21"/>
    </row>
    <row r="59" customFormat="false" ht="15" hidden="false" customHeight="true" outlineLevel="0" collapsed="false">
      <c r="A59" s="19"/>
      <c r="B59" s="19"/>
      <c r="C59" s="36"/>
      <c r="D59" s="36"/>
      <c r="E59" s="37" t="str">
        <f aca="false">IF(OR(C59="",D59=""),"",(C59+D59)/2)</f>
        <v/>
      </c>
      <c r="F59" s="19"/>
      <c r="G59" s="21"/>
      <c r="H59" s="23"/>
      <c r="I59" s="21"/>
    </row>
    <row r="60" customFormat="false" ht="15" hidden="false" customHeight="true" outlineLevel="0" collapsed="false">
      <c r="A60" s="19"/>
      <c r="B60" s="19"/>
      <c r="C60" s="36"/>
      <c r="D60" s="36"/>
      <c r="E60" s="37" t="str">
        <f aca="false">IF(OR(C60="",D60=""),"",(C60+D60)/2)</f>
        <v/>
      </c>
      <c r="F60" s="19"/>
      <c r="G60" s="21"/>
      <c r="H60" s="23"/>
      <c r="I60" s="21"/>
    </row>
    <row r="61" customFormat="false" ht="15" hidden="false" customHeight="true" outlineLevel="0" collapsed="false">
      <c r="A61" s="19"/>
      <c r="B61" s="19"/>
      <c r="C61" s="36"/>
      <c r="D61" s="36"/>
      <c r="E61" s="37" t="str">
        <f aca="false">IF(OR(C61="",D61=""),"",(C61+D61)/2)</f>
        <v/>
      </c>
      <c r="F61" s="19"/>
      <c r="G61" s="21"/>
      <c r="H61" s="23"/>
      <c r="I61" s="21"/>
    </row>
    <row r="62" customFormat="false" ht="15" hidden="false" customHeight="true" outlineLevel="0" collapsed="false">
      <c r="A62" s="19"/>
      <c r="B62" s="19"/>
      <c r="C62" s="36"/>
      <c r="D62" s="36"/>
      <c r="E62" s="37" t="str">
        <f aca="false">IF(OR(C62="",D62=""),"",(C62+D62)/2)</f>
        <v/>
      </c>
      <c r="F62" s="19"/>
      <c r="G62" s="21"/>
      <c r="H62" s="23"/>
      <c r="I62" s="21"/>
    </row>
    <row r="63" customFormat="false" ht="15" hidden="false" customHeight="true" outlineLevel="0" collapsed="false">
      <c r="A63" s="19"/>
      <c r="B63" s="19"/>
      <c r="C63" s="36"/>
      <c r="D63" s="36"/>
      <c r="E63" s="37" t="str">
        <f aca="false">IF(OR(C63="",D63=""),"",(C63+D63)/2)</f>
        <v/>
      </c>
      <c r="F63" s="19"/>
      <c r="G63" s="21"/>
      <c r="H63" s="23"/>
      <c r="I63" s="21"/>
    </row>
    <row r="64" customFormat="false" ht="15" hidden="false" customHeight="true" outlineLevel="0" collapsed="false">
      <c r="A64" s="19"/>
      <c r="B64" s="19"/>
      <c r="C64" s="36"/>
      <c r="D64" s="36"/>
      <c r="E64" s="37" t="str">
        <f aca="false">IF(OR(C64="",D64=""),"",(C64+D64)/2)</f>
        <v/>
      </c>
      <c r="F64" s="19"/>
      <c r="G64" s="21"/>
      <c r="H64" s="23"/>
      <c r="I64" s="21"/>
    </row>
  </sheetData>
  <autoFilter ref="A3:I64"/>
  <dataValidations count="5">
    <dataValidation allowBlank="true" error="Isi tanggal antara 2020-01-01 dan 2035-12-31, misalnya 2026-10-08." errorStyle="warning" errorTitle="Tanggal tidak wajar" operator="between" showDropDown="false" showErrorMessage="true" showInputMessage="false" sqref="H5:H64" type="date">
      <formula1>43831</formula1>
      <formula2>49674</formula2>
    </dataValidation>
    <dataValidation allowBlank="true" error="Nilai ini belum ada di tab asalnya. Tambahkan di tab itu terlebih dahulu, lalu pilih dari daftar." errorStyle="warning" errorTitle="Belum ada di tab asalnya" operator="between" showDropDown="false" showErrorMessage="true" showInputMessage="false" sqref="A5:A64" type="list">
      <formula1>Varian!$A$5:$A$64</formula1>
      <formula2>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B5:B64" type="list">
      <formula1>Pilihan!$W$2:$W$3</formula1>
      <formula2>0</formula2>
    </dataValidation>
    <dataValidation allowBlank="true" error="Isi harga dalam rupiah tanpa titik atau koma, antara 0 dan 300000000." errorStyle="warning" errorTitle="Harga tidak wajar" operator="between" showDropDown="false" showErrorMessage="true" showInputMessage="false" sqref="C5:D64" type="whole">
      <formula1>0</formula1>
      <formula2>300000000</formula2>
    </dataValidation>
    <dataValidation allowBlank="true" error="Nilai ini tidak ada di daftar pilihan. Pilih dari daftar, atau ketik unknown bila belum tahu." errorStyle="warning" errorTitle="Nilai di luar daftar" operator="between" showDropDown="false" showErrorMessage="true" showInputMessage="false" sqref="F5:F64" type="list">
      <formula1>Pilihan!$X$2:$X$5</formula1>
      <formula2>0</formula2>
    </dataValidation>
  </dataValidations>
  <hyperlinks>
    <hyperlink ref="G5" r:id="rId2" display="https://poinxtra.cimbniaga.co.id/TD/29907030/Asus-Vivobook-14-Ryzen-5-7430U-16-512GB-Cool-Silver-M1405YA-VIPS555"/>
    <hyperlink ref="G6" r:id="rId3" display="https://ekatalog.its.ac.id/shop/product/asus-m1405ya-vips555-non-tkdn-5972?page=3"/>
    <hyperlink ref="G7" r:id="rId4" display="https://www.tokopedia.com/decacom/asus-vivobook-14-oled-m1405ya-ryzen-7-7730u-ryzen-5-7430u-16gb-512ssd-1tb-w11-ohs-1730850621135292383"/>
    <hyperlink ref="G8" r:id="rId5" display="https://www.tokopedia.com/find/asus-vivobook-14-m1405ya-ryzen-5-7430u-16gb-512gb"/>
    <hyperlink ref="G9" r:id="rId6" display="https://hp.com/id-id/shop/hp-pavilion-x360-2-in-1-laptop-14-ek1005tu-7n725pa.html"/>
    <hyperlink ref="G10" r:id="rId7" display="https://www.tokopedia.com/find/laptop-hp-pavilion-x360-core-i5-1335u-16gb-512gb"/>
    <hyperlink ref="G11" r:id="rId8" display="https://www.erablue.id/laptop/laptop-axioo-slimbook-hype-10-celeron-n4020-8gb-256gb-win11-midnight-black"/>
    <hyperlink ref="G12" r:id="rId9" display="https://www.tokopedia.com/find/axioo-hype-10"/>
    <hyperlink ref="G13" r:id="rId10" display="https://poinxtra.cimbniaga.co.id/TD/29772632/AXIOO-HYPE-10-N4020-8GB-256GB-W10-14-0-244C08HNR0-MIDNIGHT-BLACK"/>
    <hyperlink ref="G14" r:id="rId11" display="https://www.tokopedia.com/find/axioo-hype-10"/>
    <hyperlink ref="G15" r:id="rId12" display="https://www.tokopedia.com/find/thinkpad-t480-i5-8350u-8gb-256gb"/>
    <hyperlink ref="G16" r:id="rId13" display="https://www.tokopedia.com/tiercom/laptop-lenovo-thinkpad-t480-intel-core-i5-gen-8th-ram-8gb-ssd-256gb-99-like-new-laptop-second-murah-berkualitas-bergaransi"/>
    <hyperlink ref="G17" r:id="rId14" display="https://www.tokopedia.com/find/thinkpad-t480-i5-8350u-16gb-512gb"/>
    <hyperlink ref="G18" r:id="rId15" display="https://www.tokopedia.com/find/dell-latitude-5400-i5-8265u"/>
    <hyperlink ref="G19" r:id="rId16" display="https://www.tokopedia.com/find/dell-latitude-5400-i5-8365u-8gb-256gb"/>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7"/>
  <legacyDrawing r:id="rId1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2"/>
    <col collapsed="false" customWidth="true" hidden="false" outlineLevel="0" max="3" min="3" style="1" width="14"/>
    <col collapsed="false" customWidth="true" hidden="false" outlineLevel="0" max="4" min="4" style="1" width="44"/>
    <col collapsed="false" customWidth="true" hidden="false" outlineLevel="0" max="5" min="5" style="1" width="52"/>
    <col collapsed="false" customWidth="true" hidden="false" outlineLevel="0" max="6" min="6" style="1" width="44"/>
    <col collapsed="false" customWidth="true" hidden="false" outlineLevel="0" max="7" min="7" style="1" width="66"/>
  </cols>
  <sheetData>
    <row r="1" customFormat="false" ht="17.25" hidden="false" customHeight="true" outlineLevel="0" collapsed="false">
      <c r="A1" s="2" t="s">
        <v>363</v>
      </c>
    </row>
    <row r="2" customFormat="false" ht="15" hidden="false" customHeight="true" outlineLevel="0" collapsed="false">
      <c r="A2" s="9" t="s">
        <v>364</v>
      </c>
    </row>
    <row r="3" customFormat="false" ht="43.5" hidden="false" customHeight="true" outlineLevel="0" collapsed="false">
      <c r="A3" s="25" t="s">
        <v>365</v>
      </c>
      <c r="B3" s="25" t="s">
        <v>366</v>
      </c>
      <c r="C3" s="25" t="s">
        <v>367</v>
      </c>
      <c r="D3" s="25" t="s">
        <v>368</v>
      </c>
      <c r="E3" s="25" t="s">
        <v>369</v>
      </c>
      <c r="F3" s="25" t="s">
        <v>370</v>
      </c>
      <c r="G3" s="30" t="s">
        <v>371</v>
      </c>
    </row>
    <row r="4" customFormat="false" ht="85.5" hidden="false" customHeight="true" outlineLevel="0" collapsed="false">
      <c r="A4" s="33" t="str">
        <f aca="false">IF(Model!C5="","",Model!B5&amp;" "&amp;Model!C5)</f>
        <v>ASUS Vivobook 14 M1405YA</v>
      </c>
      <c r="B4" s="33" t="str">
        <f aca="false">IF(Model!D5="","",Model!D5)</f>
        <v>Baru populer</v>
      </c>
      <c r="C4" s="39"/>
      <c r="D4" s="21" t="s">
        <v>372</v>
      </c>
      <c r="E4" s="21" t="s">
        <v>373</v>
      </c>
      <c r="F4" s="21" t="s">
        <v>374</v>
      </c>
      <c r="G4" s="21" t="s">
        <v>375</v>
      </c>
    </row>
    <row r="5" customFormat="false" ht="85.5" hidden="false" customHeight="true" outlineLevel="0" collapsed="false">
      <c r="A5" s="33" t="str">
        <f aca="false">IF(Model!C6="","",Model!B6&amp;" "&amp;Model!C6)</f>
        <v>HP Pavilion x360 14-ek1000</v>
      </c>
      <c r="B5" s="33" t="str">
        <f aca="false">IF(Model!D6="","",Model!D6)</f>
        <v>Baru tipis atau 2-in-1</v>
      </c>
      <c r="C5" s="39"/>
      <c r="D5" s="21" t="s">
        <v>376</v>
      </c>
      <c r="E5" s="21" t="s">
        <v>377</v>
      </c>
      <c r="F5" s="21" t="s">
        <v>378</v>
      </c>
      <c r="G5" s="21" t="s">
        <v>379</v>
      </c>
    </row>
    <row r="6" customFormat="false" ht="124.5" hidden="false" customHeight="true" outlineLevel="0" collapsed="false">
      <c r="A6" s="33" t="str">
        <f aca="false">IF(Model!C7="","",Model!B7&amp;" "&amp;Model!C7)</f>
        <v>Axioo Hype 10</v>
      </c>
      <c r="B6" s="33" t="str">
        <f aca="false">IF(Model!D7="","",Model!D7)</f>
        <v>Merek lokal</v>
      </c>
      <c r="C6" s="39"/>
      <c r="D6" s="21" t="s">
        <v>380</v>
      </c>
      <c r="E6" s="21" t="s">
        <v>381</v>
      </c>
      <c r="F6" s="21" t="s">
        <v>382</v>
      </c>
      <c r="G6" s="21" t="s">
        <v>383</v>
      </c>
    </row>
    <row r="7" customFormat="false" ht="85.5" hidden="false" customHeight="true" outlineLevel="0" collapsed="false">
      <c r="A7" s="33" t="str">
        <f aca="false">IF(Model!C8="","",Model!B8&amp;" "&amp;Model!C8)</f>
        <v>Lenovo ThinkPad T480</v>
      </c>
      <c r="B7" s="33" t="str">
        <f aca="false">IF(Model!D8="","",Model!D8)</f>
        <v>Bekas 1</v>
      </c>
      <c r="C7" s="39"/>
      <c r="D7" s="21" t="s">
        <v>384</v>
      </c>
      <c r="E7" s="21" t="s">
        <v>385</v>
      </c>
      <c r="F7" s="21" t="s">
        <v>386</v>
      </c>
      <c r="G7" s="21" t="s">
        <v>387</v>
      </c>
    </row>
    <row r="8" customFormat="false" ht="85.5" hidden="false" customHeight="true" outlineLevel="0" collapsed="false">
      <c r="A8" s="33" t="str">
        <f aca="false">IF(Model!C9="","",Model!B9&amp;" "&amp;Model!C9)</f>
        <v>Dell Latitude 5400</v>
      </c>
      <c r="B8" s="33" t="str">
        <f aca="false">IF(Model!D9="","",Model!D9)</f>
        <v>Bekas 2</v>
      </c>
      <c r="C8" s="39"/>
      <c r="D8" s="21" t="s">
        <v>388</v>
      </c>
      <c r="E8" s="21" t="s">
        <v>389</v>
      </c>
      <c r="F8" s="21" t="s">
        <v>390</v>
      </c>
      <c r="G8" s="21" t="s">
        <v>391</v>
      </c>
    </row>
    <row r="10" customFormat="false" ht="15" hidden="false" customHeight="true" outlineLevel="0" collapsed="false">
      <c r="A10" s="40" t="s">
        <v>392</v>
      </c>
      <c r="B10" s="40"/>
    </row>
    <row r="11" customFormat="false" ht="15" hidden="false" customHeight="true" outlineLevel="0" collapsed="false">
      <c r="A11" s="41" t="s">
        <v>393</v>
      </c>
      <c r="B11" s="32" t="n">
        <f aca="false">COUNT(C4:C8)</f>
        <v>0</v>
      </c>
    </row>
    <row r="12" customFormat="false" ht="15" hidden="false" customHeight="true" outlineLevel="0" collapsed="false">
      <c r="A12" s="41" t="s">
        <v>394</v>
      </c>
      <c r="B12" s="42" t="str">
        <f aca="false">IFERROR(AVERAGE(C4:C8),"")</f>
        <v/>
      </c>
    </row>
    <row r="13" customFormat="false" ht="15" hidden="false" customHeight="true" outlineLevel="0" collapsed="false">
      <c r="A13" s="41" t="s">
        <v>395</v>
      </c>
      <c r="B13" s="43" t="n">
        <v>40</v>
      </c>
    </row>
    <row r="14" customFormat="false" ht="15" hidden="false" customHeight="true" outlineLevel="0" collapsed="false">
      <c r="A14" s="41" t="s">
        <v>396</v>
      </c>
      <c r="B14" s="43" t="n">
        <v>60</v>
      </c>
    </row>
    <row r="15" customFormat="false" ht="15" hidden="false" customHeight="true" outlineLevel="0" collapsed="false">
      <c r="A15" s="41" t="s">
        <v>397</v>
      </c>
      <c r="B15" s="42" t="str">
        <f aca="false">IFERROR(B12*B13/60,"")</f>
        <v/>
      </c>
    </row>
    <row r="16" customFormat="false" ht="15" hidden="false" customHeight="true" outlineLevel="0" collapsed="false">
      <c r="A16" s="41" t="s">
        <v>398</v>
      </c>
      <c r="B16" s="42" t="str">
        <f aca="false">IFERROR(B12*B14/60,"")</f>
        <v/>
      </c>
    </row>
    <row r="18" customFormat="false" ht="15" hidden="false" customHeight="true" outlineLevel="0" collapsed="false">
      <c r="A18" s="44" t="s">
        <v>399</v>
      </c>
    </row>
  </sheetData>
  <dataValidations count="1">
    <dataValidation allowBlank="true" error="Isi lama pemeriksaan dalam menit, antara 0 dan 600." errorStyle="warning" errorTitle="Angka tidak wajar" operator="between" showDropDown="false" showErrorMessage="true" showInputMessage="false" sqref="C4:C8" type="decimal">
      <formula1>0</formula1>
      <formula2>600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G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4" min="3" style="0" width="14"/>
    <col collapsed="false" customWidth="true" hidden="false" outlineLevel="0" max="5" min="5" style="0" width="12"/>
    <col collapsed="false" customWidth="true" hidden="false" outlineLevel="0" max="6" min="6" style="0" width="70"/>
    <col collapsed="false" customWidth="true" hidden="false" outlineLevel="0" max="7" min="7" style="0" width="46"/>
  </cols>
  <sheetData>
    <row r="1" customFormat="false" ht="17.35" hidden="false" customHeight="false" outlineLevel="0" collapsed="false">
      <c r="A1" s="45" t="s">
        <v>400</v>
      </c>
    </row>
    <row r="2" customFormat="false" ht="15" hidden="false" customHeight="false" outlineLevel="0" collapsed="false">
      <c r="A2" s="46" t="s">
        <v>401</v>
      </c>
    </row>
    <row r="4" customFormat="false" ht="19.5" hidden="false" customHeight="true" outlineLevel="0" collapsed="false">
      <c r="A4" s="47" t="s">
        <v>402</v>
      </c>
      <c r="B4" s="48"/>
      <c r="C4" s="48"/>
      <c r="D4" s="48"/>
      <c r="E4" s="48"/>
      <c r="F4" s="48"/>
      <c r="G4" s="48"/>
    </row>
    <row r="5" customFormat="false" ht="27.75" hidden="false" customHeight="true" outlineLevel="0" collapsed="false">
      <c r="A5" s="10" t="s">
        <v>403</v>
      </c>
      <c r="B5" s="10" t="s">
        <v>404</v>
      </c>
      <c r="C5" s="10"/>
      <c r="D5" s="10"/>
      <c r="E5" s="10"/>
      <c r="F5" s="10"/>
    </row>
    <row r="6" customFormat="false" ht="18" hidden="false" customHeight="true" outlineLevel="0" collapsed="false">
      <c r="A6" s="49" t="s">
        <v>405</v>
      </c>
      <c r="B6" s="50" t="s">
        <v>406</v>
      </c>
      <c r="C6" s="50"/>
      <c r="D6" s="50"/>
      <c r="E6" s="50"/>
      <c r="F6" s="50"/>
    </row>
    <row r="7" customFormat="false" ht="18" hidden="false" customHeight="true" outlineLevel="0" collapsed="false">
      <c r="A7" s="49" t="s">
        <v>407</v>
      </c>
      <c r="B7" s="50" t="s">
        <v>408</v>
      </c>
      <c r="C7" s="50"/>
      <c r="D7" s="50"/>
      <c r="E7" s="50"/>
      <c r="F7" s="50"/>
    </row>
    <row r="8" customFormat="false" ht="18" hidden="false" customHeight="true" outlineLevel="0" collapsed="false">
      <c r="A8" s="49" t="s">
        <v>409</v>
      </c>
      <c r="B8" s="50" t="s">
        <v>410</v>
      </c>
      <c r="C8" s="50"/>
      <c r="D8" s="50"/>
      <c r="E8" s="50"/>
      <c r="F8" s="50"/>
    </row>
    <row r="9" customFormat="false" ht="18" hidden="false" customHeight="true" outlineLevel="0" collapsed="false">
      <c r="A9" s="49" t="s">
        <v>411</v>
      </c>
      <c r="B9" s="50" t="s">
        <v>412</v>
      </c>
      <c r="C9" s="50"/>
      <c r="D9" s="50"/>
      <c r="E9" s="50"/>
      <c r="F9" s="50"/>
    </row>
    <row r="10" customFormat="false" ht="18" hidden="false" customHeight="true" outlineLevel="0" collapsed="false">
      <c r="A10" s="49" t="s">
        <v>413</v>
      </c>
      <c r="B10" s="50" t="s">
        <v>414</v>
      </c>
      <c r="C10" s="50"/>
      <c r="D10" s="50"/>
      <c r="E10" s="50"/>
      <c r="F10" s="50"/>
    </row>
    <row r="12" customFormat="false" ht="27.75" hidden="false" customHeight="true" outlineLevel="0" collapsed="false">
      <c r="A12" s="10" t="s">
        <v>415</v>
      </c>
      <c r="B12" s="10" t="s">
        <v>416</v>
      </c>
      <c r="C12" s="10"/>
      <c r="D12" s="10"/>
      <c r="E12" s="10"/>
      <c r="F12" s="10"/>
    </row>
    <row r="13" customFormat="false" ht="18" hidden="false" customHeight="true" outlineLevel="0" collapsed="false">
      <c r="A13" s="49" t="s">
        <v>417</v>
      </c>
      <c r="B13" s="50" t="s">
        <v>418</v>
      </c>
      <c r="C13" s="50"/>
      <c r="D13" s="50"/>
      <c r="E13" s="50"/>
      <c r="F13" s="50"/>
    </row>
    <row r="14" customFormat="false" ht="18" hidden="false" customHeight="true" outlineLevel="0" collapsed="false">
      <c r="A14" s="49" t="s">
        <v>419</v>
      </c>
      <c r="B14" s="50" t="s">
        <v>420</v>
      </c>
      <c r="C14" s="50"/>
      <c r="D14" s="50"/>
      <c r="E14" s="50"/>
      <c r="F14" s="50"/>
    </row>
    <row r="15" customFormat="false" ht="18" hidden="false" customHeight="true" outlineLevel="0" collapsed="false">
      <c r="A15" s="49" t="s">
        <v>421</v>
      </c>
      <c r="B15" s="50" t="s">
        <v>422</v>
      </c>
      <c r="C15" s="50"/>
      <c r="D15" s="50"/>
      <c r="E15" s="50"/>
      <c r="F15" s="50"/>
    </row>
    <row r="16" customFormat="false" ht="18" hidden="false" customHeight="true" outlineLevel="0" collapsed="false">
      <c r="A16" s="49" t="s">
        <v>423</v>
      </c>
      <c r="B16" s="50" t="s">
        <v>424</v>
      </c>
      <c r="C16" s="50"/>
      <c r="D16" s="50"/>
      <c r="E16" s="50"/>
      <c r="F16" s="50"/>
    </row>
    <row r="17" customFormat="false" ht="18" hidden="false" customHeight="true" outlineLevel="0" collapsed="false">
      <c r="A17" s="49" t="s">
        <v>413</v>
      </c>
      <c r="B17" s="50" t="s">
        <v>425</v>
      </c>
      <c r="C17" s="50"/>
      <c r="D17" s="50"/>
      <c r="E17" s="50"/>
      <c r="F17" s="50"/>
    </row>
    <row r="19" customFormat="false" ht="19.5" hidden="false" customHeight="true" outlineLevel="0" collapsed="false">
      <c r="A19" s="47" t="s">
        <v>426</v>
      </c>
      <c r="B19" s="48"/>
      <c r="C19" s="48"/>
      <c r="D19" s="48"/>
      <c r="E19" s="48"/>
      <c r="F19" s="48"/>
      <c r="G19" s="48"/>
    </row>
    <row r="20" customFormat="false" ht="27.75" hidden="false" customHeight="true" outlineLevel="0" collapsed="false">
      <c r="A20" s="10" t="s">
        <v>427</v>
      </c>
      <c r="B20" s="10" t="s">
        <v>428</v>
      </c>
      <c r="C20" s="10"/>
      <c r="D20" s="10"/>
      <c r="E20" s="10"/>
      <c r="F20" s="10"/>
    </row>
    <row r="21" customFormat="false" ht="18" hidden="false" customHeight="true" outlineLevel="0" collapsed="false">
      <c r="A21" s="21" t="s">
        <v>429</v>
      </c>
      <c r="B21" s="21" t="s">
        <v>430</v>
      </c>
      <c r="C21" s="21"/>
      <c r="D21" s="21"/>
      <c r="E21" s="21"/>
      <c r="F21" s="21"/>
    </row>
    <row r="22" customFormat="false" ht="18" hidden="false" customHeight="true" outlineLevel="0" collapsed="false">
      <c r="A22" s="21" t="s">
        <v>431</v>
      </c>
      <c r="B22" s="21" t="s">
        <v>432</v>
      </c>
      <c r="C22" s="21"/>
      <c r="D22" s="21"/>
      <c r="E22" s="21"/>
      <c r="F22" s="21"/>
    </row>
    <row r="23" customFormat="false" ht="18" hidden="false" customHeight="true" outlineLevel="0" collapsed="false">
      <c r="A23" s="21" t="s">
        <v>433</v>
      </c>
      <c r="B23" s="21" t="s">
        <v>434</v>
      </c>
      <c r="C23" s="21"/>
      <c r="D23" s="21"/>
      <c r="E23" s="21"/>
      <c r="F23" s="21"/>
    </row>
    <row r="24" customFormat="false" ht="18" hidden="false" customHeight="true" outlineLevel="0" collapsed="false">
      <c r="A24" s="21" t="s">
        <v>435</v>
      </c>
      <c r="B24" s="21" t="s">
        <v>436</v>
      </c>
      <c r="C24" s="21"/>
      <c r="D24" s="21"/>
      <c r="E24" s="21"/>
      <c r="F24" s="21"/>
    </row>
    <row r="25" customFormat="false" ht="18" hidden="false" customHeight="true" outlineLevel="0" collapsed="false">
      <c r="A25" s="21" t="s">
        <v>437</v>
      </c>
      <c r="B25" s="21" t="s">
        <v>438</v>
      </c>
      <c r="C25" s="21"/>
      <c r="D25" s="21"/>
      <c r="E25" s="21"/>
      <c r="F25" s="21"/>
    </row>
    <row r="27" customFormat="false" ht="19.5" hidden="false" customHeight="true" outlineLevel="0" collapsed="false">
      <c r="A27" s="47" t="s">
        <v>439</v>
      </c>
      <c r="B27" s="48"/>
      <c r="C27" s="48"/>
      <c r="D27" s="48"/>
      <c r="E27" s="48"/>
      <c r="F27" s="48"/>
      <c r="G27" s="48"/>
    </row>
    <row r="28" customFormat="false" ht="30" hidden="false" customHeight="true" outlineLevel="0" collapsed="false">
      <c r="A28" s="51" t="s">
        <v>440</v>
      </c>
      <c r="B28" s="51"/>
      <c r="C28" s="51"/>
      <c r="D28" s="51"/>
      <c r="E28" s="51"/>
      <c r="F28" s="51"/>
      <c r="G28" s="51"/>
    </row>
    <row r="29" customFormat="false" ht="27.75" hidden="false" customHeight="true" outlineLevel="0" collapsed="false">
      <c r="A29" s="10" t="s">
        <v>427</v>
      </c>
      <c r="B29" s="10" t="s">
        <v>441</v>
      </c>
      <c r="C29" s="10" t="s">
        <v>442</v>
      </c>
      <c r="D29" s="10" t="s">
        <v>443</v>
      </c>
      <c r="E29" s="10" t="s">
        <v>444</v>
      </c>
      <c r="F29" s="10" t="s">
        <v>445</v>
      </c>
      <c r="G29" s="10" t="s">
        <v>446</v>
      </c>
    </row>
    <row r="30" customFormat="false" ht="43.5" hidden="false" customHeight="true" outlineLevel="0" collapsed="false">
      <c r="A30" s="52" t="str">
        <f aca="false">$A$21</f>
        <v>Kuliah dan kantor</v>
      </c>
      <c r="B30" s="53" t="s">
        <v>447</v>
      </c>
      <c r="C30" s="54" t="n">
        <v>1</v>
      </c>
      <c r="D30" s="54" t="n">
        <v>2</v>
      </c>
      <c r="E30" s="55" t="s">
        <v>448</v>
      </c>
      <c r="F30" s="56" t="s">
        <v>449</v>
      </c>
      <c r="G30" s="56" t="s">
        <v>450</v>
      </c>
    </row>
    <row r="31" customFormat="false" ht="18" hidden="false" customHeight="true" outlineLevel="0" collapsed="false">
      <c r="A31" s="57" t="str">
        <f aca="false">$A$21</f>
        <v>Kuliah dan kantor</v>
      </c>
      <c r="B31" s="50" t="s">
        <v>451</v>
      </c>
      <c r="C31" s="58"/>
      <c r="D31" s="58"/>
      <c r="E31" s="59" t="s">
        <v>448</v>
      </c>
      <c r="F31" s="21" t="s">
        <v>452</v>
      </c>
      <c r="G31" s="21" t="s">
        <v>453</v>
      </c>
    </row>
    <row r="32" customFormat="false" ht="30.75" hidden="false" customHeight="true" outlineLevel="0" collapsed="false">
      <c r="A32" s="57" t="str">
        <f aca="false">$A$21</f>
        <v>Kuliah dan kantor</v>
      </c>
      <c r="B32" s="50" t="s">
        <v>454</v>
      </c>
      <c r="C32" s="58" t="n">
        <v>4</v>
      </c>
      <c r="D32" s="58" t="n">
        <v>8</v>
      </c>
      <c r="E32" s="59" t="s">
        <v>455</v>
      </c>
      <c r="F32" s="21" t="s">
        <v>456</v>
      </c>
      <c r="G32" s="21" t="s">
        <v>457</v>
      </c>
    </row>
    <row r="33" customFormat="false" ht="30.75" hidden="false" customHeight="true" outlineLevel="0" collapsed="false">
      <c r="A33" s="57" t="str">
        <f aca="false">$A$21</f>
        <v>Kuliah dan kantor</v>
      </c>
      <c r="B33" s="50" t="s">
        <v>458</v>
      </c>
      <c r="C33" s="58" t="n">
        <v>128</v>
      </c>
      <c r="D33" s="58" t="n">
        <v>256</v>
      </c>
      <c r="E33" s="59" t="s">
        <v>455</v>
      </c>
      <c r="F33" s="21" t="s">
        <v>459</v>
      </c>
      <c r="G33" s="21" t="s">
        <v>460</v>
      </c>
    </row>
    <row r="34" customFormat="false" ht="30.75" hidden="false" customHeight="true" outlineLevel="0" collapsed="false">
      <c r="A34" s="57" t="str">
        <f aca="false">$A$21</f>
        <v>Kuliah dan kantor</v>
      </c>
      <c r="B34" s="50" t="s">
        <v>461</v>
      </c>
      <c r="C34" s="58"/>
      <c r="D34" s="58"/>
      <c r="E34" s="59" t="s">
        <v>462</v>
      </c>
      <c r="F34" s="21" t="s">
        <v>463</v>
      </c>
      <c r="G34" s="21" t="s">
        <v>453</v>
      </c>
    </row>
    <row r="35" customFormat="false" ht="18" hidden="false" customHeight="true" outlineLevel="0" collapsed="false">
      <c r="A35" s="57" t="str">
        <f aca="false">$A$21</f>
        <v>Kuliah dan kantor</v>
      </c>
      <c r="B35" s="50" t="s">
        <v>464</v>
      </c>
      <c r="C35" s="58"/>
      <c r="D35" s="58"/>
      <c r="E35" s="59" t="s">
        <v>465</v>
      </c>
      <c r="F35" s="21" t="s">
        <v>466</v>
      </c>
      <c r="G35" s="21" t="s">
        <v>453</v>
      </c>
    </row>
    <row r="36" customFormat="false" ht="30.75" hidden="false" customHeight="true" outlineLevel="0" collapsed="false">
      <c r="A36" s="52" t="str">
        <f aca="false">$A$22</f>
        <v>Desain grafis</v>
      </c>
      <c r="B36" s="53" t="s">
        <v>447</v>
      </c>
      <c r="C36" s="54" t="n">
        <v>2</v>
      </c>
      <c r="D36" s="54" t="n">
        <v>3</v>
      </c>
      <c r="E36" s="55" t="s">
        <v>448</v>
      </c>
      <c r="F36" s="56" t="s">
        <v>467</v>
      </c>
      <c r="G36" s="56" t="s">
        <v>468</v>
      </c>
    </row>
    <row r="37" customFormat="false" ht="30.75" hidden="false" customHeight="true" outlineLevel="0" collapsed="false">
      <c r="A37" s="57" t="str">
        <f aca="false">$A$22</f>
        <v>Desain grafis</v>
      </c>
      <c r="B37" s="50" t="s">
        <v>451</v>
      </c>
      <c r="C37" s="58" t="n">
        <v>1</v>
      </c>
      <c r="D37" s="58" t="n">
        <v>2</v>
      </c>
      <c r="E37" s="59" t="s">
        <v>448</v>
      </c>
      <c r="F37" s="21" t="s">
        <v>469</v>
      </c>
      <c r="G37" s="21" t="s">
        <v>468</v>
      </c>
    </row>
    <row r="38" customFormat="false" ht="30.75" hidden="false" customHeight="true" outlineLevel="0" collapsed="false">
      <c r="A38" s="57" t="str">
        <f aca="false">$A$22</f>
        <v>Desain grafis</v>
      </c>
      <c r="B38" s="50" t="s">
        <v>454</v>
      </c>
      <c r="C38" s="58" t="n">
        <v>8</v>
      </c>
      <c r="D38" s="58" t="n">
        <v>16</v>
      </c>
      <c r="E38" s="59" t="s">
        <v>455</v>
      </c>
      <c r="F38" s="21" t="s">
        <v>470</v>
      </c>
      <c r="G38" s="21" t="s">
        <v>468</v>
      </c>
    </row>
    <row r="39" customFormat="false" ht="18" hidden="false" customHeight="true" outlineLevel="0" collapsed="false">
      <c r="A39" s="57" t="str">
        <f aca="false">$A$22</f>
        <v>Desain grafis</v>
      </c>
      <c r="B39" s="50" t="s">
        <v>458</v>
      </c>
      <c r="C39" s="58" t="n">
        <v>256</v>
      </c>
      <c r="D39" s="58" t="n">
        <v>512</v>
      </c>
      <c r="E39" s="59" t="s">
        <v>455</v>
      </c>
      <c r="F39" s="21" t="s">
        <v>471</v>
      </c>
      <c r="G39" s="21" t="s">
        <v>450</v>
      </c>
    </row>
    <row r="40" customFormat="false" ht="57" hidden="false" customHeight="true" outlineLevel="0" collapsed="false">
      <c r="A40" s="57" t="str">
        <f aca="false">$A$22</f>
        <v>Desain grafis</v>
      </c>
      <c r="B40" s="50" t="s">
        <v>461</v>
      </c>
      <c r="C40" s="58" t="n">
        <v>3</v>
      </c>
      <c r="D40" s="58" t="n">
        <v>4</v>
      </c>
      <c r="E40" s="59" t="s">
        <v>462</v>
      </c>
      <c r="F40" s="21" t="s">
        <v>472</v>
      </c>
      <c r="G40" s="21" t="s">
        <v>450</v>
      </c>
    </row>
    <row r="41" customFormat="false" ht="18" hidden="false" customHeight="true" outlineLevel="0" collapsed="false">
      <c r="A41" s="57" t="str">
        <f aca="false">$A$22</f>
        <v>Desain grafis</v>
      </c>
      <c r="B41" s="50" t="s">
        <v>464</v>
      </c>
      <c r="C41" s="58"/>
      <c r="D41" s="58"/>
      <c r="E41" s="59" t="s">
        <v>465</v>
      </c>
      <c r="F41" s="21" t="s">
        <v>473</v>
      </c>
      <c r="G41" s="21" t="s">
        <v>453</v>
      </c>
    </row>
    <row r="42" customFormat="false" ht="30.75" hidden="false" customHeight="true" outlineLevel="0" collapsed="false">
      <c r="A42" s="52" t="str">
        <f aca="false">$A$23</f>
        <v>Pemrograman</v>
      </c>
      <c r="B42" s="53" t="s">
        <v>447</v>
      </c>
      <c r="C42" s="54" t="n">
        <v>2</v>
      </c>
      <c r="D42" s="54" t="n">
        <v>3</v>
      </c>
      <c r="E42" s="55" t="s">
        <v>448</v>
      </c>
      <c r="F42" s="56" t="s">
        <v>474</v>
      </c>
      <c r="G42" s="56" t="s">
        <v>468</v>
      </c>
    </row>
    <row r="43" customFormat="false" ht="43.5" hidden="false" customHeight="true" outlineLevel="0" collapsed="false">
      <c r="A43" s="57" t="str">
        <f aca="false">$A$23</f>
        <v>Pemrograman</v>
      </c>
      <c r="B43" s="50" t="s">
        <v>451</v>
      </c>
      <c r="C43" s="58"/>
      <c r="D43" s="58"/>
      <c r="E43" s="59" t="s">
        <v>448</v>
      </c>
      <c r="F43" s="21" t="s">
        <v>475</v>
      </c>
      <c r="G43" s="21" t="s">
        <v>453</v>
      </c>
    </row>
    <row r="44" customFormat="false" ht="30.75" hidden="false" customHeight="true" outlineLevel="0" collapsed="false">
      <c r="A44" s="57" t="str">
        <f aca="false">$A$23</f>
        <v>Pemrograman</v>
      </c>
      <c r="B44" s="50" t="s">
        <v>454</v>
      </c>
      <c r="C44" s="58" t="n">
        <v>8</v>
      </c>
      <c r="D44" s="58" t="n">
        <v>16</v>
      </c>
      <c r="E44" s="59" t="s">
        <v>455</v>
      </c>
      <c r="F44" s="21" t="s">
        <v>476</v>
      </c>
      <c r="G44" s="21" t="s">
        <v>468</v>
      </c>
    </row>
    <row r="45" customFormat="false" ht="30.75" hidden="false" customHeight="true" outlineLevel="0" collapsed="false">
      <c r="A45" s="57" t="str">
        <f aca="false">$A$23</f>
        <v>Pemrograman</v>
      </c>
      <c r="B45" s="50" t="s">
        <v>458</v>
      </c>
      <c r="C45" s="58" t="n">
        <v>256</v>
      </c>
      <c r="D45" s="58" t="n">
        <v>512</v>
      </c>
      <c r="E45" s="59" t="s">
        <v>455</v>
      </c>
      <c r="F45" s="21" t="s">
        <v>477</v>
      </c>
      <c r="G45" s="21" t="s">
        <v>450</v>
      </c>
    </row>
    <row r="46" customFormat="false" ht="18" hidden="false" customHeight="true" outlineLevel="0" collapsed="false">
      <c r="A46" s="57" t="str">
        <f aca="false">$A$23</f>
        <v>Pemrograman</v>
      </c>
      <c r="B46" s="50" t="s">
        <v>461</v>
      </c>
      <c r="C46" s="58"/>
      <c r="D46" s="58"/>
      <c r="E46" s="59" t="s">
        <v>462</v>
      </c>
      <c r="F46" s="21" t="s">
        <v>478</v>
      </c>
      <c r="G46" s="21" t="s">
        <v>453</v>
      </c>
    </row>
    <row r="47" customFormat="false" ht="18" hidden="false" customHeight="true" outlineLevel="0" collapsed="false">
      <c r="A47" s="57" t="str">
        <f aca="false">$A$23</f>
        <v>Pemrograman</v>
      </c>
      <c r="B47" s="50" t="s">
        <v>464</v>
      </c>
      <c r="C47" s="58"/>
      <c r="D47" s="58"/>
      <c r="E47" s="59" t="s">
        <v>465</v>
      </c>
      <c r="F47" s="21" t="s">
        <v>479</v>
      </c>
      <c r="G47" s="21" t="s">
        <v>453</v>
      </c>
    </row>
    <row r="48" customFormat="false" ht="30.75" hidden="false" customHeight="true" outlineLevel="0" collapsed="false">
      <c r="A48" s="52" t="str">
        <f aca="false">$A$24</f>
        <v>Game ringan</v>
      </c>
      <c r="B48" s="53" t="s">
        <v>447</v>
      </c>
      <c r="C48" s="54" t="n">
        <v>2</v>
      </c>
      <c r="D48" s="54" t="n">
        <v>3</v>
      </c>
      <c r="E48" s="55" t="s">
        <v>448</v>
      </c>
      <c r="F48" s="56" t="s">
        <v>480</v>
      </c>
      <c r="G48" s="56" t="s">
        <v>450</v>
      </c>
    </row>
    <row r="49" customFormat="false" ht="43.5" hidden="false" customHeight="true" outlineLevel="0" collapsed="false">
      <c r="A49" s="57" t="str">
        <f aca="false">$A$24</f>
        <v>Game ringan</v>
      </c>
      <c r="B49" s="50" t="s">
        <v>451</v>
      </c>
      <c r="C49" s="58" t="n">
        <v>1</v>
      </c>
      <c r="D49" s="58" t="n">
        <v>2</v>
      </c>
      <c r="E49" s="59" t="s">
        <v>448</v>
      </c>
      <c r="F49" s="21" t="s">
        <v>481</v>
      </c>
      <c r="G49" s="21" t="s">
        <v>482</v>
      </c>
    </row>
    <row r="50" customFormat="false" ht="43.5" hidden="false" customHeight="true" outlineLevel="0" collapsed="false">
      <c r="A50" s="57" t="str">
        <f aca="false">$A$24</f>
        <v>Game ringan</v>
      </c>
      <c r="B50" s="50" t="s">
        <v>454</v>
      </c>
      <c r="C50" s="58" t="n">
        <v>4</v>
      </c>
      <c r="D50" s="58" t="n">
        <v>8</v>
      </c>
      <c r="E50" s="59" t="s">
        <v>455</v>
      </c>
      <c r="F50" s="21" t="s">
        <v>483</v>
      </c>
      <c r="G50" s="21" t="s">
        <v>482</v>
      </c>
    </row>
    <row r="51" customFormat="false" ht="30.75" hidden="false" customHeight="true" outlineLevel="0" collapsed="false">
      <c r="A51" s="57" t="str">
        <f aca="false">$A$24</f>
        <v>Game ringan</v>
      </c>
      <c r="B51" s="50" t="s">
        <v>458</v>
      </c>
      <c r="C51" s="58" t="n">
        <v>128</v>
      </c>
      <c r="D51" s="58" t="n">
        <v>256</v>
      </c>
      <c r="E51" s="59" t="s">
        <v>455</v>
      </c>
      <c r="F51" s="21" t="s">
        <v>484</v>
      </c>
      <c r="G51" s="21" t="s">
        <v>450</v>
      </c>
    </row>
    <row r="52" customFormat="false" ht="18" hidden="false" customHeight="true" outlineLevel="0" collapsed="false">
      <c r="A52" s="57" t="str">
        <f aca="false">$A$24</f>
        <v>Game ringan</v>
      </c>
      <c r="B52" s="50" t="s">
        <v>461</v>
      </c>
      <c r="C52" s="58"/>
      <c r="D52" s="58"/>
      <c r="E52" s="59" t="s">
        <v>462</v>
      </c>
      <c r="F52" s="21" t="s">
        <v>485</v>
      </c>
      <c r="G52" s="21" t="s">
        <v>453</v>
      </c>
    </row>
    <row r="53" customFormat="false" ht="18" hidden="false" customHeight="true" outlineLevel="0" collapsed="false">
      <c r="A53" s="57" t="str">
        <f aca="false">$A$24</f>
        <v>Game ringan</v>
      </c>
      <c r="B53" s="50" t="s">
        <v>464</v>
      </c>
      <c r="C53" s="58"/>
      <c r="D53" s="58"/>
      <c r="E53" s="59" t="s">
        <v>465</v>
      </c>
      <c r="F53" s="21" t="s">
        <v>486</v>
      </c>
      <c r="G53" s="21" t="s">
        <v>453</v>
      </c>
    </row>
    <row r="54" customFormat="false" ht="30.75" hidden="false" customHeight="true" outlineLevel="0" collapsed="false">
      <c r="A54" s="52" t="str">
        <f aca="false">$A$25</f>
        <v>Game berat</v>
      </c>
      <c r="B54" s="53" t="s">
        <v>447</v>
      </c>
      <c r="C54" s="54" t="n">
        <v>3</v>
      </c>
      <c r="D54" s="54" t="n">
        <v>4</v>
      </c>
      <c r="E54" s="55" t="s">
        <v>448</v>
      </c>
      <c r="F54" s="56" t="s">
        <v>487</v>
      </c>
      <c r="G54" s="56" t="s">
        <v>450</v>
      </c>
    </row>
    <row r="55" customFormat="false" ht="30.75" hidden="false" customHeight="true" outlineLevel="0" collapsed="false">
      <c r="A55" s="57" t="str">
        <f aca="false">$A$25</f>
        <v>Game berat</v>
      </c>
      <c r="B55" s="50" t="s">
        <v>451</v>
      </c>
      <c r="C55" s="58" t="n">
        <v>3</v>
      </c>
      <c r="D55" s="58" t="n">
        <v>4</v>
      </c>
      <c r="E55" s="59" t="s">
        <v>448</v>
      </c>
      <c r="F55" s="21" t="s">
        <v>488</v>
      </c>
      <c r="G55" s="21" t="s">
        <v>450</v>
      </c>
    </row>
    <row r="56" customFormat="false" ht="18" hidden="false" customHeight="true" outlineLevel="0" collapsed="false">
      <c r="A56" s="57" t="str">
        <f aca="false">$A$25</f>
        <v>Game berat</v>
      </c>
      <c r="B56" s="50" t="s">
        <v>454</v>
      </c>
      <c r="C56" s="58" t="n">
        <v>8</v>
      </c>
      <c r="D56" s="58" t="n">
        <v>16</v>
      </c>
      <c r="E56" s="59" t="s">
        <v>455</v>
      </c>
      <c r="F56" s="21" t="s">
        <v>489</v>
      </c>
      <c r="G56" s="21" t="s">
        <v>490</v>
      </c>
    </row>
    <row r="57" customFormat="false" ht="30.75" hidden="false" customHeight="true" outlineLevel="0" collapsed="false">
      <c r="A57" s="57" t="str">
        <f aca="false">$A$25</f>
        <v>Game berat</v>
      </c>
      <c r="B57" s="50" t="s">
        <v>458</v>
      </c>
      <c r="C57" s="58" t="n">
        <v>512</v>
      </c>
      <c r="D57" s="58" t="n">
        <v>1000</v>
      </c>
      <c r="E57" s="59" t="s">
        <v>455</v>
      </c>
      <c r="F57" s="21" t="s">
        <v>491</v>
      </c>
      <c r="G57" s="21" t="s">
        <v>492</v>
      </c>
    </row>
    <row r="58" customFormat="false" ht="18" hidden="false" customHeight="true" outlineLevel="0" collapsed="false">
      <c r="A58" s="57" t="str">
        <f aca="false">$A$25</f>
        <v>Game berat</v>
      </c>
      <c r="B58" s="50" t="s">
        <v>461</v>
      </c>
      <c r="C58" s="58"/>
      <c r="D58" s="58"/>
      <c r="E58" s="59" t="s">
        <v>462</v>
      </c>
      <c r="F58" s="21" t="s">
        <v>493</v>
      </c>
      <c r="G58" s="21" t="s">
        <v>453</v>
      </c>
    </row>
    <row r="59" customFormat="false" ht="30.75" hidden="false" customHeight="true" outlineLevel="0" collapsed="false">
      <c r="A59" s="57" t="str">
        <f aca="false">$A$25</f>
        <v>Game berat</v>
      </c>
      <c r="B59" s="50" t="s">
        <v>464</v>
      </c>
      <c r="C59" s="58" t="n">
        <v>60</v>
      </c>
      <c r="D59" s="58" t="n">
        <v>120</v>
      </c>
      <c r="E59" s="59" t="s">
        <v>465</v>
      </c>
      <c r="F59" s="21" t="s">
        <v>494</v>
      </c>
      <c r="G59" s="21" t="s">
        <v>450</v>
      </c>
    </row>
    <row r="61" customFormat="false" ht="19.5" hidden="false" customHeight="true" outlineLevel="0" collapsed="false">
      <c r="A61" s="47" t="s">
        <v>495</v>
      </c>
      <c r="B61" s="48"/>
      <c r="C61" s="48"/>
      <c r="D61" s="48"/>
      <c r="E61" s="48"/>
      <c r="F61" s="48"/>
      <c r="G61" s="48"/>
    </row>
    <row r="62" customFormat="false" ht="27.75" hidden="false" customHeight="true" outlineLevel="0" collapsed="false">
      <c r="A62" s="10" t="s">
        <v>496</v>
      </c>
      <c r="B62" s="10" t="s">
        <v>497</v>
      </c>
      <c r="C62" s="10" t="s">
        <v>498</v>
      </c>
      <c r="D62" s="10"/>
      <c r="E62" s="10"/>
      <c r="F62" s="10"/>
    </row>
    <row r="63" customFormat="false" ht="18" hidden="false" customHeight="true" outlineLevel="0" collapsed="false">
      <c r="A63" s="19" t="s">
        <v>221</v>
      </c>
      <c r="B63" s="20" t="n">
        <v>1</v>
      </c>
      <c r="C63" s="21" t="s">
        <v>499</v>
      </c>
      <c r="D63" s="21"/>
      <c r="E63" s="21"/>
      <c r="F63" s="21"/>
    </row>
    <row r="64" customFormat="false" ht="18" hidden="false" customHeight="true" outlineLevel="0" collapsed="false">
      <c r="A64" s="19" t="s">
        <v>500</v>
      </c>
      <c r="B64" s="20" t="n">
        <v>2</v>
      </c>
      <c r="C64" s="21" t="s">
        <v>501</v>
      </c>
      <c r="D64" s="21"/>
      <c r="E64" s="21"/>
      <c r="F64" s="21"/>
    </row>
    <row r="65" customFormat="false" ht="18" hidden="false" customHeight="true" outlineLevel="0" collapsed="false">
      <c r="A65" s="19" t="s">
        <v>180</v>
      </c>
      <c r="B65" s="20" t="n">
        <v>3</v>
      </c>
      <c r="C65" s="21" t="s">
        <v>502</v>
      </c>
      <c r="D65" s="21"/>
      <c r="E65" s="21"/>
      <c r="F65" s="21"/>
    </row>
    <row r="66" customFormat="false" ht="18" hidden="false" customHeight="true" outlineLevel="0" collapsed="false">
      <c r="A66" s="19" t="s">
        <v>503</v>
      </c>
      <c r="B66" s="20" t="n">
        <v>4</v>
      </c>
      <c r="C66" s="21" t="s">
        <v>504</v>
      </c>
      <c r="D66" s="21"/>
      <c r="E66" s="21"/>
      <c r="F66" s="21"/>
    </row>
    <row r="67" customFormat="false" ht="30" hidden="false" customHeight="true" outlineLevel="0" collapsed="false">
      <c r="A67" s="51" t="s">
        <v>505</v>
      </c>
      <c r="B67" s="51"/>
      <c r="C67" s="51"/>
      <c r="D67" s="51"/>
      <c r="E67" s="51"/>
      <c r="F67" s="51"/>
      <c r="G67" s="51"/>
    </row>
    <row r="69" customFormat="false" ht="19.5" hidden="false" customHeight="true" outlineLevel="0" collapsed="false">
      <c r="A69" s="47" t="s">
        <v>506</v>
      </c>
      <c r="B69" s="48"/>
      <c r="C69" s="48"/>
      <c r="D69" s="48"/>
      <c r="E69" s="48"/>
      <c r="F69" s="48"/>
      <c r="G69" s="48"/>
    </row>
    <row r="70" customFormat="false" ht="27.75" hidden="false" customHeight="true" outlineLevel="0" collapsed="false">
      <c r="A70" s="10" t="s">
        <v>507</v>
      </c>
      <c r="B70" s="10" t="s">
        <v>508</v>
      </c>
      <c r="C70" s="10"/>
      <c r="D70" s="10"/>
      <c r="E70" s="10" t="s">
        <v>509</v>
      </c>
      <c r="F70" s="10"/>
      <c r="G70" s="10"/>
    </row>
    <row r="71" customFormat="false" ht="18" hidden="false" customHeight="true" outlineLevel="0" collapsed="false">
      <c r="A71" s="60" t="s">
        <v>510</v>
      </c>
      <c r="B71" s="50" t="s">
        <v>511</v>
      </c>
      <c r="C71" s="50"/>
      <c r="D71" s="50"/>
      <c r="E71" s="21" t="s">
        <v>512</v>
      </c>
      <c r="F71" s="21"/>
      <c r="G71" s="21"/>
    </row>
    <row r="72" customFormat="false" ht="30.75" hidden="false" customHeight="true" outlineLevel="0" collapsed="false">
      <c r="A72" s="60" t="s">
        <v>513</v>
      </c>
      <c r="B72" s="50" t="s">
        <v>514</v>
      </c>
      <c r="C72" s="50"/>
      <c r="D72" s="50"/>
      <c r="E72" s="21" t="s">
        <v>515</v>
      </c>
      <c r="F72" s="21"/>
      <c r="G72" s="21"/>
    </row>
    <row r="73" customFormat="false" ht="18" hidden="false" customHeight="true" outlineLevel="0" collapsed="false">
      <c r="A73" s="60" t="s">
        <v>516</v>
      </c>
      <c r="B73" s="50" t="s">
        <v>517</v>
      </c>
      <c r="C73" s="50"/>
      <c r="D73" s="50"/>
      <c r="E73" s="21" t="s">
        <v>518</v>
      </c>
      <c r="F73" s="21"/>
      <c r="G73" s="21"/>
    </row>
    <row r="74" customFormat="false" ht="18" hidden="false" customHeight="true" outlineLevel="0" collapsed="false">
      <c r="A74" s="60" t="s">
        <v>519</v>
      </c>
      <c r="B74" s="50" t="s">
        <v>520</v>
      </c>
      <c r="C74" s="50"/>
      <c r="D74" s="50"/>
      <c r="E74" s="21" t="s">
        <v>521</v>
      </c>
      <c r="F74" s="21"/>
      <c r="G74" s="21"/>
    </row>
    <row r="75" customFormat="false" ht="18" hidden="false" customHeight="true" outlineLevel="0" collapsed="false">
      <c r="A75" s="60" t="s">
        <v>522</v>
      </c>
      <c r="B75" s="50" t="s">
        <v>523</v>
      </c>
      <c r="C75" s="50"/>
      <c r="D75" s="50"/>
      <c r="E75" s="21" t="s">
        <v>524</v>
      </c>
      <c r="F75" s="21"/>
      <c r="G75" s="21"/>
    </row>
    <row r="76" customFormat="false" ht="18" hidden="false" customHeight="true" outlineLevel="0" collapsed="false">
      <c r="A76" s="60" t="s">
        <v>525</v>
      </c>
      <c r="B76" s="50" t="s">
        <v>526</v>
      </c>
      <c r="C76" s="50"/>
      <c r="D76" s="50"/>
      <c r="E76" s="21" t="s">
        <v>527</v>
      </c>
      <c r="F76" s="21"/>
      <c r="G76" s="21"/>
    </row>
    <row r="77" customFormat="false" ht="30" hidden="false" customHeight="true" outlineLevel="0" collapsed="false">
      <c r="A77" s="51" t="s">
        <v>528</v>
      </c>
      <c r="B77" s="51"/>
      <c r="C77" s="51"/>
      <c r="D77" s="51"/>
      <c r="E77" s="51"/>
      <c r="F77" s="51"/>
      <c r="G77" s="51"/>
    </row>
    <row r="79" customFormat="false" ht="19.5" hidden="false" customHeight="true" outlineLevel="0" collapsed="false">
      <c r="A79" s="47" t="s">
        <v>529</v>
      </c>
      <c r="B79" s="48"/>
      <c r="C79" s="48"/>
      <c r="D79" s="48"/>
      <c r="E79" s="48"/>
      <c r="F79" s="48"/>
      <c r="G79" s="48"/>
    </row>
    <row r="80" customFormat="false" ht="27.75" hidden="false" customHeight="true" outlineLevel="0" collapsed="false">
      <c r="A80" s="10" t="s">
        <v>530</v>
      </c>
      <c r="B80" s="10" t="s">
        <v>531</v>
      </c>
      <c r="C80" s="10"/>
      <c r="D80" s="10"/>
      <c r="E80" s="10"/>
      <c r="F80" s="10" t="s">
        <v>532</v>
      </c>
    </row>
    <row r="81" customFormat="false" ht="30.75" hidden="false" customHeight="true" outlineLevel="0" collapsed="false">
      <c r="A81" s="60" t="n">
        <v>1</v>
      </c>
      <c r="B81" s="50" t="s">
        <v>533</v>
      </c>
      <c r="C81" s="50"/>
      <c r="D81" s="50"/>
      <c r="E81" s="50"/>
      <c r="F81" s="50" t="s">
        <v>534</v>
      </c>
    </row>
    <row r="82" customFormat="false" ht="18" hidden="false" customHeight="true" outlineLevel="0" collapsed="false">
      <c r="A82" s="60" t="n">
        <v>2</v>
      </c>
      <c r="B82" s="50" t="s">
        <v>535</v>
      </c>
      <c r="C82" s="50"/>
      <c r="D82" s="50"/>
      <c r="E82" s="50"/>
      <c r="F82" s="50" t="s">
        <v>536</v>
      </c>
    </row>
    <row r="83" customFormat="false" ht="30.75" hidden="false" customHeight="true" outlineLevel="0" collapsed="false">
      <c r="A83" s="60" t="n">
        <v>3</v>
      </c>
      <c r="B83" s="50" t="s">
        <v>537</v>
      </c>
      <c r="C83" s="50"/>
      <c r="D83" s="50"/>
      <c r="E83" s="50"/>
      <c r="F83" s="50" t="s">
        <v>538</v>
      </c>
    </row>
    <row r="84" customFormat="false" ht="30.75" hidden="false" customHeight="true" outlineLevel="0" collapsed="false">
      <c r="A84" s="60" t="n">
        <v>4</v>
      </c>
      <c r="B84" s="50" t="s">
        <v>539</v>
      </c>
      <c r="C84" s="50"/>
      <c r="D84" s="50"/>
      <c r="E84" s="50"/>
      <c r="F84" s="50" t="s">
        <v>540</v>
      </c>
    </row>
    <row r="85" customFormat="false" ht="18" hidden="false" customHeight="true" outlineLevel="0" collapsed="false">
      <c r="A85" s="60" t="n">
        <v>5</v>
      </c>
      <c r="B85" s="50" t="s">
        <v>541</v>
      </c>
      <c r="C85" s="50"/>
      <c r="D85" s="50"/>
      <c r="E85" s="50"/>
      <c r="F85" s="50" t="s">
        <v>542</v>
      </c>
    </row>
    <row r="86" customFormat="false" ht="18" hidden="false" customHeight="true" outlineLevel="0" collapsed="false">
      <c r="A86" s="51" t="s">
        <v>543</v>
      </c>
      <c r="B86" s="51"/>
      <c r="C86" s="51"/>
      <c r="D86" s="51"/>
      <c r="E86" s="51"/>
      <c r="F86" s="51"/>
      <c r="G86" s="51"/>
    </row>
    <row r="88" customFormat="false" ht="19.5" hidden="false" customHeight="true" outlineLevel="0" collapsed="false">
      <c r="A88" s="47" t="s">
        <v>544</v>
      </c>
      <c r="B88" s="48"/>
      <c r="C88" s="48"/>
      <c r="D88" s="48"/>
      <c r="E88" s="48"/>
      <c r="F88" s="48"/>
      <c r="G88" s="48"/>
    </row>
    <row r="89" customFormat="false" ht="27.75" hidden="false" customHeight="true" outlineLevel="0" collapsed="false">
      <c r="A89" s="10" t="s">
        <v>545</v>
      </c>
      <c r="B89" s="10" t="s">
        <v>546</v>
      </c>
      <c r="C89" s="10"/>
      <c r="D89" s="10"/>
      <c r="E89" s="10"/>
      <c r="F89" s="10"/>
    </row>
    <row r="90" customFormat="false" ht="18" hidden="false" customHeight="true" outlineLevel="0" collapsed="false">
      <c r="A90" s="50" t="s">
        <v>547</v>
      </c>
      <c r="B90" s="50" t="s">
        <v>548</v>
      </c>
      <c r="C90" s="50"/>
      <c r="D90" s="50"/>
      <c r="E90" s="50"/>
      <c r="F90" s="50"/>
    </row>
    <row r="91" customFormat="false" ht="30.75" hidden="false" customHeight="true" outlineLevel="0" collapsed="false">
      <c r="A91" s="50" t="s">
        <v>549</v>
      </c>
      <c r="B91" s="50" t="s">
        <v>550</v>
      </c>
      <c r="C91" s="50"/>
      <c r="D91" s="50"/>
      <c r="E91" s="50"/>
      <c r="F91" s="50"/>
    </row>
    <row r="92" customFormat="false" ht="30.75" hidden="false" customHeight="true" outlineLevel="0" collapsed="false">
      <c r="A92" s="50" t="s">
        <v>551</v>
      </c>
      <c r="B92" s="50" t="s">
        <v>552</v>
      </c>
      <c r="C92" s="50"/>
      <c r="D92" s="50"/>
      <c r="E92" s="50"/>
      <c r="F92" s="50"/>
    </row>
    <row r="93" customFormat="false" ht="18" hidden="false" customHeight="true" outlineLevel="0" collapsed="false">
      <c r="A93" s="50" t="s">
        <v>553</v>
      </c>
      <c r="B93" s="50" t="s">
        <v>554</v>
      </c>
      <c r="C93" s="50"/>
      <c r="D93" s="50"/>
      <c r="E93" s="50"/>
      <c r="F93" s="50"/>
    </row>
    <row r="94" customFormat="false" ht="18" hidden="false" customHeight="true" outlineLevel="0" collapsed="false">
      <c r="A94" s="50" t="s">
        <v>555</v>
      </c>
      <c r="B94" s="50" t="s">
        <v>556</v>
      </c>
      <c r="C94" s="50"/>
      <c r="D94" s="50"/>
      <c r="E94" s="50"/>
      <c r="F94" s="50"/>
    </row>
    <row r="95" customFormat="false" ht="18" hidden="false" customHeight="true" outlineLevel="0" collapsed="false">
      <c r="A95" s="50" t="s">
        <v>557</v>
      </c>
      <c r="B95" s="50" t="s">
        <v>558</v>
      </c>
      <c r="C95" s="50"/>
      <c r="D95" s="50"/>
      <c r="E95" s="50"/>
      <c r="F95" s="50"/>
    </row>
  </sheetData>
  <mergeCells count="54">
    <mergeCell ref="B5:F5"/>
    <mergeCell ref="B6:F6"/>
    <mergeCell ref="B7:F7"/>
    <mergeCell ref="B8:F8"/>
    <mergeCell ref="B9:F9"/>
    <mergeCell ref="B10:F10"/>
    <mergeCell ref="B12:F12"/>
    <mergeCell ref="B13:F13"/>
    <mergeCell ref="B14:F14"/>
    <mergeCell ref="B15:F15"/>
    <mergeCell ref="B16:F16"/>
    <mergeCell ref="B17:F17"/>
    <mergeCell ref="B20:F20"/>
    <mergeCell ref="B21:F21"/>
    <mergeCell ref="B22:F22"/>
    <mergeCell ref="B23:F23"/>
    <mergeCell ref="B24:F24"/>
    <mergeCell ref="B25:F25"/>
    <mergeCell ref="A28:G28"/>
    <mergeCell ref="C62:F62"/>
    <mergeCell ref="C63:F63"/>
    <mergeCell ref="C64:F64"/>
    <mergeCell ref="C65:F65"/>
    <mergeCell ref="C66:F66"/>
    <mergeCell ref="A67:G67"/>
    <mergeCell ref="B70:D70"/>
    <mergeCell ref="E70:G70"/>
    <mergeCell ref="B71:D71"/>
    <mergeCell ref="E71:G71"/>
    <mergeCell ref="B72:D72"/>
    <mergeCell ref="E72:G72"/>
    <mergeCell ref="B73:D73"/>
    <mergeCell ref="E73:G73"/>
    <mergeCell ref="B74:D74"/>
    <mergeCell ref="E74:G74"/>
    <mergeCell ref="B75:D75"/>
    <mergeCell ref="E75:G75"/>
    <mergeCell ref="B76:D76"/>
    <mergeCell ref="E76:G76"/>
    <mergeCell ref="A77:G77"/>
    <mergeCell ref="B80:E80"/>
    <mergeCell ref="B81:E81"/>
    <mergeCell ref="B82:E82"/>
    <mergeCell ref="B83:E83"/>
    <mergeCell ref="B84:E84"/>
    <mergeCell ref="B85:E85"/>
    <mergeCell ref="A86:G86"/>
    <mergeCell ref="B89:F89"/>
    <mergeCell ref="B90:F90"/>
    <mergeCell ref="B91:F91"/>
    <mergeCell ref="B92:F92"/>
    <mergeCell ref="B93:F93"/>
    <mergeCell ref="B94:F94"/>
    <mergeCell ref="B95:F95"/>
  </mergeCells>
  <dataValidations count="1">
    <dataValidation allowBlank="true" error="Isi angka 0 atau lebih, atau kosongkan bila kriteria ini tidak dinilai." errorStyle="stop" errorTitle="Isi angka" operator="between" showDropDown="false" showErrorMessage="true" showInputMessage="false" sqref="C30:D59" type="decimal">
      <formula1>0</formula1>
      <formula2>100000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497B0"/>
    <pageSetUpPr fitToPage="false"/>
  </sheetPr>
  <dimension ref="A1:AC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8"/>
    <col collapsed="false" customWidth="true" hidden="false" outlineLevel="0" max="4" min="3" style="0" width="11"/>
    <col collapsed="false" customWidth="true" hidden="false" outlineLevel="0" max="5" min="5" style="0" width="10"/>
    <col collapsed="false" customWidth="true" hidden="false" outlineLevel="0" max="6" min="6" style="0" width="13"/>
    <col collapsed="false" customWidth="true" hidden="false" outlineLevel="0" max="7" min="7" style="0" width="11"/>
    <col collapsed="false" customWidth="true" hidden="false" outlineLevel="0" max="8" min="8" style="0" width="10"/>
    <col collapsed="false" customWidth="true" hidden="false" outlineLevel="0" max="9" min="9" style="0" width="40"/>
    <col collapsed="false" customWidth="true" hidden="false" outlineLevel="0" max="10" min="10" style="0" width="36"/>
    <col collapsed="false" customWidth="true" hidden="false" outlineLevel="0" max="16" min="11" style="0" width="15"/>
    <col collapsed="false" customWidth="true" hidden="false" outlineLevel="0" max="17" min="17" style="0" width="22"/>
    <col collapsed="false" customWidth="true" hidden="false" outlineLevel="0" max="24" min="18" style="0" width="40"/>
    <col collapsed="false" customWidth="true" hidden="false" outlineLevel="0" max="25" min="25" style="0" width="30"/>
    <col collapsed="false" customWidth="true" hidden="false" outlineLevel="0" max="26" min="26" style="0" width="80"/>
    <col collapsed="false" customWidth="true" hidden="false" outlineLevel="0" max="27" min="27" style="0" width="40"/>
    <col collapsed="false" customWidth="true" hidden="false" outlineLevel="0" max="28" min="28" style="0" width="60"/>
    <col collapsed="false" customWidth="true" hidden="false" outlineLevel="0" max="29" min="29" style="0" width="12"/>
  </cols>
  <sheetData>
    <row r="1" customFormat="false" ht="17.35" hidden="false" customHeight="false" outlineLevel="0" collapsed="false">
      <c r="A1" s="45" t="s">
        <v>559</v>
      </c>
    </row>
    <row r="2" customFormat="false" ht="15" hidden="false" customHeight="false" outlineLevel="0" collapsed="false">
      <c r="A2" s="46" t="s">
        <v>560</v>
      </c>
    </row>
    <row r="3" customFormat="false" ht="15" hidden="false" customHeight="false" outlineLevel="0" collapsed="false">
      <c r="A3" s="61" t="s">
        <v>561</v>
      </c>
      <c r="B3" s="61"/>
      <c r="C3" s="62" t="s">
        <v>562</v>
      </c>
      <c r="D3" s="62"/>
      <c r="E3" s="62"/>
      <c r="F3" s="62"/>
      <c r="G3" s="62"/>
      <c r="H3" s="62"/>
      <c r="I3" s="62" t="s">
        <v>563</v>
      </c>
      <c r="J3" s="62"/>
      <c r="K3" s="63" t="s">
        <v>403</v>
      </c>
      <c r="L3" s="63"/>
      <c r="M3" s="63"/>
      <c r="N3" s="63"/>
      <c r="O3" s="63"/>
      <c r="P3" s="63"/>
      <c r="Q3" s="61" t="s">
        <v>564</v>
      </c>
      <c r="R3" s="64" t="s">
        <v>565</v>
      </c>
      <c r="S3" s="64"/>
      <c r="T3" s="64"/>
      <c r="U3" s="64"/>
      <c r="V3" s="64"/>
      <c r="W3" s="64"/>
      <c r="X3" s="64" t="s">
        <v>566</v>
      </c>
      <c r="Y3" s="64"/>
      <c r="Z3" s="64"/>
      <c r="AA3" s="65" t="s">
        <v>567</v>
      </c>
      <c r="AB3" s="65"/>
      <c r="AC3" s="65"/>
    </row>
    <row r="4" customFormat="false" ht="43.5" hidden="false" customHeight="true" outlineLevel="0" collapsed="false">
      <c r="A4" s="10" t="s">
        <v>568</v>
      </c>
      <c r="B4" s="10" t="s">
        <v>569</v>
      </c>
      <c r="C4" s="11" t="s">
        <v>570</v>
      </c>
      <c r="D4" s="11" t="s">
        <v>571</v>
      </c>
      <c r="E4" s="11" t="s">
        <v>572</v>
      </c>
      <c r="F4" s="11" t="s">
        <v>573</v>
      </c>
      <c r="G4" s="11" t="s">
        <v>574</v>
      </c>
      <c r="H4" s="11" t="s">
        <v>575</v>
      </c>
      <c r="I4" s="11" t="s">
        <v>576</v>
      </c>
      <c r="J4" s="11" t="s">
        <v>577</v>
      </c>
      <c r="K4" s="24" t="s">
        <v>578</v>
      </c>
      <c r="L4" s="24" t="s">
        <v>579</v>
      </c>
      <c r="M4" s="24" t="s">
        <v>580</v>
      </c>
      <c r="N4" s="24" t="s">
        <v>581</v>
      </c>
      <c r="O4" s="24" t="s">
        <v>582</v>
      </c>
      <c r="P4" s="24" t="s">
        <v>583</v>
      </c>
      <c r="Q4" s="10" t="s">
        <v>584</v>
      </c>
      <c r="R4" s="30" t="s">
        <v>585</v>
      </c>
      <c r="S4" s="30" t="s">
        <v>586</v>
      </c>
      <c r="T4" s="30" t="s">
        <v>587</v>
      </c>
      <c r="U4" s="30" t="s">
        <v>588</v>
      </c>
      <c r="V4" s="30" t="s">
        <v>589</v>
      </c>
      <c r="W4" s="30" t="s">
        <v>590</v>
      </c>
      <c r="X4" s="30" t="s">
        <v>591</v>
      </c>
      <c r="Y4" s="30" t="s">
        <v>592</v>
      </c>
      <c r="Z4" s="30" t="s">
        <v>593</v>
      </c>
      <c r="AA4" s="12" t="s">
        <v>594</v>
      </c>
      <c r="AB4" s="12" t="s">
        <v>595</v>
      </c>
      <c r="AC4" s="12" t="s">
        <v>596</v>
      </c>
    </row>
    <row r="5" customFormat="false" ht="15" hidden="false" customHeight="true" outlineLevel="0" collapsed="false">
      <c r="A5" s="66" t="str">
        <f aca="false">IF(Varian!$A5="","",Varian!$A5)</f>
        <v>asus-m1405ya-r5-7430u-16-512</v>
      </c>
      <c r="B5" s="66" t="str">
        <f aca="false">IF($A5="","",Aturan!$A$21)</f>
        <v>Kuliah dan kantor</v>
      </c>
      <c r="C5" s="67" t="n">
        <f aca="false">IF($A5="","",IFERROR(IF(ISNUMBER(INDEX(CPU!$J$4:$J$64,MATCH(Varian!$J5,CPU!$A$4:$A$64,0))),INDEX(CPU!$J$4:$J$64,MATCH(Varian!$J5,CPU!$A$4:$A$64,0)),""),""))</f>
        <v>3</v>
      </c>
      <c r="D5" s="67" t="n">
        <f aca="false">IF($A5="","",IFERROR(IF(ISNUMBER(INDEX(GPU!$G$4:$G$64,MATCH(Varian!$K5,GPU!$A$4:$A$64,0))),INDEX(GPU!$G$4:$G$64,MATCH(Varian!$K5,GPU!$A$4:$A$64,0)),""),""))</f>
        <v>2</v>
      </c>
      <c r="E5" s="67" t="n">
        <f aca="false">IF($A5="","",IF(ISNUMBER(Varian!$M5),Varian!$M5,""))</f>
        <v>16</v>
      </c>
      <c r="F5" s="67" t="n">
        <f aca="false">IF($A5="","",IF(ISNUMBER(Varian!$V5),Varian!$V5,""))</f>
        <v>512</v>
      </c>
      <c r="G5" s="67" t="n">
        <f aca="false">IF($A5="","",IFERROR(INDEX(Aturan!$B$63:$B$66,MATCH(Varian!$AG5,Aturan!$A$63:$A$66,0)),""))</f>
        <v>3</v>
      </c>
      <c r="H5" s="67" t="n">
        <f aca="false">IF($A5="","",IF(ISNUMBER(Varian!$AI5),Varian!$AI5,""))</f>
        <v>60</v>
      </c>
      <c r="I5" s="66" t="str">
        <f aca="false">IF($A5="","",IF(Varian!$Q5="disolder","menempel di papan utama, tidak bisa ditambah",IF(OR(Varian!$Q5="slot",Varian!$Q5="setengah_disolder"),IF(Varian!$Q5="setengah_disolder","sebagian menempel, ","")&amp;IF(ISNUMBER(Varian!$U5),IF(AND(ISNUMBER(Varian!$M5),Varian!$U5&gt;Varian!$M5),"bisa dinaikkan lewat slot sampai "&amp;Varian!$U5&amp;" GB","sudah di batas maksimal "&amp;Varian!$U5&amp;" GB"),"ada slot, batas maksimalnya belum diketahui"),"belum diketahui apakah bisa ditambah")))</f>
        <v>sebagian menempel, sudah di batas maksimal 16 GB</v>
      </c>
      <c r="J5" s="66" t="str">
        <f aca="false">IF($A5="","",IF(Varian!$Z5="ya","bisa diganti dengan yang lebih besar",IF(Varian!$Z5="tidak","menempel, tidak bisa diganti","belum diketahui apakah bisa diganti")))</f>
        <v>bisa diganti dengan yang lebih besar</v>
      </c>
      <c r="K5" s="68" t="str">
        <f aca="false">IF($A5="","",IF(AND(Aturan!$C$30="",Aturan!$D$30=""),"Tidak dinilai",IF(C5="","Belum ada data",IF(C5&lt;IF(Aturan!$C$30="",0,Aturan!$C$30),"Kurang",IF(C5&gt;=IF(Aturan!$D$30="",Aturan!$C$30,Aturan!$D$30),"Nyaman","Cukup")))))</f>
        <v>Nyaman</v>
      </c>
      <c r="L5" s="68" t="str">
        <f aca="false">IF($A5="","",IF(AND(Aturan!$C$31="",Aturan!$D$31=""),"Tidak dinilai",IF(D5="","Belum ada data",IF(D5&lt;IF(Aturan!$C$31="",0,Aturan!$C$31),"Kurang",IF(D5&gt;=IF(Aturan!$D$31="",Aturan!$C$31,Aturan!$D$31),"Nyaman","Cukup")))))</f>
        <v>Tidak dinilai</v>
      </c>
      <c r="M5" s="68" t="str">
        <f aca="false">IF($A5="","",IF(AND(Aturan!$C$32="",Aturan!$D$32=""),"Tidak dinilai",IF(E5="","Belum ada data",IF(E5&lt;IF(Aturan!$C$32="",0,Aturan!$C$32),"Kurang",IF(E5&gt;=IF(Aturan!$D$32="",Aturan!$C$32,Aturan!$D$32),"Nyaman","Cukup")))))</f>
        <v>Nyaman</v>
      </c>
      <c r="N5" s="68" t="str">
        <f aca="false">IF($A5="","",IF(AND(Aturan!$C$33="",Aturan!$D$33=""),"Tidak dinilai",IF(F5="","Belum ada data",IF(F5&lt;IF(Aturan!$C$33="",0,Aturan!$C$33),"Kurang",IF(F5&gt;=IF(Aturan!$D$33="",Aturan!$C$33,Aturan!$D$33),"Nyaman","Cukup")))))</f>
        <v>Nyaman</v>
      </c>
      <c r="O5" s="68" t="str">
        <f aca="false">IF($A5="","",IF(AND(Aturan!$C$34="",Aturan!$D$34=""),"Tidak dinilai",IF(G5="","Belum ada data",IF(G5&lt;IF(Aturan!$C$34="",0,Aturan!$C$34),"Kurang",IF(G5&gt;=IF(Aturan!$D$34="",Aturan!$C$34,Aturan!$D$34),"Nyaman","Cukup")))))</f>
        <v>Tidak dinilai</v>
      </c>
      <c r="P5" s="68" t="str">
        <f aca="false">IF($A5="","",IF(AND(Aturan!$C$35="",Aturan!$D$35=""),"Tidak dinilai",IF(H5="","Belum ada data",IF(H5&lt;IF(Aturan!$C$35="",0,Aturan!$C$35),"Kurang",IF(H5&gt;=IF(Aturan!$D$35="",Aturan!$C$35,Aturan!$D$35),"Nyaman","Cukup")))))</f>
        <v>Tidak dinilai</v>
      </c>
      <c r="Q5" s="68" t="str">
        <f aca="false">IF($A5="","",IF(COUNTIF(K5:P5,"Tidak dinilai")=6,"Tidak dinilai",IF(COUNTIF(K5:P5,"Kurang")&gt;0,"Kurang cocok",IF(COUNTIF(K5:P5,"Belum ada data")&gt;0,"Data belum lengkap",IF(COUNTIF(K5:P5,"Cukup")&gt;0,"Bisa, dengan catatan","Cocok")))))</f>
        <v>Cocok</v>
      </c>
      <c r="R5" s="66" t="str">
        <f aca="false">IF($A5="","",IF(K5="Kurang","prosesor tingkat "&amp;C5&amp;" dari 5, di bawah batas minimal (tingkat "&amp;Aturan!$C$30&amp;")",IF(K5="Cukup","prosesor tingkat "&amp;C5&amp;" dari 5 cukup, nyamannya mulai tingkat "&amp;Aturan!$D$30,IF(K5="Belum ada data","tingkat prosesor belum diisi",""))))</f>
        <v/>
      </c>
      <c r="S5" s="66" t="str">
        <f aca="false">IF($A5="","",IF(L5="Kurang","grafis tingkat "&amp;D5&amp;" dari 5, di bawah batas minimal (tingkat "&amp;Aturan!$C$31&amp;")",IF(L5="Cukup","grafis tingkat "&amp;D5&amp;" dari 5 cukup, nyamannya mulai tingkat "&amp;Aturan!$D$31,IF(L5="Belum ada data","tingkat grafis belum diisi",""))))</f>
        <v/>
      </c>
      <c r="T5" s="66" t="str">
        <f aca="false">IF($A5="","",IF(M5="Kurang","RAM "&amp;E5&amp;" GB, di bawah batas minimal "&amp;Aturan!$C$32&amp;" GB ("&amp;I5&amp;")",IF(M5="Cukup","RAM "&amp;E5&amp;" GB cukup, nyamannya "&amp;Aturan!$D$32&amp;" GB atau lebih ("&amp;I5&amp;")",IF(M5="Belum ada data","ukuran RAM belum diisi",""))))</f>
        <v/>
      </c>
      <c r="U5" s="66" t="str">
        <f aca="false">IF($A5="","",IF(N5="Kurang","penyimpanan "&amp;F5&amp;" GB, di bawah batas minimal "&amp;Aturan!$C$33&amp;" GB ("&amp;J5&amp;")",IF(N5="Cukup","penyimpanan "&amp;F5&amp;" GB cukup, nyamannya "&amp;Aturan!$D$33&amp;" GB atau lebih ("&amp;J5&amp;")",IF(N5="Belum ada data","ukuran penyimpanan belum diisi",""))))</f>
        <v/>
      </c>
      <c r="V5" s="66" t="str">
        <f aca="false">IF($A5="","",IF(O5="Kurang","layar "&amp;Varian!$AG5&amp;", di bawah batas minimal ("&amp;IFERROR(INDEX(Aturan!$A$63:$A$66,MATCH(Aturan!$C$34,Aturan!$B$63:$B$66,0)),"peringkat "&amp;Aturan!$C$34)&amp;")",IF(O5="Cukup","layar "&amp;Varian!$AG5&amp;" cukup, nyamannya "&amp;IFERROR(INDEX(Aturan!$A$63:$A$66,MATCH(Aturan!$D$34,Aturan!$B$63:$B$66,0)),"peringkat "&amp;Aturan!$D$34),IF(O5="Belum ada data","jenis layar belum diketahui",""))))</f>
        <v/>
      </c>
      <c r="W5" s="66" t="str">
        <f aca="false">IF($A5="","",IF(P5="Kurang","layar "&amp;H5&amp;" Hz, di bawah batas minimal "&amp;Aturan!$C$35&amp;" Hz",IF(P5="Cukup","layar "&amp;H5&amp;" Hz cukup, nyamannya "&amp;Aturan!$D$35&amp;" Hz atau lebih",IF(P5="Belum ada data","refresh rate belum diketahui",""))))</f>
        <v/>
      </c>
      <c r="X5" s="66" t="str">
        <f aca="false">IF($A5="","",IF(K5="Kurang",R5&amp;"; ","")&amp;IF(L5="Kurang",S5&amp;"; ","")&amp;IF(M5="Kurang",T5&amp;"; ","")&amp;IF(N5="Kurang",U5&amp;"; ","")&amp;IF(O5="Kurang",V5&amp;"; ","")&amp;IF(P5="Kurang",W5&amp;"; ","")&amp;IF(K5="Belum ada data",R5&amp;"; ","")&amp;IF(L5="Belum ada data",S5&amp;"; ","")&amp;IF(M5="Belum ada data",T5&amp;"; ","")&amp;IF(N5="Belum ada data",U5&amp;"; ","")&amp;IF(O5="Belum ada data",V5&amp;"; ","")&amp;IF(P5="Belum ada data",W5&amp;"; ","")&amp;IF(K5="Cukup",R5&amp;"; ","")&amp;IF(L5="Cukup",S5&amp;"; ","")&amp;IF(M5="Cukup",T5&amp;"; ","")&amp;IF(N5="Cukup",U5&amp;"; ","")&amp;IF(O5="Cukup",V5&amp;"; ","")&amp;IF(P5="Cukup",W5&amp;"; ",""))</f>
        <v/>
      </c>
      <c r="Y5" s="66" t="str">
        <f aca="false">IF($A5="","",IF(K5="Nyaman","prosesor, ","")&amp;IF(L5="Nyaman","grafis, ","")&amp;IF(M5="Nyaman","RAM, ","")&amp;IF(N5="Nyaman","penyimpanan, ","")&amp;IF(O5="Nyaman","layar, ","")&amp;IF(P5="Nyaman","refresh rate, ",""))</f>
        <v>prosesor, RAM, penyimpanan, </v>
      </c>
      <c r="Z5" s="66" t="str">
        <f aca="false">IF($A5="","",IF(Q5="Tidak dinilai","Belum ada kriteria yang dinilai untuk kebutuhan ini.",IF(Q5="Cocok","Semua kriteria yang dinilai sudah nyaman: "&amp;LEFT(Y5,LEN(Y5)-2)&amp;".",UPPER(LEFT(X5,1))&amp;MID(X5,2,LEN(X5)-3)&amp;"."&amp;IF(Y5="",""," Sudah nyaman: "&amp;LEFT(Y5,LEN(Y5)-2)&amp;"."))))</f>
        <v>Semua kriteria yang dinilai sudah nyaman: prosesor, RAM, penyimpanan.</v>
      </c>
      <c r="AA5" s="66" t="str">
        <f aca="false">IF($A5="","",IF(Varian!$AR5="Windows 10","• "&amp;Aturan!$E$71&amp;CHAR(10),"")&amp;IF(Varian!$BB5="tidak","• "&amp;Aturan!$E$72&amp;CHAR(10),"")&amp;IF(OR(Varian!$AD5="belum terverifikasi",Varian!$AD5="tidak diketahui"),"• "&amp;Aturan!$E$73&amp;CHAR(10),"")&amp;IF(Varian!$AH5="1366x768","• "&amp;Aturan!$E$74&amp;CHAR(10),"")&amp;IF(Varian!$AG5="TN","• "&amp;Aturan!$E$75&amp;CHAR(10),"")&amp;IF(AND(Varian!$Q5="disolder",ISNUMBER(Varian!$M5),Varian!$M5&lt;=8),"• "&amp;Aturan!$E$76&amp;CHAR(10),""))</f>
        <v/>
      </c>
      <c r="AB5" s="66" t="str">
        <f aca="false">IF($A5="","",IF(AA5="","",LEFT(AA5,LEN(AA5)-1)))</f>
        <v/>
      </c>
      <c r="AC5" s="67" t="n">
        <f aca="false">IF($A5="","",IF(AA5="",0,LEN(AA5)-LEN(SUBSTITUTE(AA5,CHAR(10),""))))</f>
        <v>0</v>
      </c>
    </row>
    <row r="6" customFormat="false" ht="15" hidden="false" customHeight="true" outlineLevel="0" collapsed="false">
      <c r="A6" s="33" t="str">
        <f aca="false">IF(Varian!$A5="","",Varian!$A5)</f>
        <v>asus-m1405ya-r5-7430u-16-512</v>
      </c>
      <c r="B6" s="33" t="str">
        <f aca="false">IF($A6="","",Aturan!$A$22)</f>
        <v>Desain grafis</v>
      </c>
      <c r="C6" s="69" t="n">
        <f aca="false">IF($A6="","",IFERROR(IF(ISNUMBER(INDEX(CPU!$J$4:$J$64,MATCH(Varian!$J5,CPU!$A$4:$A$64,0))),INDEX(CPU!$J$4:$J$64,MATCH(Varian!$J5,CPU!$A$4:$A$64,0)),""),""))</f>
        <v>3</v>
      </c>
      <c r="D6" s="69" t="n">
        <f aca="false">IF($A6="","",IFERROR(IF(ISNUMBER(INDEX(GPU!$G$4:$G$64,MATCH(Varian!$K5,GPU!$A$4:$A$64,0))),INDEX(GPU!$G$4:$G$64,MATCH(Varian!$K5,GPU!$A$4:$A$64,0)),""),""))</f>
        <v>2</v>
      </c>
      <c r="E6" s="69" t="n">
        <f aca="false">IF($A6="","",IF(ISNUMBER(Varian!$M5),Varian!$M5,""))</f>
        <v>16</v>
      </c>
      <c r="F6" s="69" t="n">
        <f aca="false">IF($A6="","",IF(ISNUMBER(Varian!$V5),Varian!$V5,""))</f>
        <v>512</v>
      </c>
      <c r="G6" s="69" t="n">
        <f aca="false">IF($A6="","",IFERROR(INDEX(Aturan!$B$63:$B$66,MATCH(Varian!$AG5,Aturan!$A$63:$A$66,0)),""))</f>
        <v>3</v>
      </c>
      <c r="H6" s="69" t="n">
        <f aca="false">IF($A6="","",IF(ISNUMBER(Varian!$AI5),Varian!$AI5,""))</f>
        <v>60</v>
      </c>
      <c r="I6" s="33" t="str">
        <f aca="false">IF($A6="","",IF(Varian!$Q5="disolder","menempel di papan utama, tidak bisa ditambah",IF(OR(Varian!$Q5="slot",Varian!$Q5="setengah_disolder"),IF(Varian!$Q5="setengah_disolder","sebagian menempel, ","")&amp;IF(ISNUMBER(Varian!$U5),IF(AND(ISNUMBER(Varian!$M5),Varian!$U5&gt;Varian!$M5),"bisa dinaikkan lewat slot sampai "&amp;Varian!$U5&amp;" GB","sudah di batas maksimal "&amp;Varian!$U5&amp;" GB"),"ada slot, batas maksimalnya belum diketahui"),"belum diketahui apakah bisa ditambah")))</f>
        <v>sebagian menempel, sudah di batas maksimal 16 GB</v>
      </c>
      <c r="J6" s="33" t="str">
        <f aca="false">IF($A6="","",IF(Varian!$Z5="ya","bisa diganti dengan yang lebih besar",IF(Varian!$Z5="tidak","menempel, tidak bisa diganti","belum diketahui apakah bisa diganti")))</f>
        <v>bisa diganti dengan yang lebih besar</v>
      </c>
      <c r="K6" s="70" t="str">
        <f aca="false">IF($A6="","",IF(AND(Aturan!$C$36="",Aturan!$D$36=""),"Tidak dinilai",IF(C6="","Belum ada data",IF(C6&lt;IF(Aturan!$C$36="",0,Aturan!$C$36),"Kurang",IF(C6&gt;=IF(Aturan!$D$36="",Aturan!$C$36,Aturan!$D$36),"Nyaman","Cukup")))))</f>
        <v>Nyaman</v>
      </c>
      <c r="L6" s="70" t="str">
        <f aca="false">IF($A6="","",IF(AND(Aturan!$C$37="",Aturan!$D$37=""),"Tidak dinilai",IF(D6="","Belum ada data",IF(D6&lt;IF(Aturan!$C$37="",0,Aturan!$C$37),"Kurang",IF(D6&gt;=IF(Aturan!$D$37="",Aturan!$C$37,Aturan!$D$37),"Nyaman","Cukup")))))</f>
        <v>Nyaman</v>
      </c>
      <c r="M6" s="70" t="str">
        <f aca="false">IF($A6="","",IF(AND(Aturan!$C$38="",Aturan!$D$38=""),"Tidak dinilai",IF(E6="","Belum ada data",IF(E6&lt;IF(Aturan!$C$38="",0,Aturan!$C$38),"Kurang",IF(E6&gt;=IF(Aturan!$D$38="",Aturan!$C$38,Aturan!$D$38),"Nyaman","Cukup")))))</f>
        <v>Nyaman</v>
      </c>
      <c r="N6" s="70" t="str">
        <f aca="false">IF($A6="","",IF(AND(Aturan!$C$39="",Aturan!$D$39=""),"Tidak dinilai",IF(F6="","Belum ada data",IF(F6&lt;IF(Aturan!$C$39="",0,Aturan!$C$39),"Kurang",IF(F6&gt;=IF(Aturan!$D$39="",Aturan!$C$39,Aturan!$D$39),"Nyaman","Cukup")))))</f>
        <v>Nyaman</v>
      </c>
      <c r="O6" s="70" t="str">
        <f aca="false">IF($A6="","",IF(AND(Aturan!$C$40="",Aturan!$D$40=""),"Tidak dinilai",IF(G6="","Belum ada data",IF(G6&lt;IF(Aturan!$C$40="",0,Aturan!$C$40),"Kurang",IF(G6&gt;=IF(Aturan!$D$40="",Aturan!$C$40,Aturan!$D$40),"Nyaman","Cukup")))))</f>
        <v>Cukup</v>
      </c>
      <c r="P6" s="70" t="str">
        <f aca="false">IF($A6="","",IF(AND(Aturan!$C$41="",Aturan!$D$41=""),"Tidak dinilai",IF(H6="","Belum ada data",IF(H6&lt;IF(Aturan!$C$41="",0,Aturan!$C$41),"Kurang",IF(H6&gt;=IF(Aturan!$D$41="",Aturan!$C$41,Aturan!$D$41),"Nyaman","Cukup")))))</f>
        <v>Tidak dinilai</v>
      </c>
      <c r="Q6" s="70" t="str">
        <f aca="false">IF($A6="","",IF(COUNTIF(K6:P6,"Tidak dinilai")=6,"Tidak dinilai",IF(COUNTIF(K6:P6,"Kurang")&gt;0,"Kurang cocok",IF(COUNTIF(K6:P6,"Belum ada data")&gt;0,"Data belum lengkap",IF(COUNTIF(K6:P6,"Cukup")&gt;0,"Bisa, dengan catatan","Cocok")))))</f>
        <v>Bisa, dengan catatan</v>
      </c>
      <c r="R6" s="33" t="str">
        <f aca="false">IF($A6="","",IF(K6="Kurang","prosesor tingkat "&amp;C6&amp;" dari 5, di bawah batas minimal (tingkat "&amp;Aturan!$C$36&amp;")",IF(K6="Cukup","prosesor tingkat "&amp;C6&amp;" dari 5 cukup, nyamannya mulai tingkat "&amp;Aturan!$D$36,IF(K6="Belum ada data","tingkat prosesor belum diisi",""))))</f>
        <v/>
      </c>
      <c r="S6" s="33" t="str">
        <f aca="false">IF($A6="","",IF(L6="Kurang","grafis tingkat "&amp;D6&amp;" dari 5, di bawah batas minimal (tingkat "&amp;Aturan!$C$37&amp;")",IF(L6="Cukup","grafis tingkat "&amp;D6&amp;" dari 5 cukup, nyamannya mulai tingkat "&amp;Aturan!$D$37,IF(L6="Belum ada data","tingkat grafis belum diisi",""))))</f>
        <v/>
      </c>
      <c r="T6" s="33" t="str">
        <f aca="false">IF($A6="","",IF(M6="Kurang","RAM "&amp;E6&amp;" GB, di bawah batas minimal "&amp;Aturan!$C$38&amp;" GB ("&amp;I6&amp;")",IF(M6="Cukup","RAM "&amp;E6&amp;" GB cukup, nyamannya "&amp;Aturan!$D$38&amp;" GB atau lebih ("&amp;I6&amp;")",IF(M6="Belum ada data","ukuran RAM belum diisi",""))))</f>
        <v/>
      </c>
      <c r="U6" s="33" t="str">
        <f aca="false">IF($A6="","",IF(N6="Kurang","penyimpanan "&amp;F6&amp;" GB, di bawah batas minimal "&amp;Aturan!$C$39&amp;" GB ("&amp;J6&amp;")",IF(N6="Cukup","penyimpanan "&amp;F6&amp;" GB cukup, nyamannya "&amp;Aturan!$D$39&amp;" GB atau lebih ("&amp;J6&amp;")",IF(N6="Belum ada data","ukuran penyimpanan belum diisi",""))))</f>
        <v/>
      </c>
      <c r="V6" s="33" t="str">
        <f aca="false">IF($A6="","",IF(O6="Kurang","layar "&amp;Varian!$AG5&amp;", di bawah batas minimal ("&amp;IFERROR(INDEX(Aturan!$A$63:$A$66,MATCH(Aturan!$C$40,Aturan!$B$63:$B$66,0)),"peringkat "&amp;Aturan!$C$40)&amp;")",IF(O6="Cukup","layar "&amp;Varian!$AG5&amp;" cukup, nyamannya "&amp;IFERROR(INDEX(Aturan!$A$63:$A$66,MATCH(Aturan!$D$40,Aturan!$B$63:$B$66,0)),"peringkat "&amp;Aturan!$D$40),IF(O6="Belum ada data","jenis layar belum diketahui",""))))</f>
        <v>layar IPS cukup, nyamannya OLED</v>
      </c>
      <c r="W6" s="33" t="str">
        <f aca="false">IF($A6="","",IF(P6="Kurang","layar "&amp;H6&amp;" Hz, di bawah batas minimal "&amp;Aturan!$C$41&amp;" Hz",IF(P6="Cukup","layar "&amp;H6&amp;" Hz cukup, nyamannya "&amp;Aturan!$D$41&amp;" Hz atau lebih",IF(P6="Belum ada data","refresh rate belum diketahui",""))))</f>
        <v/>
      </c>
      <c r="X6" s="33" t="str">
        <f aca="false">IF($A6="","",IF(K6="Kurang",R6&amp;"; ","")&amp;IF(L6="Kurang",S6&amp;"; ","")&amp;IF(M6="Kurang",T6&amp;"; ","")&amp;IF(N6="Kurang",U6&amp;"; ","")&amp;IF(O6="Kurang",V6&amp;"; ","")&amp;IF(P6="Kurang",W6&amp;"; ","")&amp;IF(K6="Belum ada data",R6&amp;"; ","")&amp;IF(L6="Belum ada data",S6&amp;"; ","")&amp;IF(M6="Belum ada data",T6&amp;"; ","")&amp;IF(N6="Belum ada data",U6&amp;"; ","")&amp;IF(O6="Belum ada data",V6&amp;"; ","")&amp;IF(P6="Belum ada data",W6&amp;"; ","")&amp;IF(K6="Cukup",R6&amp;"; ","")&amp;IF(L6="Cukup",S6&amp;"; ","")&amp;IF(M6="Cukup",T6&amp;"; ","")&amp;IF(N6="Cukup",U6&amp;"; ","")&amp;IF(O6="Cukup",V6&amp;"; ","")&amp;IF(P6="Cukup",W6&amp;"; ",""))</f>
        <v>layar IPS cukup, nyamannya OLED; </v>
      </c>
      <c r="Y6" s="33" t="str">
        <f aca="false">IF($A6="","",IF(K6="Nyaman","prosesor, ","")&amp;IF(L6="Nyaman","grafis, ","")&amp;IF(M6="Nyaman","RAM, ","")&amp;IF(N6="Nyaman","penyimpanan, ","")&amp;IF(O6="Nyaman","layar, ","")&amp;IF(P6="Nyaman","refresh rate, ",""))</f>
        <v>prosesor, grafis, RAM, penyimpanan, </v>
      </c>
      <c r="Z6" s="33" t="str">
        <f aca="false">IF($A6="","",IF(Q6="Tidak dinilai","Belum ada kriteria yang dinilai untuk kebutuhan ini.",IF(Q6="Cocok","Semua kriteria yang dinilai sudah nyaman: "&amp;LEFT(Y6,LEN(Y6)-2)&amp;".",UPPER(LEFT(X6,1))&amp;MID(X6,2,LEN(X6)-3)&amp;"."&amp;IF(Y6="",""," Sudah nyaman: "&amp;LEFT(Y6,LEN(Y6)-2)&amp;"."))))</f>
        <v>Layar IPS cukup, nyamannya OLED. Sudah nyaman: prosesor, grafis, RAM, penyimpanan.</v>
      </c>
      <c r="AA6" s="33"/>
      <c r="AB6" s="33"/>
      <c r="AC6" s="69"/>
    </row>
    <row r="7" customFormat="false" ht="15" hidden="false" customHeight="true" outlineLevel="0" collapsed="false">
      <c r="A7" s="33" t="str">
        <f aca="false">IF(Varian!$A5="","",Varian!$A5)</f>
        <v>asus-m1405ya-r5-7430u-16-512</v>
      </c>
      <c r="B7" s="33" t="str">
        <f aca="false">IF($A7="","",Aturan!$A$23)</f>
        <v>Pemrograman</v>
      </c>
      <c r="C7" s="69" t="n">
        <f aca="false">IF($A7="","",IFERROR(IF(ISNUMBER(INDEX(CPU!$J$4:$J$64,MATCH(Varian!$J5,CPU!$A$4:$A$64,0))),INDEX(CPU!$J$4:$J$64,MATCH(Varian!$J5,CPU!$A$4:$A$64,0)),""),""))</f>
        <v>3</v>
      </c>
      <c r="D7" s="69" t="n">
        <f aca="false">IF($A7="","",IFERROR(IF(ISNUMBER(INDEX(GPU!$G$4:$G$64,MATCH(Varian!$K5,GPU!$A$4:$A$64,0))),INDEX(GPU!$G$4:$G$64,MATCH(Varian!$K5,GPU!$A$4:$A$64,0)),""),""))</f>
        <v>2</v>
      </c>
      <c r="E7" s="69" t="n">
        <f aca="false">IF($A7="","",IF(ISNUMBER(Varian!$M5),Varian!$M5,""))</f>
        <v>16</v>
      </c>
      <c r="F7" s="69" t="n">
        <f aca="false">IF($A7="","",IF(ISNUMBER(Varian!$V5),Varian!$V5,""))</f>
        <v>512</v>
      </c>
      <c r="G7" s="69" t="n">
        <f aca="false">IF($A7="","",IFERROR(INDEX(Aturan!$B$63:$B$66,MATCH(Varian!$AG5,Aturan!$A$63:$A$66,0)),""))</f>
        <v>3</v>
      </c>
      <c r="H7" s="69" t="n">
        <f aca="false">IF($A7="","",IF(ISNUMBER(Varian!$AI5),Varian!$AI5,""))</f>
        <v>60</v>
      </c>
      <c r="I7" s="33" t="str">
        <f aca="false">IF($A7="","",IF(Varian!$Q5="disolder","menempel di papan utama, tidak bisa ditambah",IF(OR(Varian!$Q5="slot",Varian!$Q5="setengah_disolder"),IF(Varian!$Q5="setengah_disolder","sebagian menempel, ","")&amp;IF(ISNUMBER(Varian!$U5),IF(AND(ISNUMBER(Varian!$M5),Varian!$U5&gt;Varian!$M5),"bisa dinaikkan lewat slot sampai "&amp;Varian!$U5&amp;" GB","sudah di batas maksimal "&amp;Varian!$U5&amp;" GB"),"ada slot, batas maksimalnya belum diketahui"),"belum diketahui apakah bisa ditambah")))</f>
        <v>sebagian menempel, sudah di batas maksimal 16 GB</v>
      </c>
      <c r="J7" s="33" t="str">
        <f aca="false">IF($A7="","",IF(Varian!$Z5="ya","bisa diganti dengan yang lebih besar",IF(Varian!$Z5="tidak","menempel, tidak bisa diganti","belum diketahui apakah bisa diganti")))</f>
        <v>bisa diganti dengan yang lebih besar</v>
      </c>
      <c r="K7" s="70" t="str">
        <f aca="false">IF($A7="","",IF(AND(Aturan!$C$42="",Aturan!$D$42=""),"Tidak dinilai",IF(C7="","Belum ada data",IF(C7&lt;IF(Aturan!$C$42="",0,Aturan!$C$42),"Kurang",IF(C7&gt;=IF(Aturan!$D$42="",Aturan!$C$42,Aturan!$D$42),"Nyaman","Cukup")))))</f>
        <v>Nyaman</v>
      </c>
      <c r="L7" s="70" t="str">
        <f aca="false">IF($A7="","",IF(AND(Aturan!$C$43="",Aturan!$D$43=""),"Tidak dinilai",IF(D7="","Belum ada data",IF(D7&lt;IF(Aturan!$C$43="",0,Aturan!$C$43),"Kurang",IF(D7&gt;=IF(Aturan!$D$43="",Aturan!$C$43,Aturan!$D$43),"Nyaman","Cukup")))))</f>
        <v>Tidak dinilai</v>
      </c>
      <c r="M7" s="70" t="str">
        <f aca="false">IF($A7="","",IF(AND(Aturan!$C$44="",Aturan!$D$44=""),"Tidak dinilai",IF(E7="","Belum ada data",IF(E7&lt;IF(Aturan!$C$44="",0,Aturan!$C$44),"Kurang",IF(E7&gt;=IF(Aturan!$D$44="",Aturan!$C$44,Aturan!$D$44),"Nyaman","Cukup")))))</f>
        <v>Nyaman</v>
      </c>
      <c r="N7" s="70" t="str">
        <f aca="false">IF($A7="","",IF(AND(Aturan!$C$45="",Aturan!$D$45=""),"Tidak dinilai",IF(F7="","Belum ada data",IF(F7&lt;IF(Aturan!$C$45="",0,Aturan!$C$45),"Kurang",IF(F7&gt;=IF(Aturan!$D$45="",Aturan!$C$45,Aturan!$D$45),"Nyaman","Cukup")))))</f>
        <v>Nyaman</v>
      </c>
      <c r="O7" s="70" t="str">
        <f aca="false">IF($A7="","",IF(AND(Aturan!$C$46="",Aturan!$D$46=""),"Tidak dinilai",IF(G7="","Belum ada data",IF(G7&lt;IF(Aturan!$C$46="",0,Aturan!$C$46),"Kurang",IF(G7&gt;=IF(Aturan!$D$46="",Aturan!$C$46,Aturan!$D$46),"Nyaman","Cukup")))))</f>
        <v>Tidak dinilai</v>
      </c>
      <c r="P7" s="70" t="str">
        <f aca="false">IF($A7="","",IF(AND(Aturan!$C$47="",Aturan!$D$47=""),"Tidak dinilai",IF(H7="","Belum ada data",IF(H7&lt;IF(Aturan!$C$47="",0,Aturan!$C$47),"Kurang",IF(H7&gt;=IF(Aturan!$D$47="",Aturan!$C$47,Aturan!$D$47),"Nyaman","Cukup")))))</f>
        <v>Tidak dinilai</v>
      </c>
      <c r="Q7" s="70" t="str">
        <f aca="false">IF($A7="","",IF(COUNTIF(K7:P7,"Tidak dinilai")=6,"Tidak dinilai",IF(COUNTIF(K7:P7,"Kurang")&gt;0,"Kurang cocok",IF(COUNTIF(K7:P7,"Belum ada data")&gt;0,"Data belum lengkap",IF(COUNTIF(K7:P7,"Cukup")&gt;0,"Bisa, dengan catatan","Cocok")))))</f>
        <v>Cocok</v>
      </c>
      <c r="R7" s="33" t="str">
        <f aca="false">IF($A7="","",IF(K7="Kurang","prosesor tingkat "&amp;C7&amp;" dari 5, di bawah batas minimal (tingkat "&amp;Aturan!$C$42&amp;")",IF(K7="Cukup","prosesor tingkat "&amp;C7&amp;" dari 5 cukup, nyamannya mulai tingkat "&amp;Aturan!$D$42,IF(K7="Belum ada data","tingkat prosesor belum diisi",""))))</f>
        <v/>
      </c>
      <c r="S7" s="33" t="str">
        <f aca="false">IF($A7="","",IF(L7="Kurang","grafis tingkat "&amp;D7&amp;" dari 5, di bawah batas minimal (tingkat "&amp;Aturan!$C$43&amp;")",IF(L7="Cukup","grafis tingkat "&amp;D7&amp;" dari 5 cukup, nyamannya mulai tingkat "&amp;Aturan!$D$43,IF(L7="Belum ada data","tingkat grafis belum diisi",""))))</f>
        <v/>
      </c>
      <c r="T7" s="33" t="str">
        <f aca="false">IF($A7="","",IF(M7="Kurang","RAM "&amp;E7&amp;" GB, di bawah batas minimal "&amp;Aturan!$C$44&amp;" GB ("&amp;I7&amp;")",IF(M7="Cukup","RAM "&amp;E7&amp;" GB cukup, nyamannya "&amp;Aturan!$D$44&amp;" GB atau lebih ("&amp;I7&amp;")",IF(M7="Belum ada data","ukuran RAM belum diisi",""))))</f>
        <v/>
      </c>
      <c r="U7" s="33" t="str">
        <f aca="false">IF($A7="","",IF(N7="Kurang","penyimpanan "&amp;F7&amp;" GB, di bawah batas minimal "&amp;Aturan!$C$45&amp;" GB ("&amp;J7&amp;")",IF(N7="Cukup","penyimpanan "&amp;F7&amp;" GB cukup, nyamannya "&amp;Aturan!$D$45&amp;" GB atau lebih ("&amp;J7&amp;")",IF(N7="Belum ada data","ukuran penyimpanan belum diisi",""))))</f>
        <v/>
      </c>
      <c r="V7" s="33" t="str">
        <f aca="false">IF($A7="","",IF(O7="Kurang","layar "&amp;Varian!$AG5&amp;", di bawah batas minimal ("&amp;IFERROR(INDEX(Aturan!$A$63:$A$66,MATCH(Aturan!$C$46,Aturan!$B$63:$B$66,0)),"peringkat "&amp;Aturan!$C$46)&amp;")",IF(O7="Cukup","layar "&amp;Varian!$AG5&amp;" cukup, nyamannya "&amp;IFERROR(INDEX(Aturan!$A$63:$A$66,MATCH(Aturan!$D$46,Aturan!$B$63:$B$66,0)),"peringkat "&amp;Aturan!$D$46),IF(O7="Belum ada data","jenis layar belum diketahui",""))))</f>
        <v/>
      </c>
      <c r="W7" s="33" t="str">
        <f aca="false">IF($A7="","",IF(P7="Kurang","layar "&amp;H7&amp;" Hz, di bawah batas minimal "&amp;Aturan!$C$47&amp;" Hz",IF(P7="Cukup","layar "&amp;H7&amp;" Hz cukup, nyamannya "&amp;Aturan!$D$47&amp;" Hz atau lebih",IF(P7="Belum ada data","refresh rate belum diketahui",""))))</f>
        <v/>
      </c>
      <c r="X7" s="33" t="str">
        <f aca="false">IF($A7="","",IF(K7="Kurang",R7&amp;"; ","")&amp;IF(L7="Kurang",S7&amp;"; ","")&amp;IF(M7="Kurang",T7&amp;"; ","")&amp;IF(N7="Kurang",U7&amp;"; ","")&amp;IF(O7="Kurang",V7&amp;"; ","")&amp;IF(P7="Kurang",W7&amp;"; ","")&amp;IF(K7="Belum ada data",R7&amp;"; ","")&amp;IF(L7="Belum ada data",S7&amp;"; ","")&amp;IF(M7="Belum ada data",T7&amp;"; ","")&amp;IF(N7="Belum ada data",U7&amp;"; ","")&amp;IF(O7="Belum ada data",V7&amp;"; ","")&amp;IF(P7="Belum ada data",W7&amp;"; ","")&amp;IF(K7="Cukup",R7&amp;"; ","")&amp;IF(L7="Cukup",S7&amp;"; ","")&amp;IF(M7="Cukup",T7&amp;"; ","")&amp;IF(N7="Cukup",U7&amp;"; ","")&amp;IF(O7="Cukup",V7&amp;"; ","")&amp;IF(P7="Cukup",W7&amp;"; ",""))</f>
        <v/>
      </c>
      <c r="Y7" s="33" t="str">
        <f aca="false">IF($A7="","",IF(K7="Nyaman","prosesor, ","")&amp;IF(L7="Nyaman","grafis, ","")&amp;IF(M7="Nyaman","RAM, ","")&amp;IF(N7="Nyaman","penyimpanan, ","")&amp;IF(O7="Nyaman","layar, ","")&amp;IF(P7="Nyaman","refresh rate, ",""))</f>
        <v>prosesor, RAM, penyimpanan, </v>
      </c>
      <c r="Z7" s="33" t="str">
        <f aca="false">IF($A7="","",IF(Q7="Tidak dinilai","Belum ada kriteria yang dinilai untuk kebutuhan ini.",IF(Q7="Cocok","Semua kriteria yang dinilai sudah nyaman: "&amp;LEFT(Y7,LEN(Y7)-2)&amp;".",UPPER(LEFT(X7,1))&amp;MID(X7,2,LEN(X7)-3)&amp;"."&amp;IF(Y7="",""," Sudah nyaman: "&amp;LEFT(Y7,LEN(Y7)-2)&amp;"."))))</f>
        <v>Semua kriteria yang dinilai sudah nyaman: prosesor, RAM, penyimpanan.</v>
      </c>
      <c r="AA7" s="33"/>
      <c r="AB7" s="33"/>
      <c r="AC7" s="69"/>
    </row>
    <row r="8" customFormat="false" ht="15" hidden="false" customHeight="true" outlineLevel="0" collapsed="false">
      <c r="A8" s="33" t="str">
        <f aca="false">IF(Varian!$A5="","",Varian!$A5)</f>
        <v>asus-m1405ya-r5-7430u-16-512</v>
      </c>
      <c r="B8" s="33" t="str">
        <f aca="false">IF($A8="","",Aturan!$A$24)</f>
        <v>Game ringan</v>
      </c>
      <c r="C8" s="69" t="n">
        <f aca="false">IF($A8="","",IFERROR(IF(ISNUMBER(INDEX(CPU!$J$4:$J$64,MATCH(Varian!$J5,CPU!$A$4:$A$64,0))),INDEX(CPU!$J$4:$J$64,MATCH(Varian!$J5,CPU!$A$4:$A$64,0)),""),""))</f>
        <v>3</v>
      </c>
      <c r="D8" s="69" t="n">
        <f aca="false">IF($A8="","",IFERROR(IF(ISNUMBER(INDEX(GPU!$G$4:$G$64,MATCH(Varian!$K5,GPU!$A$4:$A$64,0))),INDEX(GPU!$G$4:$G$64,MATCH(Varian!$K5,GPU!$A$4:$A$64,0)),""),""))</f>
        <v>2</v>
      </c>
      <c r="E8" s="69" t="n">
        <f aca="false">IF($A8="","",IF(ISNUMBER(Varian!$M5),Varian!$M5,""))</f>
        <v>16</v>
      </c>
      <c r="F8" s="69" t="n">
        <f aca="false">IF($A8="","",IF(ISNUMBER(Varian!$V5),Varian!$V5,""))</f>
        <v>512</v>
      </c>
      <c r="G8" s="69" t="n">
        <f aca="false">IF($A8="","",IFERROR(INDEX(Aturan!$B$63:$B$66,MATCH(Varian!$AG5,Aturan!$A$63:$A$66,0)),""))</f>
        <v>3</v>
      </c>
      <c r="H8" s="69" t="n">
        <f aca="false">IF($A8="","",IF(ISNUMBER(Varian!$AI5),Varian!$AI5,""))</f>
        <v>60</v>
      </c>
      <c r="I8" s="33" t="str">
        <f aca="false">IF($A8="","",IF(Varian!$Q5="disolder","menempel di papan utama, tidak bisa ditambah",IF(OR(Varian!$Q5="slot",Varian!$Q5="setengah_disolder"),IF(Varian!$Q5="setengah_disolder","sebagian menempel, ","")&amp;IF(ISNUMBER(Varian!$U5),IF(AND(ISNUMBER(Varian!$M5),Varian!$U5&gt;Varian!$M5),"bisa dinaikkan lewat slot sampai "&amp;Varian!$U5&amp;" GB","sudah di batas maksimal "&amp;Varian!$U5&amp;" GB"),"ada slot, batas maksimalnya belum diketahui"),"belum diketahui apakah bisa ditambah")))</f>
        <v>sebagian menempel, sudah di batas maksimal 16 GB</v>
      </c>
      <c r="J8" s="33" t="str">
        <f aca="false">IF($A8="","",IF(Varian!$Z5="ya","bisa diganti dengan yang lebih besar",IF(Varian!$Z5="tidak","menempel, tidak bisa diganti","belum diketahui apakah bisa diganti")))</f>
        <v>bisa diganti dengan yang lebih besar</v>
      </c>
      <c r="K8" s="70" t="str">
        <f aca="false">IF($A8="","",IF(AND(Aturan!$C$48="",Aturan!$D$48=""),"Tidak dinilai",IF(C8="","Belum ada data",IF(C8&lt;IF(Aturan!$C$48="",0,Aturan!$C$48),"Kurang",IF(C8&gt;=IF(Aturan!$D$48="",Aturan!$C$48,Aturan!$D$48),"Nyaman","Cukup")))))</f>
        <v>Nyaman</v>
      </c>
      <c r="L8" s="70" t="str">
        <f aca="false">IF($A8="","",IF(AND(Aturan!$C$49="",Aturan!$D$49=""),"Tidak dinilai",IF(D8="","Belum ada data",IF(D8&lt;IF(Aturan!$C$49="",0,Aturan!$C$49),"Kurang",IF(D8&gt;=IF(Aturan!$D$49="",Aturan!$C$49,Aturan!$D$49),"Nyaman","Cukup")))))</f>
        <v>Nyaman</v>
      </c>
      <c r="M8" s="70" t="str">
        <f aca="false">IF($A8="","",IF(AND(Aturan!$C$50="",Aturan!$D$50=""),"Tidak dinilai",IF(E8="","Belum ada data",IF(E8&lt;IF(Aturan!$C$50="",0,Aturan!$C$50),"Kurang",IF(E8&gt;=IF(Aturan!$D$50="",Aturan!$C$50,Aturan!$D$50),"Nyaman","Cukup")))))</f>
        <v>Nyaman</v>
      </c>
      <c r="N8" s="70" t="str">
        <f aca="false">IF($A8="","",IF(AND(Aturan!$C$51="",Aturan!$D$51=""),"Tidak dinilai",IF(F8="","Belum ada data",IF(F8&lt;IF(Aturan!$C$51="",0,Aturan!$C$51),"Kurang",IF(F8&gt;=IF(Aturan!$D$51="",Aturan!$C$51,Aturan!$D$51),"Nyaman","Cukup")))))</f>
        <v>Nyaman</v>
      </c>
      <c r="O8" s="70" t="str">
        <f aca="false">IF($A8="","",IF(AND(Aturan!$C$52="",Aturan!$D$52=""),"Tidak dinilai",IF(G8="","Belum ada data",IF(G8&lt;IF(Aturan!$C$52="",0,Aturan!$C$52),"Kurang",IF(G8&gt;=IF(Aturan!$D$52="",Aturan!$C$52,Aturan!$D$52),"Nyaman","Cukup")))))</f>
        <v>Tidak dinilai</v>
      </c>
      <c r="P8" s="70" t="str">
        <f aca="false">IF($A8="","",IF(AND(Aturan!$C$53="",Aturan!$D$53=""),"Tidak dinilai",IF(H8="","Belum ada data",IF(H8&lt;IF(Aturan!$C$53="",0,Aturan!$C$53),"Kurang",IF(H8&gt;=IF(Aturan!$D$53="",Aturan!$C$53,Aturan!$D$53),"Nyaman","Cukup")))))</f>
        <v>Tidak dinilai</v>
      </c>
      <c r="Q8" s="70" t="str">
        <f aca="false">IF($A8="","",IF(COUNTIF(K8:P8,"Tidak dinilai")=6,"Tidak dinilai",IF(COUNTIF(K8:P8,"Kurang")&gt;0,"Kurang cocok",IF(COUNTIF(K8:P8,"Belum ada data")&gt;0,"Data belum lengkap",IF(COUNTIF(K8:P8,"Cukup")&gt;0,"Bisa, dengan catatan","Cocok")))))</f>
        <v>Cocok</v>
      </c>
      <c r="R8" s="33" t="str">
        <f aca="false">IF($A8="","",IF(K8="Kurang","prosesor tingkat "&amp;C8&amp;" dari 5, di bawah batas minimal (tingkat "&amp;Aturan!$C$48&amp;")",IF(K8="Cukup","prosesor tingkat "&amp;C8&amp;" dari 5 cukup, nyamannya mulai tingkat "&amp;Aturan!$D$48,IF(K8="Belum ada data","tingkat prosesor belum diisi",""))))</f>
        <v/>
      </c>
      <c r="S8" s="33" t="str">
        <f aca="false">IF($A8="","",IF(L8="Kurang","grafis tingkat "&amp;D8&amp;" dari 5, di bawah batas minimal (tingkat "&amp;Aturan!$C$49&amp;")",IF(L8="Cukup","grafis tingkat "&amp;D8&amp;" dari 5 cukup, nyamannya mulai tingkat "&amp;Aturan!$D$49,IF(L8="Belum ada data","tingkat grafis belum diisi",""))))</f>
        <v/>
      </c>
      <c r="T8" s="33" t="str">
        <f aca="false">IF($A8="","",IF(M8="Kurang","RAM "&amp;E8&amp;" GB, di bawah batas minimal "&amp;Aturan!$C$50&amp;" GB ("&amp;I8&amp;")",IF(M8="Cukup","RAM "&amp;E8&amp;" GB cukup, nyamannya "&amp;Aturan!$D$50&amp;" GB atau lebih ("&amp;I8&amp;")",IF(M8="Belum ada data","ukuran RAM belum diisi",""))))</f>
        <v/>
      </c>
      <c r="U8" s="33" t="str">
        <f aca="false">IF($A8="","",IF(N8="Kurang","penyimpanan "&amp;F8&amp;" GB, di bawah batas minimal "&amp;Aturan!$C$51&amp;" GB ("&amp;J8&amp;")",IF(N8="Cukup","penyimpanan "&amp;F8&amp;" GB cukup, nyamannya "&amp;Aturan!$D$51&amp;" GB atau lebih ("&amp;J8&amp;")",IF(N8="Belum ada data","ukuran penyimpanan belum diisi",""))))</f>
        <v/>
      </c>
      <c r="V8" s="33" t="str">
        <f aca="false">IF($A8="","",IF(O8="Kurang","layar "&amp;Varian!$AG5&amp;", di bawah batas minimal ("&amp;IFERROR(INDEX(Aturan!$A$63:$A$66,MATCH(Aturan!$C$52,Aturan!$B$63:$B$66,0)),"peringkat "&amp;Aturan!$C$52)&amp;")",IF(O8="Cukup","layar "&amp;Varian!$AG5&amp;" cukup, nyamannya "&amp;IFERROR(INDEX(Aturan!$A$63:$A$66,MATCH(Aturan!$D$52,Aturan!$B$63:$B$66,0)),"peringkat "&amp;Aturan!$D$52),IF(O8="Belum ada data","jenis layar belum diketahui",""))))</f>
        <v/>
      </c>
      <c r="W8" s="33" t="str">
        <f aca="false">IF($A8="","",IF(P8="Kurang","layar "&amp;H8&amp;" Hz, di bawah batas minimal "&amp;Aturan!$C$53&amp;" Hz",IF(P8="Cukup","layar "&amp;H8&amp;" Hz cukup, nyamannya "&amp;Aturan!$D$53&amp;" Hz atau lebih",IF(P8="Belum ada data","refresh rate belum diketahui",""))))</f>
        <v/>
      </c>
      <c r="X8" s="33" t="str">
        <f aca="false">IF($A8="","",IF(K8="Kurang",R8&amp;"; ","")&amp;IF(L8="Kurang",S8&amp;"; ","")&amp;IF(M8="Kurang",T8&amp;"; ","")&amp;IF(N8="Kurang",U8&amp;"; ","")&amp;IF(O8="Kurang",V8&amp;"; ","")&amp;IF(P8="Kurang",W8&amp;"; ","")&amp;IF(K8="Belum ada data",R8&amp;"; ","")&amp;IF(L8="Belum ada data",S8&amp;"; ","")&amp;IF(M8="Belum ada data",T8&amp;"; ","")&amp;IF(N8="Belum ada data",U8&amp;"; ","")&amp;IF(O8="Belum ada data",V8&amp;"; ","")&amp;IF(P8="Belum ada data",W8&amp;"; ","")&amp;IF(K8="Cukup",R8&amp;"; ","")&amp;IF(L8="Cukup",S8&amp;"; ","")&amp;IF(M8="Cukup",T8&amp;"; ","")&amp;IF(N8="Cukup",U8&amp;"; ","")&amp;IF(O8="Cukup",V8&amp;"; ","")&amp;IF(P8="Cukup",W8&amp;"; ",""))</f>
        <v/>
      </c>
      <c r="Y8" s="33" t="str">
        <f aca="false">IF($A8="","",IF(K8="Nyaman","prosesor, ","")&amp;IF(L8="Nyaman","grafis, ","")&amp;IF(M8="Nyaman","RAM, ","")&amp;IF(N8="Nyaman","penyimpanan, ","")&amp;IF(O8="Nyaman","layar, ","")&amp;IF(P8="Nyaman","refresh rate, ",""))</f>
        <v>prosesor, grafis, RAM, penyimpanan, </v>
      </c>
      <c r="Z8" s="33" t="str">
        <f aca="false">IF($A8="","",IF(Q8="Tidak dinilai","Belum ada kriteria yang dinilai untuk kebutuhan ini.",IF(Q8="Cocok","Semua kriteria yang dinilai sudah nyaman: "&amp;LEFT(Y8,LEN(Y8)-2)&amp;".",UPPER(LEFT(X8,1))&amp;MID(X8,2,LEN(X8)-3)&amp;"."&amp;IF(Y8="",""," Sudah nyaman: "&amp;LEFT(Y8,LEN(Y8)-2)&amp;"."))))</f>
        <v>Semua kriteria yang dinilai sudah nyaman: prosesor, grafis, RAM, penyimpanan.</v>
      </c>
      <c r="AA8" s="33"/>
      <c r="AB8" s="33"/>
      <c r="AC8" s="69"/>
    </row>
    <row r="9" customFormat="false" ht="15" hidden="false" customHeight="true" outlineLevel="0" collapsed="false">
      <c r="A9" s="33" t="str">
        <f aca="false">IF(Varian!$A5="","",Varian!$A5)</f>
        <v>asus-m1405ya-r5-7430u-16-512</v>
      </c>
      <c r="B9" s="33" t="str">
        <f aca="false">IF($A9="","",Aturan!$A$25)</f>
        <v>Game berat</v>
      </c>
      <c r="C9" s="69" t="n">
        <f aca="false">IF($A9="","",IFERROR(IF(ISNUMBER(INDEX(CPU!$J$4:$J$64,MATCH(Varian!$J5,CPU!$A$4:$A$64,0))),INDEX(CPU!$J$4:$J$64,MATCH(Varian!$J5,CPU!$A$4:$A$64,0)),""),""))</f>
        <v>3</v>
      </c>
      <c r="D9" s="69" t="n">
        <f aca="false">IF($A9="","",IFERROR(IF(ISNUMBER(INDEX(GPU!$G$4:$G$64,MATCH(Varian!$K5,GPU!$A$4:$A$64,0))),INDEX(GPU!$G$4:$G$64,MATCH(Varian!$K5,GPU!$A$4:$A$64,0)),""),""))</f>
        <v>2</v>
      </c>
      <c r="E9" s="69" t="n">
        <f aca="false">IF($A9="","",IF(ISNUMBER(Varian!$M5),Varian!$M5,""))</f>
        <v>16</v>
      </c>
      <c r="F9" s="69" t="n">
        <f aca="false">IF($A9="","",IF(ISNUMBER(Varian!$V5),Varian!$V5,""))</f>
        <v>512</v>
      </c>
      <c r="G9" s="69" t="n">
        <f aca="false">IF($A9="","",IFERROR(INDEX(Aturan!$B$63:$B$66,MATCH(Varian!$AG5,Aturan!$A$63:$A$66,0)),""))</f>
        <v>3</v>
      </c>
      <c r="H9" s="69" t="n">
        <f aca="false">IF($A9="","",IF(ISNUMBER(Varian!$AI5),Varian!$AI5,""))</f>
        <v>60</v>
      </c>
      <c r="I9" s="33" t="str">
        <f aca="false">IF($A9="","",IF(Varian!$Q5="disolder","menempel di papan utama, tidak bisa ditambah",IF(OR(Varian!$Q5="slot",Varian!$Q5="setengah_disolder"),IF(Varian!$Q5="setengah_disolder","sebagian menempel, ","")&amp;IF(ISNUMBER(Varian!$U5),IF(AND(ISNUMBER(Varian!$M5),Varian!$U5&gt;Varian!$M5),"bisa dinaikkan lewat slot sampai "&amp;Varian!$U5&amp;" GB","sudah di batas maksimal "&amp;Varian!$U5&amp;" GB"),"ada slot, batas maksimalnya belum diketahui"),"belum diketahui apakah bisa ditambah")))</f>
        <v>sebagian menempel, sudah di batas maksimal 16 GB</v>
      </c>
      <c r="J9" s="33" t="str">
        <f aca="false">IF($A9="","",IF(Varian!$Z5="ya","bisa diganti dengan yang lebih besar",IF(Varian!$Z5="tidak","menempel, tidak bisa diganti","belum diketahui apakah bisa diganti")))</f>
        <v>bisa diganti dengan yang lebih besar</v>
      </c>
      <c r="K9" s="70" t="str">
        <f aca="false">IF($A9="","",IF(AND(Aturan!$C$54="",Aturan!$D$54=""),"Tidak dinilai",IF(C9="","Belum ada data",IF(C9&lt;IF(Aturan!$C$54="",0,Aturan!$C$54),"Kurang",IF(C9&gt;=IF(Aturan!$D$54="",Aturan!$C$54,Aturan!$D$54),"Nyaman","Cukup")))))</f>
        <v>Cukup</v>
      </c>
      <c r="L9" s="70" t="str">
        <f aca="false">IF($A9="","",IF(AND(Aturan!$C$55="",Aturan!$D$55=""),"Tidak dinilai",IF(D9="","Belum ada data",IF(D9&lt;IF(Aturan!$C$55="",0,Aturan!$C$55),"Kurang",IF(D9&gt;=IF(Aturan!$D$55="",Aturan!$C$55,Aturan!$D$55),"Nyaman","Cukup")))))</f>
        <v>Kurang</v>
      </c>
      <c r="M9" s="70" t="str">
        <f aca="false">IF($A9="","",IF(AND(Aturan!$C$56="",Aturan!$D$56=""),"Tidak dinilai",IF(E9="","Belum ada data",IF(E9&lt;IF(Aturan!$C$56="",0,Aturan!$C$56),"Kurang",IF(E9&gt;=IF(Aturan!$D$56="",Aturan!$C$56,Aturan!$D$56),"Nyaman","Cukup")))))</f>
        <v>Nyaman</v>
      </c>
      <c r="N9" s="70" t="str">
        <f aca="false">IF($A9="","",IF(AND(Aturan!$C$57="",Aturan!$D$57=""),"Tidak dinilai",IF(F9="","Belum ada data",IF(F9&lt;IF(Aturan!$C$57="",0,Aturan!$C$57),"Kurang",IF(F9&gt;=IF(Aturan!$D$57="",Aturan!$C$57,Aturan!$D$57),"Nyaman","Cukup")))))</f>
        <v>Cukup</v>
      </c>
      <c r="O9" s="70" t="str">
        <f aca="false">IF($A9="","",IF(AND(Aturan!$C$58="",Aturan!$D$58=""),"Tidak dinilai",IF(G9="","Belum ada data",IF(G9&lt;IF(Aturan!$C$58="",0,Aturan!$C$58),"Kurang",IF(G9&gt;=IF(Aturan!$D$58="",Aturan!$C$58,Aturan!$D$58),"Nyaman","Cukup")))))</f>
        <v>Tidak dinilai</v>
      </c>
      <c r="P9" s="70" t="str">
        <f aca="false">IF($A9="","",IF(AND(Aturan!$C$59="",Aturan!$D$59=""),"Tidak dinilai",IF(H9="","Belum ada data",IF(H9&lt;IF(Aturan!$C$59="",0,Aturan!$C$59),"Kurang",IF(H9&gt;=IF(Aturan!$D$59="",Aturan!$C$59,Aturan!$D$59),"Nyaman","Cukup")))))</f>
        <v>Cukup</v>
      </c>
      <c r="Q9" s="70" t="str">
        <f aca="false">IF($A9="","",IF(COUNTIF(K9:P9,"Tidak dinilai")=6,"Tidak dinilai",IF(COUNTIF(K9:P9,"Kurang")&gt;0,"Kurang cocok",IF(COUNTIF(K9:P9,"Belum ada data")&gt;0,"Data belum lengkap",IF(COUNTIF(K9:P9,"Cukup")&gt;0,"Bisa, dengan catatan","Cocok")))))</f>
        <v>Kurang cocok</v>
      </c>
      <c r="R9" s="33" t="str">
        <f aca="false">IF($A9="","",IF(K9="Kurang","prosesor tingkat "&amp;C9&amp;" dari 5, di bawah batas minimal (tingkat "&amp;Aturan!$C$54&amp;")",IF(K9="Cukup","prosesor tingkat "&amp;C9&amp;" dari 5 cukup, nyamannya mulai tingkat "&amp;Aturan!$D$54,IF(K9="Belum ada data","tingkat prosesor belum diisi",""))))</f>
        <v>prosesor tingkat 3 dari 5 cukup, nyamannya mulai tingkat 4</v>
      </c>
      <c r="S9" s="33" t="str">
        <f aca="false">IF($A9="","",IF(L9="Kurang","grafis tingkat "&amp;D9&amp;" dari 5, di bawah batas minimal (tingkat "&amp;Aturan!$C$55&amp;")",IF(L9="Cukup","grafis tingkat "&amp;D9&amp;" dari 5 cukup, nyamannya mulai tingkat "&amp;Aturan!$D$55,IF(L9="Belum ada data","tingkat grafis belum diisi",""))))</f>
        <v>grafis tingkat 2 dari 5, di bawah batas minimal (tingkat 3)</v>
      </c>
      <c r="T9" s="33" t="str">
        <f aca="false">IF($A9="","",IF(M9="Kurang","RAM "&amp;E9&amp;" GB, di bawah batas minimal "&amp;Aturan!$C$56&amp;" GB ("&amp;I9&amp;")",IF(M9="Cukup","RAM "&amp;E9&amp;" GB cukup, nyamannya "&amp;Aturan!$D$56&amp;" GB atau lebih ("&amp;I9&amp;")",IF(M9="Belum ada data","ukuran RAM belum diisi",""))))</f>
        <v/>
      </c>
      <c r="U9" s="33" t="str">
        <f aca="false">IF($A9="","",IF(N9="Kurang","penyimpanan "&amp;F9&amp;" GB, di bawah batas minimal "&amp;Aturan!$C$57&amp;" GB ("&amp;J9&amp;")",IF(N9="Cukup","penyimpanan "&amp;F9&amp;" GB cukup, nyamannya "&amp;Aturan!$D$57&amp;" GB atau lebih ("&amp;J9&amp;")",IF(N9="Belum ada data","ukuran penyimpanan belum diisi",""))))</f>
        <v>penyimpanan 512 GB cukup, nyamannya 1000 GB atau lebih (bisa diganti dengan yang lebih besar)</v>
      </c>
      <c r="V9" s="33" t="str">
        <f aca="false">IF($A9="","",IF(O9="Kurang","layar "&amp;Varian!$AG5&amp;", di bawah batas minimal ("&amp;IFERROR(INDEX(Aturan!$A$63:$A$66,MATCH(Aturan!$C$58,Aturan!$B$63:$B$66,0)),"peringkat "&amp;Aturan!$C$58)&amp;")",IF(O9="Cukup","layar "&amp;Varian!$AG5&amp;" cukup, nyamannya "&amp;IFERROR(INDEX(Aturan!$A$63:$A$66,MATCH(Aturan!$D$58,Aturan!$B$63:$B$66,0)),"peringkat "&amp;Aturan!$D$58),IF(O9="Belum ada data","jenis layar belum diketahui",""))))</f>
        <v/>
      </c>
      <c r="W9" s="33" t="str">
        <f aca="false">IF($A9="","",IF(P9="Kurang","layar "&amp;H9&amp;" Hz, di bawah batas minimal "&amp;Aturan!$C$59&amp;" Hz",IF(P9="Cukup","layar "&amp;H9&amp;" Hz cukup, nyamannya "&amp;Aturan!$D$59&amp;" Hz atau lebih",IF(P9="Belum ada data","refresh rate belum diketahui",""))))</f>
        <v>layar 60 Hz cukup, nyamannya 120 Hz atau lebih</v>
      </c>
      <c r="X9" s="33" t="str">
        <f aca="false">IF($A9="","",IF(K9="Kurang",R9&amp;"; ","")&amp;IF(L9="Kurang",S9&amp;"; ","")&amp;IF(M9="Kurang",T9&amp;"; ","")&amp;IF(N9="Kurang",U9&amp;"; ","")&amp;IF(O9="Kurang",V9&amp;"; ","")&amp;IF(P9="Kurang",W9&amp;"; ","")&amp;IF(K9="Belum ada data",R9&amp;"; ","")&amp;IF(L9="Belum ada data",S9&amp;"; ","")&amp;IF(M9="Belum ada data",T9&amp;"; ","")&amp;IF(N9="Belum ada data",U9&amp;"; ","")&amp;IF(O9="Belum ada data",V9&amp;"; ","")&amp;IF(P9="Belum ada data",W9&amp;"; ","")&amp;IF(K9="Cukup",R9&amp;"; ","")&amp;IF(L9="Cukup",S9&amp;"; ","")&amp;IF(M9="Cukup",T9&amp;"; ","")&amp;IF(N9="Cukup",U9&amp;"; ","")&amp;IF(O9="Cukup",V9&amp;"; ","")&amp;IF(P9="Cukup",W9&amp;"; ",""))</f>
        <v>grafis tingkat 2 dari 5, di bawah batas minimal (tingkat 3); prosesor tingkat 3 dari 5 cukup, nyamannya mulai tingkat 4; penyimpanan 512 GB cukup, nyamannya 1000 GB atau lebih (bisa diganti dengan yang lebih besar); layar 60 Hz cukup, nyamannya 120 Hz atau lebih; </v>
      </c>
      <c r="Y9" s="33" t="str">
        <f aca="false">IF($A9="","",IF(K9="Nyaman","prosesor, ","")&amp;IF(L9="Nyaman","grafis, ","")&amp;IF(M9="Nyaman","RAM, ","")&amp;IF(N9="Nyaman","penyimpanan, ","")&amp;IF(O9="Nyaman","layar, ","")&amp;IF(P9="Nyaman","refresh rate, ",""))</f>
        <v>RAM, </v>
      </c>
      <c r="Z9" s="33" t="str">
        <f aca="false">IF($A9="","",IF(Q9="Tidak dinilai","Belum ada kriteria yang dinilai untuk kebutuhan ini.",IF(Q9="Cocok","Semua kriteria yang dinilai sudah nyaman: "&amp;LEFT(Y9,LEN(Y9)-2)&amp;".",UPPER(LEFT(X9,1))&amp;MID(X9,2,LEN(X9)-3)&amp;"."&amp;IF(Y9="",""," Sudah nyaman: "&amp;LEFT(Y9,LEN(Y9)-2)&amp;"."))))</f>
        <v>Grafis tingkat 2 dari 5, di bawah batas minimal (tingkat 3); prosesor tingkat 3 dari 5 cukup, nyamannya mulai tingkat 4; penyimpanan 512 GB cukup, nyamannya 1000 GB atau lebih (bisa diganti dengan yang lebih besar); layar 60 Hz cukup, nyamannya 120 Hz atau lebih. Sudah nyaman: RAM.</v>
      </c>
      <c r="AA9" s="33"/>
      <c r="AB9" s="33"/>
      <c r="AC9" s="69"/>
    </row>
    <row r="10" customFormat="false" ht="15" hidden="false" customHeight="true" outlineLevel="0" collapsed="false">
      <c r="A10" s="66" t="str">
        <f aca="false">IF(Varian!$A6="","",Varian!$A6)</f>
        <v>hp-pavilion-x360-14-ek1005tu-i5-1335u-16-512</v>
      </c>
      <c r="B10" s="66" t="str">
        <f aca="false">IF($A10="","",Aturan!$A$21)</f>
        <v>Kuliah dan kantor</v>
      </c>
      <c r="C10" s="67" t="n">
        <f aca="false">IF($A10="","",IFERROR(IF(ISNUMBER(INDEX(CPU!$J$4:$J$64,MATCH(Varian!$J6,CPU!$A$4:$A$64,0))),INDEX(CPU!$J$4:$J$64,MATCH(Varian!$J6,CPU!$A$4:$A$64,0)),""),""))</f>
        <v>3</v>
      </c>
      <c r="D10" s="67" t="n">
        <f aca="false">IF($A10="","",IFERROR(IF(ISNUMBER(INDEX(GPU!$G$4:$G$64,MATCH(Varian!$K6,GPU!$A$4:$A$64,0))),INDEX(GPU!$G$4:$G$64,MATCH(Varian!$K6,GPU!$A$4:$A$64,0)),""),""))</f>
        <v>2</v>
      </c>
      <c r="E10" s="67" t="n">
        <f aca="false">IF($A10="","",IF(ISNUMBER(Varian!$M6),Varian!$M6,""))</f>
        <v>16</v>
      </c>
      <c r="F10" s="67" t="n">
        <f aca="false">IF($A10="","",IF(ISNUMBER(Varian!$V6),Varian!$V6,""))</f>
        <v>512</v>
      </c>
      <c r="G10" s="67" t="n">
        <f aca="false">IF($A10="","",IFERROR(INDEX(Aturan!$B$63:$B$66,MATCH(Varian!$AG6,Aturan!$A$63:$A$66,0)),""))</f>
        <v>3</v>
      </c>
      <c r="H10" s="67" t="str">
        <f aca="false">IF($A10="","",IF(ISNUMBER(Varian!$AI6),Varian!$AI6,""))</f>
        <v/>
      </c>
      <c r="I10" s="66" t="str">
        <f aca="false">IF($A10="","",IF(Varian!$Q6="disolder","menempel di papan utama, tidak bisa ditambah",IF(OR(Varian!$Q6="slot",Varian!$Q6="setengah_disolder"),IF(Varian!$Q6="setengah_disolder","sebagian menempel, ","")&amp;IF(ISNUMBER(Varian!$U6),IF(AND(ISNUMBER(Varian!$M6),Varian!$U6&gt;Varian!$M6),"bisa dinaikkan lewat slot sampai "&amp;Varian!$U6&amp;" GB","sudah di batas maksimal "&amp;Varian!$U6&amp;" GB"),"ada slot, batas maksimalnya belum diketahui"),"belum diketahui apakah bisa ditambah")))</f>
        <v>menempel di papan utama, tidak bisa ditambah</v>
      </c>
      <c r="J10" s="66" t="str">
        <f aca="false">IF($A10="","",IF(Varian!$Z6="ya","bisa diganti dengan yang lebih besar",IF(Varian!$Z6="tidak","menempel, tidak bisa diganti","belum diketahui apakah bisa diganti")))</f>
        <v>bisa diganti dengan yang lebih besar</v>
      </c>
      <c r="K10" s="68" t="str">
        <f aca="false">IF($A10="","",IF(AND(Aturan!$C$30="",Aturan!$D$30=""),"Tidak dinilai",IF(C10="","Belum ada data",IF(C10&lt;IF(Aturan!$C$30="",0,Aturan!$C$30),"Kurang",IF(C10&gt;=IF(Aturan!$D$30="",Aturan!$C$30,Aturan!$D$30),"Nyaman","Cukup")))))</f>
        <v>Nyaman</v>
      </c>
      <c r="L10" s="68" t="str">
        <f aca="false">IF($A10="","",IF(AND(Aturan!$C$31="",Aturan!$D$31=""),"Tidak dinilai",IF(D10="","Belum ada data",IF(D10&lt;IF(Aturan!$C$31="",0,Aturan!$C$31),"Kurang",IF(D10&gt;=IF(Aturan!$D$31="",Aturan!$C$31,Aturan!$D$31),"Nyaman","Cukup")))))</f>
        <v>Tidak dinilai</v>
      </c>
      <c r="M10" s="68" t="str">
        <f aca="false">IF($A10="","",IF(AND(Aturan!$C$32="",Aturan!$D$32=""),"Tidak dinilai",IF(E10="","Belum ada data",IF(E10&lt;IF(Aturan!$C$32="",0,Aturan!$C$32),"Kurang",IF(E10&gt;=IF(Aturan!$D$32="",Aturan!$C$32,Aturan!$D$32),"Nyaman","Cukup")))))</f>
        <v>Nyaman</v>
      </c>
      <c r="N10" s="68" t="str">
        <f aca="false">IF($A10="","",IF(AND(Aturan!$C$33="",Aturan!$D$33=""),"Tidak dinilai",IF(F10="","Belum ada data",IF(F10&lt;IF(Aturan!$C$33="",0,Aturan!$C$33),"Kurang",IF(F10&gt;=IF(Aturan!$D$33="",Aturan!$C$33,Aturan!$D$33),"Nyaman","Cukup")))))</f>
        <v>Nyaman</v>
      </c>
      <c r="O10" s="68" t="str">
        <f aca="false">IF($A10="","",IF(AND(Aturan!$C$34="",Aturan!$D$34=""),"Tidak dinilai",IF(G10="","Belum ada data",IF(G10&lt;IF(Aturan!$C$34="",0,Aturan!$C$34),"Kurang",IF(G10&gt;=IF(Aturan!$D$34="",Aturan!$C$34,Aturan!$D$34),"Nyaman","Cukup")))))</f>
        <v>Tidak dinilai</v>
      </c>
      <c r="P10" s="68" t="str">
        <f aca="false">IF($A10="","",IF(AND(Aturan!$C$35="",Aturan!$D$35=""),"Tidak dinilai",IF(H10="","Belum ada data",IF(H10&lt;IF(Aturan!$C$35="",0,Aturan!$C$35),"Kurang",IF(H10&gt;=IF(Aturan!$D$35="",Aturan!$C$35,Aturan!$D$35),"Nyaman","Cukup")))))</f>
        <v>Tidak dinilai</v>
      </c>
      <c r="Q10" s="68" t="str">
        <f aca="false">IF($A10="","",IF(COUNTIF(K10:P10,"Tidak dinilai")=6,"Tidak dinilai",IF(COUNTIF(K10:P10,"Kurang")&gt;0,"Kurang cocok",IF(COUNTIF(K10:P10,"Belum ada data")&gt;0,"Data belum lengkap",IF(COUNTIF(K10:P10,"Cukup")&gt;0,"Bisa, dengan catatan","Cocok")))))</f>
        <v>Cocok</v>
      </c>
      <c r="R10" s="66" t="str">
        <f aca="false">IF($A10="","",IF(K10="Kurang","prosesor tingkat "&amp;C10&amp;" dari 5, di bawah batas minimal (tingkat "&amp;Aturan!$C$30&amp;")",IF(K10="Cukup","prosesor tingkat "&amp;C10&amp;" dari 5 cukup, nyamannya mulai tingkat "&amp;Aturan!$D$30,IF(K10="Belum ada data","tingkat prosesor belum diisi",""))))</f>
        <v/>
      </c>
      <c r="S10" s="66" t="str">
        <f aca="false">IF($A10="","",IF(L10="Kurang","grafis tingkat "&amp;D10&amp;" dari 5, di bawah batas minimal (tingkat "&amp;Aturan!$C$31&amp;")",IF(L10="Cukup","grafis tingkat "&amp;D10&amp;" dari 5 cukup, nyamannya mulai tingkat "&amp;Aturan!$D$31,IF(L10="Belum ada data","tingkat grafis belum diisi",""))))</f>
        <v/>
      </c>
      <c r="T10" s="66" t="str">
        <f aca="false">IF($A10="","",IF(M10="Kurang","RAM "&amp;E10&amp;" GB, di bawah batas minimal "&amp;Aturan!$C$32&amp;" GB ("&amp;I10&amp;")",IF(M10="Cukup","RAM "&amp;E10&amp;" GB cukup, nyamannya "&amp;Aturan!$D$32&amp;" GB atau lebih ("&amp;I10&amp;")",IF(M10="Belum ada data","ukuran RAM belum diisi",""))))</f>
        <v/>
      </c>
      <c r="U10" s="66" t="str">
        <f aca="false">IF($A10="","",IF(N10="Kurang","penyimpanan "&amp;F10&amp;" GB, di bawah batas minimal "&amp;Aturan!$C$33&amp;" GB ("&amp;J10&amp;")",IF(N10="Cukup","penyimpanan "&amp;F10&amp;" GB cukup, nyamannya "&amp;Aturan!$D$33&amp;" GB atau lebih ("&amp;J10&amp;")",IF(N10="Belum ada data","ukuran penyimpanan belum diisi",""))))</f>
        <v/>
      </c>
      <c r="V10" s="66" t="str">
        <f aca="false">IF($A10="","",IF(O10="Kurang","layar "&amp;Varian!$AG6&amp;", di bawah batas minimal ("&amp;IFERROR(INDEX(Aturan!$A$63:$A$66,MATCH(Aturan!$C$34,Aturan!$B$63:$B$66,0)),"peringkat "&amp;Aturan!$C$34)&amp;")",IF(O10="Cukup","layar "&amp;Varian!$AG6&amp;" cukup, nyamannya "&amp;IFERROR(INDEX(Aturan!$A$63:$A$66,MATCH(Aturan!$D$34,Aturan!$B$63:$B$66,0)),"peringkat "&amp;Aturan!$D$34),IF(O10="Belum ada data","jenis layar belum diketahui",""))))</f>
        <v/>
      </c>
      <c r="W10" s="66" t="str">
        <f aca="false">IF($A10="","",IF(P10="Kurang","layar "&amp;H10&amp;" Hz, di bawah batas minimal "&amp;Aturan!$C$35&amp;" Hz",IF(P10="Cukup","layar "&amp;H10&amp;" Hz cukup, nyamannya "&amp;Aturan!$D$35&amp;" Hz atau lebih",IF(P10="Belum ada data","refresh rate belum diketahui",""))))</f>
        <v/>
      </c>
      <c r="X10" s="66" t="str">
        <f aca="false">IF($A10="","",IF(K10="Kurang",R10&amp;"; ","")&amp;IF(L10="Kurang",S10&amp;"; ","")&amp;IF(M10="Kurang",T10&amp;"; ","")&amp;IF(N10="Kurang",U10&amp;"; ","")&amp;IF(O10="Kurang",V10&amp;"; ","")&amp;IF(P10="Kurang",W10&amp;"; ","")&amp;IF(K10="Belum ada data",R10&amp;"; ","")&amp;IF(L10="Belum ada data",S10&amp;"; ","")&amp;IF(M10="Belum ada data",T10&amp;"; ","")&amp;IF(N10="Belum ada data",U10&amp;"; ","")&amp;IF(O10="Belum ada data",V10&amp;"; ","")&amp;IF(P10="Belum ada data",W10&amp;"; ","")&amp;IF(K10="Cukup",R10&amp;"; ","")&amp;IF(L10="Cukup",S10&amp;"; ","")&amp;IF(M10="Cukup",T10&amp;"; ","")&amp;IF(N10="Cukup",U10&amp;"; ","")&amp;IF(O10="Cukup",V10&amp;"; ","")&amp;IF(P10="Cukup",W10&amp;"; ",""))</f>
        <v/>
      </c>
      <c r="Y10" s="66" t="str">
        <f aca="false">IF($A10="","",IF(K10="Nyaman","prosesor, ","")&amp;IF(L10="Nyaman","grafis, ","")&amp;IF(M10="Nyaman","RAM, ","")&amp;IF(N10="Nyaman","penyimpanan, ","")&amp;IF(O10="Nyaman","layar, ","")&amp;IF(P10="Nyaman","refresh rate, ",""))</f>
        <v>prosesor, RAM, penyimpanan, </v>
      </c>
      <c r="Z10" s="66" t="str">
        <f aca="false">IF($A10="","",IF(Q10="Tidak dinilai","Belum ada kriteria yang dinilai untuk kebutuhan ini.",IF(Q10="Cocok","Semua kriteria yang dinilai sudah nyaman: "&amp;LEFT(Y10,LEN(Y10)-2)&amp;".",UPPER(LEFT(X10,1))&amp;MID(X10,2,LEN(X10)-3)&amp;"."&amp;IF(Y10="",""," Sudah nyaman: "&amp;LEFT(Y10,LEN(Y10)-2)&amp;"."))))</f>
        <v>Semua kriteria yang dinilai sudah nyaman: prosesor, RAM, penyimpanan.</v>
      </c>
      <c r="AA10" s="71" t="str">
        <f aca="false">IF($A10="","",IF(Varian!$AR6="Windows 10","• "&amp;Aturan!$E$71&amp;CHAR(10),"")&amp;IF(Varian!$BB6="tidak","• "&amp;Aturan!$E$72&amp;CHAR(10),"")&amp;IF(OR(Varian!$AD6="belum terverifikasi",Varian!$AD6="tidak diketahui"),"• "&amp;Aturan!$E$73&amp;CHAR(10),"")&amp;IF(Varian!$AH6="1366x768","• "&amp;Aturan!$E$74&amp;CHAR(10),"")&amp;IF(Varian!$AG6="TN","• "&amp;Aturan!$E$75&amp;CHAR(10),"")&amp;IF(AND(Varian!$Q6="disolder",ISNUMBER(Varian!$M6),Varian!$M6&lt;=8),"• "&amp;Aturan!$E$76&amp;CHAR(10),""))</f>
        <v>• Info RAM dan penyimpanan (bisa diganti atau tidak) belum terverifikasi. Periksa lagi sebelum membeli.
</v>
      </c>
      <c r="AB10" s="66" t="str">
        <f aca="false">IF($A10="","",IF(AA10="","",LEFT(AA10,LEN(AA10)-1)))</f>
        <v>• Info RAM dan penyimpanan (bisa diganti atau tidak) belum terverifikasi. Periksa lagi sebelum membeli.</v>
      </c>
      <c r="AC10" s="67" t="n">
        <f aca="false">IF($A10="","",IF(AA10="",0,LEN(AA10)-LEN(SUBSTITUTE(AA10,CHAR(10),""))))</f>
        <v>1</v>
      </c>
    </row>
    <row r="11" customFormat="false" ht="15" hidden="false" customHeight="true" outlineLevel="0" collapsed="false">
      <c r="A11" s="33" t="str">
        <f aca="false">IF(Varian!$A6="","",Varian!$A6)</f>
        <v>hp-pavilion-x360-14-ek1005tu-i5-1335u-16-512</v>
      </c>
      <c r="B11" s="33" t="str">
        <f aca="false">IF($A11="","",Aturan!$A$22)</f>
        <v>Desain grafis</v>
      </c>
      <c r="C11" s="69" t="n">
        <f aca="false">IF($A11="","",IFERROR(IF(ISNUMBER(INDEX(CPU!$J$4:$J$64,MATCH(Varian!$J6,CPU!$A$4:$A$64,0))),INDEX(CPU!$J$4:$J$64,MATCH(Varian!$J6,CPU!$A$4:$A$64,0)),""),""))</f>
        <v>3</v>
      </c>
      <c r="D11" s="69" t="n">
        <f aca="false">IF($A11="","",IFERROR(IF(ISNUMBER(INDEX(GPU!$G$4:$G$64,MATCH(Varian!$K6,GPU!$A$4:$A$64,0))),INDEX(GPU!$G$4:$G$64,MATCH(Varian!$K6,GPU!$A$4:$A$64,0)),""),""))</f>
        <v>2</v>
      </c>
      <c r="E11" s="69" t="n">
        <f aca="false">IF($A11="","",IF(ISNUMBER(Varian!$M6),Varian!$M6,""))</f>
        <v>16</v>
      </c>
      <c r="F11" s="69" t="n">
        <f aca="false">IF($A11="","",IF(ISNUMBER(Varian!$V6),Varian!$V6,""))</f>
        <v>512</v>
      </c>
      <c r="G11" s="69" t="n">
        <f aca="false">IF($A11="","",IFERROR(INDEX(Aturan!$B$63:$B$66,MATCH(Varian!$AG6,Aturan!$A$63:$A$66,0)),""))</f>
        <v>3</v>
      </c>
      <c r="H11" s="69" t="str">
        <f aca="false">IF($A11="","",IF(ISNUMBER(Varian!$AI6),Varian!$AI6,""))</f>
        <v/>
      </c>
      <c r="I11" s="33" t="str">
        <f aca="false">IF($A11="","",IF(Varian!$Q6="disolder","menempel di papan utama, tidak bisa ditambah",IF(OR(Varian!$Q6="slot",Varian!$Q6="setengah_disolder"),IF(Varian!$Q6="setengah_disolder","sebagian menempel, ","")&amp;IF(ISNUMBER(Varian!$U6),IF(AND(ISNUMBER(Varian!$M6),Varian!$U6&gt;Varian!$M6),"bisa dinaikkan lewat slot sampai "&amp;Varian!$U6&amp;" GB","sudah di batas maksimal "&amp;Varian!$U6&amp;" GB"),"ada slot, batas maksimalnya belum diketahui"),"belum diketahui apakah bisa ditambah")))</f>
        <v>menempel di papan utama, tidak bisa ditambah</v>
      </c>
      <c r="J11" s="33" t="str">
        <f aca="false">IF($A11="","",IF(Varian!$Z6="ya","bisa diganti dengan yang lebih besar",IF(Varian!$Z6="tidak","menempel, tidak bisa diganti","belum diketahui apakah bisa diganti")))</f>
        <v>bisa diganti dengan yang lebih besar</v>
      </c>
      <c r="K11" s="70" t="str">
        <f aca="false">IF($A11="","",IF(AND(Aturan!$C$36="",Aturan!$D$36=""),"Tidak dinilai",IF(C11="","Belum ada data",IF(C11&lt;IF(Aturan!$C$36="",0,Aturan!$C$36),"Kurang",IF(C11&gt;=IF(Aturan!$D$36="",Aturan!$C$36,Aturan!$D$36),"Nyaman","Cukup")))))</f>
        <v>Nyaman</v>
      </c>
      <c r="L11" s="70" t="str">
        <f aca="false">IF($A11="","",IF(AND(Aturan!$C$37="",Aturan!$D$37=""),"Tidak dinilai",IF(D11="","Belum ada data",IF(D11&lt;IF(Aturan!$C$37="",0,Aturan!$C$37),"Kurang",IF(D11&gt;=IF(Aturan!$D$37="",Aturan!$C$37,Aturan!$D$37),"Nyaman","Cukup")))))</f>
        <v>Nyaman</v>
      </c>
      <c r="M11" s="70" t="str">
        <f aca="false">IF($A11="","",IF(AND(Aturan!$C$38="",Aturan!$D$38=""),"Tidak dinilai",IF(E11="","Belum ada data",IF(E11&lt;IF(Aturan!$C$38="",0,Aturan!$C$38),"Kurang",IF(E11&gt;=IF(Aturan!$D$38="",Aturan!$C$38,Aturan!$D$38),"Nyaman","Cukup")))))</f>
        <v>Nyaman</v>
      </c>
      <c r="N11" s="70" t="str">
        <f aca="false">IF($A11="","",IF(AND(Aturan!$C$39="",Aturan!$D$39=""),"Tidak dinilai",IF(F11="","Belum ada data",IF(F11&lt;IF(Aturan!$C$39="",0,Aturan!$C$39),"Kurang",IF(F11&gt;=IF(Aturan!$D$39="",Aturan!$C$39,Aturan!$D$39),"Nyaman","Cukup")))))</f>
        <v>Nyaman</v>
      </c>
      <c r="O11" s="70" t="str">
        <f aca="false">IF($A11="","",IF(AND(Aturan!$C$40="",Aturan!$D$40=""),"Tidak dinilai",IF(G11="","Belum ada data",IF(G11&lt;IF(Aturan!$C$40="",0,Aturan!$C$40),"Kurang",IF(G11&gt;=IF(Aturan!$D$40="",Aturan!$C$40,Aturan!$D$40),"Nyaman","Cukup")))))</f>
        <v>Cukup</v>
      </c>
      <c r="P11" s="70" t="str">
        <f aca="false">IF($A11="","",IF(AND(Aturan!$C$41="",Aturan!$D$41=""),"Tidak dinilai",IF(H11="","Belum ada data",IF(H11&lt;IF(Aturan!$C$41="",0,Aturan!$C$41),"Kurang",IF(H11&gt;=IF(Aturan!$D$41="",Aturan!$C$41,Aturan!$D$41),"Nyaman","Cukup")))))</f>
        <v>Tidak dinilai</v>
      </c>
      <c r="Q11" s="70" t="str">
        <f aca="false">IF($A11="","",IF(COUNTIF(K11:P11,"Tidak dinilai")=6,"Tidak dinilai",IF(COUNTIF(K11:P11,"Kurang")&gt;0,"Kurang cocok",IF(COUNTIF(K11:P11,"Belum ada data")&gt;0,"Data belum lengkap",IF(COUNTIF(K11:P11,"Cukup")&gt;0,"Bisa, dengan catatan","Cocok")))))</f>
        <v>Bisa, dengan catatan</v>
      </c>
      <c r="R11" s="33" t="str">
        <f aca="false">IF($A11="","",IF(K11="Kurang","prosesor tingkat "&amp;C11&amp;" dari 5, di bawah batas minimal (tingkat "&amp;Aturan!$C$36&amp;")",IF(K11="Cukup","prosesor tingkat "&amp;C11&amp;" dari 5 cukup, nyamannya mulai tingkat "&amp;Aturan!$D$36,IF(K11="Belum ada data","tingkat prosesor belum diisi",""))))</f>
        <v/>
      </c>
      <c r="S11" s="33" t="str">
        <f aca="false">IF($A11="","",IF(L11="Kurang","grafis tingkat "&amp;D11&amp;" dari 5, di bawah batas minimal (tingkat "&amp;Aturan!$C$37&amp;")",IF(L11="Cukup","grafis tingkat "&amp;D11&amp;" dari 5 cukup, nyamannya mulai tingkat "&amp;Aturan!$D$37,IF(L11="Belum ada data","tingkat grafis belum diisi",""))))</f>
        <v/>
      </c>
      <c r="T11" s="33" t="str">
        <f aca="false">IF($A11="","",IF(M11="Kurang","RAM "&amp;E11&amp;" GB, di bawah batas minimal "&amp;Aturan!$C$38&amp;" GB ("&amp;I11&amp;")",IF(M11="Cukup","RAM "&amp;E11&amp;" GB cukup, nyamannya "&amp;Aturan!$D$38&amp;" GB atau lebih ("&amp;I11&amp;")",IF(M11="Belum ada data","ukuran RAM belum diisi",""))))</f>
        <v/>
      </c>
      <c r="U11" s="33" t="str">
        <f aca="false">IF($A11="","",IF(N11="Kurang","penyimpanan "&amp;F11&amp;" GB, di bawah batas minimal "&amp;Aturan!$C$39&amp;" GB ("&amp;J11&amp;")",IF(N11="Cukup","penyimpanan "&amp;F11&amp;" GB cukup, nyamannya "&amp;Aturan!$D$39&amp;" GB atau lebih ("&amp;J11&amp;")",IF(N11="Belum ada data","ukuran penyimpanan belum diisi",""))))</f>
        <v/>
      </c>
      <c r="V11" s="33" t="str">
        <f aca="false">IF($A11="","",IF(O11="Kurang","layar "&amp;Varian!$AG6&amp;", di bawah batas minimal ("&amp;IFERROR(INDEX(Aturan!$A$63:$A$66,MATCH(Aturan!$C$40,Aturan!$B$63:$B$66,0)),"peringkat "&amp;Aturan!$C$40)&amp;")",IF(O11="Cukup","layar "&amp;Varian!$AG6&amp;" cukup, nyamannya "&amp;IFERROR(INDEX(Aturan!$A$63:$A$66,MATCH(Aturan!$D$40,Aturan!$B$63:$B$66,0)),"peringkat "&amp;Aturan!$D$40),IF(O11="Belum ada data","jenis layar belum diketahui",""))))</f>
        <v>layar IPS cukup, nyamannya OLED</v>
      </c>
      <c r="W11" s="33" t="str">
        <f aca="false">IF($A11="","",IF(P11="Kurang","layar "&amp;H11&amp;" Hz, di bawah batas minimal "&amp;Aturan!$C$41&amp;" Hz",IF(P11="Cukup","layar "&amp;H11&amp;" Hz cukup, nyamannya "&amp;Aturan!$D$41&amp;" Hz atau lebih",IF(P11="Belum ada data","refresh rate belum diketahui",""))))</f>
        <v/>
      </c>
      <c r="X11" s="33" t="str">
        <f aca="false">IF($A11="","",IF(K11="Kurang",R11&amp;"; ","")&amp;IF(L11="Kurang",S11&amp;"; ","")&amp;IF(M11="Kurang",T11&amp;"; ","")&amp;IF(N11="Kurang",U11&amp;"; ","")&amp;IF(O11="Kurang",V11&amp;"; ","")&amp;IF(P11="Kurang",W11&amp;"; ","")&amp;IF(K11="Belum ada data",R11&amp;"; ","")&amp;IF(L11="Belum ada data",S11&amp;"; ","")&amp;IF(M11="Belum ada data",T11&amp;"; ","")&amp;IF(N11="Belum ada data",U11&amp;"; ","")&amp;IF(O11="Belum ada data",V11&amp;"; ","")&amp;IF(P11="Belum ada data",W11&amp;"; ","")&amp;IF(K11="Cukup",R11&amp;"; ","")&amp;IF(L11="Cukup",S11&amp;"; ","")&amp;IF(M11="Cukup",T11&amp;"; ","")&amp;IF(N11="Cukup",U11&amp;"; ","")&amp;IF(O11="Cukup",V11&amp;"; ","")&amp;IF(P11="Cukup",W11&amp;"; ",""))</f>
        <v>layar IPS cukup, nyamannya OLED; </v>
      </c>
      <c r="Y11" s="33" t="str">
        <f aca="false">IF($A11="","",IF(K11="Nyaman","prosesor, ","")&amp;IF(L11="Nyaman","grafis, ","")&amp;IF(M11="Nyaman","RAM, ","")&amp;IF(N11="Nyaman","penyimpanan, ","")&amp;IF(O11="Nyaman","layar, ","")&amp;IF(P11="Nyaman","refresh rate, ",""))</f>
        <v>prosesor, grafis, RAM, penyimpanan, </v>
      </c>
      <c r="Z11" s="33" t="str">
        <f aca="false">IF($A11="","",IF(Q11="Tidak dinilai","Belum ada kriteria yang dinilai untuk kebutuhan ini.",IF(Q11="Cocok","Semua kriteria yang dinilai sudah nyaman: "&amp;LEFT(Y11,LEN(Y11)-2)&amp;".",UPPER(LEFT(X11,1))&amp;MID(X11,2,LEN(X11)-3)&amp;"."&amp;IF(Y11="",""," Sudah nyaman: "&amp;LEFT(Y11,LEN(Y11)-2)&amp;"."))))</f>
        <v>Layar IPS cukup, nyamannya OLED. Sudah nyaman: prosesor, grafis, RAM, penyimpanan.</v>
      </c>
      <c r="AA11" s="33"/>
      <c r="AB11" s="33"/>
      <c r="AC11" s="69"/>
    </row>
    <row r="12" customFormat="false" ht="15" hidden="false" customHeight="true" outlineLevel="0" collapsed="false">
      <c r="A12" s="33" t="str">
        <f aca="false">IF(Varian!$A6="","",Varian!$A6)</f>
        <v>hp-pavilion-x360-14-ek1005tu-i5-1335u-16-512</v>
      </c>
      <c r="B12" s="33" t="str">
        <f aca="false">IF($A12="","",Aturan!$A$23)</f>
        <v>Pemrograman</v>
      </c>
      <c r="C12" s="69" t="n">
        <f aca="false">IF($A12="","",IFERROR(IF(ISNUMBER(INDEX(CPU!$J$4:$J$64,MATCH(Varian!$J6,CPU!$A$4:$A$64,0))),INDEX(CPU!$J$4:$J$64,MATCH(Varian!$J6,CPU!$A$4:$A$64,0)),""),""))</f>
        <v>3</v>
      </c>
      <c r="D12" s="69" t="n">
        <f aca="false">IF($A12="","",IFERROR(IF(ISNUMBER(INDEX(GPU!$G$4:$G$64,MATCH(Varian!$K6,GPU!$A$4:$A$64,0))),INDEX(GPU!$G$4:$G$64,MATCH(Varian!$K6,GPU!$A$4:$A$64,0)),""),""))</f>
        <v>2</v>
      </c>
      <c r="E12" s="69" t="n">
        <f aca="false">IF($A12="","",IF(ISNUMBER(Varian!$M6),Varian!$M6,""))</f>
        <v>16</v>
      </c>
      <c r="F12" s="69" t="n">
        <f aca="false">IF($A12="","",IF(ISNUMBER(Varian!$V6),Varian!$V6,""))</f>
        <v>512</v>
      </c>
      <c r="G12" s="69" t="n">
        <f aca="false">IF($A12="","",IFERROR(INDEX(Aturan!$B$63:$B$66,MATCH(Varian!$AG6,Aturan!$A$63:$A$66,0)),""))</f>
        <v>3</v>
      </c>
      <c r="H12" s="69" t="str">
        <f aca="false">IF($A12="","",IF(ISNUMBER(Varian!$AI6),Varian!$AI6,""))</f>
        <v/>
      </c>
      <c r="I12" s="33" t="str">
        <f aca="false">IF($A12="","",IF(Varian!$Q6="disolder","menempel di papan utama, tidak bisa ditambah",IF(OR(Varian!$Q6="slot",Varian!$Q6="setengah_disolder"),IF(Varian!$Q6="setengah_disolder","sebagian menempel, ","")&amp;IF(ISNUMBER(Varian!$U6),IF(AND(ISNUMBER(Varian!$M6),Varian!$U6&gt;Varian!$M6),"bisa dinaikkan lewat slot sampai "&amp;Varian!$U6&amp;" GB","sudah di batas maksimal "&amp;Varian!$U6&amp;" GB"),"ada slot, batas maksimalnya belum diketahui"),"belum diketahui apakah bisa ditambah")))</f>
        <v>menempel di papan utama, tidak bisa ditambah</v>
      </c>
      <c r="J12" s="33" t="str">
        <f aca="false">IF($A12="","",IF(Varian!$Z6="ya","bisa diganti dengan yang lebih besar",IF(Varian!$Z6="tidak","menempel, tidak bisa diganti","belum diketahui apakah bisa diganti")))</f>
        <v>bisa diganti dengan yang lebih besar</v>
      </c>
      <c r="K12" s="70" t="str">
        <f aca="false">IF($A12="","",IF(AND(Aturan!$C$42="",Aturan!$D$42=""),"Tidak dinilai",IF(C12="","Belum ada data",IF(C12&lt;IF(Aturan!$C$42="",0,Aturan!$C$42),"Kurang",IF(C12&gt;=IF(Aturan!$D$42="",Aturan!$C$42,Aturan!$D$42),"Nyaman","Cukup")))))</f>
        <v>Nyaman</v>
      </c>
      <c r="L12" s="70" t="str">
        <f aca="false">IF($A12="","",IF(AND(Aturan!$C$43="",Aturan!$D$43=""),"Tidak dinilai",IF(D12="","Belum ada data",IF(D12&lt;IF(Aturan!$C$43="",0,Aturan!$C$43),"Kurang",IF(D12&gt;=IF(Aturan!$D$43="",Aturan!$C$43,Aturan!$D$43),"Nyaman","Cukup")))))</f>
        <v>Tidak dinilai</v>
      </c>
      <c r="M12" s="70" t="str">
        <f aca="false">IF($A12="","",IF(AND(Aturan!$C$44="",Aturan!$D$44=""),"Tidak dinilai",IF(E12="","Belum ada data",IF(E12&lt;IF(Aturan!$C$44="",0,Aturan!$C$44),"Kurang",IF(E12&gt;=IF(Aturan!$D$44="",Aturan!$C$44,Aturan!$D$44),"Nyaman","Cukup")))))</f>
        <v>Nyaman</v>
      </c>
      <c r="N12" s="70" t="str">
        <f aca="false">IF($A12="","",IF(AND(Aturan!$C$45="",Aturan!$D$45=""),"Tidak dinilai",IF(F12="","Belum ada data",IF(F12&lt;IF(Aturan!$C$45="",0,Aturan!$C$45),"Kurang",IF(F12&gt;=IF(Aturan!$D$45="",Aturan!$C$45,Aturan!$D$45),"Nyaman","Cukup")))))</f>
        <v>Nyaman</v>
      </c>
      <c r="O12" s="70" t="str">
        <f aca="false">IF($A12="","",IF(AND(Aturan!$C$46="",Aturan!$D$46=""),"Tidak dinilai",IF(G12="","Belum ada data",IF(G12&lt;IF(Aturan!$C$46="",0,Aturan!$C$46),"Kurang",IF(G12&gt;=IF(Aturan!$D$46="",Aturan!$C$46,Aturan!$D$46),"Nyaman","Cukup")))))</f>
        <v>Tidak dinilai</v>
      </c>
      <c r="P12" s="70" t="str">
        <f aca="false">IF($A12="","",IF(AND(Aturan!$C$47="",Aturan!$D$47=""),"Tidak dinilai",IF(H12="","Belum ada data",IF(H12&lt;IF(Aturan!$C$47="",0,Aturan!$C$47),"Kurang",IF(H12&gt;=IF(Aturan!$D$47="",Aturan!$C$47,Aturan!$D$47),"Nyaman","Cukup")))))</f>
        <v>Tidak dinilai</v>
      </c>
      <c r="Q12" s="70" t="str">
        <f aca="false">IF($A12="","",IF(COUNTIF(K12:P12,"Tidak dinilai")=6,"Tidak dinilai",IF(COUNTIF(K12:P12,"Kurang")&gt;0,"Kurang cocok",IF(COUNTIF(K12:P12,"Belum ada data")&gt;0,"Data belum lengkap",IF(COUNTIF(K12:P12,"Cukup")&gt;0,"Bisa, dengan catatan","Cocok")))))</f>
        <v>Cocok</v>
      </c>
      <c r="R12" s="33" t="str">
        <f aca="false">IF($A12="","",IF(K12="Kurang","prosesor tingkat "&amp;C12&amp;" dari 5, di bawah batas minimal (tingkat "&amp;Aturan!$C$42&amp;")",IF(K12="Cukup","prosesor tingkat "&amp;C12&amp;" dari 5 cukup, nyamannya mulai tingkat "&amp;Aturan!$D$42,IF(K12="Belum ada data","tingkat prosesor belum diisi",""))))</f>
        <v/>
      </c>
      <c r="S12" s="33" t="str">
        <f aca="false">IF($A12="","",IF(L12="Kurang","grafis tingkat "&amp;D12&amp;" dari 5, di bawah batas minimal (tingkat "&amp;Aturan!$C$43&amp;")",IF(L12="Cukup","grafis tingkat "&amp;D12&amp;" dari 5 cukup, nyamannya mulai tingkat "&amp;Aturan!$D$43,IF(L12="Belum ada data","tingkat grafis belum diisi",""))))</f>
        <v/>
      </c>
      <c r="T12" s="33" t="str">
        <f aca="false">IF($A12="","",IF(M12="Kurang","RAM "&amp;E12&amp;" GB, di bawah batas minimal "&amp;Aturan!$C$44&amp;" GB ("&amp;I12&amp;")",IF(M12="Cukup","RAM "&amp;E12&amp;" GB cukup, nyamannya "&amp;Aturan!$D$44&amp;" GB atau lebih ("&amp;I12&amp;")",IF(M12="Belum ada data","ukuran RAM belum diisi",""))))</f>
        <v/>
      </c>
      <c r="U12" s="33" t="str">
        <f aca="false">IF($A12="","",IF(N12="Kurang","penyimpanan "&amp;F12&amp;" GB, di bawah batas minimal "&amp;Aturan!$C$45&amp;" GB ("&amp;J12&amp;")",IF(N12="Cukup","penyimpanan "&amp;F12&amp;" GB cukup, nyamannya "&amp;Aturan!$D$45&amp;" GB atau lebih ("&amp;J12&amp;")",IF(N12="Belum ada data","ukuran penyimpanan belum diisi",""))))</f>
        <v/>
      </c>
      <c r="V12" s="33" t="str">
        <f aca="false">IF($A12="","",IF(O12="Kurang","layar "&amp;Varian!$AG6&amp;", di bawah batas minimal ("&amp;IFERROR(INDEX(Aturan!$A$63:$A$66,MATCH(Aturan!$C$46,Aturan!$B$63:$B$66,0)),"peringkat "&amp;Aturan!$C$46)&amp;")",IF(O12="Cukup","layar "&amp;Varian!$AG6&amp;" cukup, nyamannya "&amp;IFERROR(INDEX(Aturan!$A$63:$A$66,MATCH(Aturan!$D$46,Aturan!$B$63:$B$66,0)),"peringkat "&amp;Aturan!$D$46),IF(O12="Belum ada data","jenis layar belum diketahui",""))))</f>
        <v/>
      </c>
      <c r="W12" s="33" t="str">
        <f aca="false">IF($A12="","",IF(P12="Kurang","layar "&amp;H12&amp;" Hz, di bawah batas minimal "&amp;Aturan!$C$47&amp;" Hz",IF(P12="Cukup","layar "&amp;H12&amp;" Hz cukup, nyamannya "&amp;Aturan!$D$47&amp;" Hz atau lebih",IF(P12="Belum ada data","refresh rate belum diketahui",""))))</f>
        <v/>
      </c>
      <c r="X12" s="33" t="str">
        <f aca="false">IF($A12="","",IF(K12="Kurang",R12&amp;"; ","")&amp;IF(L12="Kurang",S12&amp;"; ","")&amp;IF(M12="Kurang",T12&amp;"; ","")&amp;IF(N12="Kurang",U12&amp;"; ","")&amp;IF(O12="Kurang",V12&amp;"; ","")&amp;IF(P12="Kurang",W12&amp;"; ","")&amp;IF(K12="Belum ada data",R12&amp;"; ","")&amp;IF(L12="Belum ada data",S12&amp;"; ","")&amp;IF(M12="Belum ada data",T12&amp;"; ","")&amp;IF(N12="Belum ada data",U12&amp;"; ","")&amp;IF(O12="Belum ada data",V12&amp;"; ","")&amp;IF(P12="Belum ada data",W12&amp;"; ","")&amp;IF(K12="Cukup",R12&amp;"; ","")&amp;IF(L12="Cukup",S12&amp;"; ","")&amp;IF(M12="Cukup",T12&amp;"; ","")&amp;IF(N12="Cukup",U12&amp;"; ","")&amp;IF(O12="Cukup",V12&amp;"; ","")&amp;IF(P12="Cukup",W12&amp;"; ",""))</f>
        <v/>
      </c>
      <c r="Y12" s="33" t="str">
        <f aca="false">IF($A12="","",IF(K12="Nyaman","prosesor, ","")&amp;IF(L12="Nyaman","grafis, ","")&amp;IF(M12="Nyaman","RAM, ","")&amp;IF(N12="Nyaman","penyimpanan, ","")&amp;IF(O12="Nyaman","layar, ","")&amp;IF(P12="Nyaman","refresh rate, ",""))</f>
        <v>prosesor, RAM, penyimpanan, </v>
      </c>
      <c r="Z12" s="33" t="str">
        <f aca="false">IF($A12="","",IF(Q12="Tidak dinilai","Belum ada kriteria yang dinilai untuk kebutuhan ini.",IF(Q12="Cocok","Semua kriteria yang dinilai sudah nyaman: "&amp;LEFT(Y12,LEN(Y12)-2)&amp;".",UPPER(LEFT(X12,1))&amp;MID(X12,2,LEN(X12)-3)&amp;"."&amp;IF(Y12="",""," Sudah nyaman: "&amp;LEFT(Y12,LEN(Y12)-2)&amp;"."))))</f>
        <v>Semua kriteria yang dinilai sudah nyaman: prosesor, RAM, penyimpanan.</v>
      </c>
      <c r="AA12" s="33"/>
      <c r="AB12" s="33"/>
      <c r="AC12" s="69"/>
    </row>
    <row r="13" customFormat="false" ht="15" hidden="false" customHeight="true" outlineLevel="0" collapsed="false">
      <c r="A13" s="33" t="str">
        <f aca="false">IF(Varian!$A6="","",Varian!$A6)</f>
        <v>hp-pavilion-x360-14-ek1005tu-i5-1335u-16-512</v>
      </c>
      <c r="B13" s="33" t="str">
        <f aca="false">IF($A13="","",Aturan!$A$24)</f>
        <v>Game ringan</v>
      </c>
      <c r="C13" s="69" t="n">
        <f aca="false">IF($A13="","",IFERROR(IF(ISNUMBER(INDEX(CPU!$J$4:$J$64,MATCH(Varian!$J6,CPU!$A$4:$A$64,0))),INDEX(CPU!$J$4:$J$64,MATCH(Varian!$J6,CPU!$A$4:$A$64,0)),""),""))</f>
        <v>3</v>
      </c>
      <c r="D13" s="69" t="n">
        <f aca="false">IF($A13="","",IFERROR(IF(ISNUMBER(INDEX(GPU!$G$4:$G$64,MATCH(Varian!$K6,GPU!$A$4:$A$64,0))),INDEX(GPU!$G$4:$G$64,MATCH(Varian!$K6,GPU!$A$4:$A$64,0)),""),""))</f>
        <v>2</v>
      </c>
      <c r="E13" s="69" t="n">
        <f aca="false">IF($A13="","",IF(ISNUMBER(Varian!$M6),Varian!$M6,""))</f>
        <v>16</v>
      </c>
      <c r="F13" s="69" t="n">
        <f aca="false">IF($A13="","",IF(ISNUMBER(Varian!$V6),Varian!$V6,""))</f>
        <v>512</v>
      </c>
      <c r="G13" s="69" t="n">
        <f aca="false">IF($A13="","",IFERROR(INDEX(Aturan!$B$63:$B$66,MATCH(Varian!$AG6,Aturan!$A$63:$A$66,0)),""))</f>
        <v>3</v>
      </c>
      <c r="H13" s="69" t="str">
        <f aca="false">IF($A13="","",IF(ISNUMBER(Varian!$AI6),Varian!$AI6,""))</f>
        <v/>
      </c>
      <c r="I13" s="33" t="str">
        <f aca="false">IF($A13="","",IF(Varian!$Q6="disolder","menempel di papan utama, tidak bisa ditambah",IF(OR(Varian!$Q6="slot",Varian!$Q6="setengah_disolder"),IF(Varian!$Q6="setengah_disolder","sebagian menempel, ","")&amp;IF(ISNUMBER(Varian!$U6),IF(AND(ISNUMBER(Varian!$M6),Varian!$U6&gt;Varian!$M6),"bisa dinaikkan lewat slot sampai "&amp;Varian!$U6&amp;" GB","sudah di batas maksimal "&amp;Varian!$U6&amp;" GB"),"ada slot, batas maksimalnya belum diketahui"),"belum diketahui apakah bisa ditambah")))</f>
        <v>menempel di papan utama, tidak bisa ditambah</v>
      </c>
      <c r="J13" s="33" t="str">
        <f aca="false">IF($A13="","",IF(Varian!$Z6="ya","bisa diganti dengan yang lebih besar",IF(Varian!$Z6="tidak","menempel, tidak bisa diganti","belum diketahui apakah bisa diganti")))</f>
        <v>bisa diganti dengan yang lebih besar</v>
      </c>
      <c r="K13" s="70" t="str">
        <f aca="false">IF($A13="","",IF(AND(Aturan!$C$48="",Aturan!$D$48=""),"Tidak dinilai",IF(C13="","Belum ada data",IF(C13&lt;IF(Aturan!$C$48="",0,Aturan!$C$48),"Kurang",IF(C13&gt;=IF(Aturan!$D$48="",Aturan!$C$48,Aturan!$D$48),"Nyaman","Cukup")))))</f>
        <v>Nyaman</v>
      </c>
      <c r="L13" s="70" t="str">
        <f aca="false">IF($A13="","",IF(AND(Aturan!$C$49="",Aturan!$D$49=""),"Tidak dinilai",IF(D13="","Belum ada data",IF(D13&lt;IF(Aturan!$C$49="",0,Aturan!$C$49),"Kurang",IF(D13&gt;=IF(Aturan!$D$49="",Aturan!$C$49,Aturan!$D$49),"Nyaman","Cukup")))))</f>
        <v>Nyaman</v>
      </c>
      <c r="M13" s="70" t="str">
        <f aca="false">IF($A13="","",IF(AND(Aturan!$C$50="",Aturan!$D$50=""),"Tidak dinilai",IF(E13="","Belum ada data",IF(E13&lt;IF(Aturan!$C$50="",0,Aturan!$C$50),"Kurang",IF(E13&gt;=IF(Aturan!$D$50="",Aturan!$C$50,Aturan!$D$50),"Nyaman","Cukup")))))</f>
        <v>Nyaman</v>
      </c>
      <c r="N13" s="70" t="str">
        <f aca="false">IF($A13="","",IF(AND(Aturan!$C$51="",Aturan!$D$51=""),"Tidak dinilai",IF(F13="","Belum ada data",IF(F13&lt;IF(Aturan!$C$51="",0,Aturan!$C$51),"Kurang",IF(F13&gt;=IF(Aturan!$D$51="",Aturan!$C$51,Aturan!$D$51),"Nyaman","Cukup")))))</f>
        <v>Nyaman</v>
      </c>
      <c r="O13" s="70" t="str">
        <f aca="false">IF($A13="","",IF(AND(Aturan!$C$52="",Aturan!$D$52=""),"Tidak dinilai",IF(G13="","Belum ada data",IF(G13&lt;IF(Aturan!$C$52="",0,Aturan!$C$52),"Kurang",IF(G13&gt;=IF(Aturan!$D$52="",Aturan!$C$52,Aturan!$D$52),"Nyaman","Cukup")))))</f>
        <v>Tidak dinilai</v>
      </c>
      <c r="P13" s="70" t="str">
        <f aca="false">IF($A13="","",IF(AND(Aturan!$C$53="",Aturan!$D$53=""),"Tidak dinilai",IF(H13="","Belum ada data",IF(H13&lt;IF(Aturan!$C$53="",0,Aturan!$C$53),"Kurang",IF(H13&gt;=IF(Aturan!$D$53="",Aturan!$C$53,Aturan!$D$53),"Nyaman","Cukup")))))</f>
        <v>Tidak dinilai</v>
      </c>
      <c r="Q13" s="70" t="str">
        <f aca="false">IF($A13="","",IF(COUNTIF(K13:P13,"Tidak dinilai")=6,"Tidak dinilai",IF(COUNTIF(K13:P13,"Kurang")&gt;0,"Kurang cocok",IF(COUNTIF(K13:P13,"Belum ada data")&gt;0,"Data belum lengkap",IF(COUNTIF(K13:P13,"Cukup")&gt;0,"Bisa, dengan catatan","Cocok")))))</f>
        <v>Cocok</v>
      </c>
      <c r="R13" s="33" t="str">
        <f aca="false">IF($A13="","",IF(K13="Kurang","prosesor tingkat "&amp;C13&amp;" dari 5, di bawah batas minimal (tingkat "&amp;Aturan!$C$48&amp;")",IF(K13="Cukup","prosesor tingkat "&amp;C13&amp;" dari 5 cukup, nyamannya mulai tingkat "&amp;Aturan!$D$48,IF(K13="Belum ada data","tingkat prosesor belum diisi",""))))</f>
        <v/>
      </c>
      <c r="S13" s="33" t="str">
        <f aca="false">IF($A13="","",IF(L13="Kurang","grafis tingkat "&amp;D13&amp;" dari 5, di bawah batas minimal (tingkat "&amp;Aturan!$C$49&amp;")",IF(L13="Cukup","grafis tingkat "&amp;D13&amp;" dari 5 cukup, nyamannya mulai tingkat "&amp;Aturan!$D$49,IF(L13="Belum ada data","tingkat grafis belum diisi",""))))</f>
        <v/>
      </c>
      <c r="T13" s="33" t="str">
        <f aca="false">IF($A13="","",IF(M13="Kurang","RAM "&amp;E13&amp;" GB, di bawah batas minimal "&amp;Aturan!$C$50&amp;" GB ("&amp;I13&amp;")",IF(M13="Cukup","RAM "&amp;E13&amp;" GB cukup, nyamannya "&amp;Aturan!$D$50&amp;" GB atau lebih ("&amp;I13&amp;")",IF(M13="Belum ada data","ukuran RAM belum diisi",""))))</f>
        <v/>
      </c>
      <c r="U13" s="33" t="str">
        <f aca="false">IF($A13="","",IF(N13="Kurang","penyimpanan "&amp;F13&amp;" GB, di bawah batas minimal "&amp;Aturan!$C$51&amp;" GB ("&amp;J13&amp;")",IF(N13="Cukup","penyimpanan "&amp;F13&amp;" GB cukup, nyamannya "&amp;Aturan!$D$51&amp;" GB atau lebih ("&amp;J13&amp;")",IF(N13="Belum ada data","ukuran penyimpanan belum diisi",""))))</f>
        <v/>
      </c>
      <c r="V13" s="33" t="str">
        <f aca="false">IF($A13="","",IF(O13="Kurang","layar "&amp;Varian!$AG6&amp;", di bawah batas minimal ("&amp;IFERROR(INDEX(Aturan!$A$63:$A$66,MATCH(Aturan!$C$52,Aturan!$B$63:$B$66,0)),"peringkat "&amp;Aturan!$C$52)&amp;")",IF(O13="Cukup","layar "&amp;Varian!$AG6&amp;" cukup, nyamannya "&amp;IFERROR(INDEX(Aturan!$A$63:$A$66,MATCH(Aturan!$D$52,Aturan!$B$63:$B$66,0)),"peringkat "&amp;Aturan!$D$52),IF(O13="Belum ada data","jenis layar belum diketahui",""))))</f>
        <v/>
      </c>
      <c r="W13" s="33" t="str">
        <f aca="false">IF($A13="","",IF(P13="Kurang","layar "&amp;H13&amp;" Hz, di bawah batas minimal "&amp;Aturan!$C$53&amp;" Hz",IF(P13="Cukup","layar "&amp;H13&amp;" Hz cukup, nyamannya "&amp;Aturan!$D$53&amp;" Hz atau lebih",IF(P13="Belum ada data","refresh rate belum diketahui",""))))</f>
        <v/>
      </c>
      <c r="X13" s="33" t="str">
        <f aca="false">IF($A13="","",IF(K13="Kurang",R13&amp;"; ","")&amp;IF(L13="Kurang",S13&amp;"; ","")&amp;IF(M13="Kurang",T13&amp;"; ","")&amp;IF(N13="Kurang",U13&amp;"; ","")&amp;IF(O13="Kurang",V13&amp;"; ","")&amp;IF(P13="Kurang",W13&amp;"; ","")&amp;IF(K13="Belum ada data",R13&amp;"; ","")&amp;IF(L13="Belum ada data",S13&amp;"; ","")&amp;IF(M13="Belum ada data",T13&amp;"; ","")&amp;IF(N13="Belum ada data",U13&amp;"; ","")&amp;IF(O13="Belum ada data",V13&amp;"; ","")&amp;IF(P13="Belum ada data",W13&amp;"; ","")&amp;IF(K13="Cukup",R13&amp;"; ","")&amp;IF(L13="Cukup",S13&amp;"; ","")&amp;IF(M13="Cukup",T13&amp;"; ","")&amp;IF(N13="Cukup",U13&amp;"; ","")&amp;IF(O13="Cukup",V13&amp;"; ","")&amp;IF(P13="Cukup",W13&amp;"; ",""))</f>
        <v/>
      </c>
      <c r="Y13" s="33" t="str">
        <f aca="false">IF($A13="","",IF(K13="Nyaman","prosesor, ","")&amp;IF(L13="Nyaman","grafis, ","")&amp;IF(M13="Nyaman","RAM, ","")&amp;IF(N13="Nyaman","penyimpanan, ","")&amp;IF(O13="Nyaman","layar, ","")&amp;IF(P13="Nyaman","refresh rate, ",""))</f>
        <v>prosesor, grafis, RAM, penyimpanan, </v>
      </c>
      <c r="Z13" s="33" t="str">
        <f aca="false">IF($A13="","",IF(Q13="Tidak dinilai","Belum ada kriteria yang dinilai untuk kebutuhan ini.",IF(Q13="Cocok","Semua kriteria yang dinilai sudah nyaman: "&amp;LEFT(Y13,LEN(Y13)-2)&amp;".",UPPER(LEFT(X13,1))&amp;MID(X13,2,LEN(X13)-3)&amp;"."&amp;IF(Y13="",""," Sudah nyaman: "&amp;LEFT(Y13,LEN(Y13)-2)&amp;"."))))</f>
        <v>Semua kriteria yang dinilai sudah nyaman: prosesor, grafis, RAM, penyimpanan.</v>
      </c>
      <c r="AA13" s="33"/>
      <c r="AB13" s="33"/>
      <c r="AC13" s="69"/>
    </row>
    <row r="14" customFormat="false" ht="15" hidden="false" customHeight="true" outlineLevel="0" collapsed="false">
      <c r="A14" s="33" t="str">
        <f aca="false">IF(Varian!$A6="","",Varian!$A6)</f>
        <v>hp-pavilion-x360-14-ek1005tu-i5-1335u-16-512</v>
      </c>
      <c r="B14" s="33" t="str">
        <f aca="false">IF($A14="","",Aturan!$A$25)</f>
        <v>Game berat</v>
      </c>
      <c r="C14" s="69" t="n">
        <f aca="false">IF($A14="","",IFERROR(IF(ISNUMBER(INDEX(CPU!$J$4:$J$64,MATCH(Varian!$J6,CPU!$A$4:$A$64,0))),INDEX(CPU!$J$4:$J$64,MATCH(Varian!$J6,CPU!$A$4:$A$64,0)),""),""))</f>
        <v>3</v>
      </c>
      <c r="D14" s="69" t="n">
        <f aca="false">IF($A14="","",IFERROR(IF(ISNUMBER(INDEX(GPU!$G$4:$G$64,MATCH(Varian!$K6,GPU!$A$4:$A$64,0))),INDEX(GPU!$G$4:$G$64,MATCH(Varian!$K6,GPU!$A$4:$A$64,0)),""),""))</f>
        <v>2</v>
      </c>
      <c r="E14" s="69" t="n">
        <f aca="false">IF($A14="","",IF(ISNUMBER(Varian!$M6),Varian!$M6,""))</f>
        <v>16</v>
      </c>
      <c r="F14" s="69" t="n">
        <f aca="false">IF($A14="","",IF(ISNUMBER(Varian!$V6),Varian!$V6,""))</f>
        <v>512</v>
      </c>
      <c r="G14" s="69" t="n">
        <f aca="false">IF($A14="","",IFERROR(INDEX(Aturan!$B$63:$B$66,MATCH(Varian!$AG6,Aturan!$A$63:$A$66,0)),""))</f>
        <v>3</v>
      </c>
      <c r="H14" s="69" t="str">
        <f aca="false">IF($A14="","",IF(ISNUMBER(Varian!$AI6),Varian!$AI6,""))</f>
        <v/>
      </c>
      <c r="I14" s="33" t="str">
        <f aca="false">IF($A14="","",IF(Varian!$Q6="disolder","menempel di papan utama, tidak bisa ditambah",IF(OR(Varian!$Q6="slot",Varian!$Q6="setengah_disolder"),IF(Varian!$Q6="setengah_disolder","sebagian menempel, ","")&amp;IF(ISNUMBER(Varian!$U6),IF(AND(ISNUMBER(Varian!$M6),Varian!$U6&gt;Varian!$M6),"bisa dinaikkan lewat slot sampai "&amp;Varian!$U6&amp;" GB","sudah di batas maksimal "&amp;Varian!$U6&amp;" GB"),"ada slot, batas maksimalnya belum diketahui"),"belum diketahui apakah bisa ditambah")))</f>
        <v>menempel di papan utama, tidak bisa ditambah</v>
      </c>
      <c r="J14" s="33" t="str">
        <f aca="false">IF($A14="","",IF(Varian!$Z6="ya","bisa diganti dengan yang lebih besar",IF(Varian!$Z6="tidak","menempel, tidak bisa diganti","belum diketahui apakah bisa diganti")))</f>
        <v>bisa diganti dengan yang lebih besar</v>
      </c>
      <c r="K14" s="70" t="str">
        <f aca="false">IF($A14="","",IF(AND(Aturan!$C$54="",Aturan!$D$54=""),"Tidak dinilai",IF(C14="","Belum ada data",IF(C14&lt;IF(Aturan!$C$54="",0,Aturan!$C$54),"Kurang",IF(C14&gt;=IF(Aturan!$D$54="",Aturan!$C$54,Aturan!$D$54),"Nyaman","Cukup")))))</f>
        <v>Cukup</v>
      </c>
      <c r="L14" s="70" t="str">
        <f aca="false">IF($A14="","",IF(AND(Aturan!$C$55="",Aturan!$D$55=""),"Tidak dinilai",IF(D14="","Belum ada data",IF(D14&lt;IF(Aturan!$C$55="",0,Aturan!$C$55),"Kurang",IF(D14&gt;=IF(Aturan!$D$55="",Aturan!$C$55,Aturan!$D$55),"Nyaman","Cukup")))))</f>
        <v>Kurang</v>
      </c>
      <c r="M14" s="70" t="str">
        <f aca="false">IF($A14="","",IF(AND(Aturan!$C$56="",Aturan!$D$56=""),"Tidak dinilai",IF(E14="","Belum ada data",IF(E14&lt;IF(Aturan!$C$56="",0,Aturan!$C$56),"Kurang",IF(E14&gt;=IF(Aturan!$D$56="",Aturan!$C$56,Aturan!$D$56),"Nyaman","Cukup")))))</f>
        <v>Nyaman</v>
      </c>
      <c r="N14" s="70" t="str">
        <f aca="false">IF($A14="","",IF(AND(Aturan!$C$57="",Aturan!$D$57=""),"Tidak dinilai",IF(F14="","Belum ada data",IF(F14&lt;IF(Aturan!$C$57="",0,Aturan!$C$57),"Kurang",IF(F14&gt;=IF(Aturan!$D$57="",Aturan!$C$57,Aturan!$D$57),"Nyaman","Cukup")))))</f>
        <v>Cukup</v>
      </c>
      <c r="O14" s="70" t="str">
        <f aca="false">IF($A14="","",IF(AND(Aturan!$C$58="",Aturan!$D$58=""),"Tidak dinilai",IF(G14="","Belum ada data",IF(G14&lt;IF(Aturan!$C$58="",0,Aturan!$C$58),"Kurang",IF(G14&gt;=IF(Aturan!$D$58="",Aturan!$C$58,Aturan!$D$58),"Nyaman","Cukup")))))</f>
        <v>Tidak dinilai</v>
      </c>
      <c r="P14" s="70" t="str">
        <f aca="false">IF($A14="","",IF(AND(Aturan!$C$59="",Aturan!$D$59=""),"Tidak dinilai",IF(H14="","Belum ada data",IF(H14&lt;IF(Aturan!$C$59="",0,Aturan!$C$59),"Kurang",IF(H14&gt;=IF(Aturan!$D$59="",Aturan!$C$59,Aturan!$D$59),"Nyaman","Cukup")))))</f>
        <v>Belum ada data</v>
      </c>
      <c r="Q14" s="70" t="str">
        <f aca="false">IF($A14="","",IF(COUNTIF(K14:P14,"Tidak dinilai")=6,"Tidak dinilai",IF(COUNTIF(K14:P14,"Kurang")&gt;0,"Kurang cocok",IF(COUNTIF(K14:P14,"Belum ada data")&gt;0,"Data belum lengkap",IF(COUNTIF(K14:P14,"Cukup")&gt;0,"Bisa, dengan catatan","Cocok")))))</f>
        <v>Kurang cocok</v>
      </c>
      <c r="R14" s="33" t="str">
        <f aca="false">IF($A14="","",IF(K14="Kurang","prosesor tingkat "&amp;C14&amp;" dari 5, di bawah batas minimal (tingkat "&amp;Aturan!$C$54&amp;")",IF(K14="Cukup","prosesor tingkat "&amp;C14&amp;" dari 5 cukup, nyamannya mulai tingkat "&amp;Aturan!$D$54,IF(K14="Belum ada data","tingkat prosesor belum diisi",""))))</f>
        <v>prosesor tingkat 3 dari 5 cukup, nyamannya mulai tingkat 4</v>
      </c>
      <c r="S14" s="33" t="str">
        <f aca="false">IF($A14="","",IF(L14="Kurang","grafis tingkat "&amp;D14&amp;" dari 5, di bawah batas minimal (tingkat "&amp;Aturan!$C$55&amp;")",IF(L14="Cukup","grafis tingkat "&amp;D14&amp;" dari 5 cukup, nyamannya mulai tingkat "&amp;Aturan!$D$55,IF(L14="Belum ada data","tingkat grafis belum diisi",""))))</f>
        <v>grafis tingkat 2 dari 5, di bawah batas minimal (tingkat 3)</v>
      </c>
      <c r="T14" s="33" t="str">
        <f aca="false">IF($A14="","",IF(M14="Kurang","RAM "&amp;E14&amp;" GB, di bawah batas minimal "&amp;Aturan!$C$56&amp;" GB ("&amp;I14&amp;")",IF(M14="Cukup","RAM "&amp;E14&amp;" GB cukup, nyamannya "&amp;Aturan!$D$56&amp;" GB atau lebih ("&amp;I14&amp;")",IF(M14="Belum ada data","ukuran RAM belum diisi",""))))</f>
        <v/>
      </c>
      <c r="U14" s="33" t="str">
        <f aca="false">IF($A14="","",IF(N14="Kurang","penyimpanan "&amp;F14&amp;" GB, di bawah batas minimal "&amp;Aturan!$C$57&amp;" GB ("&amp;J14&amp;")",IF(N14="Cukup","penyimpanan "&amp;F14&amp;" GB cukup, nyamannya "&amp;Aturan!$D$57&amp;" GB atau lebih ("&amp;J14&amp;")",IF(N14="Belum ada data","ukuran penyimpanan belum diisi",""))))</f>
        <v>penyimpanan 512 GB cukup, nyamannya 1000 GB atau lebih (bisa diganti dengan yang lebih besar)</v>
      </c>
      <c r="V14" s="33" t="str">
        <f aca="false">IF($A14="","",IF(O14="Kurang","layar "&amp;Varian!$AG6&amp;", di bawah batas minimal ("&amp;IFERROR(INDEX(Aturan!$A$63:$A$66,MATCH(Aturan!$C$58,Aturan!$B$63:$B$66,0)),"peringkat "&amp;Aturan!$C$58)&amp;")",IF(O14="Cukup","layar "&amp;Varian!$AG6&amp;" cukup, nyamannya "&amp;IFERROR(INDEX(Aturan!$A$63:$A$66,MATCH(Aturan!$D$58,Aturan!$B$63:$B$66,0)),"peringkat "&amp;Aturan!$D$58),IF(O14="Belum ada data","jenis layar belum diketahui",""))))</f>
        <v/>
      </c>
      <c r="W14" s="33" t="str">
        <f aca="false">IF($A14="","",IF(P14="Kurang","layar "&amp;H14&amp;" Hz, di bawah batas minimal "&amp;Aturan!$C$59&amp;" Hz",IF(P14="Cukup","layar "&amp;H14&amp;" Hz cukup, nyamannya "&amp;Aturan!$D$59&amp;" Hz atau lebih",IF(P14="Belum ada data","refresh rate belum diketahui",""))))</f>
        <v>refresh rate belum diketahui</v>
      </c>
      <c r="X14" s="33" t="str">
        <f aca="false">IF($A14="","",IF(K14="Kurang",R14&amp;"; ","")&amp;IF(L14="Kurang",S14&amp;"; ","")&amp;IF(M14="Kurang",T14&amp;"; ","")&amp;IF(N14="Kurang",U14&amp;"; ","")&amp;IF(O14="Kurang",V14&amp;"; ","")&amp;IF(P14="Kurang",W14&amp;"; ","")&amp;IF(K14="Belum ada data",R14&amp;"; ","")&amp;IF(L14="Belum ada data",S14&amp;"; ","")&amp;IF(M14="Belum ada data",T14&amp;"; ","")&amp;IF(N14="Belum ada data",U14&amp;"; ","")&amp;IF(O14="Belum ada data",V14&amp;"; ","")&amp;IF(P14="Belum ada data",W14&amp;"; ","")&amp;IF(K14="Cukup",R14&amp;"; ","")&amp;IF(L14="Cukup",S14&amp;"; ","")&amp;IF(M14="Cukup",T14&amp;"; ","")&amp;IF(N14="Cukup",U14&amp;"; ","")&amp;IF(O14="Cukup",V14&amp;"; ","")&amp;IF(P14="Cukup",W14&amp;"; ",""))</f>
        <v>grafis tingkat 2 dari 5, di bawah batas minimal (tingkat 3); refresh rate belum diketahui; prosesor tingkat 3 dari 5 cukup, nyamannya mulai tingkat 4; penyimpanan 512 GB cukup, nyamannya 1000 GB atau lebih (bisa diganti dengan yang lebih besar); </v>
      </c>
      <c r="Y14" s="33" t="str">
        <f aca="false">IF($A14="","",IF(K14="Nyaman","prosesor, ","")&amp;IF(L14="Nyaman","grafis, ","")&amp;IF(M14="Nyaman","RAM, ","")&amp;IF(N14="Nyaman","penyimpanan, ","")&amp;IF(O14="Nyaman","layar, ","")&amp;IF(P14="Nyaman","refresh rate, ",""))</f>
        <v>RAM, </v>
      </c>
      <c r="Z14" s="33" t="str">
        <f aca="false">IF($A14="","",IF(Q14="Tidak dinilai","Belum ada kriteria yang dinilai untuk kebutuhan ini.",IF(Q14="Cocok","Semua kriteria yang dinilai sudah nyaman: "&amp;LEFT(Y14,LEN(Y14)-2)&amp;".",UPPER(LEFT(X14,1))&amp;MID(X14,2,LEN(X14)-3)&amp;"."&amp;IF(Y14="",""," Sudah nyaman: "&amp;LEFT(Y14,LEN(Y14)-2)&amp;"."))))</f>
        <v>Grafis tingkat 2 dari 5, di bawah batas minimal (tingkat 3); refresh rate belum diketahui; prosesor tingkat 3 dari 5 cukup, nyamannya mulai tingkat 4; penyimpanan 512 GB cukup, nyamannya 1000 GB atau lebih (bisa diganti dengan yang lebih besar). Sudah nyaman: RAM.</v>
      </c>
      <c r="AA14" s="33"/>
      <c r="AB14" s="33"/>
      <c r="AC14" s="69"/>
    </row>
    <row r="15" customFormat="false" ht="15" hidden="false" customHeight="true" outlineLevel="0" collapsed="false">
      <c r="A15" s="66" t="str">
        <f aca="false">IF(Varian!$A7="","",Varian!$A7)</f>
        <v>axioo-hype-10-n4020-8-256-w11</v>
      </c>
      <c r="B15" s="66" t="str">
        <f aca="false">IF($A15="","",Aturan!$A$21)</f>
        <v>Kuliah dan kantor</v>
      </c>
      <c r="C15" s="67" t="n">
        <f aca="false">IF($A15="","",IFERROR(IF(ISNUMBER(INDEX(CPU!$J$4:$J$64,MATCH(Varian!$J7,CPU!$A$4:$A$64,0))),INDEX(CPU!$J$4:$J$64,MATCH(Varian!$J7,CPU!$A$4:$A$64,0)),""),""))</f>
        <v>1</v>
      </c>
      <c r="D15" s="67" t="n">
        <f aca="false">IF($A15="","",IFERROR(IF(ISNUMBER(INDEX(GPU!$G$4:$G$64,MATCH(Varian!$K7,GPU!$A$4:$A$64,0))),INDEX(GPU!$G$4:$G$64,MATCH(Varian!$K7,GPU!$A$4:$A$64,0)),""),""))</f>
        <v>1</v>
      </c>
      <c r="E15" s="67" t="n">
        <f aca="false">IF($A15="","",IF(ISNUMBER(Varian!$M7),Varian!$M7,""))</f>
        <v>8</v>
      </c>
      <c r="F15" s="67" t="n">
        <f aca="false">IF($A15="","",IF(ISNUMBER(Varian!$V7),Varian!$V7,""))</f>
        <v>256</v>
      </c>
      <c r="G15" s="67" t="n">
        <f aca="false">IF($A15="","",IFERROR(INDEX(Aturan!$B$63:$B$66,MATCH(Varian!$AG7,Aturan!$A$63:$A$66,0)),""))</f>
        <v>1</v>
      </c>
      <c r="H15" s="67" t="n">
        <f aca="false">IF($A15="","",IF(ISNUMBER(Varian!$AI7),Varian!$AI7,""))</f>
        <v>60</v>
      </c>
      <c r="I15" s="66" t="str">
        <f aca="false">IF($A15="","",IF(Varian!$Q7="disolder","menempel di papan utama, tidak bisa ditambah",IF(OR(Varian!$Q7="slot",Varian!$Q7="setengah_disolder"),IF(Varian!$Q7="setengah_disolder","sebagian menempel, ","")&amp;IF(ISNUMBER(Varian!$U7),IF(AND(ISNUMBER(Varian!$M7),Varian!$U7&gt;Varian!$M7),"bisa dinaikkan lewat slot sampai "&amp;Varian!$U7&amp;" GB","sudah di batas maksimal "&amp;Varian!$U7&amp;" GB"),"ada slot, batas maksimalnya belum diketahui"),"belum diketahui apakah bisa ditambah")))</f>
        <v>sudah di batas maksimal 8 GB</v>
      </c>
      <c r="J15" s="66" t="str">
        <f aca="false">IF($A15="","",IF(Varian!$Z7="ya","bisa diganti dengan yang lebih besar",IF(Varian!$Z7="tidak","menempel, tidak bisa diganti","belum diketahui apakah bisa diganti")))</f>
        <v>bisa diganti dengan yang lebih besar</v>
      </c>
      <c r="K15" s="68" t="str">
        <f aca="false">IF($A15="","",IF(AND(Aturan!$C$30="",Aturan!$D$30=""),"Tidak dinilai",IF(C15="","Belum ada data",IF(C15&lt;IF(Aturan!$C$30="",0,Aturan!$C$30),"Kurang",IF(C15&gt;=IF(Aturan!$D$30="",Aturan!$C$30,Aturan!$D$30),"Nyaman","Cukup")))))</f>
        <v>Cukup</v>
      </c>
      <c r="L15" s="68" t="str">
        <f aca="false">IF($A15="","",IF(AND(Aturan!$C$31="",Aturan!$D$31=""),"Tidak dinilai",IF(D15="","Belum ada data",IF(D15&lt;IF(Aturan!$C$31="",0,Aturan!$C$31),"Kurang",IF(D15&gt;=IF(Aturan!$D$31="",Aturan!$C$31,Aturan!$D$31),"Nyaman","Cukup")))))</f>
        <v>Tidak dinilai</v>
      </c>
      <c r="M15" s="68" t="str">
        <f aca="false">IF($A15="","",IF(AND(Aturan!$C$32="",Aturan!$D$32=""),"Tidak dinilai",IF(E15="","Belum ada data",IF(E15&lt;IF(Aturan!$C$32="",0,Aturan!$C$32),"Kurang",IF(E15&gt;=IF(Aturan!$D$32="",Aturan!$C$32,Aturan!$D$32),"Nyaman","Cukup")))))</f>
        <v>Nyaman</v>
      </c>
      <c r="N15" s="68" t="str">
        <f aca="false">IF($A15="","",IF(AND(Aturan!$C$33="",Aturan!$D$33=""),"Tidak dinilai",IF(F15="","Belum ada data",IF(F15&lt;IF(Aturan!$C$33="",0,Aturan!$C$33),"Kurang",IF(F15&gt;=IF(Aturan!$D$33="",Aturan!$C$33,Aturan!$D$33),"Nyaman","Cukup")))))</f>
        <v>Nyaman</v>
      </c>
      <c r="O15" s="68" t="str">
        <f aca="false">IF($A15="","",IF(AND(Aturan!$C$34="",Aturan!$D$34=""),"Tidak dinilai",IF(G15="","Belum ada data",IF(G15&lt;IF(Aturan!$C$34="",0,Aturan!$C$34),"Kurang",IF(G15&gt;=IF(Aturan!$D$34="",Aturan!$C$34,Aturan!$D$34),"Nyaman","Cukup")))))</f>
        <v>Tidak dinilai</v>
      </c>
      <c r="P15" s="68" t="str">
        <f aca="false">IF($A15="","",IF(AND(Aturan!$C$35="",Aturan!$D$35=""),"Tidak dinilai",IF(H15="","Belum ada data",IF(H15&lt;IF(Aturan!$C$35="",0,Aturan!$C$35),"Kurang",IF(H15&gt;=IF(Aturan!$D$35="",Aturan!$C$35,Aturan!$D$35),"Nyaman","Cukup")))))</f>
        <v>Tidak dinilai</v>
      </c>
      <c r="Q15" s="68" t="str">
        <f aca="false">IF($A15="","",IF(COUNTIF(K15:P15,"Tidak dinilai")=6,"Tidak dinilai",IF(COUNTIF(K15:P15,"Kurang")&gt;0,"Kurang cocok",IF(COUNTIF(K15:P15,"Belum ada data")&gt;0,"Data belum lengkap",IF(COUNTIF(K15:P15,"Cukup")&gt;0,"Bisa, dengan catatan","Cocok")))))</f>
        <v>Bisa, dengan catatan</v>
      </c>
      <c r="R15" s="66" t="str">
        <f aca="false">IF($A15="","",IF(K15="Kurang","prosesor tingkat "&amp;C15&amp;" dari 5, di bawah batas minimal (tingkat "&amp;Aturan!$C$30&amp;")",IF(K15="Cukup","prosesor tingkat "&amp;C15&amp;" dari 5 cukup, nyamannya mulai tingkat "&amp;Aturan!$D$30,IF(K15="Belum ada data","tingkat prosesor belum diisi",""))))</f>
        <v>prosesor tingkat 1 dari 5 cukup, nyamannya mulai tingkat 2</v>
      </c>
      <c r="S15" s="66" t="str">
        <f aca="false">IF($A15="","",IF(L15="Kurang","grafis tingkat "&amp;D15&amp;" dari 5, di bawah batas minimal (tingkat "&amp;Aturan!$C$31&amp;")",IF(L15="Cukup","grafis tingkat "&amp;D15&amp;" dari 5 cukup, nyamannya mulai tingkat "&amp;Aturan!$D$31,IF(L15="Belum ada data","tingkat grafis belum diisi",""))))</f>
        <v/>
      </c>
      <c r="T15" s="66" t="str">
        <f aca="false">IF($A15="","",IF(M15="Kurang","RAM "&amp;E15&amp;" GB, di bawah batas minimal "&amp;Aturan!$C$32&amp;" GB ("&amp;I15&amp;")",IF(M15="Cukup","RAM "&amp;E15&amp;" GB cukup, nyamannya "&amp;Aturan!$D$32&amp;" GB atau lebih ("&amp;I15&amp;")",IF(M15="Belum ada data","ukuran RAM belum diisi",""))))</f>
        <v/>
      </c>
      <c r="U15" s="66" t="str">
        <f aca="false">IF($A15="","",IF(N15="Kurang","penyimpanan "&amp;F15&amp;" GB, di bawah batas minimal "&amp;Aturan!$C$33&amp;" GB ("&amp;J15&amp;")",IF(N15="Cukup","penyimpanan "&amp;F15&amp;" GB cukup, nyamannya "&amp;Aturan!$D$33&amp;" GB atau lebih ("&amp;J15&amp;")",IF(N15="Belum ada data","ukuran penyimpanan belum diisi",""))))</f>
        <v/>
      </c>
      <c r="V15" s="66" t="str">
        <f aca="false">IF($A15="","",IF(O15="Kurang","layar "&amp;Varian!$AG7&amp;", di bawah batas minimal ("&amp;IFERROR(INDEX(Aturan!$A$63:$A$66,MATCH(Aturan!$C$34,Aturan!$B$63:$B$66,0)),"peringkat "&amp;Aturan!$C$34)&amp;")",IF(O15="Cukup","layar "&amp;Varian!$AG7&amp;" cukup, nyamannya "&amp;IFERROR(INDEX(Aturan!$A$63:$A$66,MATCH(Aturan!$D$34,Aturan!$B$63:$B$66,0)),"peringkat "&amp;Aturan!$D$34),IF(O15="Belum ada data","jenis layar belum diketahui",""))))</f>
        <v/>
      </c>
      <c r="W15" s="66" t="str">
        <f aca="false">IF($A15="","",IF(P15="Kurang","layar "&amp;H15&amp;" Hz, di bawah batas minimal "&amp;Aturan!$C$35&amp;" Hz",IF(P15="Cukup","layar "&amp;H15&amp;" Hz cukup, nyamannya "&amp;Aturan!$D$35&amp;" Hz atau lebih",IF(P15="Belum ada data","refresh rate belum diketahui",""))))</f>
        <v/>
      </c>
      <c r="X15" s="66" t="str">
        <f aca="false">IF($A15="","",IF(K15="Kurang",R15&amp;"; ","")&amp;IF(L15="Kurang",S15&amp;"; ","")&amp;IF(M15="Kurang",T15&amp;"; ","")&amp;IF(N15="Kurang",U15&amp;"; ","")&amp;IF(O15="Kurang",V15&amp;"; ","")&amp;IF(P15="Kurang",W15&amp;"; ","")&amp;IF(K15="Belum ada data",R15&amp;"; ","")&amp;IF(L15="Belum ada data",S15&amp;"; ","")&amp;IF(M15="Belum ada data",T15&amp;"; ","")&amp;IF(N15="Belum ada data",U15&amp;"; ","")&amp;IF(O15="Belum ada data",V15&amp;"; ","")&amp;IF(P15="Belum ada data",W15&amp;"; ","")&amp;IF(K15="Cukup",R15&amp;"; ","")&amp;IF(L15="Cukup",S15&amp;"; ","")&amp;IF(M15="Cukup",T15&amp;"; ","")&amp;IF(N15="Cukup",U15&amp;"; ","")&amp;IF(O15="Cukup",V15&amp;"; ","")&amp;IF(P15="Cukup",W15&amp;"; ",""))</f>
        <v>prosesor tingkat 1 dari 5 cukup, nyamannya mulai tingkat 2; </v>
      </c>
      <c r="Y15" s="66" t="str">
        <f aca="false">IF($A15="","",IF(K15="Nyaman","prosesor, ","")&amp;IF(L15="Nyaman","grafis, ","")&amp;IF(M15="Nyaman","RAM, ","")&amp;IF(N15="Nyaman","penyimpanan, ","")&amp;IF(O15="Nyaman","layar, ","")&amp;IF(P15="Nyaman","refresh rate, ",""))</f>
        <v>RAM, penyimpanan, </v>
      </c>
      <c r="Z15" s="66" t="str">
        <f aca="false">IF($A15="","",IF(Q15="Tidak dinilai","Belum ada kriteria yang dinilai untuk kebutuhan ini.",IF(Q15="Cocok","Semua kriteria yang dinilai sudah nyaman: "&amp;LEFT(Y15,LEN(Y15)-2)&amp;".",UPPER(LEFT(X15,1))&amp;MID(X15,2,LEN(X15)-3)&amp;"."&amp;IF(Y15="",""," Sudah nyaman: "&amp;LEFT(Y15,LEN(Y15)-2)&amp;"."))))</f>
        <v>Prosesor tingkat 1 dari 5 cukup, nyamannya mulai tingkat 2. Sudah nyaman: RAM, penyimpanan.</v>
      </c>
      <c r="AA15" s="71" t="str">
        <f aca="false">IF($A15="","",IF(Varian!$AR7="Windows 10","• "&amp;Aturan!$E$71&amp;CHAR(10),"")&amp;IF(Varian!$BB7="tidak","• "&amp;Aturan!$E$72&amp;CHAR(10),"")&amp;IF(OR(Varian!$AD7="belum terverifikasi",Varian!$AD7="tidak diketahui"),"• "&amp;Aturan!$E$73&amp;CHAR(10),"")&amp;IF(Varian!$AH7="1366x768","• "&amp;Aturan!$E$74&amp;CHAR(10),"")&amp;IF(Varian!$AG7="TN","• "&amp;Aturan!$E$75&amp;CHAR(10),"")&amp;IF(AND(Varian!$Q7="disolder",ISNUMBER(Varian!$M7),Varian!$M7&lt;=8),"• "&amp;Aturan!$E$76&amp;CHAR(10),""))</f>
        <v>• Info RAM dan penyimpanan (bisa diganti atau tidak) belum terverifikasi. Periksa lagi sebelum membeli.
• Layar beresolusi rendah (1366x768): ruang kerja sempit dan tulisan kurang tajam.
• Panel TN: warna cenderung pucat dan sudut pandang sempit.
</v>
      </c>
      <c r="AB15" s="71" t="str">
        <f aca="false">IF($A15="","",IF(AA15="","",LEFT(AA15,LEN(AA15)-1)))</f>
        <v>• Info RAM dan penyimpanan (bisa diganti atau tidak) belum terverifikasi. Periksa lagi sebelum membeli.
• Layar beresolusi rendah (1366x768): ruang kerja sempit dan tulisan kurang tajam.
• Panel TN: warna cenderung pucat dan sudut pandang sempit.</v>
      </c>
      <c r="AC15" s="67" t="n">
        <f aca="false">IF($A15="","",IF(AA15="",0,LEN(AA15)-LEN(SUBSTITUTE(AA15,CHAR(10),""))))</f>
        <v>3</v>
      </c>
    </row>
    <row r="16" customFormat="false" ht="15" hidden="false" customHeight="true" outlineLevel="0" collapsed="false">
      <c r="A16" s="33" t="str">
        <f aca="false">IF(Varian!$A7="","",Varian!$A7)</f>
        <v>axioo-hype-10-n4020-8-256-w11</v>
      </c>
      <c r="B16" s="33" t="str">
        <f aca="false">IF($A16="","",Aturan!$A$22)</f>
        <v>Desain grafis</v>
      </c>
      <c r="C16" s="69" t="n">
        <f aca="false">IF($A16="","",IFERROR(IF(ISNUMBER(INDEX(CPU!$J$4:$J$64,MATCH(Varian!$J7,CPU!$A$4:$A$64,0))),INDEX(CPU!$J$4:$J$64,MATCH(Varian!$J7,CPU!$A$4:$A$64,0)),""),""))</f>
        <v>1</v>
      </c>
      <c r="D16" s="69" t="n">
        <f aca="false">IF($A16="","",IFERROR(IF(ISNUMBER(INDEX(GPU!$G$4:$G$64,MATCH(Varian!$K7,GPU!$A$4:$A$64,0))),INDEX(GPU!$G$4:$G$64,MATCH(Varian!$K7,GPU!$A$4:$A$64,0)),""),""))</f>
        <v>1</v>
      </c>
      <c r="E16" s="69" t="n">
        <f aca="false">IF($A16="","",IF(ISNUMBER(Varian!$M7),Varian!$M7,""))</f>
        <v>8</v>
      </c>
      <c r="F16" s="69" t="n">
        <f aca="false">IF($A16="","",IF(ISNUMBER(Varian!$V7),Varian!$V7,""))</f>
        <v>256</v>
      </c>
      <c r="G16" s="69" t="n">
        <f aca="false">IF($A16="","",IFERROR(INDEX(Aturan!$B$63:$B$66,MATCH(Varian!$AG7,Aturan!$A$63:$A$66,0)),""))</f>
        <v>1</v>
      </c>
      <c r="H16" s="69" t="n">
        <f aca="false">IF($A16="","",IF(ISNUMBER(Varian!$AI7),Varian!$AI7,""))</f>
        <v>60</v>
      </c>
      <c r="I16" s="33" t="str">
        <f aca="false">IF($A16="","",IF(Varian!$Q7="disolder","menempel di papan utama, tidak bisa ditambah",IF(OR(Varian!$Q7="slot",Varian!$Q7="setengah_disolder"),IF(Varian!$Q7="setengah_disolder","sebagian menempel, ","")&amp;IF(ISNUMBER(Varian!$U7),IF(AND(ISNUMBER(Varian!$M7),Varian!$U7&gt;Varian!$M7),"bisa dinaikkan lewat slot sampai "&amp;Varian!$U7&amp;" GB","sudah di batas maksimal "&amp;Varian!$U7&amp;" GB"),"ada slot, batas maksimalnya belum diketahui"),"belum diketahui apakah bisa ditambah")))</f>
        <v>sudah di batas maksimal 8 GB</v>
      </c>
      <c r="J16" s="33" t="str">
        <f aca="false">IF($A16="","",IF(Varian!$Z7="ya","bisa diganti dengan yang lebih besar",IF(Varian!$Z7="tidak","menempel, tidak bisa diganti","belum diketahui apakah bisa diganti")))</f>
        <v>bisa diganti dengan yang lebih besar</v>
      </c>
      <c r="K16" s="70" t="str">
        <f aca="false">IF($A16="","",IF(AND(Aturan!$C$36="",Aturan!$D$36=""),"Tidak dinilai",IF(C16="","Belum ada data",IF(C16&lt;IF(Aturan!$C$36="",0,Aturan!$C$36),"Kurang",IF(C16&gt;=IF(Aturan!$D$36="",Aturan!$C$36,Aturan!$D$36),"Nyaman","Cukup")))))</f>
        <v>Kurang</v>
      </c>
      <c r="L16" s="70" t="str">
        <f aca="false">IF($A16="","",IF(AND(Aturan!$C$37="",Aturan!$D$37=""),"Tidak dinilai",IF(D16="","Belum ada data",IF(D16&lt;IF(Aturan!$C$37="",0,Aturan!$C$37),"Kurang",IF(D16&gt;=IF(Aturan!$D$37="",Aturan!$C$37,Aturan!$D$37),"Nyaman","Cukup")))))</f>
        <v>Cukup</v>
      </c>
      <c r="M16" s="70" t="str">
        <f aca="false">IF($A16="","",IF(AND(Aturan!$C$38="",Aturan!$D$38=""),"Tidak dinilai",IF(E16="","Belum ada data",IF(E16&lt;IF(Aturan!$C$38="",0,Aturan!$C$38),"Kurang",IF(E16&gt;=IF(Aturan!$D$38="",Aturan!$C$38,Aturan!$D$38),"Nyaman","Cukup")))))</f>
        <v>Cukup</v>
      </c>
      <c r="N16" s="70" t="str">
        <f aca="false">IF($A16="","",IF(AND(Aturan!$C$39="",Aturan!$D$39=""),"Tidak dinilai",IF(F16="","Belum ada data",IF(F16&lt;IF(Aturan!$C$39="",0,Aturan!$C$39),"Kurang",IF(F16&gt;=IF(Aturan!$D$39="",Aturan!$C$39,Aturan!$D$39),"Nyaman","Cukup")))))</f>
        <v>Cukup</v>
      </c>
      <c r="O16" s="70" t="str">
        <f aca="false">IF($A16="","",IF(AND(Aturan!$C$40="",Aturan!$D$40=""),"Tidak dinilai",IF(G16="","Belum ada data",IF(G16&lt;IF(Aturan!$C$40="",0,Aturan!$C$40),"Kurang",IF(G16&gt;=IF(Aturan!$D$40="",Aturan!$C$40,Aturan!$D$40),"Nyaman","Cukup")))))</f>
        <v>Kurang</v>
      </c>
      <c r="P16" s="70" t="str">
        <f aca="false">IF($A16="","",IF(AND(Aturan!$C$41="",Aturan!$D$41=""),"Tidak dinilai",IF(H16="","Belum ada data",IF(H16&lt;IF(Aturan!$C$41="",0,Aturan!$C$41),"Kurang",IF(H16&gt;=IF(Aturan!$D$41="",Aturan!$C$41,Aturan!$D$41),"Nyaman","Cukup")))))</f>
        <v>Tidak dinilai</v>
      </c>
      <c r="Q16" s="70" t="str">
        <f aca="false">IF($A16="","",IF(COUNTIF(K16:P16,"Tidak dinilai")=6,"Tidak dinilai",IF(COUNTIF(K16:P16,"Kurang")&gt;0,"Kurang cocok",IF(COUNTIF(K16:P16,"Belum ada data")&gt;0,"Data belum lengkap",IF(COUNTIF(K16:P16,"Cukup")&gt;0,"Bisa, dengan catatan","Cocok")))))</f>
        <v>Kurang cocok</v>
      </c>
      <c r="R16" s="33" t="str">
        <f aca="false">IF($A16="","",IF(K16="Kurang","prosesor tingkat "&amp;C16&amp;" dari 5, di bawah batas minimal (tingkat "&amp;Aturan!$C$36&amp;")",IF(K16="Cukup","prosesor tingkat "&amp;C16&amp;" dari 5 cukup, nyamannya mulai tingkat "&amp;Aturan!$D$36,IF(K16="Belum ada data","tingkat prosesor belum diisi",""))))</f>
        <v>prosesor tingkat 1 dari 5, di bawah batas minimal (tingkat 2)</v>
      </c>
      <c r="S16" s="33" t="str">
        <f aca="false">IF($A16="","",IF(L16="Kurang","grafis tingkat "&amp;D16&amp;" dari 5, di bawah batas minimal (tingkat "&amp;Aturan!$C$37&amp;")",IF(L16="Cukup","grafis tingkat "&amp;D16&amp;" dari 5 cukup, nyamannya mulai tingkat "&amp;Aturan!$D$37,IF(L16="Belum ada data","tingkat grafis belum diisi",""))))</f>
        <v>grafis tingkat 1 dari 5 cukup, nyamannya mulai tingkat 2</v>
      </c>
      <c r="T16" s="33" t="str">
        <f aca="false">IF($A16="","",IF(M16="Kurang","RAM "&amp;E16&amp;" GB, di bawah batas minimal "&amp;Aturan!$C$38&amp;" GB ("&amp;I16&amp;")",IF(M16="Cukup","RAM "&amp;E16&amp;" GB cukup, nyamannya "&amp;Aturan!$D$38&amp;" GB atau lebih ("&amp;I16&amp;")",IF(M16="Belum ada data","ukuran RAM belum diisi",""))))</f>
        <v>RAM 8 GB cukup, nyamannya 16 GB atau lebih (sudah di batas maksimal 8 GB)</v>
      </c>
      <c r="U16" s="33" t="str">
        <f aca="false">IF($A16="","",IF(N16="Kurang","penyimpanan "&amp;F16&amp;" GB, di bawah batas minimal "&amp;Aturan!$C$39&amp;" GB ("&amp;J16&amp;")",IF(N16="Cukup","penyimpanan "&amp;F16&amp;" GB cukup, nyamannya "&amp;Aturan!$D$39&amp;" GB atau lebih ("&amp;J16&amp;")",IF(N16="Belum ada data","ukuran penyimpanan belum diisi",""))))</f>
        <v>penyimpanan 256 GB cukup, nyamannya 512 GB atau lebih (bisa diganti dengan yang lebih besar)</v>
      </c>
      <c r="V16" s="33" t="str">
        <f aca="false">IF($A16="","",IF(O16="Kurang","layar "&amp;Varian!$AG7&amp;", di bawah batas minimal ("&amp;IFERROR(INDEX(Aturan!$A$63:$A$66,MATCH(Aturan!$C$40,Aturan!$B$63:$B$66,0)),"peringkat "&amp;Aturan!$C$40)&amp;")",IF(O16="Cukup","layar "&amp;Varian!$AG7&amp;" cukup, nyamannya "&amp;IFERROR(INDEX(Aturan!$A$63:$A$66,MATCH(Aturan!$D$40,Aturan!$B$63:$B$66,0)),"peringkat "&amp;Aturan!$D$40),IF(O16="Belum ada data","jenis layar belum diketahui",""))))</f>
        <v>layar TN, di bawah batas minimal (IPS)</v>
      </c>
      <c r="W16" s="33" t="str">
        <f aca="false">IF($A16="","",IF(P16="Kurang","layar "&amp;H16&amp;" Hz, di bawah batas minimal "&amp;Aturan!$C$41&amp;" Hz",IF(P16="Cukup","layar "&amp;H16&amp;" Hz cukup, nyamannya "&amp;Aturan!$D$41&amp;" Hz atau lebih",IF(P16="Belum ada data","refresh rate belum diketahui",""))))</f>
        <v/>
      </c>
      <c r="X16" s="33" t="str">
        <f aca="false">IF($A16="","",IF(K16="Kurang",R16&amp;"; ","")&amp;IF(L16="Kurang",S16&amp;"; ","")&amp;IF(M16="Kurang",T16&amp;"; ","")&amp;IF(N16="Kurang",U16&amp;"; ","")&amp;IF(O16="Kurang",V16&amp;"; ","")&amp;IF(P16="Kurang",W16&amp;"; ","")&amp;IF(K16="Belum ada data",R16&amp;"; ","")&amp;IF(L16="Belum ada data",S16&amp;"; ","")&amp;IF(M16="Belum ada data",T16&amp;"; ","")&amp;IF(N16="Belum ada data",U16&amp;"; ","")&amp;IF(O16="Belum ada data",V16&amp;"; ","")&amp;IF(P16="Belum ada data",W16&amp;"; ","")&amp;IF(K16="Cukup",R16&amp;"; ","")&amp;IF(L16="Cukup",S16&amp;"; ","")&amp;IF(M16="Cukup",T16&amp;"; ","")&amp;IF(N16="Cukup",U16&amp;"; ","")&amp;IF(O16="Cukup",V16&amp;"; ","")&amp;IF(P16="Cukup",W16&amp;"; ",""))</f>
        <v>prosesor tingkat 1 dari 5, di bawah batas minimal (tingkat 2); layar TN, di bawah batas minimal (IPS); grafis tingkat 1 dari 5 cukup, nyamannya mulai tingkat 2; RAM 8 GB cukup, nyamannya 16 GB atau lebih (sudah di batas maksimal 8 GB); penyimpanan 256 GB cukup, nyamannya 512 GB atau lebih (bisa diganti dengan yang lebih besar); </v>
      </c>
      <c r="Y16" s="33" t="str">
        <f aca="false">IF($A16="","",IF(K16="Nyaman","prosesor, ","")&amp;IF(L16="Nyaman","grafis, ","")&amp;IF(M16="Nyaman","RAM, ","")&amp;IF(N16="Nyaman","penyimpanan, ","")&amp;IF(O16="Nyaman","layar, ","")&amp;IF(P16="Nyaman","refresh rate, ",""))</f>
        <v/>
      </c>
      <c r="Z16" s="33" t="str">
        <f aca="false">IF($A16="","",IF(Q16="Tidak dinilai","Belum ada kriteria yang dinilai untuk kebutuhan ini.",IF(Q16="Cocok","Semua kriteria yang dinilai sudah nyaman: "&amp;LEFT(Y16,LEN(Y16)-2)&amp;".",UPPER(LEFT(X16,1))&amp;MID(X16,2,LEN(X16)-3)&amp;"."&amp;IF(Y16="",""," Sudah nyaman: "&amp;LEFT(Y16,LEN(Y16)-2)&amp;"."))))</f>
        <v>Prosesor tingkat 1 dari 5, di bawah batas minimal (tingkat 2); layar TN, di bawah batas minimal (IPS); grafis tingkat 1 dari 5 cukup, nyamannya mulai tingkat 2; RAM 8 GB cukup, nyamannya 16 GB atau lebih (sudah di batas maksimal 8 GB); penyimpanan 256 GB cukup, nyamannya 512 GB atau lebih (bisa diganti dengan yang lebih besar).</v>
      </c>
      <c r="AA16" s="33"/>
      <c r="AB16" s="33"/>
      <c r="AC16" s="69"/>
    </row>
    <row r="17" customFormat="false" ht="15" hidden="false" customHeight="true" outlineLevel="0" collapsed="false">
      <c r="A17" s="33" t="str">
        <f aca="false">IF(Varian!$A7="","",Varian!$A7)</f>
        <v>axioo-hype-10-n4020-8-256-w11</v>
      </c>
      <c r="B17" s="33" t="str">
        <f aca="false">IF($A17="","",Aturan!$A$23)</f>
        <v>Pemrograman</v>
      </c>
      <c r="C17" s="69" t="n">
        <f aca="false">IF($A17="","",IFERROR(IF(ISNUMBER(INDEX(CPU!$J$4:$J$64,MATCH(Varian!$J7,CPU!$A$4:$A$64,0))),INDEX(CPU!$J$4:$J$64,MATCH(Varian!$J7,CPU!$A$4:$A$64,0)),""),""))</f>
        <v>1</v>
      </c>
      <c r="D17" s="69" t="n">
        <f aca="false">IF($A17="","",IFERROR(IF(ISNUMBER(INDEX(GPU!$G$4:$G$64,MATCH(Varian!$K7,GPU!$A$4:$A$64,0))),INDEX(GPU!$G$4:$G$64,MATCH(Varian!$K7,GPU!$A$4:$A$64,0)),""),""))</f>
        <v>1</v>
      </c>
      <c r="E17" s="69" t="n">
        <f aca="false">IF($A17="","",IF(ISNUMBER(Varian!$M7),Varian!$M7,""))</f>
        <v>8</v>
      </c>
      <c r="F17" s="69" t="n">
        <f aca="false">IF($A17="","",IF(ISNUMBER(Varian!$V7),Varian!$V7,""))</f>
        <v>256</v>
      </c>
      <c r="G17" s="69" t="n">
        <f aca="false">IF($A17="","",IFERROR(INDEX(Aturan!$B$63:$B$66,MATCH(Varian!$AG7,Aturan!$A$63:$A$66,0)),""))</f>
        <v>1</v>
      </c>
      <c r="H17" s="69" t="n">
        <f aca="false">IF($A17="","",IF(ISNUMBER(Varian!$AI7),Varian!$AI7,""))</f>
        <v>60</v>
      </c>
      <c r="I17" s="33" t="str">
        <f aca="false">IF($A17="","",IF(Varian!$Q7="disolder","menempel di papan utama, tidak bisa ditambah",IF(OR(Varian!$Q7="slot",Varian!$Q7="setengah_disolder"),IF(Varian!$Q7="setengah_disolder","sebagian menempel, ","")&amp;IF(ISNUMBER(Varian!$U7),IF(AND(ISNUMBER(Varian!$M7),Varian!$U7&gt;Varian!$M7),"bisa dinaikkan lewat slot sampai "&amp;Varian!$U7&amp;" GB","sudah di batas maksimal "&amp;Varian!$U7&amp;" GB"),"ada slot, batas maksimalnya belum diketahui"),"belum diketahui apakah bisa ditambah")))</f>
        <v>sudah di batas maksimal 8 GB</v>
      </c>
      <c r="J17" s="33" t="str">
        <f aca="false">IF($A17="","",IF(Varian!$Z7="ya","bisa diganti dengan yang lebih besar",IF(Varian!$Z7="tidak","menempel, tidak bisa diganti","belum diketahui apakah bisa diganti")))</f>
        <v>bisa diganti dengan yang lebih besar</v>
      </c>
      <c r="K17" s="70" t="str">
        <f aca="false">IF($A17="","",IF(AND(Aturan!$C$42="",Aturan!$D$42=""),"Tidak dinilai",IF(C17="","Belum ada data",IF(C17&lt;IF(Aturan!$C$42="",0,Aturan!$C$42),"Kurang",IF(C17&gt;=IF(Aturan!$D$42="",Aturan!$C$42,Aturan!$D$42),"Nyaman","Cukup")))))</f>
        <v>Kurang</v>
      </c>
      <c r="L17" s="70" t="str">
        <f aca="false">IF($A17="","",IF(AND(Aturan!$C$43="",Aturan!$D$43=""),"Tidak dinilai",IF(D17="","Belum ada data",IF(D17&lt;IF(Aturan!$C$43="",0,Aturan!$C$43),"Kurang",IF(D17&gt;=IF(Aturan!$D$43="",Aturan!$C$43,Aturan!$D$43),"Nyaman","Cukup")))))</f>
        <v>Tidak dinilai</v>
      </c>
      <c r="M17" s="70" t="str">
        <f aca="false">IF($A17="","",IF(AND(Aturan!$C$44="",Aturan!$D$44=""),"Tidak dinilai",IF(E17="","Belum ada data",IF(E17&lt;IF(Aturan!$C$44="",0,Aturan!$C$44),"Kurang",IF(E17&gt;=IF(Aturan!$D$44="",Aturan!$C$44,Aturan!$D$44),"Nyaman","Cukup")))))</f>
        <v>Cukup</v>
      </c>
      <c r="N17" s="70" t="str">
        <f aca="false">IF($A17="","",IF(AND(Aturan!$C$45="",Aturan!$D$45=""),"Tidak dinilai",IF(F17="","Belum ada data",IF(F17&lt;IF(Aturan!$C$45="",0,Aturan!$C$45),"Kurang",IF(F17&gt;=IF(Aturan!$D$45="",Aturan!$C$45,Aturan!$D$45),"Nyaman","Cukup")))))</f>
        <v>Cukup</v>
      </c>
      <c r="O17" s="70" t="str">
        <f aca="false">IF($A17="","",IF(AND(Aturan!$C$46="",Aturan!$D$46=""),"Tidak dinilai",IF(G17="","Belum ada data",IF(G17&lt;IF(Aturan!$C$46="",0,Aturan!$C$46),"Kurang",IF(G17&gt;=IF(Aturan!$D$46="",Aturan!$C$46,Aturan!$D$46),"Nyaman","Cukup")))))</f>
        <v>Tidak dinilai</v>
      </c>
      <c r="P17" s="70" t="str">
        <f aca="false">IF($A17="","",IF(AND(Aturan!$C$47="",Aturan!$D$47=""),"Tidak dinilai",IF(H17="","Belum ada data",IF(H17&lt;IF(Aturan!$C$47="",0,Aturan!$C$47),"Kurang",IF(H17&gt;=IF(Aturan!$D$47="",Aturan!$C$47,Aturan!$D$47),"Nyaman","Cukup")))))</f>
        <v>Tidak dinilai</v>
      </c>
      <c r="Q17" s="70" t="str">
        <f aca="false">IF($A17="","",IF(COUNTIF(K17:P17,"Tidak dinilai")=6,"Tidak dinilai",IF(COUNTIF(K17:P17,"Kurang")&gt;0,"Kurang cocok",IF(COUNTIF(K17:P17,"Belum ada data")&gt;0,"Data belum lengkap",IF(COUNTIF(K17:P17,"Cukup")&gt;0,"Bisa, dengan catatan","Cocok")))))</f>
        <v>Kurang cocok</v>
      </c>
      <c r="R17" s="33" t="str">
        <f aca="false">IF($A17="","",IF(K17="Kurang","prosesor tingkat "&amp;C17&amp;" dari 5, di bawah batas minimal (tingkat "&amp;Aturan!$C$42&amp;")",IF(K17="Cukup","prosesor tingkat "&amp;C17&amp;" dari 5 cukup, nyamannya mulai tingkat "&amp;Aturan!$D$42,IF(K17="Belum ada data","tingkat prosesor belum diisi",""))))</f>
        <v>prosesor tingkat 1 dari 5, di bawah batas minimal (tingkat 2)</v>
      </c>
      <c r="S17" s="33" t="str">
        <f aca="false">IF($A17="","",IF(L17="Kurang","grafis tingkat "&amp;D17&amp;" dari 5, di bawah batas minimal (tingkat "&amp;Aturan!$C$43&amp;")",IF(L17="Cukup","grafis tingkat "&amp;D17&amp;" dari 5 cukup, nyamannya mulai tingkat "&amp;Aturan!$D$43,IF(L17="Belum ada data","tingkat grafis belum diisi",""))))</f>
        <v/>
      </c>
      <c r="T17" s="33" t="str">
        <f aca="false">IF($A17="","",IF(M17="Kurang","RAM "&amp;E17&amp;" GB, di bawah batas minimal "&amp;Aturan!$C$44&amp;" GB ("&amp;I17&amp;")",IF(M17="Cukup","RAM "&amp;E17&amp;" GB cukup, nyamannya "&amp;Aturan!$D$44&amp;" GB atau lebih ("&amp;I17&amp;")",IF(M17="Belum ada data","ukuran RAM belum diisi",""))))</f>
        <v>RAM 8 GB cukup, nyamannya 16 GB atau lebih (sudah di batas maksimal 8 GB)</v>
      </c>
      <c r="U17" s="33" t="str">
        <f aca="false">IF($A17="","",IF(N17="Kurang","penyimpanan "&amp;F17&amp;" GB, di bawah batas minimal "&amp;Aturan!$C$45&amp;" GB ("&amp;J17&amp;")",IF(N17="Cukup","penyimpanan "&amp;F17&amp;" GB cukup, nyamannya "&amp;Aturan!$D$45&amp;" GB atau lebih ("&amp;J17&amp;")",IF(N17="Belum ada data","ukuran penyimpanan belum diisi",""))))</f>
        <v>penyimpanan 256 GB cukup, nyamannya 512 GB atau lebih (bisa diganti dengan yang lebih besar)</v>
      </c>
      <c r="V17" s="33" t="str">
        <f aca="false">IF($A17="","",IF(O17="Kurang","layar "&amp;Varian!$AG7&amp;", di bawah batas minimal ("&amp;IFERROR(INDEX(Aturan!$A$63:$A$66,MATCH(Aturan!$C$46,Aturan!$B$63:$B$66,0)),"peringkat "&amp;Aturan!$C$46)&amp;")",IF(O17="Cukup","layar "&amp;Varian!$AG7&amp;" cukup, nyamannya "&amp;IFERROR(INDEX(Aturan!$A$63:$A$66,MATCH(Aturan!$D$46,Aturan!$B$63:$B$66,0)),"peringkat "&amp;Aturan!$D$46),IF(O17="Belum ada data","jenis layar belum diketahui",""))))</f>
        <v/>
      </c>
      <c r="W17" s="33" t="str">
        <f aca="false">IF($A17="","",IF(P17="Kurang","layar "&amp;H17&amp;" Hz, di bawah batas minimal "&amp;Aturan!$C$47&amp;" Hz",IF(P17="Cukup","layar "&amp;H17&amp;" Hz cukup, nyamannya "&amp;Aturan!$D$47&amp;" Hz atau lebih",IF(P17="Belum ada data","refresh rate belum diketahui",""))))</f>
        <v/>
      </c>
      <c r="X17" s="33" t="str">
        <f aca="false">IF($A17="","",IF(K17="Kurang",R17&amp;"; ","")&amp;IF(L17="Kurang",S17&amp;"; ","")&amp;IF(M17="Kurang",T17&amp;"; ","")&amp;IF(N17="Kurang",U17&amp;"; ","")&amp;IF(O17="Kurang",V17&amp;"; ","")&amp;IF(P17="Kurang",W17&amp;"; ","")&amp;IF(K17="Belum ada data",R17&amp;"; ","")&amp;IF(L17="Belum ada data",S17&amp;"; ","")&amp;IF(M17="Belum ada data",T17&amp;"; ","")&amp;IF(N17="Belum ada data",U17&amp;"; ","")&amp;IF(O17="Belum ada data",V17&amp;"; ","")&amp;IF(P17="Belum ada data",W17&amp;"; ","")&amp;IF(K17="Cukup",R17&amp;"; ","")&amp;IF(L17="Cukup",S17&amp;"; ","")&amp;IF(M17="Cukup",T17&amp;"; ","")&amp;IF(N17="Cukup",U17&amp;"; ","")&amp;IF(O17="Cukup",V17&amp;"; ","")&amp;IF(P17="Cukup",W17&amp;"; ",""))</f>
        <v>prosesor tingkat 1 dari 5, di bawah batas minimal (tingkat 2); RAM 8 GB cukup, nyamannya 16 GB atau lebih (sudah di batas maksimal 8 GB); penyimpanan 256 GB cukup, nyamannya 512 GB atau lebih (bisa diganti dengan yang lebih besar); </v>
      </c>
      <c r="Y17" s="33" t="str">
        <f aca="false">IF($A17="","",IF(K17="Nyaman","prosesor, ","")&amp;IF(L17="Nyaman","grafis, ","")&amp;IF(M17="Nyaman","RAM, ","")&amp;IF(N17="Nyaman","penyimpanan, ","")&amp;IF(O17="Nyaman","layar, ","")&amp;IF(P17="Nyaman","refresh rate, ",""))</f>
        <v/>
      </c>
      <c r="Z17" s="33" t="str">
        <f aca="false">IF($A17="","",IF(Q17="Tidak dinilai","Belum ada kriteria yang dinilai untuk kebutuhan ini.",IF(Q17="Cocok","Semua kriteria yang dinilai sudah nyaman: "&amp;LEFT(Y17,LEN(Y17)-2)&amp;".",UPPER(LEFT(X17,1))&amp;MID(X17,2,LEN(X17)-3)&amp;"."&amp;IF(Y17="",""," Sudah nyaman: "&amp;LEFT(Y17,LEN(Y17)-2)&amp;"."))))</f>
        <v>Prosesor tingkat 1 dari 5, di bawah batas minimal (tingkat 2); RAM 8 GB cukup, nyamannya 16 GB atau lebih (sudah di batas maksimal 8 GB); penyimpanan 256 GB cukup, nyamannya 512 GB atau lebih (bisa diganti dengan yang lebih besar).</v>
      </c>
      <c r="AA17" s="33"/>
      <c r="AB17" s="33"/>
      <c r="AC17" s="69"/>
    </row>
    <row r="18" customFormat="false" ht="15" hidden="false" customHeight="true" outlineLevel="0" collapsed="false">
      <c r="A18" s="33" t="str">
        <f aca="false">IF(Varian!$A7="","",Varian!$A7)</f>
        <v>axioo-hype-10-n4020-8-256-w11</v>
      </c>
      <c r="B18" s="33" t="str">
        <f aca="false">IF($A18="","",Aturan!$A$24)</f>
        <v>Game ringan</v>
      </c>
      <c r="C18" s="69" t="n">
        <f aca="false">IF($A18="","",IFERROR(IF(ISNUMBER(INDEX(CPU!$J$4:$J$64,MATCH(Varian!$J7,CPU!$A$4:$A$64,0))),INDEX(CPU!$J$4:$J$64,MATCH(Varian!$J7,CPU!$A$4:$A$64,0)),""),""))</f>
        <v>1</v>
      </c>
      <c r="D18" s="69" t="n">
        <f aca="false">IF($A18="","",IFERROR(IF(ISNUMBER(INDEX(GPU!$G$4:$G$64,MATCH(Varian!$K7,GPU!$A$4:$A$64,0))),INDEX(GPU!$G$4:$G$64,MATCH(Varian!$K7,GPU!$A$4:$A$64,0)),""),""))</f>
        <v>1</v>
      </c>
      <c r="E18" s="69" t="n">
        <f aca="false">IF($A18="","",IF(ISNUMBER(Varian!$M7),Varian!$M7,""))</f>
        <v>8</v>
      </c>
      <c r="F18" s="69" t="n">
        <f aca="false">IF($A18="","",IF(ISNUMBER(Varian!$V7),Varian!$V7,""))</f>
        <v>256</v>
      </c>
      <c r="G18" s="69" t="n">
        <f aca="false">IF($A18="","",IFERROR(INDEX(Aturan!$B$63:$B$66,MATCH(Varian!$AG7,Aturan!$A$63:$A$66,0)),""))</f>
        <v>1</v>
      </c>
      <c r="H18" s="69" t="n">
        <f aca="false">IF($A18="","",IF(ISNUMBER(Varian!$AI7),Varian!$AI7,""))</f>
        <v>60</v>
      </c>
      <c r="I18" s="33" t="str">
        <f aca="false">IF($A18="","",IF(Varian!$Q7="disolder","menempel di papan utama, tidak bisa ditambah",IF(OR(Varian!$Q7="slot",Varian!$Q7="setengah_disolder"),IF(Varian!$Q7="setengah_disolder","sebagian menempel, ","")&amp;IF(ISNUMBER(Varian!$U7),IF(AND(ISNUMBER(Varian!$M7),Varian!$U7&gt;Varian!$M7),"bisa dinaikkan lewat slot sampai "&amp;Varian!$U7&amp;" GB","sudah di batas maksimal "&amp;Varian!$U7&amp;" GB"),"ada slot, batas maksimalnya belum diketahui"),"belum diketahui apakah bisa ditambah")))</f>
        <v>sudah di batas maksimal 8 GB</v>
      </c>
      <c r="J18" s="33" t="str">
        <f aca="false">IF($A18="","",IF(Varian!$Z7="ya","bisa diganti dengan yang lebih besar",IF(Varian!$Z7="tidak","menempel, tidak bisa diganti","belum diketahui apakah bisa diganti")))</f>
        <v>bisa diganti dengan yang lebih besar</v>
      </c>
      <c r="K18" s="70" t="str">
        <f aca="false">IF($A18="","",IF(AND(Aturan!$C$48="",Aturan!$D$48=""),"Tidak dinilai",IF(C18="","Belum ada data",IF(C18&lt;IF(Aturan!$C$48="",0,Aturan!$C$48),"Kurang",IF(C18&gt;=IF(Aturan!$D$48="",Aturan!$C$48,Aturan!$D$48),"Nyaman","Cukup")))))</f>
        <v>Kurang</v>
      </c>
      <c r="L18" s="70" t="str">
        <f aca="false">IF($A18="","",IF(AND(Aturan!$C$49="",Aturan!$D$49=""),"Tidak dinilai",IF(D18="","Belum ada data",IF(D18&lt;IF(Aturan!$C$49="",0,Aturan!$C$49),"Kurang",IF(D18&gt;=IF(Aturan!$D$49="",Aturan!$C$49,Aturan!$D$49),"Nyaman","Cukup")))))</f>
        <v>Cukup</v>
      </c>
      <c r="M18" s="70" t="str">
        <f aca="false">IF($A18="","",IF(AND(Aturan!$C$50="",Aturan!$D$50=""),"Tidak dinilai",IF(E18="","Belum ada data",IF(E18&lt;IF(Aturan!$C$50="",0,Aturan!$C$50),"Kurang",IF(E18&gt;=IF(Aturan!$D$50="",Aturan!$C$50,Aturan!$D$50),"Nyaman","Cukup")))))</f>
        <v>Nyaman</v>
      </c>
      <c r="N18" s="70" t="str">
        <f aca="false">IF($A18="","",IF(AND(Aturan!$C$51="",Aturan!$D$51=""),"Tidak dinilai",IF(F18="","Belum ada data",IF(F18&lt;IF(Aturan!$C$51="",0,Aturan!$C$51),"Kurang",IF(F18&gt;=IF(Aturan!$D$51="",Aturan!$C$51,Aturan!$D$51),"Nyaman","Cukup")))))</f>
        <v>Nyaman</v>
      </c>
      <c r="O18" s="70" t="str">
        <f aca="false">IF($A18="","",IF(AND(Aturan!$C$52="",Aturan!$D$52=""),"Tidak dinilai",IF(G18="","Belum ada data",IF(G18&lt;IF(Aturan!$C$52="",0,Aturan!$C$52),"Kurang",IF(G18&gt;=IF(Aturan!$D$52="",Aturan!$C$52,Aturan!$D$52),"Nyaman","Cukup")))))</f>
        <v>Tidak dinilai</v>
      </c>
      <c r="P18" s="70" t="str">
        <f aca="false">IF($A18="","",IF(AND(Aturan!$C$53="",Aturan!$D$53=""),"Tidak dinilai",IF(H18="","Belum ada data",IF(H18&lt;IF(Aturan!$C$53="",0,Aturan!$C$53),"Kurang",IF(H18&gt;=IF(Aturan!$D$53="",Aturan!$C$53,Aturan!$D$53),"Nyaman","Cukup")))))</f>
        <v>Tidak dinilai</v>
      </c>
      <c r="Q18" s="70" t="str">
        <f aca="false">IF($A18="","",IF(COUNTIF(K18:P18,"Tidak dinilai")=6,"Tidak dinilai",IF(COUNTIF(K18:P18,"Kurang")&gt;0,"Kurang cocok",IF(COUNTIF(K18:P18,"Belum ada data")&gt;0,"Data belum lengkap",IF(COUNTIF(K18:P18,"Cukup")&gt;0,"Bisa, dengan catatan","Cocok")))))</f>
        <v>Kurang cocok</v>
      </c>
      <c r="R18" s="33" t="str">
        <f aca="false">IF($A18="","",IF(K18="Kurang","prosesor tingkat "&amp;C18&amp;" dari 5, di bawah batas minimal (tingkat "&amp;Aturan!$C$48&amp;")",IF(K18="Cukup","prosesor tingkat "&amp;C18&amp;" dari 5 cukup, nyamannya mulai tingkat "&amp;Aturan!$D$48,IF(K18="Belum ada data","tingkat prosesor belum diisi",""))))</f>
        <v>prosesor tingkat 1 dari 5, di bawah batas minimal (tingkat 2)</v>
      </c>
      <c r="S18" s="33" t="str">
        <f aca="false">IF($A18="","",IF(L18="Kurang","grafis tingkat "&amp;D18&amp;" dari 5, di bawah batas minimal (tingkat "&amp;Aturan!$C$49&amp;")",IF(L18="Cukup","grafis tingkat "&amp;D18&amp;" dari 5 cukup, nyamannya mulai tingkat "&amp;Aturan!$D$49,IF(L18="Belum ada data","tingkat grafis belum diisi",""))))</f>
        <v>grafis tingkat 1 dari 5 cukup, nyamannya mulai tingkat 2</v>
      </c>
      <c r="T18" s="33" t="str">
        <f aca="false">IF($A18="","",IF(M18="Kurang","RAM "&amp;E18&amp;" GB, di bawah batas minimal "&amp;Aturan!$C$50&amp;" GB ("&amp;I18&amp;")",IF(M18="Cukup","RAM "&amp;E18&amp;" GB cukup, nyamannya "&amp;Aturan!$D$50&amp;" GB atau lebih ("&amp;I18&amp;")",IF(M18="Belum ada data","ukuran RAM belum diisi",""))))</f>
        <v/>
      </c>
      <c r="U18" s="33" t="str">
        <f aca="false">IF($A18="","",IF(N18="Kurang","penyimpanan "&amp;F18&amp;" GB, di bawah batas minimal "&amp;Aturan!$C$51&amp;" GB ("&amp;J18&amp;")",IF(N18="Cukup","penyimpanan "&amp;F18&amp;" GB cukup, nyamannya "&amp;Aturan!$D$51&amp;" GB atau lebih ("&amp;J18&amp;")",IF(N18="Belum ada data","ukuran penyimpanan belum diisi",""))))</f>
        <v/>
      </c>
      <c r="V18" s="33" t="str">
        <f aca="false">IF($A18="","",IF(O18="Kurang","layar "&amp;Varian!$AG7&amp;", di bawah batas minimal ("&amp;IFERROR(INDEX(Aturan!$A$63:$A$66,MATCH(Aturan!$C$52,Aturan!$B$63:$B$66,0)),"peringkat "&amp;Aturan!$C$52)&amp;")",IF(O18="Cukup","layar "&amp;Varian!$AG7&amp;" cukup, nyamannya "&amp;IFERROR(INDEX(Aturan!$A$63:$A$66,MATCH(Aturan!$D$52,Aturan!$B$63:$B$66,0)),"peringkat "&amp;Aturan!$D$52),IF(O18="Belum ada data","jenis layar belum diketahui",""))))</f>
        <v/>
      </c>
      <c r="W18" s="33" t="str">
        <f aca="false">IF($A18="","",IF(P18="Kurang","layar "&amp;H18&amp;" Hz, di bawah batas minimal "&amp;Aturan!$C$53&amp;" Hz",IF(P18="Cukup","layar "&amp;H18&amp;" Hz cukup, nyamannya "&amp;Aturan!$D$53&amp;" Hz atau lebih",IF(P18="Belum ada data","refresh rate belum diketahui",""))))</f>
        <v/>
      </c>
      <c r="X18" s="33" t="str">
        <f aca="false">IF($A18="","",IF(K18="Kurang",R18&amp;"; ","")&amp;IF(L18="Kurang",S18&amp;"; ","")&amp;IF(M18="Kurang",T18&amp;"; ","")&amp;IF(N18="Kurang",U18&amp;"; ","")&amp;IF(O18="Kurang",V18&amp;"; ","")&amp;IF(P18="Kurang",W18&amp;"; ","")&amp;IF(K18="Belum ada data",R18&amp;"; ","")&amp;IF(L18="Belum ada data",S18&amp;"; ","")&amp;IF(M18="Belum ada data",T18&amp;"; ","")&amp;IF(N18="Belum ada data",U18&amp;"; ","")&amp;IF(O18="Belum ada data",V18&amp;"; ","")&amp;IF(P18="Belum ada data",W18&amp;"; ","")&amp;IF(K18="Cukup",R18&amp;"; ","")&amp;IF(L18="Cukup",S18&amp;"; ","")&amp;IF(M18="Cukup",T18&amp;"; ","")&amp;IF(N18="Cukup",U18&amp;"; ","")&amp;IF(O18="Cukup",V18&amp;"; ","")&amp;IF(P18="Cukup",W18&amp;"; ",""))</f>
        <v>prosesor tingkat 1 dari 5, di bawah batas minimal (tingkat 2); grafis tingkat 1 dari 5 cukup, nyamannya mulai tingkat 2; </v>
      </c>
      <c r="Y18" s="33" t="str">
        <f aca="false">IF($A18="","",IF(K18="Nyaman","prosesor, ","")&amp;IF(L18="Nyaman","grafis, ","")&amp;IF(M18="Nyaman","RAM, ","")&amp;IF(N18="Nyaman","penyimpanan, ","")&amp;IF(O18="Nyaman","layar, ","")&amp;IF(P18="Nyaman","refresh rate, ",""))</f>
        <v>RAM, penyimpanan, </v>
      </c>
      <c r="Z18" s="33" t="str">
        <f aca="false">IF($A18="","",IF(Q18="Tidak dinilai","Belum ada kriteria yang dinilai untuk kebutuhan ini.",IF(Q18="Cocok","Semua kriteria yang dinilai sudah nyaman: "&amp;LEFT(Y18,LEN(Y18)-2)&amp;".",UPPER(LEFT(X18,1))&amp;MID(X18,2,LEN(X18)-3)&amp;"."&amp;IF(Y18="",""," Sudah nyaman: "&amp;LEFT(Y18,LEN(Y18)-2)&amp;"."))))</f>
        <v>Prosesor tingkat 1 dari 5, di bawah batas minimal (tingkat 2); grafis tingkat 1 dari 5 cukup, nyamannya mulai tingkat 2. Sudah nyaman: RAM, penyimpanan.</v>
      </c>
      <c r="AA18" s="33"/>
      <c r="AB18" s="33"/>
      <c r="AC18" s="69"/>
    </row>
    <row r="19" customFormat="false" ht="15" hidden="false" customHeight="true" outlineLevel="0" collapsed="false">
      <c r="A19" s="33" t="str">
        <f aca="false">IF(Varian!$A7="","",Varian!$A7)</f>
        <v>axioo-hype-10-n4020-8-256-w11</v>
      </c>
      <c r="B19" s="33" t="str">
        <f aca="false">IF($A19="","",Aturan!$A$25)</f>
        <v>Game berat</v>
      </c>
      <c r="C19" s="69" t="n">
        <f aca="false">IF($A19="","",IFERROR(IF(ISNUMBER(INDEX(CPU!$J$4:$J$64,MATCH(Varian!$J7,CPU!$A$4:$A$64,0))),INDEX(CPU!$J$4:$J$64,MATCH(Varian!$J7,CPU!$A$4:$A$64,0)),""),""))</f>
        <v>1</v>
      </c>
      <c r="D19" s="69" t="n">
        <f aca="false">IF($A19="","",IFERROR(IF(ISNUMBER(INDEX(GPU!$G$4:$G$64,MATCH(Varian!$K7,GPU!$A$4:$A$64,0))),INDEX(GPU!$G$4:$G$64,MATCH(Varian!$K7,GPU!$A$4:$A$64,0)),""),""))</f>
        <v>1</v>
      </c>
      <c r="E19" s="69" t="n">
        <f aca="false">IF($A19="","",IF(ISNUMBER(Varian!$M7),Varian!$M7,""))</f>
        <v>8</v>
      </c>
      <c r="F19" s="69" t="n">
        <f aca="false">IF($A19="","",IF(ISNUMBER(Varian!$V7),Varian!$V7,""))</f>
        <v>256</v>
      </c>
      <c r="G19" s="69" t="n">
        <f aca="false">IF($A19="","",IFERROR(INDEX(Aturan!$B$63:$B$66,MATCH(Varian!$AG7,Aturan!$A$63:$A$66,0)),""))</f>
        <v>1</v>
      </c>
      <c r="H19" s="69" t="n">
        <f aca="false">IF($A19="","",IF(ISNUMBER(Varian!$AI7),Varian!$AI7,""))</f>
        <v>60</v>
      </c>
      <c r="I19" s="33" t="str">
        <f aca="false">IF($A19="","",IF(Varian!$Q7="disolder","menempel di papan utama, tidak bisa ditambah",IF(OR(Varian!$Q7="slot",Varian!$Q7="setengah_disolder"),IF(Varian!$Q7="setengah_disolder","sebagian menempel, ","")&amp;IF(ISNUMBER(Varian!$U7),IF(AND(ISNUMBER(Varian!$M7),Varian!$U7&gt;Varian!$M7),"bisa dinaikkan lewat slot sampai "&amp;Varian!$U7&amp;" GB","sudah di batas maksimal "&amp;Varian!$U7&amp;" GB"),"ada slot, batas maksimalnya belum diketahui"),"belum diketahui apakah bisa ditambah")))</f>
        <v>sudah di batas maksimal 8 GB</v>
      </c>
      <c r="J19" s="33" t="str">
        <f aca="false">IF($A19="","",IF(Varian!$Z7="ya","bisa diganti dengan yang lebih besar",IF(Varian!$Z7="tidak","menempel, tidak bisa diganti","belum diketahui apakah bisa diganti")))</f>
        <v>bisa diganti dengan yang lebih besar</v>
      </c>
      <c r="K19" s="70" t="str">
        <f aca="false">IF($A19="","",IF(AND(Aturan!$C$54="",Aturan!$D$54=""),"Tidak dinilai",IF(C19="","Belum ada data",IF(C19&lt;IF(Aturan!$C$54="",0,Aturan!$C$54),"Kurang",IF(C19&gt;=IF(Aturan!$D$54="",Aturan!$C$54,Aturan!$D$54),"Nyaman","Cukup")))))</f>
        <v>Kurang</v>
      </c>
      <c r="L19" s="70" t="str">
        <f aca="false">IF($A19="","",IF(AND(Aturan!$C$55="",Aturan!$D$55=""),"Tidak dinilai",IF(D19="","Belum ada data",IF(D19&lt;IF(Aturan!$C$55="",0,Aturan!$C$55),"Kurang",IF(D19&gt;=IF(Aturan!$D$55="",Aturan!$C$55,Aturan!$D$55),"Nyaman","Cukup")))))</f>
        <v>Kurang</v>
      </c>
      <c r="M19" s="70" t="str">
        <f aca="false">IF($A19="","",IF(AND(Aturan!$C$56="",Aturan!$D$56=""),"Tidak dinilai",IF(E19="","Belum ada data",IF(E19&lt;IF(Aturan!$C$56="",0,Aturan!$C$56),"Kurang",IF(E19&gt;=IF(Aturan!$D$56="",Aturan!$C$56,Aturan!$D$56),"Nyaman","Cukup")))))</f>
        <v>Cukup</v>
      </c>
      <c r="N19" s="70" t="str">
        <f aca="false">IF($A19="","",IF(AND(Aturan!$C$57="",Aturan!$D$57=""),"Tidak dinilai",IF(F19="","Belum ada data",IF(F19&lt;IF(Aturan!$C$57="",0,Aturan!$C$57),"Kurang",IF(F19&gt;=IF(Aturan!$D$57="",Aturan!$C$57,Aturan!$D$57),"Nyaman","Cukup")))))</f>
        <v>Kurang</v>
      </c>
      <c r="O19" s="70" t="str">
        <f aca="false">IF($A19="","",IF(AND(Aturan!$C$58="",Aturan!$D$58=""),"Tidak dinilai",IF(G19="","Belum ada data",IF(G19&lt;IF(Aturan!$C$58="",0,Aturan!$C$58),"Kurang",IF(G19&gt;=IF(Aturan!$D$58="",Aturan!$C$58,Aturan!$D$58),"Nyaman","Cukup")))))</f>
        <v>Tidak dinilai</v>
      </c>
      <c r="P19" s="70" t="str">
        <f aca="false">IF($A19="","",IF(AND(Aturan!$C$59="",Aturan!$D$59=""),"Tidak dinilai",IF(H19="","Belum ada data",IF(H19&lt;IF(Aturan!$C$59="",0,Aturan!$C$59),"Kurang",IF(H19&gt;=IF(Aturan!$D$59="",Aturan!$C$59,Aturan!$D$59),"Nyaman","Cukup")))))</f>
        <v>Cukup</v>
      </c>
      <c r="Q19" s="70" t="str">
        <f aca="false">IF($A19="","",IF(COUNTIF(K19:P19,"Tidak dinilai")=6,"Tidak dinilai",IF(COUNTIF(K19:P19,"Kurang")&gt;0,"Kurang cocok",IF(COUNTIF(K19:P19,"Belum ada data")&gt;0,"Data belum lengkap",IF(COUNTIF(K19:P19,"Cukup")&gt;0,"Bisa, dengan catatan","Cocok")))))</f>
        <v>Kurang cocok</v>
      </c>
      <c r="R19" s="33" t="str">
        <f aca="false">IF($A19="","",IF(K19="Kurang","prosesor tingkat "&amp;C19&amp;" dari 5, di bawah batas minimal (tingkat "&amp;Aturan!$C$54&amp;")",IF(K19="Cukup","prosesor tingkat "&amp;C19&amp;" dari 5 cukup, nyamannya mulai tingkat "&amp;Aturan!$D$54,IF(K19="Belum ada data","tingkat prosesor belum diisi",""))))</f>
        <v>prosesor tingkat 1 dari 5, di bawah batas minimal (tingkat 3)</v>
      </c>
      <c r="S19" s="33" t="str">
        <f aca="false">IF($A19="","",IF(L19="Kurang","grafis tingkat "&amp;D19&amp;" dari 5, di bawah batas minimal (tingkat "&amp;Aturan!$C$55&amp;")",IF(L19="Cukup","grafis tingkat "&amp;D19&amp;" dari 5 cukup, nyamannya mulai tingkat "&amp;Aturan!$D$55,IF(L19="Belum ada data","tingkat grafis belum diisi",""))))</f>
        <v>grafis tingkat 1 dari 5, di bawah batas minimal (tingkat 3)</v>
      </c>
      <c r="T19" s="33" t="str">
        <f aca="false">IF($A19="","",IF(M19="Kurang","RAM "&amp;E19&amp;" GB, di bawah batas minimal "&amp;Aturan!$C$56&amp;" GB ("&amp;I19&amp;")",IF(M19="Cukup","RAM "&amp;E19&amp;" GB cukup, nyamannya "&amp;Aturan!$D$56&amp;" GB atau lebih ("&amp;I19&amp;")",IF(M19="Belum ada data","ukuran RAM belum diisi",""))))</f>
        <v>RAM 8 GB cukup, nyamannya 16 GB atau lebih (sudah di batas maksimal 8 GB)</v>
      </c>
      <c r="U19" s="33" t="str">
        <f aca="false">IF($A19="","",IF(N19="Kurang","penyimpanan "&amp;F19&amp;" GB, di bawah batas minimal "&amp;Aturan!$C$57&amp;" GB ("&amp;J19&amp;")",IF(N19="Cukup","penyimpanan "&amp;F19&amp;" GB cukup, nyamannya "&amp;Aturan!$D$57&amp;" GB atau lebih ("&amp;J19&amp;")",IF(N19="Belum ada data","ukuran penyimpanan belum diisi",""))))</f>
        <v>penyimpanan 256 GB, di bawah batas minimal 512 GB (bisa diganti dengan yang lebih besar)</v>
      </c>
      <c r="V19" s="33" t="str">
        <f aca="false">IF($A19="","",IF(O19="Kurang","layar "&amp;Varian!$AG7&amp;", di bawah batas minimal ("&amp;IFERROR(INDEX(Aturan!$A$63:$A$66,MATCH(Aturan!$C$58,Aturan!$B$63:$B$66,0)),"peringkat "&amp;Aturan!$C$58)&amp;")",IF(O19="Cukup","layar "&amp;Varian!$AG7&amp;" cukup, nyamannya "&amp;IFERROR(INDEX(Aturan!$A$63:$A$66,MATCH(Aturan!$D$58,Aturan!$B$63:$B$66,0)),"peringkat "&amp;Aturan!$D$58),IF(O19="Belum ada data","jenis layar belum diketahui",""))))</f>
        <v/>
      </c>
      <c r="W19" s="33" t="str">
        <f aca="false">IF($A19="","",IF(P19="Kurang","layar "&amp;H19&amp;" Hz, di bawah batas minimal "&amp;Aturan!$C$59&amp;" Hz",IF(P19="Cukup","layar "&amp;H19&amp;" Hz cukup, nyamannya "&amp;Aturan!$D$59&amp;" Hz atau lebih",IF(P19="Belum ada data","refresh rate belum diketahui",""))))</f>
        <v>layar 60 Hz cukup, nyamannya 120 Hz atau lebih</v>
      </c>
      <c r="X19" s="33" t="str">
        <f aca="false">IF($A19="","",IF(K19="Kurang",R19&amp;"; ","")&amp;IF(L19="Kurang",S19&amp;"; ","")&amp;IF(M19="Kurang",T19&amp;"; ","")&amp;IF(N19="Kurang",U19&amp;"; ","")&amp;IF(O19="Kurang",V19&amp;"; ","")&amp;IF(P19="Kurang",W19&amp;"; ","")&amp;IF(K19="Belum ada data",R19&amp;"; ","")&amp;IF(L19="Belum ada data",S19&amp;"; ","")&amp;IF(M19="Belum ada data",T19&amp;"; ","")&amp;IF(N19="Belum ada data",U19&amp;"; ","")&amp;IF(O19="Belum ada data",V19&amp;"; ","")&amp;IF(P19="Belum ada data",W19&amp;"; ","")&amp;IF(K19="Cukup",R19&amp;"; ","")&amp;IF(L19="Cukup",S19&amp;"; ","")&amp;IF(M19="Cukup",T19&amp;"; ","")&amp;IF(N19="Cukup",U19&amp;"; ","")&amp;IF(O19="Cukup",V19&amp;"; ","")&amp;IF(P19="Cukup",W19&amp;"; ",""))</f>
        <v>prosesor tingkat 1 dari 5, di bawah batas minimal (tingkat 3); grafis tingkat 1 dari 5, di bawah batas minimal (tingkat 3); penyimpanan 256 GB, di bawah batas minimal 512 GB (bisa diganti dengan yang lebih besar); RAM 8 GB cukup, nyamannya 16 GB atau lebih (sudah di batas maksimal 8 GB); layar 60 Hz cukup, nyamannya 120 Hz atau lebih; </v>
      </c>
      <c r="Y19" s="33" t="str">
        <f aca="false">IF($A19="","",IF(K19="Nyaman","prosesor, ","")&amp;IF(L19="Nyaman","grafis, ","")&amp;IF(M19="Nyaman","RAM, ","")&amp;IF(N19="Nyaman","penyimpanan, ","")&amp;IF(O19="Nyaman","layar, ","")&amp;IF(P19="Nyaman","refresh rate, ",""))</f>
        <v/>
      </c>
      <c r="Z19" s="33" t="str">
        <f aca="false">IF($A19="","",IF(Q19="Tidak dinilai","Belum ada kriteria yang dinilai untuk kebutuhan ini.",IF(Q19="Cocok","Semua kriteria yang dinilai sudah nyaman: "&amp;LEFT(Y19,LEN(Y19)-2)&amp;".",UPPER(LEFT(X19,1))&amp;MID(X19,2,LEN(X19)-3)&amp;"."&amp;IF(Y19="",""," Sudah nyaman: "&amp;LEFT(Y19,LEN(Y19)-2)&amp;"."))))</f>
        <v>Prosesor tingkat 1 dari 5, di bawah batas minimal (tingkat 3); grafis tingkat 1 dari 5, di bawah batas minimal (tingkat 3); penyimpanan 256 GB, di bawah batas minimal 512 GB (bisa diganti dengan yang lebih besar); RAM 8 GB cukup, nyamannya 16 GB atau lebih (sudah di batas maksimal 8 GB); layar 60 Hz cukup, nyamannya 120 Hz atau lebih.</v>
      </c>
      <c r="AA19" s="33"/>
      <c r="AB19" s="33"/>
      <c r="AC19" s="69"/>
    </row>
    <row r="20" customFormat="false" ht="15" hidden="false" customHeight="true" outlineLevel="0" collapsed="false">
      <c r="A20" s="66" t="str">
        <f aca="false">IF(Varian!$A8="","",Varian!$A8)</f>
        <v>axioo-hype-10-n4020-8-256-w10</v>
      </c>
      <c r="B20" s="66" t="str">
        <f aca="false">IF($A20="","",Aturan!$A$21)</f>
        <v>Kuliah dan kantor</v>
      </c>
      <c r="C20" s="67" t="n">
        <f aca="false">IF($A20="","",IFERROR(IF(ISNUMBER(INDEX(CPU!$J$4:$J$64,MATCH(Varian!$J8,CPU!$A$4:$A$64,0))),INDEX(CPU!$J$4:$J$64,MATCH(Varian!$J8,CPU!$A$4:$A$64,0)),""),""))</f>
        <v>1</v>
      </c>
      <c r="D20" s="67" t="n">
        <f aca="false">IF($A20="","",IFERROR(IF(ISNUMBER(INDEX(GPU!$G$4:$G$64,MATCH(Varian!$K8,GPU!$A$4:$A$64,0))),INDEX(GPU!$G$4:$G$64,MATCH(Varian!$K8,GPU!$A$4:$A$64,0)),""),""))</f>
        <v>1</v>
      </c>
      <c r="E20" s="67" t="n">
        <f aca="false">IF($A20="","",IF(ISNUMBER(Varian!$M8),Varian!$M8,""))</f>
        <v>8</v>
      </c>
      <c r="F20" s="67" t="n">
        <f aca="false">IF($A20="","",IF(ISNUMBER(Varian!$V8),Varian!$V8,""))</f>
        <v>256</v>
      </c>
      <c r="G20" s="67" t="n">
        <f aca="false">IF($A20="","",IFERROR(INDEX(Aturan!$B$63:$B$66,MATCH(Varian!$AG8,Aturan!$A$63:$A$66,0)),""))</f>
        <v>1</v>
      </c>
      <c r="H20" s="67" t="str">
        <f aca="false">IF($A20="","",IF(ISNUMBER(Varian!$AI8),Varian!$AI8,""))</f>
        <v/>
      </c>
      <c r="I20" s="66" t="str">
        <f aca="false">IF($A20="","",IF(Varian!$Q8="disolder","menempel di papan utama, tidak bisa ditambah",IF(OR(Varian!$Q8="slot",Varian!$Q8="setengah_disolder"),IF(Varian!$Q8="setengah_disolder","sebagian menempel, ","")&amp;IF(ISNUMBER(Varian!$U8),IF(AND(ISNUMBER(Varian!$M8),Varian!$U8&gt;Varian!$M8),"bisa dinaikkan lewat slot sampai "&amp;Varian!$U8&amp;" GB","sudah di batas maksimal "&amp;Varian!$U8&amp;" GB"),"ada slot, batas maksimalnya belum diketahui"),"belum diketahui apakah bisa ditambah")))</f>
        <v>sudah di batas maksimal 8 GB</v>
      </c>
      <c r="J20" s="66" t="str">
        <f aca="false">IF($A20="","",IF(Varian!$Z8="ya","bisa diganti dengan yang lebih besar",IF(Varian!$Z8="tidak","menempel, tidak bisa diganti","belum diketahui apakah bisa diganti")))</f>
        <v>bisa diganti dengan yang lebih besar</v>
      </c>
      <c r="K20" s="68" t="str">
        <f aca="false">IF($A20="","",IF(AND(Aturan!$C$30="",Aturan!$D$30=""),"Tidak dinilai",IF(C20="","Belum ada data",IF(C20&lt;IF(Aturan!$C$30="",0,Aturan!$C$30),"Kurang",IF(C20&gt;=IF(Aturan!$D$30="",Aturan!$C$30,Aturan!$D$30),"Nyaman","Cukup")))))</f>
        <v>Cukup</v>
      </c>
      <c r="L20" s="68" t="str">
        <f aca="false">IF($A20="","",IF(AND(Aturan!$C$31="",Aturan!$D$31=""),"Tidak dinilai",IF(D20="","Belum ada data",IF(D20&lt;IF(Aturan!$C$31="",0,Aturan!$C$31),"Kurang",IF(D20&gt;=IF(Aturan!$D$31="",Aturan!$C$31,Aturan!$D$31),"Nyaman","Cukup")))))</f>
        <v>Tidak dinilai</v>
      </c>
      <c r="M20" s="68" t="str">
        <f aca="false">IF($A20="","",IF(AND(Aturan!$C$32="",Aturan!$D$32=""),"Tidak dinilai",IF(E20="","Belum ada data",IF(E20&lt;IF(Aturan!$C$32="",0,Aturan!$C$32),"Kurang",IF(E20&gt;=IF(Aturan!$D$32="",Aturan!$C$32,Aturan!$D$32),"Nyaman","Cukup")))))</f>
        <v>Nyaman</v>
      </c>
      <c r="N20" s="68" t="str">
        <f aca="false">IF($A20="","",IF(AND(Aturan!$C$33="",Aturan!$D$33=""),"Tidak dinilai",IF(F20="","Belum ada data",IF(F20&lt;IF(Aturan!$C$33="",0,Aturan!$C$33),"Kurang",IF(F20&gt;=IF(Aturan!$D$33="",Aturan!$C$33,Aturan!$D$33),"Nyaman","Cukup")))))</f>
        <v>Nyaman</v>
      </c>
      <c r="O20" s="68" t="str">
        <f aca="false">IF($A20="","",IF(AND(Aturan!$C$34="",Aturan!$D$34=""),"Tidak dinilai",IF(G20="","Belum ada data",IF(G20&lt;IF(Aturan!$C$34="",0,Aturan!$C$34),"Kurang",IF(G20&gt;=IF(Aturan!$D$34="",Aturan!$C$34,Aturan!$D$34),"Nyaman","Cukup")))))</f>
        <v>Tidak dinilai</v>
      </c>
      <c r="P20" s="68" t="str">
        <f aca="false">IF($A20="","",IF(AND(Aturan!$C$35="",Aturan!$D$35=""),"Tidak dinilai",IF(H20="","Belum ada data",IF(H20&lt;IF(Aturan!$C$35="",0,Aturan!$C$35),"Kurang",IF(H20&gt;=IF(Aturan!$D$35="",Aturan!$C$35,Aturan!$D$35),"Nyaman","Cukup")))))</f>
        <v>Tidak dinilai</v>
      </c>
      <c r="Q20" s="68" t="str">
        <f aca="false">IF($A20="","",IF(COUNTIF(K20:P20,"Tidak dinilai")=6,"Tidak dinilai",IF(COUNTIF(K20:P20,"Kurang")&gt;0,"Kurang cocok",IF(COUNTIF(K20:P20,"Belum ada data")&gt;0,"Data belum lengkap",IF(COUNTIF(K20:P20,"Cukup")&gt;0,"Bisa, dengan catatan","Cocok")))))</f>
        <v>Bisa, dengan catatan</v>
      </c>
      <c r="R20" s="66" t="str">
        <f aca="false">IF($A20="","",IF(K20="Kurang","prosesor tingkat "&amp;C20&amp;" dari 5, di bawah batas minimal (tingkat "&amp;Aturan!$C$30&amp;")",IF(K20="Cukup","prosesor tingkat "&amp;C20&amp;" dari 5 cukup, nyamannya mulai tingkat "&amp;Aturan!$D$30,IF(K20="Belum ada data","tingkat prosesor belum diisi",""))))</f>
        <v>prosesor tingkat 1 dari 5 cukup, nyamannya mulai tingkat 2</v>
      </c>
      <c r="S20" s="66" t="str">
        <f aca="false">IF($A20="","",IF(L20="Kurang","grafis tingkat "&amp;D20&amp;" dari 5, di bawah batas minimal (tingkat "&amp;Aturan!$C$31&amp;")",IF(L20="Cukup","grafis tingkat "&amp;D20&amp;" dari 5 cukup, nyamannya mulai tingkat "&amp;Aturan!$D$31,IF(L20="Belum ada data","tingkat grafis belum diisi",""))))</f>
        <v/>
      </c>
      <c r="T20" s="66" t="str">
        <f aca="false">IF($A20="","",IF(M20="Kurang","RAM "&amp;E20&amp;" GB, di bawah batas minimal "&amp;Aturan!$C$32&amp;" GB ("&amp;I20&amp;")",IF(M20="Cukup","RAM "&amp;E20&amp;" GB cukup, nyamannya "&amp;Aturan!$D$32&amp;" GB atau lebih ("&amp;I20&amp;")",IF(M20="Belum ada data","ukuran RAM belum diisi",""))))</f>
        <v/>
      </c>
      <c r="U20" s="66" t="str">
        <f aca="false">IF($A20="","",IF(N20="Kurang","penyimpanan "&amp;F20&amp;" GB, di bawah batas minimal "&amp;Aturan!$C$33&amp;" GB ("&amp;J20&amp;")",IF(N20="Cukup","penyimpanan "&amp;F20&amp;" GB cukup, nyamannya "&amp;Aturan!$D$33&amp;" GB atau lebih ("&amp;J20&amp;")",IF(N20="Belum ada data","ukuran penyimpanan belum diisi",""))))</f>
        <v/>
      </c>
      <c r="V20" s="66" t="str">
        <f aca="false">IF($A20="","",IF(O20="Kurang","layar "&amp;Varian!$AG8&amp;", di bawah batas minimal ("&amp;IFERROR(INDEX(Aturan!$A$63:$A$66,MATCH(Aturan!$C$34,Aturan!$B$63:$B$66,0)),"peringkat "&amp;Aturan!$C$34)&amp;")",IF(O20="Cukup","layar "&amp;Varian!$AG8&amp;" cukup, nyamannya "&amp;IFERROR(INDEX(Aturan!$A$63:$A$66,MATCH(Aturan!$D$34,Aturan!$B$63:$B$66,0)),"peringkat "&amp;Aturan!$D$34),IF(O20="Belum ada data","jenis layar belum diketahui",""))))</f>
        <v/>
      </c>
      <c r="W20" s="66" t="str">
        <f aca="false">IF($A20="","",IF(P20="Kurang","layar "&amp;H20&amp;" Hz, di bawah batas minimal "&amp;Aturan!$C$35&amp;" Hz",IF(P20="Cukup","layar "&amp;H20&amp;" Hz cukup, nyamannya "&amp;Aturan!$D$35&amp;" Hz atau lebih",IF(P20="Belum ada data","refresh rate belum diketahui",""))))</f>
        <v/>
      </c>
      <c r="X20" s="66" t="str">
        <f aca="false">IF($A20="","",IF(K20="Kurang",R20&amp;"; ","")&amp;IF(L20="Kurang",S20&amp;"; ","")&amp;IF(M20="Kurang",T20&amp;"; ","")&amp;IF(N20="Kurang",U20&amp;"; ","")&amp;IF(O20="Kurang",V20&amp;"; ","")&amp;IF(P20="Kurang",W20&amp;"; ","")&amp;IF(K20="Belum ada data",R20&amp;"; ","")&amp;IF(L20="Belum ada data",S20&amp;"; ","")&amp;IF(M20="Belum ada data",T20&amp;"; ","")&amp;IF(N20="Belum ada data",U20&amp;"; ","")&amp;IF(O20="Belum ada data",V20&amp;"; ","")&amp;IF(P20="Belum ada data",W20&amp;"; ","")&amp;IF(K20="Cukup",R20&amp;"; ","")&amp;IF(L20="Cukup",S20&amp;"; ","")&amp;IF(M20="Cukup",T20&amp;"; ","")&amp;IF(N20="Cukup",U20&amp;"; ","")&amp;IF(O20="Cukup",V20&amp;"; ","")&amp;IF(P20="Cukup",W20&amp;"; ",""))</f>
        <v>prosesor tingkat 1 dari 5 cukup, nyamannya mulai tingkat 2; </v>
      </c>
      <c r="Y20" s="66" t="str">
        <f aca="false">IF($A20="","",IF(K20="Nyaman","prosesor, ","")&amp;IF(L20="Nyaman","grafis, ","")&amp;IF(M20="Nyaman","RAM, ","")&amp;IF(N20="Nyaman","penyimpanan, ","")&amp;IF(O20="Nyaman","layar, ","")&amp;IF(P20="Nyaman","refresh rate, ",""))</f>
        <v>RAM, penyimpanan, </v>
      </c>
      <c r="Z20" s="66" t="str">
        <f aca="false">IF($A20="","",IF(Q20="Tidak dinilai","Belum ada kriteria yang dinilai untuk kebutuhan ini.",IF(Q20="Cocok","Semua kriteria yang dinilai sudah nyaman: "&amp;LEFT(Y20,LEN(Y20)-2)&amp;".",UPPER(LEFT(X20,1))&amp;MID(X20,2,LEN(X20)-3)&amp;"."&amp;IF(Y20="",""," Sudah nyaman: "&amp;LEFT(Y20,LEN(Y20)-2)&amp;"."))))</f>
        <v>Prosesor tingkat 1 dari 5 cukup, nyamannya mulai tingkat 2. Sudah nyaman: RAM, penyimpanan.</v>
      </c>
      <c r="AA20" s="71" t="str">
        <f aca="false">IF($A20="","",IF(Varian!$AR8="Windows 10","• "&amp;Aturan!$E$71&amp;CHAR(10),"")&amp;IF(Varian!$BB8="tidak","• "&amp;Aturan!$E$72&amp;CHAR(10),"")&amp;IF(OR(Varian!$AD8="belum terverifikasi",Varian!$AD8="tidak diketahui"),"• "&amp;Aturan!$E$73&amp;CHAR(10),"")&amp;IF(Varian!$AH8="1366x768","• "&amp;Aturan!$E$74&amp;CHAR(10),"")&amp;IF(Varian!$AG8="TN","• "&amp;Aturan!$E$75&amp;CHAR(10),"")&amp;IF(AND(Varian!$Q8="disolder",ISNUMBER(Varian!$M8),Varian!$M8&lt;=8),"• "&amp;Aturan!$E$76&amp;CHAR(10),""))</f>
        <v>• Memakai Windows 10: dukungan resmi Microsoft sudah berakhir pada 14 Oktober 2025. Siapkan naik ke Windows 11.
• Info RAM dan penyimpanan (bisa diganti atau tidak) belum terverifikasi. Periksa lagi sebelum membeli.
• Layar beresolusi rendah (1366x768): ruang kerja sempit dan tulisan kurang tajam.
• Panel TN: warna cenderung pucat dan sudut pandang sempit.
</v>
      </c>
      <c r="AB20" s="71" t="str">
        <f aca="false">IF($A20="","",IF(AA20="","",LEFT(AA20,LEN(AA20)-1)))</f>
        <v>• Memakai Windows 10: dukungan resmi Microsoft sudah berakhir pada 14 Oktober 2025. Siapkan naik ke Windows 11.
• Info RAM dan penyimpanan (bisa diganti atau tidak) belum terverifikasi. Periksa lagi sebelum membeli.
• Layar beresolusi rendah (1366x768): ruang kerja sempit dan tulisan kurang tajam.
• Panel TN: warna cenderung pucat dan sudut pandang sempit.</v>
      </c>
      <c r="AC20" s="67" t="n">
        <f aca="false">IF($A20="","",IF(AA20="",0,LEN(AA20)-LEN(SUBSTITUTE(AA20,CHAR(10),""))))</f>
        <v>4</v>
      </c>
    </row>
    <row r="21" customFormat="false" ht="15" hidden="false" customHeight="true" outlineLevel="0" collapsed="false">
      <c r="A21" s="33" t="str">
        <f aca="false">IF(Varian!$A8="","",Varian!$A8)</f>
        <v>axioo-hype-10-n4020-8-256-w10</v>
      </c>
      <c r="B21" s="33" t="str">
        <f aca="false">IF($A21="","",Aturan!$A$22)</f>
        <v>Desain grafis</v>
      </c>
      <c r="C21" s="69" t="n">
        <f aca="false">IF($A21="","",IFERROR(IF(ISNUMBER(INDEX(CPU!$J$4:$J$64,MATCH(Varian!$J8,CPU!$A$4:$A$64,0))),INDEX(CPU!$J$4:$J$64,MATCH(Varian!$J8,CPU!$A$4:$A$64,0)),""),""))</f>
        <v>1</v>
      </c>
      <c r="D21" s="69" t="n">
        <f aca="false">IF($A21="","",IFERROR(IF(ISNUMBER(INDEX(GPU!$G$4:$G$64,MATCH(Varian!$K8,GPU!$A$4:$A$64,0))),INDEX(GPU!$G$4:$G$64,MATCH(Varian!$K8,GPU!$A$4:$A$64,0)),""),""))</f>
        <v>1</v>
      </c>
      <c r="E21" s="69" t="n">
        <f aca="false">IF($A21="","",IF(ISNUMBER(Varian!$M8),Varian!$M8,""))</f>
        <v>8</v>
      </c>
      <c r="F21" s="69" t="n">
        <f aca="false">IF($A21="","",IF(ISNUMBER(Varian!$V8),Varian!$V8,""))</f>
        <v>256</v>
      </c>
      <c r="G21" s="69" t="n">
        <f aca="false">IF($A21="","",IFERROR(INDEX(Aturan!$B$63:$B$66,MATCH(Varian!$AG8,Aturan!$A$63:$A$66,0)),""))</f>
        <v>1</v>
      </c>
      <c r="H21" s="69" t="str">
        <f aca="false">IF($A21="","",IF(ISNUMBER(Varian!$AI8),Varian!$AI8,""))</f>
        <v/>
      </c>
      <c r="I21" s="33" t="str">
        <f aca="false">IF($A21="","",IF(Varian!$Q8="disolder","menempel di papan utama, tidak bisa ditambah",IF(OR(Varian!$Q8="slot",Varian!$Q8="setengah_disolder"),IF(Varian!$Q8="setengah_disolder","sebagian menempel, ","")&amp;IF(ISNUMBER(Varian!$U8),IF(AND(ISNUMBER(Varian!$M8),Varian!$U8&gt;Varian!$M8),"bisa dinaikkan lewat slot sampai "&amp;Varian!$U8&amp;" GB","sudah di batas maksimal "&amp;Varian!$U8&amp;" GB"),"ada slot, batas maksimalnya belum diketahui"),"belum diketahui apakah bisa ditambah")))</f>
        <v>sudah di batas maksimal 8 GB</v>
      </c>
      <c r="J21" s="33" t="str">
        <f aca="false">IF($A21="","",IF(Varian!$Z8="ya","bisa diganti dengan yang lebih besar",IF(Varian!$Z8="tidak","menempel, tidak bisa diganti","belum diketahui apakah bisa diganti")))</f>
        <v>bisa diganti dengan yang lebih besar</v>
      </c>
      <c r="K21" s="70" t="str">
        <f aca="false">IF($A21="","",IF(AND(Aturan!$C$36="",Aturan!$D$36=""),"Tidak dinilai",IF(C21="","Belum ada data",IF(C21&lt;IF(Aturan!$C$36="",0,Aturan!$C$36),"Kurang",IF(C21&gt;=IF(Aturan!$D$36="",Aturan!$C$36,Aturan!$D$36),"Nyaman","Cukup")))))</f>
        <v>Kurang</v>
      </c>
      <c r="L21" s="70" t="str">
        <f aca="false">IF($A21="","",IF(AND(Aturan!$C$37="",Aturan!$D$37=""),"Tidak dinilai",IF(D21="","Belum ada data",IF(D21&lt;IF(Aturan!$C$37="",0,Aturan!$C$37),"Kurang",IF(D21&gt;=IF(Aturan!$D$37="",Aturan!$C$37,Aturan!$D$37),"Nyaman","Cukup")))))</f>
        <v>Cukup</v>
      </c>
      <c r="M21" s="70" t="str">
        <f aca="false">IF($A21="","",IF(AND(Aturan!$C$38="",Aturan!$D$38=""),"Tidak dinilai",IF(E21="","Belum ada data",IF(E21&lt;IF(Aturan!$C$38="",0,Aturan!$C$38),"Kurang",IF(E21&gt;=IF(Aturan!$D$38="",Aturan!$C$38,Aturan!$D$38),"Nyaman","Cukup")))))</f>
        <v>Cukup</v>
      </c>
      <c r="N21" s="70" t="str">
        <f aca="false">IF($A21="","",IF(AND(Aturan!$C$39="",Aturan!$D$39=""),"Tidak dinilai",IF(F21="","Belum ada data",IF(F21&lt;IF(Aturan!$C$39="",0,Aturan!$C$39),"Kurang",IF(F21&gt;=IF(Aturan!$D$39="",Aturan!$C$39,Aturan!$D$39),"Nyaman","Cukup")))))</f>
        <v>Cukup</v>
      </c>
      <c r="O21" s="70" t="str">
        <f aca="false">IF($A21="","",IF(AND(Aturan!$C$40="",Aturan!$D$40=""),"Tidak dinilai",IF(G21="","Belum ada data",IF(G21&lt;IF(Aturan!$C$40="",0,Aturan!$C$40),"Kurang",IF(G21&gt;=IF(Aturan!$D$40="",Aturan!$C$40,Aturan!$D$40),"Nyaman","Cukup")))))</f>
        <v>Kurang</v>
      </c>
      <c r="P21" s="70" t="str">
        <f aca="false">IF($A21="","",IF(AND(Aturan!$C$41="",Aturan!$D$41=""),"Tidak dinilai",IF(H21="","Belum ada data",IF(H21&lt;IF(Aturan!$C$41="",0,Aturan!$C$41),"Kurang",IF(H21&gt;=IF(Aturan!$D$41="",Aturan!$C$41,Aturan!$D$41),"Nyaman","Cukup")))))</f>
        <v>Tidak dinilai</v>
      </c>
      <c r="Q21" s="70" t="str">
        <f aca="false">IF($A21="","",IF(COUNTIF(K21:P21,"Tidak dinilai")=6,"Tidak dinilai",IF(COUNTIF(K21:P21,"Kurang")&gt;0,"Kurang cocok",IF(COUNTIF(K21:P21,"Belum ada data")&gt;0,"Data belum lengkap",IF(COUNTIF(K21:P21,"Cukup")&gt;0,"Bisa, dengan catatan","Cocok")))))</f>
        <v>Kurang cocok</v>
      </c>
      <c r="R21" s="33" t="str">
        <f aca="false">IF($A21="","",IF(K21="Kurang","prosesor tingkat "&amp;C21&amp;" dari 5, di bawah batas minimal (tingkat "&amp;Aturan!$C$36&amp;")",IF(K21="Cukup","prosesor tingkat "&amp;C21&amp;" dari 5 cukup, nyamannya mulai tingkat "&amp;Aturan!$D$36,IF(K21="Belum ada data","tingkat prosesor belum diisi",""))))</f>
        <v>prosesor tingkat 1 dari 5, di bawah batas minimal (tingkat 2)</v>
      </c>
      <c r="S21" s="33" t="str">
        <f aca="false">IF($A21="","",IF(L21="Kurang","grafis tingkat "&amp;D21&amp;" dari 5, di bawah batas minimal (tingkat "&amp;Aturan!$C$37&amp;")",IF(L21="Cukup","grafis tingkat "&amp;D21&amp;" dari 5 cukup, nyamannya mulai tingkat "&amp;Aturan!$D$37,IF(L21="Belum ada data","tingkat grafis belum diisi",""))))</f>
        <v>grafis tingkat 1 dari 5 cukup, nyamannya mulai tingkat 2</v>
      </c>
      <c r="T21" s="33" t="str">
        <f aca="false">IF($A21="","",IF(M21="Kurang","RAM "&amp;E21&amp;" GB, di bawah batas minimal "&amp;Aturan!$C$38&amp;" GB ("&amp;I21&amp;")",IF(M21="Cukup","RAM "&amp;E21&amp;" GB cukup, nyamannya "&amp;Aturan!$D$38&amp;" GB atau lebih ("&amp;I21&amp;")",IF(M21="Belum ada data","ukuran RAM belum diisi",""))))</f>
        <v>RAM 8 GB cukup, nyamannya 16 GB atau lebih (sudah di batas maksimal 8 GB)</v>
      </c>
      <c r="U21" s="33" t="str">
        <f aca="false">IF($A21="","",IF(N21="Kurang","penyimpanan "&amp;F21&amp;" GB, di bawah batas minimal "&amp;Aturan!$C$39&amp;" GB ("&amp;J21&amp;")",IF(N21="Cukup","penyimpanan "&amp;F21&amp;" GB cukup, nyamannya "&amp;Aturan!$D$39&amp;" GB atau lebih ("&amp;J21&amp;")",IF(N21="Belum ada data","ukuran penyimpanan belum diisi",""))))</f>
        <v>penyimpanan 256 GB cukup, nyamannya 512 GB atau lebih (bisa diganti dengan yang lebih besar)</v>
      </c>
      <c r="V21" s="33" t="str">
        <f aca="false">IF($A21="","",IF(O21="Kurang","layar "&amp;Varian!$AG8&amp;", di bawah batas minimal ("&amp;IFERROR(INDEX(Aturan!$A$63:$A$66,MATCH(Aturan!$C$40,Aturan!$B$63:$B$66,0)),"peringkat "&amp;Aturan!$C$40)&amp;")",IF(O21="Cukup","layar "&amp;Varian!$AG8&amp;" cukup, nyamannya "&amp;IFERROR(INDEX(Aturan!$A$63:$A$66,MATCH(Aturan!$D$40,Aturan!$B$63:$B$66,0)),"peringkat "&amp;Aturan!$D$40),IF(O21="Belum ada data","jenis layar belum diketahui",""))))</f>
        <v>layar TN, di bawah batas minimal (IPS)</v>
      </c>
      <c r="W21" s="33" t="str">
        <f aca="false">IF($A21="","",IF(P21="Kurang","layar "&amp;H21&amp;" Hz, di bawah batas minimal "&amp;Aturan!$C$41&amp;" Hz",IF(P21="Cukup","layar "&amp;H21&amp;" Hz cukup, nyamannya "&amp;Aturan!$D$41&amp;" Hz atau lebih",IF(P21="Belum ada data","refresh rate belum diketahui",""))))</f>
        <v/>
      </c>
      <c r="X21" s="33" t="str">
        <f aca="false">IF($A21="","",IF(K21="Kurang",R21&amp;"; ","")&amp;IF(L21="Kurang",S21&amp;"; ","")&amp;IF(M21="Kurang",T21&amp;"; ","")&amp;IF(N21="Kurang",U21&amp;"; ","")&amp;IF(O21="Kurang",V21&amp;"; ","")&amp;IF(P21="Kurang",W21&amp;"; ","")&amp;IF(K21="Belum ada data",R21&amp;"; ","")&amp;IF(L21="Belum ada data",S21&amp;"; ","")&amp;IF(M21="Belum ada data",T21&amp;"; ","")&amp;IF(N21="Belum ada data",U21&amp;"; ","")&amp;IF(O21="Belum ada data",V21&amp;"; ","")&amp;IF(P21="Belum ada data",W21&amp;"; ","")&amp;IF(K21="Cukup",R21&amp;"; ","")&amp;IF(L21="Cukup",S21&amp;"; ","")&amp;IF(M21="Cukup",T21&amp;"; ","")&amp;IF(N21="Cukup",U21&amp;"; ","")&amp;IF(O21="Cukup",V21&amp;"; ","")&amp;IF(P21="Cukup",W21&amp;"; ",""))</f>
        <v>prosesor tingkat 1 dari 5, di bawah batas minimal (tingkat 2); layar TN, di bawah batas minimal (IPS); grafis tingkat 1 dari 5 cukup, nyamannya mulai tingkat 2; RAM 8 GB cukup, nyamannya 16 GB atau lebih (sudah di batas maksimal 8 GB); penyimpanan 256 GB cukup, nyamannya 512 GB atau lebih (bisa diganti dengan yang lebih besar); </v>
      </c>
      <c r="Y21" s="33" t="str">
        <f aca="false">IF($A21="","",IF(K21="Nyaman","prosesor, ","")&amp;IF(L21="Nyaman","grafis, ","")&amp;IF(M21="Nyaman","RAM, ","")&amp;IF(N21="Nyaman","penyimpanan, ","")&amp;IF(O21="Nyaman","layar, ","")&amp;IF(P21="Nyaman","refresh rate, ",""))</f>
        <v/>
      </c>
      <c r="Z21" s="33" t="str">
        <f aca="false">IF($A21="","",IF(Q21="Tidak dinilai","Belum ada kriteria yang dinilai untuk kebutuhan ini.",IF(Q21="Cocok","Semua kriteria yang dinilai sudah nyaman: "&amp;LEFT(Y21,LEN(Y21)-2)&amp;".",UPPER(LEFT(X21,1))&amp;MID(X21,2,LEN(X21)-3)&amp;"."&amp;IF(Y21="",""," Sudah nyaman: "&amp;LEFT(Y21,LEN(Y21)-2)&amp;"."))))</f>
        <v>Prosesor tingkat 1 dari 5, di bawah batas minimal (tingkat 2); layar TN, di bawah batas minimal (IPS); grafis tingkat 1 dari 5 cukup, nyamannya mulai tingkat 2; RAM 8 GB cukup, nyamannya 16 GB atau lebih (sudah di batas maksimal 8 GB); penyimpanan 256 GB cukup, nyamannya 512 GB atau lebih (bisa diganti dengan yang lebih besar).</v>
      </c>
      <c r="AA21" s="33"/>
      <c r="AB21" s="33"/>
      <c r="AC21" s="69"/>
    </row>
    <row r="22" customFormat="false" ht="15" hidden="false" customHeight="true" outlineLevel="0" collapsed="false">
      <c r="A22" s="33" t="str">
        <f aca="false">IF(Varian!$A8="","",Varian!$A8)</f>
        <v>axioo-hype-10-n4020-8-256-w10</v>
      </c>
      <c r="B22" s="33" t="str">
        <f aca="false">IF($A22="","",Aturan!$A$23)</f>
        <v>Pemrograman</v>
      </c>
      <c r="C22" s="69" t="n">
        <f aca="false">IF($A22="","",IFERROR(IF(ISNUMBER(INDEX(CPU!$J$4:$J$64,MATCH(Varian!$J8,CPU!$A$4:$A$64,0))),INDEX(CPU!$J$4:$J$64,MATCH(Varian!$J8,CPU!$A$4:$A$64,0)),""),""))</f>
        <v>1</v>
      </c>
      <c r="D22" s="69" t="n">
        <f aca="false">IF($A22="","",IFERROR(IF(ISNUMBER(INDEX(GPU!$G$4:$G$64,MATCH(Varian!$K8,GPU!$A$4:$A$64,0))),INDEX(GPU!$G$4:$G$64,MATCH(Varian!$K8,GPU!$A$4:$A$64,0)),""),""))</f>
        <v>1</v>
      </c>
      <c r="E22" s="69" t="n">
        <f aca="false">IF($A22="","",IF(ISNUMBER(Varian!$M8),Varian!$M8,""))</f>
        <v>8</v>
      </c>
      <c r="F22" s="69" t="n">
        <f aca="false">IF($A22="","",IF(ISNUMBER(Varian!$V8),Varian!$V8,""))</f>
        <v>256</v>
      </c>
      <c r="G22" s="69" t="n">
        <f aca="false">IF($A22="","",IFERROR(INDEX(Aturan!$B$63:$B$66,MATCH(Varian!$AG8,Aturan!$A$63:$A$66,0)),""))</f>
        <v>1</v>
      </c>
      <c r="H22" s="69" t="str">
        <f aca="false">IF($A22="","",IF(ISNUMBER(Varian!$AI8),Varian!$AI8,""))</f>
        <v/>
      </c>
      <c r="I22" s="33" t="str">
        <f aca="false">IF($A22="","",IF(Varian!$Q8="disolder","menempel di papan utama, tidak bisa ditambah",IF(OR(Varian!$Q8="slot",Varian!$Q8="setengah_disolder"),IF(Varian!$Q8="setengah_disolder","sebagian menempel, ","")&amp;IF(ISNUMBER(Varian!$U8),IF(AND(ISNUMBER(Varian!$M8),Varian!$U8&gt;Varian!$M8),"bisa dinaikkan lewat slot sampai "&amp;Varian!$U8&amp;" GB","sudah di batas maksimal "&amp;Varian!$U8&amp;" GB"),"ada slot, batas maksimalnya belum diketahui"),"belum diketahui apakah bisa ditambah")))</f>
        <v>sudah di batas maksimal 8 GB</v>
      </c>
      <c r="J22" s="33" t="str">
        <f aca="false">IF($A22="","",IF(Varian!$Z8="ya","bisa diganti dengan yang lebih besar",IF(Varian!$Z8="tidak","menempel, tidak bisa diganti","belum diketahui apakah bisa diganti")))</f>
        <v>bisa diganti dengan yang lebih besar</v>
      </c>
      <c r="K22" s="70" t="str">
        <f aca="false">IF($A22="","",IF(AND(Aturan!$C$42="",Aturan!$D$42=""),"Tidak dinilai",IF(C22="","Belum ada data",IF(C22&lt;IF(Aturan!$C$42="",0,Aturan!$C$42),"Kurang",IF(C22&gt;=IF(Aturan!$D$42="",Aturan!$C$42,Aturan!$D$42),"Nyaman","Cukup")))))</f>
        <v>Kurang</v>
      </c>
      <c r="L22" s="70" t="str">
        <f aca="false">IF($A22="","",IF(AND(Aturan!$C$43="",Aturan!$D$43=""),"Tidak dinilai",IF(D22="","Belum ada data",IF(D22&lt;IF(Aturan!$C$43="",0,Aturan!$C$43),"Kurang",IF(D22&gt;=IF(Aturan!$D$43="",Aturan!$C$43,Aturan!$D$43),"Nyaman","Cukup")))))</f>
        <v>Tidak dinilai</v>
      </c>
      <c r="M22" s="70" t="str">
        <f aca="false">IF($A22="","",IF(AND(Aturan!$C$44="",Aturan!$D$44=""),"Tidak dinilai",IF(E22="","Belum ada data",IF(E22&lt;IF(Aturan!$C$44="",0,Aturan!$C$44),"Kurang",IF(E22&gt;=IF(Aturan!$D$44="",Aturan!$C$44,Aturan!$D$44),"Nyaman","Cukup")))))</f>
        <v>Cukup</v>
      </c>
      <c r="N22" s="70" t="str">
        <f aca="false">IF($A22="","",IF(AND(Aturan!$C$45="",Aturan!$D$45=""),"Tidak dinilai",IF(F22="","Belum ada data",IF(F22&lt;IF(Aturan!$C$45="",0,Aturan!$C$45),"Kurang",IF(F22&gt;=IF(Aturan!$D$45="",Aturan!$C$45,Aturan!$D$45),"Nyaman","Cukup")))))</f>
        <v>Cukup</v>
      </c>
      <c r="O22" s="70" t="str">
        <f aca="false">IF($A22="","",IF(AND(Aturan!$C$46="",Aturan!$D$46=""),"Tidak dinilai",IF(G22="","Belum ada data",IF(G22&lt;IF(Aturan!$C$46="",0,Aturan!$C$46),"Kurang",IF(G22&gt;=IF(Aturan!$D$46="",Aturan!$C$46,Aturan!$D$46),"Nyaman","Cukup")))))</f>
        <v>Tidak dinilai</v>
      </c>
      <c r="P22" s="70" t="str">
        <f aca="false">IF($A22="","",IF(AND(Aturan!$C$47="",Aturan!$D$47=""),"Tidak dinilai",IF(H22="","Belum ada data",IF(H22&lt;IF(Aturan!$C$47="",0,Aturan!$C$47),"Kurang",IF(H22&gt;=IF(Aturan!$D$47="",Aturan!$C$47,Aturan!$D$47),"Nyaman","Cukup")))))</f>
        <v>Tidak dinilai</v>
      </c>
      <c r="Q22" s="70" t="str">
        <f aca="false">IF($A22="","",IF(COUNTIF(K22:P22,"Tidak dinilai")=6,"Tidak dinilai",IF(COUNTIF(K22:P22,"Kurang")&gt;0,"Kurang cocok",IF(COUNTIF(K22:P22,"Belum ada data")&gt;0,"Data belum lengkap",IF(COUNTIF(K22:P22,"Cukup")&gt;0,"Bisa, dengan catatan","Cocok")))))</f>
        <v>Kurang cocok</v>
      </c>
      <c r="R22" s="33" t="str">
        <f aca="false">IF($A22="","",IF(K22="Kurang","prosesor tingkat "&amp;C22&amp;" dari 5, di bawah batas minimal (tingkat "&amp;Aturan!$C$42&amp;")",IF(K22="Cukup","prosesor tingkat "&amp;C22&amp;" dari 5 cukup, nyamannya mulai tingkat "&amp;Aturan!$D$42,IF(K22="Belum ada data","tingkat prosesor belum diisi",""))))</f>
        <v>prosesor tingkat 1 dari 5, di bawah batas minimal (tingkat 2)</v>
      </c>
      <c r="S22" s="33" t="str">
        <f aca="false">IF($A22="","",IF(L22="Kurang","grafis tingkat "&amp;D22&amp;" dari 5, di bawah batas minimal (tingkat "&amp;Aturan!$C$43&amp;")",IF(L22="Cukup","grafis tingkat "&amp;D22&amp;" dari 5 cukup, nyamannya mulai tingkat "&amp;Aturan!$D$43,IF(L22="Belum ada data","tingkat grafis belum diisi",""))))</f>
        <v/>
      </c>
      <c r="T22" s="33" t="str">
        <f aca="false">IF($A22="","",IF(M22="Kurang","RAM "&amp;E22&amp;" GB, di bawah batas minimal "&amp;Aturan!$C$44&amp;" GB ("&amp;I22&amp;")",IF(M22="Cukup","RAM "&amp;E22&amp;" GB cukup, nyamannya "&amp;Aturan!$D$44&amp;" GB atau lebih ("&amp;I22&amp;")",IF(M22="Belum ada data","ukuran RAM belum diisi",""))))</f>
        <v>RAM 8 GB cukup, nyamannya 16 GB atau lebih (sudah di batas maksimal 8 GB)</v>
      </c>
      <c r="U22" s="33" t="str">
        <f aca="false">IF($A22="","",IF(N22="Kurang","penyimpanan "&amp;F22&amp;" GB, di bawah batas minimal "&amp;Aturan!$C$45&amp;" GB ("&amp;J22&amp;")",IF(N22="Cukup","penyimpanan "&amp;F22&amp;" GB cukup, nyamannya "&amp;Aturan!$D$45&amp;" GB atau lebih ("&amp;J22&amp;")",IF(N22="Belum ada data","ukuran penyimpanan belum diisi",""))))</f>
        <v>penyimpanan 256 GB cukup, nyamannya 512 GB atau lebih (bisa diganti dengan yang lebih besar)</v>
      </c>
      <c r="V22" s="33" t="str">
        <f aca="false">IF($A22="","",IF(O22="Kurang","layar "&amp;Varian!$AG8&amp;", di bawah batas minimal ("&amp;IFERROR(INDEX(Aturan!$A$63:$A$66,MATCH(Aturan!$C$46,Aturan!$B$63:$B$66,0)),"peringkat "&amp;Aturan!$C$46)&amp;")",IF(O22="Cukup","layar "&amp;Varian!$AG8&amp;" cukup, nyamannya "&amp;IFERROR(INDEX(Aturan!$A$63:$A$66,MATCH(Aturan!$D$46,Aturan!$B$63:$B$66,0)),"peringkat "&amp;Aturan!$D$46),IF(O22="Belum ada data","jenis layar belum diketahui",""))))</f>
        <v/>
      </c>
      <c r="W22" s="33" t="str">
        <f aca="false">IF($A22="","",IF(P22="Kurang","layar "&amp;H22&amp;" Hz, di bawah batas minimal "&amp;Aturan!$C$47&amp;" Hz",IF(P22="Cukup","layar "&amp;H22&amp;" Hz cukup, nyamannya "&amp;Aturan!$D$47&amp;" Hz atau lebih",IF(P22="Belum ada data","refresh rate belum diketahui",""))))</f>
        <v/>
      </c>
      <c r="X22" s="33" t="str">
        <f aca="false">IF($A22="","",IF(K22="Kurang",R22&amp;"; ","")&amp;IF(L22="Kurang",S22&amp;"; ","")&amp;IF(M22="Kurang",T22&amp;"; ","")&amp;IF(N22="Kurang",U22&amp;"; ","")&amp;IF(O22="Kurang",V22&amp;"; ","")&amp;IF(P22="Kurang",W22&amp;"; ","")&amp;IF(K22="Belum ada data",R22&amp;"; ","")&amp;IF(L22="Belum ada data",S22&amp;"; ","")&amp;IF(M22="Belum ada data",T22&amp;"; ","")&amp;IF(N22="Belum ada data",U22&amp;"; ","")&amp;IF(O22="Belum ada data",V22&amp;"; ","")&amp;IF(P22="Belum ada data",W22&amp;"; ","")&amp;IF(K22="Cukup",R22&amp;"; ","")&amp;IF(L22="Cukup",S22&amp;"; ","")&amp;IF(M22="Cukup",T22&amp;"; ","")&amp;IF(N22="Cukup",U22&amp;"; ","")&amp;IF(O22="Cukup",V22&amp;"; ","")&amp;IF(P22="Cukup",W22&amp;"; ",""))</f>
        <v>prosesor tingkat 1 dari 5, di bawah batas minimal (tingkat 2); RAM 8 GB cukup, nyamannya 16 GB atau lebih (sudah di batas maksimal 8 GB); penyimpanan 256 GB cukup, nyamannya 512 GB atau lebih (bisa diganti dengan yang lebih besar); </v>
      </c>
      <c r="Y22" s="33" t="str">
        <f aca="false">IF($A22="","",IF(K22="Nyaman","prosesor, ","")&amp;IF(L22="Nyaman","grafis, ","")&amp;IF(M22="Nyaman","RAM, ","")&amp;IF(N22="Nyaman","penyimpanan, ","")&amp;IF(O22="Nyaman","layar, ","")&amp;IF(P22="Nyaman","refresh rate, ",""))</f>
        <v/>
      </c>
      <c r="Z22" s="33" t="str">
        <f aca="false">IF($A22="","",IF(Q22="Tidak dinilai","Belum ada kriteria yang dinilai untuk kebutuhan ini.",IF(Q22="Cocok","Semua kriteria yang dinilai sudah nyaman: "&amp;LEFT(Y22,LEN(Y22)-2)&amp;".",UPPER(LEFT(X22,1))&amp;MID(X22,2,LEN(X22)-3)&amp;"."&amp;IF(Y22="",""," Sudah nyaman: "&amp;LEFT(Y22,LEN(Y22)-2)&amp;"."))))</f>
        <v>Prosesor tingkat 1 dari 5, di bawah batas minimal (tingkat 2); RAM 8 GB cukup, nyamannya 16 GB atau lebih (sudah di batas maksimal 8 GB); penyimpanan 256 GB cukup, nyamannya 512 GB atau lebih (bisa diganti dengan yang lebih besar).</v>
      </c>
      <c r="AA22" s="33"/>
      <c r="AB22" s="33"/>
      <c r="AC22" s="69"/>
    </row>
    <row r="23" customFormat="false" ht="15" hidden="false" customHeight="true" outlineLevel="0" collapsed="false">
      <c r="A23" s="33" t="str">
        <f aca="false">IF(Varian!$A8="","",Varian!$A8)</f>
        <v>axioo-hype-10-n4020-8-256-w10</v>
      </c>
      <c r="B23" s="33" t="str">
        <f aca="false">IF($A23="","",Aturan!$A$24)</f>
        <v>Game ringan</v>
      </c>
      <c r="C23" s="69" t="n">
        <f aca="false">IF($A23="","",IFERROR(IF(ISNUMBER(INDEX(CPU!$J$4:$J$64,MATCH(Varian!$J8,CPU!$A$4:$A$64,0))),INDEX(CPU!$J$4:$J$64,MATCH(Varian!$J8,CPU!$A$4:$A$64,0)),""),""))</f>
        <v>1</v>
      </c>
      <c r="D23" s="69" t="n">
        <f aca="false">IF($A23="","",IFERROR(IF(ISNUMBER(INDEX(GPU!$G$4:$G$64,MATCH(Varian!$K8,GPU!$A$4:$A$64,0))),INDEX(GPU!$G$4:$G$64,MATCH(Varian!$K8,GPU!$A$4:$A$64,0)),""),""))</f>
        <v>1</v>
      </c>
      <c r="E23" s="69" t="n">
        <f aca="false">IF($A23="","",IF(ISNUMBER(Varian!$M8),Varian!$M8,""))</f>
        <v>8</v>
      </c>
      <c r="F23" s="69" t="n">
        <f aca="false">IF($A23="","",IF(ISNUMBER(Varian!$V8),Varian!$V8,""))</f>
        <v>256</v>
      </c>
      <c r="G23" s="69" t="n">
        <f aca="false">IF($A23="","",IFERROR(INDEX(Aturan!$B$63:$B$66,MATCH(Varian!$AG8,Aturan!$A$63:$A$66,0)),""))</f>
        <v>1</v>
      </c>
      <c r="H23" s="69" t="str">
        <f aca="false">IF($A23="","",IF(ISNUMBER(Varian!$AI8),Varian!$AI8,""))</f>
        <v/>
      </c>
      <c r="I23" s="33" t="str">
        <f aca="false">IF($A23="","",IF(Varian!$Q8="disolder","menempel di papan utama, tidak bisa ditambah",IF(OR(Varian!$Q8="slot",Varian!$Q8="setengah_disolder"),IF(Varian!$Q8="setengah_disolder","sebagian menempel, ","")&amp;IF(ISNUMBER(Varian!$U8),IF(AND(ISNUMBER(Varian!$M8),Varian!$U8&gt;Varian!$M8),"bisa dinaikkan lewat slot sampai "&amp;Varian!$U8&amp;" GB","sudah di batas maksimal "&amp;Varian!$U8&amp;" GB"),"ada slot, batas maksimalnya belum diketahui"),"belum diketahui apakah bisa ditambah")))</f>
        <v>sudah di batas maksimal 8 GB</v>
      </c>
      <c r="J23" s="33" t="str">
        <f aca="false">IF($A23="","",IF(Varian!$Z8="ya","bisa diganti dengan yang lebih besar",IF(Varian!$Z8="tidak","menempel, tidak bisa diganti","belum diketahui apakah bisa diganti")))</f>
        <v>bisa diganti dengan yang lebih besar</v>
      </c>
      <c r="K23" s="70" t="str">
        <f aca="false">IF($A23="","",IF(AND(Aturan!$C$48="",Aturan!$D$48=""),"Tidak dinilai",IF(C23="","Belum ada data",IF(C23&lt;IF(Aturan!$C$48="",0,Aturan!$C$48),"Kurang",IF(C23&gt;=IF(Aturan!$D$48="",Aturan!$C$48,Aturan!$D$48),"Nyaman","Cukup")))))</f>
        <v>Kurang</v>
      </c>
      <c r="L23" s="70" t="str">
        <f aca="false">IF($A23="","",IF(AND(Aturan!$C$49="",Aturan!$D$49=""),"Tidak dinilai",IF(D23="","Belum ada data",IF(D23&lt;IF(Aturan!$C$49="",0,Aturan!$C$49),"Kurang",IF(D23&gt;=IF(Aturan!$D$49="",Aturan!$C$49,Aturan!$D$49),"Nyaman","Cukup")))))</f>
        <v>Cukup</v>
      </c>
      <c r="M23" s="70" t="str">
        <f aca="false">IF($A23="","",IF(AND(Aturan!$C$50="",Aturan!$D$50=""),"Tidak dinilai",IF(E23="","Belum ada data",IF(E23&lt;IF(Aturan!$C$50="",0,Aturan!$C$50),"Kurang",IF(E23&gt;=IF(Aturan!$D$50="",Aturan!$C$50,Aturan!$D$50),"Nyaman","Cukup")))))</f>
        <v>Nyaman</v>
      </c>
      <c r="N23" s="70" t="str">
        <f aca="false">IF($A23="","",IF(AND(Aturan!$C$51="",Aturan!$D$51=""),"Tidak dinilai",IF(F23="","Belum ada data",IF(F23&lt;IF(Aturan!$C$51="",0,Aturan!$C$51),"Kurang",IF(F23&gt;=IF(Aturan!$D$51="",Aturan!$C$51,Aturan!$D$51),"Nyaman","Cukup")))))</f>
        <v>Nyaman</v>
      </c>
      <c r="O23" s="70" t="str">
        <f aca="false">IF($A23="","",IF(AND(Aturan!$C$52="",Aturan!$D$52=""),"Tidak dinilai",IF(G23="","Belum ada data",IF(G23&lt;IF(Aturan!$C$52="",0,Aturan!$C$52),"Kurang",IF(G23&gt;=IF(Aturan!$D$52="",Aturan!$C$52,Aturan!$D$52),"Nyaman","Cukup")))))</f>
        <v>Tidak dinilai</v>
      </c>
      <c r="P23" s="70" t="str">
        <f aca="false">IF($A23="","",IF(AND(Aturan!$C$53="",Aturan!$D$53=""),"Tidak dinilai",IF(H23="","Belum ada data",IF(H23&lt;IF(Aturan!$C$53="",0,Aturan!$C$53),"Kurang",IF(H23&gt;=IF(Aturan!$D$53="",Aturan!$C$53,Aturan!$D$53),"Nyaman","Cukup")))))</f>
        <v>Tidak dinilai</v>
      </c>
      <c r="Q23" s="70" t="str">
        <f aca="false">IF($A23="","",IF(COUNTIF(K23:P23,"Tidak dinilai")=6,"Tidak dinilai",IF(COUNTIF(K23:P23,"Kurang")&gt;0,"Kurang cocok",IF(COUNTIF(K23:P23,"Belum ada data")&gt;0,"Data belum lengkap",IF(COUNTIF(K23:P23,"Cukup")&gt;0,"Bisa, dengan catatan","Cocok")))))</f>
        <v>Kurang cocok</v>
      </c>
      <c r="R23" s="33" t="str">
        <f aca="false">IF($A23="","",IF(K23="Kurang","prosesor tingkat "&amp;C23&amp;" dari 5, di bawah batas minimal (tingkat "&amp;Aturan!$C$48&amp;")",IF(K23="Cukup","prosesor tingkat "&amp;C23&amp;" dari 5 cukup, nyamannya mulai tingkat "&amp;Aturan!$D$48,IF(K23="Belum ada data","tingkat prosesor belum diisi",""))))</f>
        <v>prosesor tingkat 1 dari 5, di bawah batas minimal (tingkat 2)</v>
      </c>
      <c r="S23" s="33" t="str">
        <f aca="false">IF($A23="","",IF(L23="Kurang","grafis tingkat "&amp;D23&amp;" dari 5, di bawah batas minimal (tingkat "&amp;Aturan!$C$49&amp;")",IF(L23="Cukup","grafis tingkat "&amp;D23&amp;" dari 5 cukup, nyamannya mulai tingkat "&amp;Aturan!$D$49,IF(L23="Belum ada data","tingkat grafis belum diisi",""))))</f>
        <v>grafis tingkat 1 dari 5 cukup, nyamannya mulai tingkat 2</v>
      </c>
      <c r="T23" s="33" t="str">
        <f aca="false">IF($A23="","",IF(M23="Kurang","RAM "&amp;E23&amp;" GB, di bawah batas minimal "&amp;Aturan!$C$50&amp;" GB ("&amp;I23&amp;")",IF(M23="Cukup","RAM "&amp;E23&amp;" GB cukup, nyamannya "&amp;Aturan!$D$50&amp;" GB atau lebih ("&amp;I23&amp;")",IF(M23="Belum ada data","ukuran RAM belum diisi",""))))</f>
        <v/>
      </c>
      <c r="U23" s="33" t="str">
        <f aca="false">IF($A23="","",IF(N23="Kurang","penyimpanan "&amp;F23&amp;" GB, di bawah batas minimal "&amp;Aturan!$C$51&amp;" GB ("&amp;J23&amp;")",IF(N23="Cukup","penyimpanan "&amp;F23&amp;" GB cukup, nyamannya "&amp;Aturan!$D$51&amp;" GB atau lebih ("&amp;J23&amp;")",IF(N23="Belum ada data","ukuran penyimpanan belum diisi",""))))</f>
        <v/>
      </c>
      <c r="V23" s="33" t="str">
        <f aca="false">IF($A23="","",IF(O23="Kurang","layar "&amp;Varian!$AG8&amp;", di bawah batas minimal ("&amp;IFERROR(INDEX(Aturan!$A$63:$A$66,MATCH(Aturan!$C$52,Aturan!$B$63:$B$66,0)),"peringkat "&amp;Aturan!$C$52)&amp;")",IF(O23="Cukup","layar "&amp;Varian!$AG8&amp;" cukup, nyamannya "&amp;IFERROR(INDEX(Aturan!$A$63:$A$66,MATCH(Aturan!$D$52,Aturan!$B$63:$B$66,0)),"peringkat "&amp;Aturan!$D$52),IF(O23="Belum ada data","jenis layar belum diketahui",""))))</f>
        <v/>
      </c>
      <c r="W23" s="33" t="str">
        <f aca="false">IF($A23="","",IF(P23="Kurang","layar "&amp;H23&amp;" Hz, di bawah batas minimal "&amp;Aturan!$C$53&amp;" Hz",IF(P23="Cukup","layar "&amp;H23&amp;" Hz cukup, nyamannya "&amp;Aturan!$D$53&amp;" Hz atau lebih",IF(P23="Belum ada data","refresh rate belum diketahui",""))))</f>
        <v/>
      </c>
      <c r="X23" s="33" t="str">
        <f aca="false">IF($A23="","",IF(K23="Kurang",R23&amp;"; ","")&amp;IF(L23="Kurang",S23&amp;"; ","")&amp;IF(M23="Kurang",T23&amp;"; ","")&amp;IF(N23="Kurang",U23&amp;"; ","")&amp;IF(O23="Kurang",V23&amp;"; ","")&amp;IF(P23="Kurang",W23&amp;"; ","")&amp;IF(K23="Belum ada data",R23&amp;"; ","")&amp;IF(L23="Belum ada data",S23&amp;"; ","")&amp;IF(M23="Belum ada data",T23&amp;"; ","")&amp;IF(N23="Belum ada data",U23&amp;"; ","")&amp;IF(O23="Belum ada data",V23&amp;"; ","")&amp;IF(P23="Belum ada data",W23&amp;"; ","")&amp;IF(K23="Cukup",R23&amp;"; ","")&amp;IF(L23="Cukup",S23&amp;"; ","")&amp;IF(M23="Cukup",T23&amp;"; ","")&amp;IF(N23="Cukup",U23&amp;"; ","")&amp;IF(O23="Cukup",V23&amp;"; ","")&amp;IF(P23="Cukup",W23&amp;"; ",""))</f>
        <v>prosesor tingkat 1 dari 5, di bawah batas minimal (tingkat 2); grafis tingkat 1 dari 5 cukup, nyamannya mulai tingkat 2; </v>
      </c>
      <c r="Y23" s="33" t="str">
        <f aca="false">IF($A23="","",IF(K23="Nyaman","prosesor, ","")&amp;IF(L23="Nyaman","grafis, ","")&amp;IF(M23="Nyaman","RAM, ","")&amp;IF(N23="Nyaman","penyimpanan, ","")&amp;IF(O23="Nyaman","layar, ","")&amp;IF(P23="Nyaman","refresh rate, ",""))</f>
        <v>RAM, penyimpanan, </v>
      </c>
      <c r="Z23" s="33" t="str">
        <f aca="false">IF($A23="","",IF(Q23="Tidak dinilai","Belum ada kriteria yang dinilai untuk kebutuhan ini.",IF(Q23="Cocok","Semua kriteria yang dinilai sudah nyaman: "&amp;LEFT(Y23,LEN(Y23)-2)&amp;".",UPPER(LEFT(X23,1))&amp;MID(X23,2,LEN(X23)-3)&amp;"."&amp;IF(Y23="",""," Sudah nyaman: "&amp;LEFT(Y23,LEN(Y23)-2)&amp;"."))))</f>
        <v>Prosesor tingkat 1 dari 5, di bawah batas minimal (tingkat 2); grafis tingkat 1 dari 5 cukup, nyamannya mulai tingkat 2. Sudah nyaman: RAM, penyimpanan.</v>
      </c>
      <c r="AA23" s="33"/>
      <c r="AB23" s="33"/>
      <c r="AC23" s="69"/>
    </row>
    <row r="24" customFormat="false" ht="15" hidden="false" customHeight="true" outlineLevel="0" collapsed="false">
      <c r="A24" s="33" t="str">
        <f aca="false">IF(Varian!$A8="","",Varian!$A8)</f>
        <v>axioo-hype-10-n4020-8-256-w10</v>
      </c>
      <c r="B24" s="33" t="str">
        <f aca="false">IF($A24="","",Aturan!$A$25)</f>
        <v>Game berat</v>
      </c>
      <c r="C24" s="69" t="n">
        <f aca="false">IF($A24="","",IFERROR(IF(ISNUMBER(INDEX(CPU!$J$4:$J$64,MATCH(Varian!$J8,CPU!$A$4:$A$64,0))),INDEX(CPU!$J$4:$J$64,MATCH(Varian!$J8,CPU!$A$4:$A$64,0)),""),""))</f>
        <v>1</v>
      </c>
      <c r="D24" s="69" t="n">
        <f aca="false">IF($A24="","",IFERROR(IF(ISNUMBER(INDEX(GPU!$G$4:$G$64,MATCH(Varian!$K8,GPU!$A$4:$A$64,0))),INDEX(GPU!$G$4:$G$64,MATCH(Varian!$K8,GPU!$A$4:$A$64,0)),""),""))</f>
        <v>1</v>
      </c>
      <c r="E24" s="69" t="n">
        <f aca="false">IF($A24="","",IF(ISNUMBER(Varian!$M8),Varian!$M8,""))</f>
        <v>8</v>
      </c>
      <c r="F24" s="69" t="n">
        <f aca="false">IF($A24="","",IF(ISNUMBER(Varian!$V8),Varian!$V8,""))</f>
        <v>256</v>
      </c>
      <c r="G24" s="69" t="n">
        <f aca="false">IF($A24="","",IFERROR(INDEX(Aturan!$B$63:$B$66,MATCH(Varian!$AG8,Aturan!$A$63:$A$66,0)),""))</f>
        <v>1</v>
      </c>
      <c r="H24" s="69" t="str">
        <f aca="false">IF($A24="","",IF(ISNUMBER(Varian!$AI8),Varian!$AI8,""))</f>
        <v/>
      </c>
      <c r="I24" s="33" t="str">
        <f aca="false">IF($A24="","",IF(Varian!$Q8="disolder","menempel di papan utama, tidak bisa ditambah",IF(OR(Varian!$Q8="slot",Varian!$Q8="setengah_disolder"),IF(Varian!$Q8="setengah_disolder","sebagian menempel, ","")&amp;IF(ISNUMBER(Varian!$U8),IF(AND(ISNUMBER(Varian!$M8),Varian!$U8&gt;Varian!$M8),"bisa dinaikkan lewat slot sampai "&amp;Varian!$U8&amp;" GB","sudah di batas maksimal "&amp;Varian!$U8&amp;" GB"),"ada slot, batas maksimalnya belum diketahui"),"belum diketahui apakah bisa ditambah")))</f>
        <v>sudah di batas maksimal 8 GB</v>
      </c>
      <c r="J24" s="33" t="str">
        <f aca="false">IF($A24="","",IF(Varian!$Z8="ya","bisa diganti dengan yang lebih besar",IF(Varian!$Z8="tidak","menempel, tidak bisa diganti","belum diketahui apakah bisa diganti")))</f>
        <v>bisa diganti dengan yang lebih besar</v>
      </c>
      <c r="K24" s="70" t="str">
        <f aca="false">IF($A24="","",IF(AND(Aturan!$C$54="",Aturan!$D$54=""),"Tidak dinilai",IF(C24="","Belum ada data",IF(C24&lt;IF(Aturan!$C$54="",0,Aturan!$C$54),"Kurang",IF(C24&gt;=IF(Aturan!$D$54="",Aturan!$C$54,Aturan!$D$54),"Nyaman","Cukup")))))</f>
        <v>Kurang</v>
      </c>
      <c r="L24" s="70" t="str">
        <f aca="false">IF($A24="","",IF(AND(Aturan!$C$55="",Aturan!$D$55=""),"Tidak dinilai",IF(D24="","Belum ada data",IF(D24&lt;IF(Aturan!$C$55="",0,Aturan!$C$55),"Kurang",IF(D24&gt;=IF(Aturan!$D$55="",Aturan!$C$55,Aturan!$D$55),"Nyaman","Cukup")))))</f>
        <v>Kurang</v>
      </c>
      <c r="M24" s="70" t="str">
        <f aca="false">IF($A24="","",IF(AND(Aturan!$C$56="",Aturan!$D$56=""),"Tidak dinilai",IF(E24="","Belum ada data",IF(E24&lt;IF(Aturan!$C$56="",0,Aturan!$C$56),"Kurang",IF(E24&gt;=IF(Aturan!$D$56="",Aturan!$C$56,Aturan!$D$56),"Nyaman","Cukup")))))</f>
        <v>Cukup</v>
      </c>
      <c r="N24" s="70" t="str">
        <f aca="false">IF($A24="","",IF(AND(Aturan!$C$57="",Aturan!$D$57=""),"Tidak dinilai",IF(F24="","Belum ada data",IF(F24&lt;IF(Aturan!$C$57="",0,Aturan!$C$57),"Kurang",IF(F24&gt;=IF(Aturan!$D$57="",Aturan!$C$57,Aturan!$D$57),"Nyaman","Cukup")))))</f>
        <v>Kurang</v>
      </c>
      <c r="O24" s="70" t="str">
        <f aca="false">IF($A24="","",IF(AND(Aturan!$C$58="",Aturan!$D$58=""),"Tidak dinilai",IF(G24="","Belum ada data",IF(G24&lt;IF(Aturan!$C$58="",0,Aturan!$C$58),"Kurang",IF(G24&gt;=IF(Aturan!$D$58="",Aturan!$C$58,Aturan!$D$58),"Nyaman","Cukup")))))</f>
        <v>Tidak dinilai</v>
      </c>
      <c r="P24" s="70" t="str">
        <f aca="false">IF($A24="","",IF(AND(Aturan!$C$59="",Aturan!$D$59=""),"Tidak dinilai",IF(H24="","Belum ada data",IF(H24&lt;IF(Aturan!$C$59="",0,Aturan!$C$59),"Kurang",IF(H24&gt;=IF(Aturan!$D$59="",Aturan!$C$59,Aturan!$D$59),"Nyaman","Cukup")))))</f>
        <v>Belum ada data</v>
      </c>
      <c r="Q24" s="70" t="str">
        <f aca="false">IF($A24="","",IF(COUNTIF(K24:P24,"Tidak dinilai")=6,"Tidak dinilai",IF(COUNTIF(K24:P24,"Kurang")&gt;0,"Kurang cocok",IF(COUNTIF(K24:P24,"Belum ada data")&gt;0,"Data belum lengkap",IF(COUNTIF(K24:P24,"Cukup")&gt;0,"Bisa, dengan catatan","Cocok")))))</f>
        <v>Kurang cocok</v>
      </c>
      <c r="R24" s="33" t="str">
        <f aca="false">IF($A24="","",IF(K24="Kurang","prosesor tingkat "&amp;C24&amp;" dari 5, di bawah batas minimal (tingkat "&amp;Aturan!$C$54&amp;")",IF(K24="Cukup","prosesor tingkat "&amp;C24&amp;" dari 5 cukup, nyamannya mulai tingkat "&amp;Aturan!$D$54,IF(K24="Belum ada data","tingkat prosesor belum diisi",""))))</f>
        <v>prosesor tingkat 1 dari 5, di bawah batas minimal (tingkat 3)</v>
      </c>
      <c r="S24" s="33" t="str">
        <f aca="false">IF($A24="","",IF(L24="Kurang","grafis tingkat "&amp;D24&amp;" dari 5, di bawah batas minimal (tingkat "&amp;Aturan!$C$55&amp;")",IF(L24="Cukup","grafis tingkat "&amp;D24&amp;" dari 5 cukup, nyamannya mulai tingkat "&amp;Aturan!$D$55,IF(L24="Belum ada data","tingkat grafis belum diisi",""))))</f>
        <v>grafis tingkat 1 dari 5, di bawah batas minimal (tingkat 3)</v>
      </c>
      <c r="T24" s="33" t="str">
        <f aca="false">IF($A24="","",IF(M24="Kurang","RAM "&amp;E24&amp;" GB, di bawah batas minimal "&amp;Aturan!$C$56&amp;" GB ("&amp;I24&amp;")",IF(M24="Cukup","RAM "&amp;E24&amp;" GB cukup, nyamannya "&amp;Aturan!$D$56&amp;" GB atau lebih ("&amp;I24&amp;")",IF(M24="Belum ada data","ukuran RAM belum diisi",""))))</f>
        <v>RAM 8 GB cukup, nyamannya 16 GB atau lebih (sudah di batas maksimal 8 GB)</v>
      </c>
      <c r="U24" s="33" t="str">
        <f aca="false">IF($A24="","",IF(N24="Kurang","penyimpanan "&amp;F24&amp;" GB, di bawah batas minimal "&amp;Aturan!$C$57&amp;" GB ("&amp;J24&amp;")",IF(N24="Cukup","penyimpanan "&amp;F24&amp;" GB cukup, nyamannya "&amp;Aturan!$D$57&amp;" GB atau lebih ("&amp;J24&amp;")",IF(N24="Belum ada data","ukuran penyimpanan belum diisi",""))))</f>
        <v>penyimpanan 256 GB, di bawah batas minimal 512 GB (bisa diganti dengan yang lebih besar)</v>
      </c>
      <c r="V24" s="33" t="str">
        <f aca="false">IF($A24="","",IF(O24="Kurang","layar "&amp;Varian!$AG8&amp;", di bawah batas minimal ("&amp;IFERROR(INDEX(Aturan!$A$63:$A$66,MATCH(Aturan!$C$58,Aturan!$B$63:$B$66,0)),"peringkat "&amp;Aturan!$C$58)&amp;")",IF(O24="Cukup","layar "&amp;Varian!$AG8&amp;" cukup, nyamannya "&amp;IFERROR(INDEX(Aturan!$A$63:$A$66,MATCH(Aturan!$D$58,Aturan!$B$63:$B$66,0)),"peringkat "&amp;Aturan!$D$58),IF(O24="Belum ada data","jenis layar belum diketahui",""))))</f>
        <v/>
      </c>
      <c r="W24" s="33" t="str">
        <f aca="false">IF($A24="","",IF(P24="Kurang","layar "&amp;H24&amp;" Hz, di bawah batas minimal "&amp;Aturan!$C$59&amp;" Hz",IF(P24="Cukup","layar "&amp;H24&amp;" Hz cukup, nyamannya "&amp;Aturan!$D$59&amp;" Hz atau lebih",IF(P24="Belum ada data","refresh rate belum diketahui",""))))</f>
        <v>refresh rate belum diketahui</v>
      </c>
      <c r="X24" s="33" t="str">
        <f aca="false">IF($A24="","",IF(K24="Kurang",R24&amp;"; ","")&amp;IF(L24="Kurang",S24&amp;"; ","")&amp;IF(M24="Kurang",T24&amp;"; ","")&amp;IF(N24="Kurang",U24&amp;"; ","")&amp;IF(O24="Kurang",V24&amp;"; ","")&amp;IF(P24="Kurang",W24&amp;"; ","")&amp;IF(K24="Belum ada data",R24&amp;"; ","")&amp;IF(L24="Belum ada data",S24&amp;"; ","")&amp;IF(M24="Belum ada data",T24&amp;"; ","")&amp;IF(N24="Belum ada data",U24&amp;"; ","")&amp;IF(O24="Belum ada data",V24&amp;"; ","")&amp;IF(P24="Belum ada data",W24&amp;"; ","")&amp;IF(K24="Cukup",R24&amp;"; ","")&amp;IF(L24="Cukup",S24&amp;"; ","")&amp;IF(M24="Cukup",T24&amp;"; ","")&amp;IF(N24="Cukup",U24&amp;"; ","")&amp;IF(O24="Cukup",V24&amp;"; ","")&amp;IF(P24="Cukup",W24&amp;"; ",""))</f>
        <v>prosesor tingkat 1 dari 5, di bawah batas minimal (tingkat 3); grafis tingkat 1 dari 5, di bawah batas minimal (tingkat 3); penyimpanan 256 GB, di bawah batas minimal 512 GB (bisa diganti dengan yang lebih besar); refresh rate belum diketahui; RAM 8 GB cukup, nyamannya 16 GB atau lebih (sudah di batas maksimal 8 GB); </v>
      </c>
      <c r="Y24" s="33" t="str">
        <f aca="false">IF($A24="","",IF(K24="Nyaman","prosesor, ","")&amp;IF(L24="Nyaman","grafis, ","")&amp;IF(M24="Nyaman","RAM, ","")&amp;IF(N24="Nyaman","penyimpanan, ","")&amp;IF(O24="Nyaman","layar, ","")&amp;IF(P24="Nyaman","refresh rate, ",""))</f>
        <v/>
      </c>
      <c r="Z24" s="33" t="str">
        <f aca="false">IF($A24="","",IF(Q24="Tidak dinilai","Belum ada kriteria yang dinilai untuk kebutuhan ini.",IF(Q24="Cocok","Semua kriteria yang dinilai sudah nyaman: "&amp;LEFT(Y24,LEN(Y24)-2)&amp;".",UPPER(LEFT(X24,1))&amp;MID(X24,2,LEN(X24)-3)&amp;"."&amp;IF(Y24="",""," Sudah nyaman: "&amp;LEFT(Y24,LEN(Y24)-2)&amp;"."))))</f>
        <v>Prosesor tingkat 1 dari 5, di bawah batas minimal (tingkat 3); grafis tingkat 1 dari 5, di bawah batas minimal (tingkat 3); penyimpanan 256 GB, di bawah batas minimal 512 GB (bisa diganti dengan yang lebih besar); refresh rate belum diketahui; RAM 8 GB cukup, nyamannya 16 GB atau lebih (sudah di batas maksimal 8 GB).</v>
      </c>
      <c r="AA24" s="33"/>
      <c r="AB24" s="33"/>
      <c r="AC24" s="69"/>
    </row>
    <row r="25" customFormat="false" ht="15" hidden="false" customHeight="true" outlineLevel="0" collapsed="false">
      <c r="A25" s="66" t="str">
        <f aca="false">IF(Varian!$A9="","",Varian!$A9)</f>
        <v>lenovo-thinkpad-t480-i5-8350u-8-256</v>
      </c>
      <c r="B25" s="66" t="str">
        <f aca="false">IF($A25="","",Aturan!$A$21)</f>
        <v>Kuliah dan kantor</v>
      </c>
      <c r="C25" s="67" t="n">
        <f aca="false">IF($A25="","",IFERROR(IF(ISNUMBER(INDEX(CPU!$J$4:$J$64,MATCH(Varian!$J9,CPU!$A$4:$A$64,0))),INDEX(CPU!$J$4:$J$64,MATCH(Varian!$J9,CPU!$A$4:$A$64,0)),""),""))</f>
        <v>2</v>
      </c>
      <c r="D25" s="67" t="n">
        <f aca="false">IF($A25="","",IFERROR(IF(ISNUMBER(INDEX(GPU!$G$4:$G$64,MATCH(Varian!$K9,GPU!$A$4:$A$64,0))),INDEX(GPU!$G$4:$G$64,MATCH(Varian!$K9,GPU!$A$4:$A$64,0)),""),""))</f>
        <v>1</v>
      </c>
      <c r="E25" s="67" t="n">
        <f aca="false">IF($A25="","",IF(ISNUMBER(Varian!$M9),Varian!$M9,""))</f>
        <v>8</v>
      </c>
      <c r="F25" s="67" t="n">
        <f aca="false">IF($A25="","",IF(ISNUMBER(Varian!$V9),Varian!$V9,""))</f>
        <v>256</v>
      </c>
      <c r="G25" s="67" t="str">
        <f aca="false">IF($A25="","",IFERROR(INDEX(Aturan!$B$63:$B$66,MATCH(Varian!$AG9,Aturan!$A$63:$A$66,0)),""))</f>
        <v/>
      </c>
      <c r="H25" s="67" t="str">
        <f aca="false">IF($A25="","",IF(ISNUMBER(Varian!$AI9),Varian!$AI9,""))</f>
        <v/>
      </c>
      <c r="I25" s="66" t="str">
        <f aca="false">IF($A25="","",IF(Varian!$Q9="disolder","menempel di papan utama, tidak bisa ditambah",IF(OR(Varian!$Q9="slot",Varian!$Q9="setengah_disolder"),IF(Varian!$Q9="setengah_disolder","sebagian menempel, ","")&amp;IF(ISNUMBER(Varian!$U9),IF(AND(ISNUMBER(Varian!$M9),Varian!$U9&gt;Varian!$M9),"bisa dinaikkan lewat slot sampai "&amp;Varian!$U9&amp;" GB","sudah di batas maksimal "&amp;Varian!$U9&amp;" GB"),"ada slot, batas maksimalnya belum diketahui"),"belum diketahui apakah bisa ditambah")))</f>
        <v>bisa dinaikkan lewat slot sampai 32 GB</v>
      </c>
      <c r="J25" s="66" t="str">
        <f aca="false">IF($A25="","",IF(Varian!$Z9="ya","bisa diganti dengan yang lebih besar",IF(Varian!$Z9="tidak","menempel, tidak bisa diganti","belum diketahui apakah bisa diganti")))</f>
        <v>bisa diganti dengan yang lebih besar</v>
      </c>
      <c r="K25" s="68" t="str">
        <f aca="false">IF($A25="","",IF(AND(Aturan!$C$30="",Aturan!$D$30=""),"Tidak dinilai",IF(C25="","Belum ada data",IF(C25&lt;IF(Aturan!$C$30="",0,Aturan!$C$30),"Kurang",IF(C25&gt;=IF(Aturan!$D$30="",Aturan!$C$30,Aturan!$D$30),"Nyaman","Cukup")))))</f>
        <v>Nyaman</v>
      </c>
      <c r="L25" s="68" t="str">
        <f aca="false">IF($A25="","",IF(AND(Aturan!$C$31="",Aturan!$D$31=""),"Tidak dinilai",IF(D25="","Belum ada data",IF(D25&lt;IF(Aturan!$C$31="",0,Aturan!$C$31),"Kurang",IF(D25&gt;=IF(Aturan!$D$31="",Aturan!$C$31,Aturan!$D$31),"Nyaman","Cukup")))))</f>
        <v>Tidak dinilai</v>
      </c>
      <c r="M25" s="68" t="str">
        <f aca="false">IF($A25="","",IF(AND(Aturan!$C$32="",Aturan!$D$32=""),"Tidak dinilai",IF(E25="","Belum ada data",IF(E25&lt;IF(Aturan!$C$32="",0,Aturan!$C$32),"Kurang",IF(E25&gt;=IF(Aturan!$D$32="",Aturan!$C$32,Aturan!$D$32),"Nyaman","Cukup")))))</f>
        <v>Nyaman</v>
      </c>
      <c r="N25" s="68" t="str">
        <f aca="false">IF($A25="","",IF(AND(Aturan!$C$33="",Aturan!$D$33=""),"Tidak dinilai",IF(F25="","Belum ada data",IF(F25&lt;IF(Aturan!$C$33="",0,Aturan!$C$33),"Kurang",IF(F25&gt;=IF(Aturan!$D$33="",Aturan!$C$33,Aturan!$D$33),"Nyaman","Cukup")))))</f>
        <v>Nyaman</v>
      </c>
      <c r="O25" s="68" t="str">
        <f aca="false">IF($A25="","",IF(AND(Aturan!$C$34="",Aturan!$D$34=""),"Tidak dinilai",IF(G25="","Belum ada data",IF(G25&lt;IF(Aturan!$C$34="",0,Aturan!$C$34),"Kurang",IF(G25&gt;=IF(Aturan!$D$34="",Aturan!$C$34,Aturan!$D$34),"Nyaman","Cukup")))))</f>
        <v>Tidak dinilai</v>
      </c>
      <c r="P25" s="68" t="str">
        <f aca="false">IF($A25="","",IF(AND(Aturan!$C$35="",Aturan!$D$35=""),"Tidak dinilai",IF(H25="","Belum ada data",IF(H25&lt;IF(Aturan!$C$35="",0,Aturan!$C$35),"Kurang",IF(H25&gt;=IF(Aturan!$D$35="",Aturan!$C$35,Aturan!$D$35),"Nyaman","Cukup")))))</f>
        <v>Tidak dinilai</v>
      </c>
      <c r="Q25" s="68" t="str">
        <f aca="false">IF($A25="","",IF(COUNTIF(K25:P25,"Tidak dinilai")=6,"Tidak dinilai",IF(COUNTIF(K25:P25,"Kurang")&gt;0,"Kurang cocok",IF(COUNTIF(K25:P25,"Belum ada data")&gt;0,"Data belum lengkap",IF(COUNTIF(K25:P25,"Cukup")&gt;0,"Bisa, dengan catatan","Cocok")))))</f>
        <v>Cocok</v>
      </c>
      <c r="R25" s="66" t="str">
        <f aca="false">IF($A25="","",IF(K25="Kurang","prosesor tingkat "&amp;C25&amp;" dari 5, di bawah batas minimal (tingkat "&amp;Aturan!$C$30&amp;")",IF(K25="Cukup","prosesor tingkat "&amp;C25&amp;" dari 5 cukup, nyamannya mulai tingkat "&amp;Aturan!$D$30,IF(K25="Belum ada data","tingkat prosesor belum diisi",""))))</f>
        <v/>
      </c>
      <c r="S25" s="66" t="str">
        <f aca="false">IF($A25="","",IF(L25="Kurang","grafis tingkat "&amp;D25&amp;" dari 5, di bawah batas minimal (tingkat "&amp;Aturan!$C$31&amp;")",IF(L25="Cukup","grafis tingkat "&amp;D25&amp;" dari 5 cukup, nyamannya mulai tingkat "&amp;Aturan!$D$31,IF(L25="Belum ada data","tingkat grafis belum diisi",""))))</f>
        <v/>
      </c>
      <c r="T25" s="66" t="str">
        <f aca="false">IF($A25="","",IF(M25="Kurang","RAM "&amp;E25&amp;" GB, di bawah batas minimal "&amp;Aturan!$C$32&amp;" GB ("&amp;I25&amp;")",IF(M25="Cukup","RAM "&amp;E25&amp;" GB cukup, nyamannya "&amp;Aturan!$D$32&amp;" GB atau lebih ("&amp;I25&amp;")",IF(M25="Belum ada data","ukuran RAM belum diisi",""))))</f>
        <v/>
      </c>
      <c r="U25" s="66" t="str">
        <f aca="false">IF($A25="","",IF(N25="Kurang","penyimpanan "&amp;F25&amp;" GB, di bawah batas minimal "&amp;Aturan!$C$33&amp;" GB ("&amp;J25&amp;")",IF(N25="Cukup","penyimpanan "&amp;F25&amp;" GB cukup, nyamannya "&amp;Aturan!$D$33&amp;" GB atau lebih ("&amp;J25&amp;")",IF(N25="Belum ada data","ukuran penyimpanan belum diisi",""))))</f>
        <v/>
      </c>
      <c r="V25" s="66" t="str">
        <f aca="false">IF($A25="","",IF(O25="Kurang","layar "&amp;Varian!$AG9&amp;", di bawah batas minimal ("&amp;IFERROR(INDEX(Aturan!$A$63:$A$66,MATCH(Aturan!$C$34,Aturan!$B$63:$B$66,0)),"peringkat "&amp;Aturan!$C$34)&amp;")",IF(O25="Cukup","layar "&amp;Varian!$AG9&amp;" cukup, nyamannya "&amp;IFERROR(INDEX(Aturan!$A$63:$A$66,MATCH(Aturan!$D$34,Aturan!$B$63:$B$66,0)),"peringkat "&amp;Aturan!$D$34),IF(O25="Belum ada data","jenis layar belum diketahui",""))))</f>
        <v/>
      </c>
      <c r="W25" s="66" t="str">
        <f aca="false">IF($A25="","",IF(P25="Kurang","layar "&amp;H25&amp;" Hz, di bawah batas minimal "&amp;Aturan!$C$35&amp;" Hz",IF(P25="Cukup","layar "&amp;H25&amp;" Hz cukup, nyamannya "&amp;Aturan!$D$35&amp;" Hz atau lebih",IF(P25="Belum ada data","refresh rate belum diketahui",""))))</f>
        <v/>
      </c>
      <c r="X25" s="66" t="str">
        <f aca="false">IF($A25="","",IF(K25="Kurang",R25&amp;"; ","")&amp;IF(L25="Kurang",S25&amp;"; ","")&amp;IF(M25="Kurang",T25&amp;"; ","")&amp;IF(N25="Kurang",U25&amp;"; ","")&amp;IF(O25="Kurang",V25&amp;"; ","")&amp;IF(P25="Kurang",W25&amp;"; ","")&amp;IF(K25="Belum ada data",R25&amp;"; ","")&amp;IF(L25="Belum ada data",S25&amp;"; ","")&amp;IF(M25="Belum ada data",T25&amp;"; ","")&amp;IF(N25="Belum ada data",U25&amp;"; ","")&amp;IF(O25="Belum ada data",V25&amp;"; ","")&amp;IF(P25="Belum ada data",W25&amp;"; ","")&amp;IF(K25="Cukup",R25&amp;"; ","")&amp;IF(L25="Cukup",S25&amp;"; ","")&amp;IF(M25="Cukup",T25&amp;"; ","")&amp;IF(N25="Cukup",U25&amp;"; ","")&amp;IF(O25="Cukup",V25&amp;"; ","")&amp;IF(P25="Cukup",W25&amp;"; ",""))</f>
        <v/>
      </c>
      <c r="Y25" s="66" t="str">
        <f aca="false">IF($A25="","",IF(K25="Nyaman","prosesor, ","")&amp;IF(L25="Nyaman","grafis, ","")&amp;IF(M25="Nyaman","RAM, ","")&amp;IF(N25="Nyaman","penyimpanan, ","")&amp;IF(O25="Nyaman","layar, ","")&amp;IF(P25="Nyaman","refresh rate, ",""))</f>
        <v>prosesor, RAM, penyimpanan, </v>
      </c>
      <c r="Z25" s="66" t="str">
        <f aca="false">IF($A25="","",IF(Q25="Tidak dinilai","Belum ada kriteria yang dinilai untuk kebutuhan ini.",IF(Q25="Cocok","Semua kriteria yang dinilai sudah nyaman: "&amp;LEFT(Y25,LEN(Y25)-2)&amp;".",UPPER(LEFT(X25,1))&amp;MID(X25,2,LEN(X25)-3)&amp;"."&amp;IF(Y25="",""," Sudah nyaman: "&amp;LEFT(Y25,LEN(Y25)-2)&amp;"."))))</f>
        <v>Semua kriteria yang dinilai sudah nyaman: prosesor, RAM, penyimpanan.</v>
      </c>
      <c r="AA25" s="66" t="str">
        <f aca="false">IF($A25="","",IF(Varian!$AR9="Windows 10","• "&amp;Aturan!$E$71&amp;CHAR(10),"")&amp;IF(Varian!$BB9="tidak","• "&amp;Aturan!$E$72&amp;CHAR(10),"")&amp;IF(OR(Varian!$AD9="belum terverifikasi",Varian!$AD9="tidak diketahui"),"• "&amp;Aturan!$E$73&amp;CHAR(10),"")&amp;IF(Varian!$AH9="1366x768","• "&amp;Aturan!$E$74&amp;CHAR(10),"")&amp;IF(Varian!$AG9="TN","• "&amp;Aturan!$E$75&amp;CHAR(10),"")&amp;IF(AND(Varian!$Q9="disolder",ISNUMBER(Varian!$M9),Varian!$M9&lt;=8),"• "&amp;Aturan!$E$76&amp;CHAR(10),""))</f>
        <v/>
      </c>
      <c r="AB25" s="66" t="str">
        <f aca="false">IF($A25="","",IF(AA25="","",LEFT(AA25,LEN(AA25)-1)))</f>
        <v/>
      </c>
      <c r="AC25" s="67" t="n">
        <f aca="false">IF($A25="","",IF(AA25="",0,LEN(AA25)-LEN(SUBSTITUTE(AA25,CHAR(10),""))))</f>
        <v>0</v>
      </c>
    </row>
    <row r="26" customFormat="false" ht="15" hidden="false" customHeight="true" outlineLevel="0" collapsed="false">
      <c r="A26" s="33" t="str">
        <f aca="false">IF(Varian!$A9="","",Varian!$A9)</f>
        <v>lenovo-thinkpad-t480-i5-8350u-8-256</v>
      </c>
      <c r="B26" s="33" t="str">
        <f aca="false">IF($A26="","",Aturan!$A$22)</f>
        <v>Desain grafis</v>
      </c>
      <c r="C26" s="69" t="n">
        <f aca="false">IF($A26="","",IFERROR(IF(ISNUMBER(INDEX(CPU!$J$4:$J$64,MATCH(Varian!$J9,CPU!$A$4:$A$64,0))),INDEX(CPU!$J$4:$J$64,MATCH(Varian!$J9,CPU!$A$4:$A$64,0)),""),""))</f>
        <v>2</v>
      </c>
      <c r="D26" s="69" t="n">
        <f aca="false">IF($A26="","",IFERROR(IF(ISNUMBER(INDEX(GPU!$G$4:$G$64,MATCH(Varian!$K9,GPU!$A$4:$A$64,0))),INDEX(GPU!$G$4:$G$64,MATCH(Varian!$K9,GPU!$A$4:$A$64,0)),""),""))</f>
        <v>1</v>
      </c>
      <c r="E26" s="69" t="n">
        <f aca="false">IF($A26="","",IF(ISNUMBER(Varian!$M9),Varian!$M9,""))</f>
        <v>8</v>
      </c>
      <c r="F26" s="69" t="n">
        <f aca="false">IF($A26="","",IF(ISNUMBER(Varian!$V9),Varian!$V9,""))</f>
        <v>256</v>
      </c>
      <c r="G26" s="69" t="str">
        <f aca="false">IF($A26="","",IFERROR(INDEX(Aturan!$B$63:$B$66,MATCH(Varian!$AG9,Aturan!$A$63:$A$66,0)),""))</f>
        <v/>
      </c>
      <c r="H26" s="69" t="str">
        <f aca="false">IF($A26="","",IF(ISNUMBER(Varian!$AI9),Varian!$AI9,""))</f>
        <v/>
      </c>
      <c r="I26" s="33" t="str">
        <f aca="false">IF($A26="","",IF(Varian!$Q9="disolder","menempel di papan utama, tidak bisa ditambah",IF(OR(Varian!$Q9="slot",Varian!$Q9="setengah_disolder"),IF(Varian!$Q9="setengah_disolder","sebagian menempel, ","")&amp;IF(ISNUMBER(Varian!$U9),IF(AND(ISNUMBER(Varian!$M9),Varian!$U9&gt;Varian!$M9),"bisa dinaikkan lewat slot sampai "&amp;Varian!$U9&amp;" GB","sudah di batas maksimal "&amp;Varian!$U9&amp;" GB"),"ada slot, batas maksimalnya belum diketahui"),"belum diketahui apakah bisa ditambah")))</f>
        <v>bisa dinaikkan lewat slot sampai 32 GB</v>
      </c>
      <c r="J26" s="33" t="str">
        <f aca="false">IF($A26="","",IF(Varian!$Z9="ya","bisa diganti dengan yang lebih besar",IF(Varian!$Z9="tidak","menempel, tidak bisa diganti","belum diketahui apakah bisa diganti")))</f>
        <v>bisa diganti dengan yang lebih besar</v>
      </c>
      <c r="K26" s="70" t="str">
        <f aca="false">IF($A26="","",IF(AND(Aturan!$C$36="",Aturan!$D$36=""),"Tidak dinilai",IF(C26="","Belum ada data",IF(C26&lt;IF(Aturan!$C$36="",0,Aturan!$C$36),"Kurang",IF(C26&gt;=IF(Aturan!$D$36="",Aturan!$C$36,Aturan!$D$36),"Nyaman","Cukup")))))</f>
        <v>Cukup</v>
      </c>
      <c r="L26" s="70" t="str">
        <f aca="false">IF($A26="","",IF(AND(Aturan!$C$37="",Aturan!$D$37=""),"Tidak dinilai",IF(D26="","Belum ada data",IF(D26&lt;IF(Aturan!$C$37="",0,Aturan!$C$37),"Kurang",IF(D26&gt;=IF(Aturan!$D$37="",Aturan!$C$37,Aturan!$D$37),"Nyaman","Cukup")))))</f>
        <v>Cukup</v>
      </c>
      <c r="M26" s="70" t="str">
        <f aca="false">IF($A26="","",IF(AND(Aturan!$C$38="",Aturan!$D$38=""),"Tidak dinilai",IF(E26="","Belum ada data",IF(E26&lt;IF(Aturan!$C$38="",0,Aturan!$C$38),"Kurang",IF(E26&gt;=IF(Aturan!$D$38="",Aturan!$C$38,Aturan!$D$38),"Nyaman","Cukup")))))</f>
        <v>Cukup</v>
      </c>
      <c r="N26" s="70" t="str">
        <f aca="false">IF($A26="","",IF(AND(Aturan!$C$39="",Aturan!$D$39=""),"Tidak dinilai",IF(F26="","Belum ada data",IF(F26&lt;IF(Aturan!$C$39="",0,Aturan!$C$39),"Kurang",IF(F26&gt;=IF(Aturan!$D$39="",Aturan!$C$39,Aturan!$D$39),"Nyaman","Cukup")))))</f>
        <v>Cukup</v>
      </c>
      <c r="O26" s="70" t="str">
        <f aca="false">IF($A26="","",IF(AND(Aturan!$C$40="",Aturan!$D$40=""),"Tidak dinilai",IF(G26="","Belum ada data",IF(G26&lt;IF(Aturan!$C$40="",0,Aturan!$C$40),"Kurang",IF(G26&gt;=IF(Aturan!$D$40="",Aturan!$C$40,Aturan!$D$40),"Nyaman","Cukup")))))</f>
        <v>Belum ada data</v>
      </c>
      <c r="P26" s="70" t="str">
        <f aca="false">IF($A26="","",IF(AND(Aturan!$C$41="",Aturan!$D$41=""),"Tidak dinilai",IF(H26="","Belum ada data",IF(H26&lt;IF(Aturan!$C$41="",0,Aturan!$C$41),"Kurang",IF(H26&gt;=IF(Aturan!$D$41="",Aturan!$C$41,Aturan!$D$41),"Nyaman","Cukup")))))</f>
        <v>Tidak dinilai</v>
      </c>
      <c r="Q26" s="70" t="str">
        <f aca="false">IF($A26="","",IF(COUNTIF(K26:P26,"Tidak dinilai")=6,"Tidak dinilai",IF(COUNTIF(K26:P26,"Kurang")&gt;0,"Kurang cocok",IF(COUNTIF(K26:P26,"Belum ada data")&gt;0,"Data belum lengkap",IF(COUNTIF(K26:P26,"Cukup")&gt;0,"Bisa, dengan catatan","Cocok")))))</f>
        <v>Data belum lengkap</v>
      </c>
      <c r="R26" s="33" t="str">
        <f aca="false">IF($A26="","",IF(K26="Kurang","prosesor tingkat "&amp;C26&amp;" dari 5, di bawah batas minimal (tingkat "&amp;Aturan!$C$36&amp;")",IF(K26="Cukup","prosesor tingkat "&amp;C26&amp;" dari 5 cukup, nyamannya mulai tingkat "&amp;Aturan!$D$36,IF(K26="Belum ada data","tingkat prosesor belum diisi",""))))</f>
        <v>prosesor tingkat 2 dari 5 cukup, nyamannya mulai tingkat 3</v>
      </c>
      <c r="S26" s="33" t="str">
        <f aca="false">IF($A26="","",IF(L26="Kurang","grafis tingkat "&amp;D26&amp;" dari 5, di bawah batas minimal (tingkat "&amp;Aturan!$C$37&amp;")",IF(L26="Cukup","grafis tingkat "&amp;D26&amp;" dari 5 cukup, nyamannya mulai tingkat "&amp;Aturan!$D$37,IF(L26="Belum ada data","tingkat grafis belum diisi",""))))</f>
        <v>grafis tingkat 1 dari 5 cukup, nyamannya mulai tingkat 2</v>
      </c>
      <c r="T26" s="33" t="str">
        <f aca="false">IF($A26="","",IF(M26="Kurang","RAM "&amp;E26&amp;" GB, di bawah batas minimal "&amp;Aturan!$C$38&amp;" GB ("&amp;I26&amp;")",IF(M26="Cukup","RAM "&amp;E26&amp;" GB cukup, nyamannya "&amp;Aturan!$D$38&amp;" GB atau lebih ("&amp;I26&amp;")",IF(M26="Belum ada data","ukuran RAM belum diisi",""))))</f>
        <v>RAM 8 GB cukup, nyamannya 16 GB atau lebih (bisa dinaikkan lewat slot sampai 32 GB)</v>
      </c>
      <c r="U26" s="33" t="str">
        <f aca="false">IF($A26="","",IF(N26="Kurang","penyimpanan "&amp;F26&amp;" GB, di bawah batas minimal "&amp;Aturan!$C$39&amp;" GB ("&amp;J26&amp;")",IF(N26="Cukup","penyimpanan "&amp;F26&amp;" GB cukup, nyamannya "&amp;Aturan!$D$39&amp;" GB atau lebih ("&amp;J26&amp;")",IF(N26="Belum ada data","ukuran penyimpanan belum diisi",""))))</f>
        <v>penyimpanan 256 GB cukup, nyamannya 512 GB atau lebih (bisa diganti dengan yang lebih besar)</v>
      </c>
      <c r="V26" s="33" t="str">
        <f aca="false">IF($A26="","",IF(O26="Kurang","layar "&amp;Varian!$AG9&amp;", di bawah batas minimal ("&amp;IFERROR(INDEX(Aturan!$A$63:$A$66,MATCH(Aturan!$C$40,Aturan!$B$63:$B$66,0)),"peringkat "&amp;Aturan!$C$40)&amp;")",IF(O26="Cukup","layar "&amp;Varian!$AG9&amp;" cukup, nyamannya "&amp;IFERROR(INDEX(Aturan!$A$63:$A$66,MATCH(Aturan!$D$40,Aturan!$B$63:$B$66,0)),"peringkat "&amp;Aturan!$D$40),IF(O26="Belum ada data","jenis layar belum diketahui",""))))</f>
        <v>jenis layar belum diketahui</v>
      </c>
      <c r="W26" s="33" t="str">
        <f aca="false">IF($A26="","",IF(P26="Kurang","layar "&amp;H26&amp;" Hz, di bawah batas minimal "&amp;Aturan!$C$41&amp;" Hz",IF(P26="Cukup","layar "&amp;H26&amp;" Hz cukup, nyamannya "&amp;Aturan!$D$41&amp;" Hz atau lebih",IF(P26="Belum ada data","refresh rate belum diketahui",""))))</f>
        <v/>
      </c>
      <c r="X26" s="33" t="str">
        <f aca="false">IF($A26="","",IF(K26="Kurang",R26&amp;"; ","")&amp;IF(L26="Kurang",S26&amp;"; ","")&amp;IF(M26="Kurang",T26&amp;"; ","")&amp;IF(N26="Kurang",U26&amp;"; ","")&amp;IF(O26="Kurang",V26&amp;"; ","")&amp;IF(P26="Kurang",W26&amp;"; ","")&amp;IF(K26="Belum ada data",R26&amp;"; ","")&amp;IF(L26="Belum ada data",S26&amp;"; ","")&amp;IF(M26="Belum ada data",T26&amp;"; ","")&amp;IF(N26="Belum ada data",U26&amp;"; ","")&amp;IF(O26="Belum ada data",V26&amp;"; ","")&amp;IF(P26="Belum ada data",W26&amp;"; ","")&amp;IF(K26="Cukup",R26&amp;"; ","")&amp;IF(L26="Cukup",S26&amp;"; ","")&amp;IF(M26="Cukup",T26&amp;"; ","")&amp;IF(N26="Cukup",U26&amp;"; ","")&amp;IF(O26="Cukup",V26&amp;"; ","")&amp;IF(P26="Cukup",W26&amp;"; ",""))</f>
        <v>jenis layar belum diketahui; prosesor tingkat 2 dari 5 cukup, nyamannya mulai tingkat 3; grafis tingkat 1 dari 5 cukup, nyamannya mulai tingkat 2; RAM 8 GB cukup, nyamannya 16 GB atau lebih (bisa dinaikkan lewat slot sampai 32 GB); penyimpanan 256 GB cukup, nyamannya 512 GB atau lebih (bisa diganti dengan yang lebih besar); </v>
      </c>
      <c r="Y26" s="33" t="str">
        <f aca="false">IF($A26="","",IF(K26="Nyaman","prosesor, ","")&amp;IF(L26="Nyaman","grafis, ","")&amp;IF(M26="Nyaman","RAM, ","")&amp;IF(N26="Nyaman","penyimpanan, ","")&amp;IF(O26="Nyaman","layar, ","")&amp;IF(P26="Nyaman","refresh rate, ",""))</f>
        <v/>
      </c>
      <c r="Z26" s="33" t="str">
        <f aca="false">IF($A26="","",IF(Q26="Tidak dinilai","Belum ada kriteria yang dinilai untuk kebutuhan ini.",IF(Q26="Cocok","Semua kriteria yang dinilai sudah nyaman: "&amp;LEFT(Y26,LEN(Y26)-2)&amp;".",UPPER(LEFT(X26,1))&amp;MID(X26,2,LEN(X26)-3)&amp;"."&amp;IF(Y26="",""," Sudah nyaman: "&amp;LEFT(Y26,LEN(Y26)-2)&amp;"."))))</f>
        <v>Jenis layar belum diketahui; prosesor tingkat 2 dari 5 cukup, nyamannya mulai tingkat 3; grafis tingkat 1 dari 5 cukup, nyamannya mulai tingkat 2; RAM 8 GB cukup, nyamannya 16 GB atau lebih (bisa dinaikkan lewat slot sampai 32 GB); penyimpanan 256 GB cukup, nyamannya 512 GB atau lebih (bisa diganti dengan yang lebih besar).</v>
      </c>
      <c r="AA26" s="33"/>
      <c r="AB26" s="33"/>
      <c r="AC26" s="69"/>
    </row>
    <row r="27" customFormat="false" ht="15" hidden="false" customHeight="true" outlineLevel="0" collapsed="false">
      <c r="A27" s="33" t="str">
        <f aca="false">IF(Varian!$A9="","",Varian!$A9)</f>
        <v>lenovo-thinkpad-t480-i5-8350u-8-256</v>
      </c>
      <c r="B27" s="33" t="str">
        <f aca="false">IF($A27="","",Aturan!$A$23)</f>
        <v>Pemrograman</v>
      </c>
      <c r="C27" s="69" t="n">
        <f aca="false">IF($A27="","",IFERROR(IF(ISNUMBER(INDEX(CPU!$J$4:$J$64,MATCH(Varian!$J9,CPU!$A$4:$A$64,0))),INDEX(CPU!$J$4:$J$64,MATCH(Varian!$J9,CPU!$A$4:$A$64,0)),""),""))</f>
        <v>2</v>
      </c>
      <c r="D27" s="69" t="n">
        <f aca="false">IF($A27="","",IFERROR(IF(ISNUMBER(INDEX(GPU!$G$4:$G$64,MATCH(Varian!$K9,GPU!$A$4:$A$64,0))),INDEX(GPU!$G$4:$G$64,MATCH(Varian!$K9,GPU!$A$4:$A$64,0)),""),""))</f>
        <v>1</v>
      </c>
      <c r="E27" s="69" t="n">
        <f aca="false">IF($A27="","",IF(ISNUMBER(Varian!$M9),Varian!$M9,""))</f>
        <v>8</v>
      </c>
      <c r="F27" s="69" t="n">
        <f aca="false">IF($A27="","",IF(ISNUMBER(Varian!$V9),Varian!$V9,""))</f>
        <v>256</v>
      </c>
      <c r="G27" s="69" t="str">
        <f aca="false">IF($A27="","",IFERROR(INDEX(Aturan!$B$63:$B$66,MATCH(Varian!$AG9,Aturan!$A$63:$A$66,0)),""))</f>
        <v/>
      </c>
      <c r="H27" s="69" t="str">
        <f aca="false">IF($A27="","",IF(ISNUMBER(Varian!$AI9),Varian!$AI9,""))</f>
        <v/>
      </c>
      <c r="I27" s="33" t="str">
        <f aca="false">IF($A27="","",IF(Varian!$Q9="disolder","menempel di papan utama, tidak bisa ditambah",IF(OR(Varian!$Q9="slot",Varian!$Q9="setengah_disolder"),IF(Varian!$Q9="setengah_disolder","sebagian menempel, ","")&amp;IF(ISNUMBER(Varian!$U9),IF(AND(ISNUMBER(Varian!$M9),Varian!$U9&gt;Varian!$M9),"bisa dinaikkan lewat slot sampai "&amp;Varian!$U9&amp;" GB","sudah di batas maksimal "&amp;Varian!$U9&amp;" GB"),"ada slot, batas maksimalnya belum diketahui"),"belum diketahui apakah bisa ditambah")))</f>
        <v>bisa dinaikkan lewat slot sampai 32 GB</v>
      </c>
      <c r="J27" s="33" t="str">
        <f aca="false">IF($A27="","",IF(Varian!$Z9="ya","bisa diganti dengan yang lebih besar",IF(Varian!$Z9="tidak","menempel, tidak bisa diganti","belum diketahui apakah bisa diganti")))</f>
        <v>bisa diganti dengan yang lebih besar</v>
      </c>
      <c r="K27" s="70" t="str">
        <f aca="false">IF($A27="","",IF(AND(Aturan!$C$42="",Aturan!$D$42=""),"Tidak dinilai",IF(C27="","Belum ada data",IF(C27&lt;IF(Aturan!$C$42="",0,Aturan!$C$42),"Kurang",IF(C27&gt;=IF(Aturan!$D$42="",Aturan!$C$42,Aturan!$D$42),"Nyaman","Cukup")))))</f>
        <v>Cukup</v>
      </c>
      <c r="L27" s="70" t="str">
        <f aca="false">IF($A27="","",IF(AND(Aturan!$C$43="",Aturan!$D$43=""),"Tidak dinilai",IF(D27="","Belum ada data",IF(D27&lt;IF(Aturan!$C$43="",0,Aturan!$C$43),"Kurang",IF(D27&gt;=IF(Aturan!$D$43="",Aturan!$C$43,Aturan!$D$43),"Nyaman","Cukup")))))</f>
        <v>Tidak dinilai</v>
      </c>
      <c r="M27" s="70" t="str">
        <f aca="false">IF($A27="","",IF(AND(Aturan!$C$44="",Aturan!$D$44=""),"Tidak dinilai",IF(E27="","Belum ada data",IF(E27&lt;IF(Aturan!$C$44="",0,Aturan!$C$44),"Kurang",IF(E27&gt;=IF(Aturan!$D$44="",Aturan!$C$44,Aturan!$D$44),"Nyaman","Cukup")))))</f>
        <v>Cukup</v>
      </c>
      <c r="N27" s="70" t="str">
        <f aca="false">IF($A27="","",IF(AND(Aturan!$C$45="",Aturan!$D$45=""),"Tidak dinilai",IF(F27="","Belum ada data",IF(F27&lt;IF(Aturan!$C$45="",0,Aturan!$C$45),"Kurang",IF(F27&gt;=IF(Aturan!$D$45="",Aturan!$C$45,Aturan!$D$45),"Nyaman","Cukup")))))</f>
        <v>Cukup</v>
      </c>
      <c r="O27" s="70" t="str">
        <f aca="false">IF($A27="","",IF(AND(Aturan!$C$46="",Aturan!$D$46=""),"Tidak dinilai",IF(G27="","Belum ada data",IF(G27&lt;IF(Aturan!$C$46="",0,Aturan!$C$46),"Kurang",IF(G27&gt;=IF(Aturan!$D$46="",Aturan!$C$46,Aturan!$D$46),"Nyaman","Cukup")))))</f>
        <v>Tidak dinilai</v>
      </c>
      <c r="P27" s="70" t="str">
        <f aca="false">IF($A27="","",IF(AND(Aturan!$C$47="",Aturan!$D$47=""),"Tidak dinilai",IF(H27="","Belum ada data",IF(H27&lt;IF(Aturan!$C$47="",0,Aturan!$C$47),"Kurang",IF(H27&gt;=IF(Aturan!$D$47="",Aturan!$C$47,Aturan!$D$47),"Nyaman","Cukup")))))</f>
        <v>Tidak dinilai</v>
      </c>
      <c r="Q27" s="70" t="str">
        <f aca="false">IF($A27="","",IF(COUNTIF(K27:P27,"Tidak dinilai")=6,"Tidak dinilai",IF(COUNTIF(K27:P27,"Kurang")&gt;0,"Kurang cocok",IF(COUNTIF(K27:P27,"Belum ada data")&gt;0,"Data belum lengkap",IF(COUNTIF(K27:P27,"Cukup")&gt;0,"Bisa, dengan catatan","Cocok")))))</f>
        <v>Bisa, dengan catatan</v>
      </c>
      <c r="R27" s="33" t="str">
        <f aca="false">IF($A27="","",IF(K27="Kurang","prosesor tingkat "&amp;C27&amp;" dari 5, di bawah batas minimal (tingkat "&amp;Aturan!$C$42&amp;")",IF(K27="Cukup","prosesor tingkat "&amp;C27&amp;" dari 5 cukup, nyamannya mulai tingkat "&amp;Aturan!$D$42,IF(K27="Belum ada data","tingkat prosesor belum diisi",""))))</f>
        <v>prosesor tingkat 2 dari 5 cukup, nyamannya mulai tingkat 3</v>
      </c>
      <c r="S27" s="33" t="str">
        <f aca="false">IF($A27="","",IF(L27="Kurang","grafis tingkat "&amp;D27&amp;" dari 5, di bawah batas minimal (tingkat "&amp;Aturan!$C$43&amp;")",IF(L27="Cukup","grafis tingkat "&amp;D27&amp;" dari 5 cukup, nyamannya mulai tingkat "&amp;Aturan!$D$43,IF(L27="Belum ada data","tingkat grafis belum diisi",""))))</f>
        <v/>
      </c>
      <c r="T27" s="33" t="str">
        <f aca="false">IF($A27="","",IF(M27="Kurang","RAM "&amp;E27&amp;" GB, di bawah batas minimal "&amp;Aturan!$C$44&amp;" GB ("&amp;I27&amp;")",IF(M27="Cukup","RAM "&amp;E27&amp;" GB cukup, nyamannya "&amp;Aturan!$D$44&amp;" GB atau lebih ("&amp;I27&amp;")",IF(M27="Belum ada data","ukuran RAM belum diisi",""))))</f>
        <v>RAM 8 GB cukup, nyamannya 16 GB atau lebih (bisa dinaikkan lewat slot sampai 32 GB)</v>
      </c>
      <c r="U27" s="33" t="str">
        <f aca="false">IF($A27="","",IF(N27="Kurang","penyimpanan "&amp;F27&amp;" GB, di bawah batas minimal "&amp;Aturan!$C$45&amp;" GB ("&amp;J27&amp;")",IF(N27="Cukup","penyimpanan "&amp;F27&amp;" GB cukup, nyamannya "&amp;Aturan!$D$45&amp;" GB atau lebih ("&amp;J27&amp;")",IF(N27="Belum ada data","ukuran penyimpanan belum diisi",""))))</f>
        <v>penyimpanan 256 GB cukup, nyamannya 512 GB atau lebih (bisa diganti dengan yang lebih besar)</v>
      </c>
      <c r="V27" s="33" t="str">
        <f aca="false">IF($A27="","",IF(O27="Kurang","layar "&amp;Varian!$AG9&amp;", di bawah batas minimal ("&amp;IFERROR(INDEX(Aturan!$A$63:$A$66,MATCH(Aturan!$C$46,Aturan!$B$63:$B$66,0)),"peringkat "&amp;Aturan!$C$46)&amp;")",IF(O27="Cukup","layar "&amp;Varian!$AG9&amp;" cukup, nyamannya "&amp;IFERROR(INDEX(Aturan!$A$63:$A$66,MATCH(Aturan!$D$46,Aturan!$B$63:$B$66,0)),"peringkat "&amp;Aturan!$D$46),IF(O27="Belum ada data","jenis layar belum diketahui",""))))</f>
        <v/>
      </c>
      <c r="W27" s="33" t="str">
        <f aca="false">IF($A27="","",IF(P27="Kurang","layar "&amp;H27&amp;" Hz, di bawah batas minimal "&amp;Aturan!$C$47&amp;" Hz",IF(P27="Cukup","layar "&amp;H27&amp;" Hz cukup, nyamannya "&amp;Aturan!$D$47&amp;" Hz atau lebih",IF(P27="Belum ada data","refresh rate belum diketahui",""))))</f>
        <v/>
      </c>
      <c r="X27" s="33" t="str">
        <f aca="false">IF($A27="","",IF(K27="Kurang",R27&amp;"; ","")&amp;IF(L27="Kurang",S27&amp;"; ","")&amp;IF(M27="Kurang",T27&amp;"; ","")&amp;IF(N27="Kurang",U27&amp;"; ","")&amp;IF(O27="Kurang",V27&amp;"; ","")&amp;IF(P27="Kurang",W27&amp;"; ","")&amp;IF(K27="Belum ada data",R27&amp;"; ","")&amp;IF(L27="Belum ada data",S27&amp;"; ","")&amp;IF(M27="Belum ada data",T27&amp;"; ","")&amp;IF(N27="Belum ada data",U27&amp;"; ","")&amp;IF(O27="Belum ada data",V27&amp;"; ","")&amp;IF(P27="Belum ada data",W27&amp;"; ","")&amp;IF(K27="Cukup",R27&amp;"; ","")&amp;IF(L27="Cukup",S27&amp;"; ","")&amp;IF(M27="Cukup",T27&amp;"; ","")&amp;IF(N27="Cukup",U27&amp;"; ","")&amp;IF(O27="Cukup",V27&amp;"; ","")&amp;IF(P27="Cukup",W27&amp;"; ",""))</f>
        <v>prosesor tingkat 2 dari 5 cukup, nyamannya mulai tingkat 3; RAM 8 GB cukup, nyamannya 16 GB atau lebih (bisa dinaikkan lewat slot sampai 32 GB); penyimpanan 256 GB cukup, nyamannya 512 GB atau lebih (bisa diganti dengan yang lebih besar); </v>
      </c>
      <c r="Y27" s="33" t="str">
        <f aca="false">IF($A27="","",IF(K27="Nyaman","prosesor, ","")&amp;IF(L27="Nyaman","grafis, ","")&amp;IF(M27="Nyaman","RAM, ","")&amp;IF(N27="Nyaman","penyimpanan, ","")&amp;IF(O27="Nyaman","layar, ","")&amp;IF(P27="Nyaman","refresh rate, ",""))</f>
        <v/>
      </c>
      <c r="Z27" s="33" t="str">
        <f aca="false">IF($A27="","",IF(Q27="Tidak dinilai","Belum ada kriteria yang dinilai untuk kebutuhan ini.",IF(Q27="Cocok","Semua kriteria yang dinilai sudah nyaman: "&amp;LEFT(Y27,LEN(Y27)-2)&amp;".",UPPER(LEFT(X27,1))&amp;MID(X27,2,LEN(X27)-3)&amp;"."&amp;IF(Y27="",""," Sudah nyaman: "&amp;LEFT(Y27,LEN(Y27)-2)&amp;"."))))</f>
        <v>Prosesor tingkat 2 dari 5 cukup, nyamannya mulai tingkat 3; RAM 8 GB cukup, nyamannya 16 GB atau lebih (bisa dinaikkan lewat slot sampai 32 GB); penyimpanan 256 GB cukup, nyamannya 512 GB atau lebih (bisa diganti dengan yang lebih besar).</v>
      </c>
      <c r="AA27" s="33"/>
      <c r="AB27" s="33"/>
      <c r="AC27" s="69"/>
    </row>
    <row r="28" customFormat="false" ht="15" hidden="false" customHeight="true" outlineLevel="0" collapsed="false">
      <c r="A28" s="33" t="str">
        <f aca="false">IF(Varian!$A9="","",Varian!$A9)</f>
        <v>lenovo-thinkpad-t480-i5-8350u-8-256</v>
      </c>
      <c r="B28" s="33" t="str">
        <f aca="false">IF($A28="","",Aturan!$A$24)</f>
        <v>Game ringan</v>
      </c>
      <c r="C28" s="69" t="n">
        <f aca="false">IF($A28="","",IFERROR(IF(ISNUMBER(INDEX(CPU!$J$4:$J$64,MATCH(Varian!$J9,CPU!$A$4:$A$64,0))),INDEX(CPU!$J$4:$J$64,MATCH(Varian!$J9,CPU!$A$4:$A$64,0)),""),""))</f>
        <v>2</v>
      </c>
      <c r="D28" s="69" t="n">
        <f aca="false">IF($A28="","",IFERROR(IF(ISNUMBER(INDEX(GPU!$G$4:$G$64,MATCH(Varian!$K9,GPU!$A$4:$A$64,0))),INDEX(GPU!$G$4:$G$64,MATCH(Varian!$K9,GPU!$A$4:$A$64,0)),""),""))</f>
        <v>1</v>
      </c>
      <c r="E28" s="69" t="n">
        <f aca="false">IF($A28="","",IF(ISNUMBER(Varian!$M9),Varian!$M9,""))</f>
        <v>8</v>
      </c>
      <c r="F28" s="69" t="n">
        <f aca="false">IF($A28="","",IF(ISNUMBER(Varian!$V9),Varian!$V9,""))</f>
        <v>256</v>
      </c>
      <c r="G28" s="69" t="str">
        <f aca="false">IF($A28="","",IFERROR(INDEX(Aturan!$B$63:$B$66,MATCH(Varian!$AG9,Aturan!$A$63:$A$66,0)),""))</f>
        <v/>
      </c>
      <c r="H28" s="69" t="str">
        <f aca="false">IF($A28="","",IF(ISNUMBER(Varian!$AI9),Varian!$AI9,""))</f>
        <v/>
      </c>
      <c r="I28" s="33" t="str">
        <f aca="false">IF($A28="","",IF(Varian!$Q9="disolder","menempel di papan utama, tidak bisa ditambah",IF(OR(Varian!$Q9="slot",Varian!$Q9="setengah_disolder"),IF(Varian!$Q9="setengah_disolder","sebagian menempel, ","")&amp;IF(ISNUMBER(Varian!$U9),IF(AND(ISNUMBER(Varian!$M9),Varian!$U9&gt;Varian!$M9),"bisa dinaikkan lewat slot sampai "&amp;Varian!$U9&amp;" GB","sudah di batas maksimal "&amp;Varian!$U9&amp;" GB"),"ada slot, batas maksimalnya belum diketahui"),"belum diketahui apakah bisa ditambah")))</f>
        <v>bisa dinaikkan lewat slot sampai 32 GB</v>
      </c>
      <c r="J28" s="33" t="str">
        <f aca="false">IF($A28="","",IF(Varian!$Z9="ya","bisa diganti dengan yang lebih besar",IF(Varian!$Z9="tidak","menempel, tidak bisa diganti","belum diketahui apakah bisa diganti")))</f>
        <v>bisa diganti dengan yang lebih besar</v>
      </c>
      <c r="K28" s="70" t="str">
        <f aca="false">IF($A28="","",IF(AND(Aturan!$C$48="",Aturan!$D$48=""),"Tidak dinilai",IF(C28="","Belum ada data",IF(C28&lt;IF(Aturan!$C$48="",0,Aturan!$C$48),"Kurang",IF(C28&gt;=IF(Aturan!$D$48="",Aturan!$C$48,Aturan!$D$48),"Nyaman","Cukup")))))</f>
        <v>Cukup</v>
      </c>
      <c r="L28" s="70" t="str">
        <f aca="false">IF($A28="","",IF(AND(Aturan!$C$49="",Aturan!$D$49=""),"Tidak dinilai",IF(D28="","Belum ada data",IF(D28&lt;IF(Aturan!$C$49="",0,Aturan!$C$49),"Kurang",IF(D28&gt;=IF(Aturan!$D$49="",Aturan!$C$49,Aturan!$D$49),"Nyaman","Cukup")))))</f>
        <v>Cukup</v>
      </c>
      <c r="M28" s="70" t="str">
        <f aca="false">IF($A28="","",IF(AND(Aturan!$C$50="",Aturan!$D$50=""),"Tidak dinilai",IF(E28="","Belum ada data",IF(E28&lt;IF(Aturan!$C$50="",0,Aturan!$C$50),"Kurang",IF(E28&gt;=IF(Aturan!$D$50="",Aturan!$C$50,Aturan!$D$50),"Nyaman","Cukup")))))</f>
        <v>Nyaman</v>
      </c>
      <c r="N28" s="70" t="str">
        <f aca="false">IF($A28="","",IF(AND(Aturan!$C$51="",Aturan!$D$51=""),"Tidak dinilai",IF(F28="","Belum ada data",IF(F28&lt;IF(Aturan!$C$51="",0,Aturan!$C$51),"Kurang",IF(F28&gt;=IF(Aturan!$D$51="",Aturan!$C$51,Aturan!$D$51),"Nyaman","Cukup")))))</f>
        <v>Nyaman</v>
      </c>
      <c r="O28" s="70" t="str">
        <f aca="false">IF($A28="","",IF(AND(Aturan!$C$52="",Aturan!$D$52=""),"Tidak dinilai",IF(G28="","Belum ada data",IF(G28&lt;IF(Aturan!$C$52="",0,Aturan!$C$52),"Kurang",IF(G28&gt;=IF(Aturan!$D$52="",Aturan!$C$52,Aturan!$D$52),"Nyaman","Cukup")))))</f>
        <v>Tidak dinilai</v>
      </c>
      <c r="P28" s="70" t="str">
        <f aca="false">IF($A28="","",IF(AND(Aturan!$C$53="",Aturan!$D$53=""),"Tidak dinilai",IF(H28="","Belum ada data",IF(H28&lt;IF(Aturan!$C$53="",0,Aturan!$C$53),"Kurang",IF(H28&gt;=IF(Aturan!$D$53="",Aturan!$C$53,Aturan!$D$53),"Nyaman","Cukup")))))</f>
        <v>Tidak dinilai</v>
      </c>
      <c r="Q28" s="70" t="str">
        <f aca="false">IF($A28="","",IF(COUNTIF(K28:P28,"Tidak dinilai")=6,"Tidak dinilai",IF(COUNTIF(K28:P28,"Kurang")&gt;0,"Kurang cocok",IF(COUNTIF(K28:P28,"Belum ada data")&gt;0,"Data belum lengkap",IF(COUNTIF(K28:P28,"Cukup")&gt;0,"Bisa, dengan catatan","Cocok")))))</f>
        <v>Bisa, dengan catatan</v>
      </c>
      <c r="R28" s="33" t="str">
        <f aca="false">IF($A28="","",IF(K28="Kurang","prosesor tingkat "&amp;C28&amp;" dari 5, di bawah batas minimal (tingkat "&amp;Aturan!$C$48&amp;")",IF(K28="Cukup","prosesor tingkat "&amp;C28&amp;" dari 5 cukup, nyamannya mulai tingkat "&amp;Aturan!$D$48,IF(K28="Belum ada data","tingkat prosesor belum diisi",""))))</f>
        <v>prosesor tingkat 2 dari 5 cukup, nyamannya mulai tingkat 3</v>
      </c>
      <c r="S28" s="33" t="str">
        <f aca="false">IF($A28="","",IF(L28="Kurang","grafis tingkat "&amp;D28&amp;" dari 5, di bawah batas minimal (tingkat "&amp;Aturan!$C$49&amp;")",IF(L28="Cukup","grafis tingkat "&amp;D28&amp;" dari 5 cukup, nyamannya mulai tingkat "&amp;Aturan!$D$49,IF(L28="Belum ada data","tingkat grafis belum diisi",""))))</f>
        <v>grafis tingkat 1 dari 5 cukup, nyamannya mulai tingkat 2</v>
      </c>
      <c r="T28" s="33" t="str">
        <f aca="false">IF($A28="","",IF(M28="Kurang","RAM "&amp;E28&amp;" GB, di bawah batas minimal "&amp;Aturan!$C$50&amp;" GB ("&amp;I28&amp;")",IF(M28="Cukup","RAM "&amp;E28&amp;" GB cukup, nyamannya "&amp;Aturan!$D$50&amp;" GB atau lebih ("&amp;I28&amp;")",IF(M28="Belum ada data","ukuran RAM belum diisi",""))))</f>
        <v/>
      </c>
      <c r="U28" s="33" t="str">
        <f aca="false">IF($A28="","",IF(N28="Kurang","penyimpanan "&amp;F28&amp;" GB, di bawah batas minimal "&amp;Aturan!$C$51&amp;" GB ("&amp;J28&amp;")",IF(N28="Cukup","penyimpanan "&amp;F28&amp;" GB cukup, nyamannya "&amp;Aturan!$D$51&amp;" GB atau lebih ("&amp;J28&amp;")",IF(N28="Belum ada data","ukuran penyimpanan belum diisi",""))))</f>
        <v/>
      </c>
      <c r="V28" s="33" t="str">
        <f aca="false">IF($A28="","",IF(O28="Kurang","layar "&amp;Varian!$AG9&amp;", di bawah batas minimal ("&amp;IFERROR(INDEX(Aturan!$A$63:$A$66,MATCH(Aturan!$C$52,Aturan!$B$63:$B$66,0)),"peringkat "&amp;Aturan!$C$52)&amp;")",IF(O28="Cukup","layar "&amp;Varian!$AG9&amp;" cukup, nyamannya "&amp;IFERROR(INDEX(Aturan!$A$63:$A$66,MATCH(Aturan!$D$52,Aturan!$B$63:$B$66,0)),"peringkat "&amp;Aturan!$D$52),IF(O28="Belum ada data","jenis layar belum diketahui",""))))</f>
        <v/>
      </c>
      <c r="W28" s="33" t="str">
        <f aca="false">IF($A28="","",IF(P28="Kurang","layar "&amp;H28&amp;" Hz, di bawah batas minimal "&amp;Aturan!$C$53&amp;" Hz",IF(P28="Cukup","layar "&amp;H28&amp;" Hz cukup, nyamannya "&amp;Aturan!$D$53&amp;" Hz atau lebih",IF(P28="Belum ada data","refresh rate belum diketahui",""))))</f>
        <v/>
      </c>
      <c r="X28" s="33" t="str">
        <f aca="false">IF($A28="","",IF(K28="Kurang",R28&amp;"; ","")&amp;IF(L28="Kurang",S28&amp;"; ","")&amp;IF(M28="Kurang",T28&amp;"; ","")&amp;IF(N28="Kurang",U28&amp;"; ","")&amp;IF(O28="Kurang",V28&amp;"; ","")&amp;IF(P28="Kurang",W28&amp;"; ","")&amp;IF(K28="Belum ada data",R28&amp;"; ","")&amp;IF(L28="Belum ada data",S28&amp;"; ","")&amp;IF(M28="Belum ada data",T28&amp;"; ","")&amp;IF(N28="Belum ada data",U28&amp;"; ","")&amp;IF(O28="Belum ada data",V28&amp;"; ","")&amp;IF(P28="Belum ada data",W28&amp;"; ","")&amp;IF(K28="Cukup",R28&amp;"; ","")&amp;IF(L28="Cukup",S28&amp;"; ","")&amp;IF(M28="Cukup",T28&amp;"; ","")&amp;IF(N28="Cukup",U28&amp;"; ","")&amp;IF(O28="Cukup",V28&amp;"; ","")&amp;IF(P28="Cukup",W28&amp;"; ",""))</f>
        <v>prosesor tingkat 2 dari 5 cukup, nyamannya mulai tingkat 3; grafis tingkat 1 dari 5 cukup, nyamannya mulai tingkat 2; </v>
      </c>
      <c r="Y28" s="33" t="str">
        <f aca="false">IF($A28="","",IF(K28="Nyaman","prosesor, ","")&amp;IF(L28="Nyaman","grafis, ","")&amp;IF(M28="Nyaman","RAM, ","")&amp;IF(N28="Nyaman","penyimpanan, ","")&amp;IF(O28="Nyaman","layar, ","")&amp;IF(P28="Nyaman","refresh rate, ",""))</f>
        <v>RAM, penyimpanan, </v>
      </c>
      <c r="Z28" s="33" t="str">
        <f aca="false">IF($A28="","",IF(Q28="Tidak dinilai","Belum ada kriteria yang dinilai untuk kebutuhan ini.",IF(Q28="Cocok","Semua kriteria yang dinilai sudah nyaman: "&amp;LEFT(Y28,LEN(Y28)-2)&amp;".",UPPER(LEFT(X28,1))&amp;MID(X28,2,LEN(X28)-3)&amp;"."&amp;IF(Y28="",""," Sudah nyaman: "&amp;LEFT(Y28,LEN(Y28)-2)&amp;"."))))</f>
        <v>Prosesor tingkat 2 dari 5 cukup, nyamannya mulai tingkat 3; grafis tingkat 1 dari 5 cukup, nyamannya mulai tingkat 2. Sudah nyaman: RAM, penyimpanan.</v>
      </c>
      <c r="AA28" s="33"/>
      <c r="AB28" s="33"/>
      <c r="AC28" s="69"/>
    </row>
    <row r="29" customFormat="false" ht="15" hidden="false" customHeight="true" outlineLevel="0" collapsed="false">
      <c r="A29" s="33" t="str">
        <f aca="false">IF(Varian!$A9="","",Varian!$A9)</f>
        <v>lenovo-thinkpad-t480-i5-8350u-8-256</v>
      </c>
      <c r="B29" s="33" t="str">
        <f aca="false">IF($A29="","",Aturan!$A$25)</f>
        <v>Game berat</v>
      </c>
      <c r="C29" s="69" t="n">
        <f aca="false">IF($A29="","",IFERROR(IF(ISNUMBER(INDEX(CPU!$J$4:$J$64,MATCH(Varian!$J9,CPU!$A$4:$A$64,0))),INDEX(CPU!$J$4:$J$64,MATCH(Varian!$J9,CPU!$A$4:$A$64,0)),""),""))</f>
        <v>2</v>
      </c>
      <c r="D29" s="69" t="n">
        <f aca="false">IF($A29="","",IFERROR(IF(ISNUMBER(INDEX(GPU!$G$4:$G$64,MATCH(Varian!$K9,GPU!$A$4:$A$64,0))),INDEX(GPU!$G$4:$G$64,MATCH(Varian!$K9,GPU!$A$4:$A$64,0)),""),""))</f>
        <v>1</v>
      </c>
      <c r="E29" s="69" t="n">
        <f aca="false">IF($A29="","",IF(ISNUMBER(Varian!$M9),Varian!$M9,""))</f>
        <v>8</v>
      </c>
      <c r="F29" s="69" t="n">
        <f aca="false">IF($A29="","",IF(ISNUMBER(Varian!$V9),Varian!$V9,""))</f>
        <v>256</v>
      </c>
      <c r="G29" s="69" t="str">
        <f aca="false">IF($A29="","",IFERROR(INDEX(Aturan!$B$63:$B$66,MATCH(Varian!$AG9,Aturan!$A$63:$A$66,0)),""))</f>
        <v/>
      </c>
      <c r="H29" s="69" t="str">
        <f aca="false">IF($A29="","",IF(ISNUMBER(Varian!$AI9),Varian!$AI9,""))</f>
        <v/>
      </c>
      <c r="I29" s="33" t="str">
        <f aca="false">IF($A29="","",IF(Varian!$Q9="disolder","menempel di papan utama, tidak bisa ditambah",IF(OR(Varian!$Q9="slot",Varian!$Q9="setengah_disolder"),IF(Varian!$Q9="setengah_disolder","sebagian menempel, ","")&amp;IF(ISNUMBER(Varian!$U9),IF(AND(ISNUMBER(Varian!$M9),Varian!$U9&gt;Varian!$M9),"bisa dinaikkan lewat slot sampai "&amp;Varian!$U9&amp;" GB","sudah di batas maksimal "&amp;Varian!$U9&amp;" GB"),"ada slot, batas maksimalnya belum diketahui"),"belum diketahui apakah bisa ditambah")))</f>
        <v>bisa dinaikkan lewat slot sampai 32 GB</v>
      </c>
      <c r="J29" s="33" t="str">
        <f aca="false">IF($A29="","",IF(Varian!$Z9="ya","bisa diganti dengan yang lebih besar",IF(Varian!$Z9="tidak","menempel, tidak bisa diganti","belum diketahui apakah bisa diganti")))</f>
        <v>bisa diganti dengan yang lebih besar</v>
      </c>
      <c r="K29" s="70" t="str">
        <f aca="false">IF($A29="","",IF(AND(Aturan!$C$54="",Aturan!$D$54=""),"Tidak dinilai",IF(C29="","Belum ada data",IF(C29&lt;IF(Aturan!$C$54="",0,Aturan!$C$54),"Kurang",IF(C29&gt;=IF(Aturan!$D$54="",Aturan!$C$54,Aturan!$D$54),"Nyaman","Cukup")))))</f>
        <v>Kurang</v>
      </c>
      <c r="L29" s="70" t="str">
        <f aca="false">IF($A29="","",IF(AND(Aturan!$C$55="",Aturan!$D$55=""),"Tidak dinilai",IF(D29="","Belum ada data",IF(D29&lt;IF(Aturan!$C$55="",0,Aturan!$C$55),"Kurang",IF(D29&gt;=IF(Aturan!$D$55="",Aturan!$C$55,Aturan!$D$55),"Nyaman","Cukup")))))</f>
        <v>Kurang</v>
      </c>
      <c r="M29" s="70" t="str">
        <f aca="false">IF($A29="","",IF(AND(Aturan!$C$56="",Aturan!$D$56=""),"Tidak dinilai",IF(E29="","Belum ada data",IF(E29&lt;IF(Aturan!$C$56="",0,Aturan!$C$56),"Kurang",IF(E29&gt;=IF(Aturan!$D$56="",Aturan!$C$56,Aturan!$D$56),"Nyaman","Cukup")))))</f>
        <v>Cukup</v>
      </c>
      <c r="N29" s="70" t="str">
        <f aca="false">IF($A29="","",IF(AND(Aturan!$C$57="",Aturan!$D$57=""),"Tidak dinilai",IF(F29="","Belum ada data",IF(F29&lt;IF(Aturan!$C$57="",0,Aturan!$C$57),"Kurang",IF(F29&gt;=IF(Aturan!$D$57="",Aturan!$C$57,Aturan!$D$57),"Nyaman","Cukup")))))</f>
        <v>Kurang</v>
      </c>
      <c r="O29" s="70" t="str">
        <f aca="false">IF($A29="","",IF(AND(Aturan!$C$58="",Aturan!$D$58=""),"Tidak dinilai",IF(G29="","Belum ada data",IF(G29&lt;IF(Aturan!$C$58="",0,Aturan!$C$58),"Kurang",IF(G29&gt;=IF(Aturan!$D$58="",Aturan!$C$58,Aturan!$D$58),"Nyaman","Cukup")))))</f>
        <v>Tidak dinilai</v>
      </c>
      <c r="P29" s="70" t="str">
        <f aca="false">IF($A29="","",IF(AND(Aturan!$C$59="",Aturan!$D$59=""),"Tidak dinilai",IF(H29="","Belum ada data",IF(H29&lt;IF(Aturan!$C$59="",0,Aturan!$C$59),"Kurang",IF(H29&gt;=IF(Aturan!$D$59="",Aturan!$C$59,Aturan!$D$59),"Nyaman","Cukup")))))</f>
        <v>Belum ada data</v>
      </c>
      <c r="Q29" s="70" t="str">
        <f aca="false">IF($A29="","",IF(COUNTIF(K29:P29,"Tidak dinilai")=6,"Tidak dinilai",IF(COUNTIF(K29:P29,"Kurang")&gt;0,"Kurang cocok",IF(COUNTIF(K29:P29,"Belum ada data")&gt;0,"Data belum lengkap",IF(COUNTIF(K29:P29,"Cukup")&gt;0,"Bisa, dengan catatan","Cocok")))))</f>
        <v>Kurang cocok</v>
      </c>
      <c r="R29" s="33" t="str">
        <f aca="false">IF($A29="","",IF(K29="Kurang","prosesor tingkat "&amp;C29&amp;" dari 5, di bawah batas minimal (tingkat "&amp;Aturan!$C$54&amp;")",IF(K29="Cukup","prosesor tingkat "&amp;C29&amp;" dari 5 cukup, nyamannya mulai tingkat "&amp;Aturan!$D$54,IF(K29="Belum ada data","tingkat prosesor belum diisi",""))))</f>
        <v>prosesor tingkat 2 dari 5, di bawah batas minimal (tingkat 3)</v>
      </c>
      <c r="S29" s="33" t="str">
        <f aca="false">IF($A29="","",IF(L29="Kurang","grafis tingkat "&amp;D29&amp;" dari 5, di bawah batas minimal (tingkat "&amp;Aturan!$C$55&amp;")",IF(L29="Cukup","grafis tingkat "&amp;D29&amp;" dari 5 cukup, nyamannya mulai tingkat "&amp;Aturan!$D$55,IF(L29="Belum ada data","tingkat grafis belum diisi",""))))</f>
        <v>grafis tingkat 1 dari 5, di bawah batas minimal (tingkat 3)</v>
      </c>
      <c r="T29" s="33" t="str">
        <f aca="false">IF($A29="","",IF(M29="Kurang","RAM "&amp;E29&amp;" GB, di bawah batas minimal "&amp;Aturan!$C$56&amp;" GB ("&amp;I29&amp;")",IF(M29="Cukup","RAM "&amp;E29&amp;" GB cukup, nyamannya "&amp;Aturan!$D$56&amp;" GB atau lebih ("&amp;I29&amp;")",IF(M29="Belum ada data","ukuran RAM belum diisi",""))))</f>
        <v>RAM 8 GB cukup, nyamannya 16 GB atau lebih (bisa dinaikkan lewat slot sampai 32 GB)</v>
      </c>
      <c r="U29" s="33" t="str">
        <f aca="false">IF($A29="","",IF(N29="Kurang","penyimpanan "&amp;F29&amp;" GB, di bawah batas minimal "&amp;Aturan!$C$57&amp;" GB ("&amp;J29&amp;")",IF(N29="Cukup","penyimpanan "&amp;F29&amp;" GB cukup, nyamannya "&amp;Aturan!$D$57&amp;" GB atau lebih ("&amp;J29&amp;")",IF(N29="Belum ada data","ukuran penyimpanan belum diisi",""))))</f>
        <v>penyimpanan 256 GB, di bawah batas minimal 512 GB (bisa diganti dengan yang lebih besar)</v>
      </c>
      <c r="V29" s="33" t="str">
        <f aca="false">IF($A29="","",IF(O29="Kurang","layar "&amp;Varian!$AG9&amp;", di bawah batas minimal ("&amp;IFERROR(INDEX(Aturan!$A$63:$A$66,MATCH(Aturan!$C$58,Aturan!$B$63:$B$66,0)),"peringkat "&amp;Aturan!$C$58)&amp;")",IF(O29="Cukup","layar "&amp;Varian!$AG9&amp;" cukup, nyamannya "&amp;IFERROR(INDEX(Aturan!$A$63:$A$66,MATCH(Aturan!$D$58,Aturan!$B$63:$B$66,0)),"peringkat "&amp;Aturan!$D$58),IF(O29="Belum ada data","jenis layar belum diketahui",""))))</f>
        <v/>
      </c>
      <c r="W29" s="33" t="str">
        <f aca="false">IF($A29="","",IF(P29="Kurang","layar "&amp;H29&amp;" Hz, di bawah batas minimal "&amp;Aturan!$C$59&amp;" Hz",IF(P29="Cukup","layar "&amp;H29&amp;" Hz cukup, nyamannya "&amp;Aturan!$D$59&amp;" Hz atau lebih",IF(P29="Belum ada data","refresh rate belum diketahui",""))))</f>
        <v>refresh rate belum diketahui</v>
      </c>
      <c r="X29" s="33" t="str">
        <f aca="false">IF($A29="","",IF(K29="Kurang",R29&amp;"; ","")&amp;IF(L29="Kurang",S29&amp;"; ","")&amp;IF(M29="Kurang",T29&amp;"; ","")&amp;IF(N29="Kurang",U29&amp;"; ","")&amp;IF(O29="Kurang",V29&amp;"; ","")&amp;IF(P29="Kurang",W29&amp;"; ","")&amp;IF(K29="Belum ada data",R29&amp;"; ","")&amp;IF(L29="Belum ada data",S29&amp;"; ","")&amp;IF(M29="Belum ada data",T29&amp;"; ","")&amp;IF(N29="Belum ada data",U29&amp;"; ","")&amp;IF(O29="Belum ada data",V29&amp;"; ","")&amp;IF(P29="Belum ada data",W29&amp;"; ","")&amp;IF(K29="Cukup",R29&amp;"; ","")&amp;IF(L29="Cukup",S29&amp;"; ","")&amp;IF(M29="Cukup",T29&amp;"; ","")&amp;IF(N29="Cukup",U29&amp;"; ","")&amp;IF(O29="Cukup",V29&amp;"; ","")&amp;IF(P29="Cukup",W29&amp;"; ",""))</f>
        <v>prosesor tingkat 2 dari 5, di bawah batas minimal (tingkat 3); grafis tingkat 1 dari 5, di bawah batas minimal (tingkat 3); penyimpanan 256 GB, di bawah batas minimal 512 GB (bisa diganti dengan yang lebih besar); refresh rate belum diketahui; RAM 8 GB cukup, nyamannya 16 GB atau lebih (bisa dinaikkan lewat slot sampai 32 GB); </v>
      </c>
      <c r="Y29" s="33" t="str">
        <f aca="false">IF($A29="","",IF(K29="Nyaman","prosesor, ","")&amp;IF(L29="Nyaman","grafis, ","")&amp;IF(M29="Nyaman","RAM, ","")&amp;IF(N29="Nyaman","penyimpanan, ","")&amp;IF(O29="Nyaman","layar, ","")&amp;IF(P29="Nyaman","refresh rate, ",""))</f>
        <v/>
      </c>
      <c r="Z29" s="33" t="str">
        <f aca="false">IF($A29="","",IF(Q29="Tidak dinilai","Belum ada kriteria yang dinilai untuk kebutuhan ini.",IF(Q29="Cocok","Semua kriteria yang dinilai sudah nyaman: "&amp;LEFT(Y29,LEN(Y29)-2)&amp;".",UPPER(LEFT(X29,1))&amp;MID(X29,2,LEN(X29)-3)&amp;"."&amp;IF(Y29="",""," Sudah nyaman: "&amp;LEFT(Y29,LEN(Y29)-2)&amp;"."))))</f>
        <v>Prosesor tingkat 2 dari 5, di bawah batas minimal (tingkat 3); grafis tingkat 1 dari 5, di bawah batas minimal (tingkat 3); penyimpanan 256 GB, di bawah batas minimal 512 GB (bisa diganti dengan yang lebih besar); refresh rate belum diketahui; RAM 8 GB cukup, nyamannya 16 GB atau lebih (bisa dinaikkan lewat slot sampai 32 GB).</v>
      </c>
      <c r="AA29" s="33"/>
      <c r="AB29" s="33"/>
      <c r="AC29" s="69"/>
    </row>
    <row r="30" customFormat="false" ht="15" hidden="false" customHeight="true" outlineLevel="0" collapsed="false">
      <c r="A30" s="66" t="str">
        <f aca="false">IF(Varian!$A10="","",Varian!$A10)</f>
        <v>lenovo-thinkpad-t480-i5-8350u-16-512</v>
      </c>
      <c r="B30" s="66" t="str">
        <f aca="false">IF($A30="","",Aturan!$A$21)</f>
        <v>Kuliah dan kantor</v>
      </c>
      <c r="C30" s="67" t="n">
        <f aca="false">IF($A30="","",IFERROR(IF(ISNUMBER(INDEX(CPU!$J$4:$J$64,MATCH(Varian!$J10,CPU!$A$4:$A$64,0))),INDEX(CPU!$J$4:$J$64,MATCH(Varian!$J10,CPU!$A$4:$A$64,0)),""),""))</f>
        <v>2</v>
      </c>
      <c r="D30" s="67" t="n">
        <f aca="false">IF($A30="","",IFERROR(IF(ISNUMBER(INDEX(GPU!$G$4:$G$64,MATCH(Varian!$K10,GPU!$A$4:$A$64,0))),INDEX(GPU!$G$4:$G$64,MATCH(Varian!$K10,GPU!$A$4:$A$64,0)),""),""))</f>
        <v>1</v>
      </c>
      <c r="E30" s="67" t="n">
        <f aca="false">IF($A30="","",IF(ISNUMBER(Varian!$M10),Varian!$M10,""))</f>
        <v>16</v>
      </c>
      <c r="F30" s="67" t="n">
        <f aca="false">IF($A30="","",IF(ISNUMBER(Varian!$V10),Varian!$V10,""))</f>
        <v>512</v>
      </c>
      <c r="G30" s="67" t="str">
        <f aca="false">IF($A30="","",IFERROR(INDEX(Aturan!$B$63:$B$66,MATCH(Varian!$AG10,Aturan!$A$63:$A$66,0)),""))</f>
        <v/>
      </c>
      <c r="H30" s="67" t="str">
        <f aca="false">IF($A30="","",IF(ISNUMBER(Varian!$AI10),Varian!$AI10,""))</f>
        <v/>
      </c>
      <c r="I30" s="66" t="str">
        <f aca="false">IF($A30="","",IF(Varian!$Q10="disolder","menempel di papan utama, tidak bisa ditambah",IF(OR(Varian!$Q10="slot",Varian!$Q10="setengah_disolder"),IF(Varian!$Q10="setengah_disolder","sebagian menempel, ","")&amp;IF(ISNUMBER(Varian!$U10),IF(AND(ISNUMBER(Varian!$M10),Varian!$U10&gt;Varian!$M10),"bisa dinaikkan lewat slot sampai "&amp;Varian!$U10&amp;" GB","sudah di batas maksimal "&amp;Varian!$U10&amp;" GB"),"ada slot, batas maksimalnya belum diketahui"),"belum diketahui apakah bisa ditambah")))</f>
        <v>bisa dinaikkan lewat slot sampai 32 GB</v>
      </c>
      <c r="J30" s="66" t="str">
        <f aca="false">IF($A30="","",IF(Varian!$Z10="ya","bisa diganti dengan yang lebih besar",IF(Varian!$Z10="tidak","menempel, tidak bisa diganti","belum diketahui apakah bisa diganti")))</f>
        <v>bisa diganti dengan yang lebih besar</v>
      </c>
      <c r="K30" s="68" t="str">
        <f aca="false">IF($A30="","",IF(AND(Aturan!$C$30="",Aturan!$D$30=""),"Tidak dinilai",IF(C30="","Belum ada data",IF(C30&lt;IF(Aturan!$C$30="",0,Aturan!$C$30),"Kurang",IF(C30&gt;=IF(Aturan!$D$30="",Aturan!$C$30,Aturan!$D$30),"Nyaman","Cukup")))))</f>
        <v>Nyaman</v>
      </c>
      <c r="L30" s="68" t="str">
        <f aca="false">IF($A30="","",IF(AND(Aturan!$C$31="",Aturan!$D$31=""),"Tidak dinilai",IF(D30="","Belum ada data",IF(D30&lt;IF(Aturan!$C$31="",0,Aturan!$C$31),"Kurang",IF(D30&gt;=IF(Aturan!$D$31="",Aturan!$C$31,Aturan!$D$31),"Nyaman","Cukup")))))</f>
        <v>Tidak dinilai</v>
      </c>
      <c r="M30" s="68" t="str">
        <f aca="false">IF($A30="","",IF(AND(Aturan!$C$32="",Aturan!$D$32=""),"Tidak dinilai",IF(E30="","Belum ada data",IF(E30&lt;IF(Aturan!$C$32="",0,Aturan!$C$32),"Kurang",IF(E30&gt;=IF(Aturan!$D$32="",Aturan!$C$32,Aturan!$D$32),"Nyaman","Cukup")))))</f>
        <v>Nyaman</v>
      </c>
      <c r="N30" s="68" t="str">
        <f aca="false">IF($A30="","",IF(AND(Aturan!$C$33="",Aturan!$D$33=""),"Tidak dinilai",IF(F30="","Belum ada data",IF(F30&lt;IF(Aturan!$C$33="",0,Aturan!$C$33),"Kurang",IF(F30&gt;=IF(Aturan!$D$33="",Aturan!$C$33,Aturan!$D$33),"Nyaman","Cukup")))))</f>
        <v>Nyaman</v>
      </c>
      <c r="O30" s="68" t="str">
        <f aca="false">IF($A30="","",IF(AND(Aturan!$C$34="",Aturan!$D$34=""),"Tidak dinilai",IF(G30="","Belum ada data",IF(G30&lt;IF(Aturan!$C$34="",0,Aturan!$C$34),"Kurang",IF(G30&gt;=IF(Aturan!$D$34="",Aturan!$C$34,Aturan!$D$34),"Nyaman","Cukup")))))</f>
        <v>Tidak dinilai</v>
      </c>
      <c r="P30" s="68" t="str">
        <f aca="false">IF($A30="","",IF(AND(Aturan!$C$35="",Aturan!$D$35=""),"Tidak dinilai",IF(H30="","Belum ada data",IF(H30&lt;IF(Aturan!$C$35="",0,Aturan!$C$35),"Kurang",IF(H30&gt;=IF(Aturan!$D$35="",Aturan!$C$35,Aturan!$D$35),"Nyaman","Cukup")))))</f>
        <v>Tidak dinilai</v>
      </c>
      <c r="Q30" s="68" t="str">
        <f aca="false">IF($A30="","",IF(COUNTIF(K30:P30,"Tidak dinilai")=6,"Tidak dinilai",IF(COUNTIF(K30:P30,"Kurang")&gt;0,"Kurang cocok",IF(COUNTIF(K30:P30,"Belum ada data")&gt;0,"Data belum lengkap",IF(COUNTIF(K30:P30,"Cukup")&gt;0,"Bisa, dengan catatan","Cocok")))))</f>
        <v>Cocok</v>
      </c>
      <c r="R30" s="66" t="str">
        <f aca="false">IF($A30="","",IF(K30="Kurang","prosesor tingkat "&amp;C30&amp;" dari 5, di bawah batas minimal (tingkat "&amp;Aturan!$C$30&amp;")",IF(K30="Cukup","prosesor tingkat "&amp;C30&amp;" dari 5 cukup, nyamannya mulai tingkat "&amp;Aturan!$D$30,IF(K30="Belum ada data","tingkat prosesor belum diisi",""))))</f>
        <v/>
      </c>
      <c r="S30" s="66" t="str">
        <f aca="false">IF($A30="","",IF(L30="Kurang","grafis tingkat "&amp;D30&amp;" dari 5, di bawah batas minimal (tingkat "&amp;Aturan!$C$31&amp;")",IF(L30="Cukup","grafis tingkat "&amp;D30&amp;" dari 5 cukup, nyamannya mulai tingkat "&amp;Aturan!$D$31,IF(L30="Belum ada data","tingkat grafis belum diisi",""))))</f>
        <v/>
      </c>
      <c r="T30" s="66" t="str">
        <f aca="false">IF($A30="","",IF(M30="Kurang","RAM "&amp;E30&amp;" GB, di bawah batas minimal "&amp;Aturan!$C$32&amp;" GB ("&amp;I30&amp;")",IF(M30="Cukup","RAM "&amp;E30&amp;" GB cukup, nyamannya "&amp;Aturan!$D$32&amp;" GB atau lebih ("&amp;I30&amp;")",IF(M30="Belum ada data","ukuran RAM belum diisi",""))))</f>
        <v/>
      </c>
      <c r="U30" s="66" t="str">
        <f aca="false">IF($A30="","",IF(N30="Kurang","penyimpanan "&amp;F30&amp;" GB, di bawah batas minimal "&amp;Aturan!$C$33&amp;" GB ("&amp;J30&amp;")",IF(N30="Cukup","penyimpanan "&amp;F30&amp;" GB cukup, nyamannya "&amp;Aturan!$D$33&amp;" GB atau lebih ("&amp;J30&amp;")",IF(N30="Belum ada data","ukuran penyimpanan belum diisi",""))))</f>
        <v/>
      </c>
      <c r="V30" s="66" t="str">
        <f aca="false">IF($A30="","",IF(O30="Kurang","layar "&amp;Varian!$AG10&amp;", di bawah batas minimal ("&amp;IFERROR(INDEX(Aturan!$A$63:$A$66,MATCH(Aturan!$C$34,Aturan!$B$63:$B$66,0)),"peringkat "&amp;Aturan!$C$34)&amp;")",IF(O30="Cukup","layar "&amp;Varian!$AG10&amp;" cukup, nyamannya "&amp;IFERROR(INDEX(Aturan!$A$63:$A$66,MATCH(Aturan!$D$34,Aturan!$B$63:$B$66,0)),"peringkat "&amp;Aturan!$D$34),IF(O30="Belum ada data","jenis layar belum diketahui",""))))</f>
        <v/>
      </c>
      <c r="W30" s="66" t="str">
        <f aca="false">IF($A30="","",IF(P30="Kurang","layar "&amp;H30&amp;" Hz, di bawah batas minimal "&amp;Aturan!$C$35&amp;" Hz",IF(P30="Cukup","layar "&amp;H30&amp;" Hz cukup, nyamannya "&amp;Aturan!$D$35&amp;" Hz atau lebih",IF(P30="Belum ada data","refresh rate belum diketahui",""))))</f>
        <v/>
      </c>
      <c r="X30" s="66" t="str">
        <f aca="false">IF($A30="","",IF(K30="Kurang",R30&amp;"; ","")&amp;IF(L30="Kurang",S30&amp;"; ","")&amp;IF(M30="Kurang",T30&amp;"; ","")&amp;IF(N30="Kurang",U30&amp;"; ","")&amp;IF(O30="Kurang",V30&amp;"; ","")&amp;IF(P30="Kurang",W30&amp;"; ","")&amp;IF(K30="Belum ada data",R30&amp;"; ","")&amp;IF(L30="Belum ada data",S30&amp;"; ","")&amp;IF(M30="Belum ada data",T30&amp;"; ","")&amp;IF(N30="Belum ada data",U30&amp;"; ","")&amp;IF(O30="Belum ada data",V30&amp;"; ","")&amp;IF(P30="Belum ada data",W30&amp;"; ","")&amp;IF(K30="Cukup",R30&amp;"; ","")&amp;IF(L30="Cukup",S30&amp;"; ","")&amp;IF(M30="Cukup",T30&amp;"; ","")&amp;IF(N30="Cukup",U30&amp;"; ","")&amp;IF(O30="Cukup",V30&amp;"; ","")&amp;IF(P30="Cukup",W30&amp;"; ",""))</f>
        <v/>
      </c>
      <c r="Y30" s="66" t="str">
        <f aca="false">IF($A30="","",IF(K30="Nyaman","prosesor, ","")&amp;IF(L30="Nyaman","grafis, ","")&amp;IF(M30="Nyaman","RAM, ","")&amp;IF(N30="Nyaman","penyimpanan, ","")&amp;IF(O30="Nyaman","layar, ","")&amp;IF(P30="Nyaman","refresh rate, ",""))</f>
        <v>prosesor, RAM, penyimpanan, </v>
      </c>
      <c r="Z30" s="66" t="str">
        <f aca="false">IF($A30="","",IF(Q30="Tidak dinilai","Belum ada kriteria yang dinilai untuk kebutuhan ini.",IF(Q30="Cocok","Semua kriteria yang dinilai sudah nyaman: "&amp;LEFT(Y30,LEN(Y30)-2)&amp;".",UPPER(LEFT(X30,1))&amp;MID(X30,2,LEN(X30)-3)&amp;"."&amp;IF(Y30="",""," Sudah nyaman: "&amp;LEFT(Y30,LEN(Y30)-2)&amp;"."))))</f>
        <v>Semua kriteria yang dinilai sudah nyaman: prosesor, RAM, penyimpanan.</v>
      </c>
      <c r="AA30" s="66" t="str">
        <f aca="false">IF($A30="","",IF(Varian!$AR10="Windows 10","• "&amp;Aturan!$E$71&amp;CHAR(10),"")&amp;IF(Varian!$BB10="tidak","• "&amp;Aturan!$E$72&amp;CHAR(10),"")&amp;IF(OR(Varian!$AD10="belum terverifikasi",Varian!$AD10="tidak diketahui"),"• "&amp;Aturan!$E$73&amp;CHAR(10),"")&amp;IF(Varian!$AH10="1366x768","• "&amp;Aturan!$E$74&amp;CHAR(10),"")&amp;IF(Varian!$AG10="TN","• "&amp;Aturan!$E$75&amp;CHAR(10),"")&amp;IF(AND(Varian!$Q10="disolder",ISNUMBER(Varian!$M10),Varian!$M10&lt;=8),"• "&amp;Aturan!$E$76&amp;CHAR(10),""))</f>
        <v/>
      </c>
      <c r="AB30" s="66" t="str">
        <f aca="false">IF($A30="","",IF(AA30="","",LEFT(AA30,LEN(AA30)-1)))</f>
        <v/>
      </c>
      <c r="AC30" s="67" t="n">
        <f aca="false">IF($A30="","",IF(AA30="",0,LEN(AA30)-LEN(SUBSTITUTE(AA30,CHAR(10),""))))</f>
        <v>0</v>
      </c>
    </row>
    <row r="31" customFormat="false" ht="15" hidden="false" customHeight="true" outlineLevel="0" collapsed="false">
      <c r="A31" s="33" t="str">
        <f aca="false">IF(Varian!$A10="","",Varian!$A10)</f>
        <v>lenovo-thinkpad-t480-i5-8350u-16-512</v>
      </c>
      <c r="B31" s="33" t="str">
        <f aca="false">IF($A31="","",Aturan!$A$22)</f>
        <v>Desain grafis</v>
      </c>
      <c r="C31" s="69" t="n">
        <f aca="false">IF($A31="","",IFERROR(IF(ISNUMBER(INDEX(CPU!$J$4:$J$64,MATCH(Varian!$J10,CPU!$A$4:$A$64,0))),INDEX(CPU!$J$4:$J$64,MATCH(Varian!$J10,CPU!$A$4:$A$64,0)),""),""))</f>
        <v>2</v>
      </c>
      <c r="D31" s="69" t="n">
        <f aca="false">IF($A31="","",IFERROR(IF(ISNUMBER(INDEX(GPU!$G$4:$G$64,MATCH(Varian!$K10,GPU!$A$4:$A$64,0))),INDEX(GPU!$G$4:$G$64,MATCH(Varian!$K10,GPU!$A$4:$A$64,0)),""),""))</f>
        <v>1</v>
      </c>
      <c r="E31" s="69" t="n">
        <f aca="false">IF($A31="","",IF(ISNUMBER(Varian!$M10),Varian!$M10,""))</f>
        <v>16</v>
      </c>
      <c r="F31" s="69" t="n">
        <f aca="false">IF($A31="","",IF(ISNUMBER(Varian!$V10),Varian!$V10,""))</f>
        <v>512</v>
      </c>
      <c r="G31" s="69" t="str">
        <f aca="false">IF($A31="","",IFERROR(INDEX(Aturan!$B$63:$B$66,MATCH(Varian!$AG10,Aturan!$A$63:$A$66,0)),""))</f>
        <v/>
      </c>
      <c r="H31" s="69" t="str">
        <f aca="false">IF($A31="","",IF(ISNUMBER(Varian!$AI10),Varian!$AI10,""))</f>
        <v/>
      </c>
      <c r="I31" s="33" t="str">
        <f aca="false">IF($A31="","",IF(Varian!$Q10="disolder","menempel di papan utama, tidak bisa ditambah",IF(OR(Varian!$Q10="slot",Varian!$Q10="setengah_disolder"),IF(Varian!$Q10="setengah_disolder","sebagian menempel, ","")&amp;IF(ISNUMBER(Varian!$U10),IF(AND(ISNUMBER(Varian!$M10),Varian!$U10&gt;Varian!$M10),"bisa dinaikkan lewat slot sampai "&amp;Varian!$U10&amp;" GB","sudah di batas maksimal "&amp;Varian!$U10&amp;" GB"),"ada slot, batas maksimalnya belum diketahui"),"belum diketahui apakah bisa ditambah")))</f>
        <v>bisa dinaikkan lewat slot sampai 32 GB</v>
      </c>
      <c r="J31" s="33" t="str">
        <f aca="false">IF($A31="","",IF(Varian!$Z10="ya","bisa diganti dengan yang lebih besar",IF(Varian!$Z10="tidak","menempel, tidak bisa diganti","belum diketahui apakah bisa diganti")))</f>
        <v>bisa diganti dengan yang lebih besar</v>
      </c>
      <c r="K31" s="70" t="str">
        <f aca="false">IF($A31="","",IF(AND(Aturan!$C$36="",Aturan!$D$36=""),"Tidak dinilai",IF(C31="","Belum ada data",IF(C31&lt;IF(Aturan!$C$36="",0,Aturan!$C$36),"Kurang",IF(C31&gt;=IF(Aturan!$D$36="",Aturan!$C$36,Aturan!$D$36),"Nyaman","Cukup")))))</f>
        <v>Cukup</v>
      </c>
      <c r="L31" s="70" t="str">
        <f aca="false">IF($A31="","",IF(AND(Aturan!$C$37="",Aturan!$D$37=""),"Tidak dinilai",IF(D31="","Belum ada data",IF(D31&lt;IF(Aturan!$C$37="",0,Aturan!$C$37),"Kurang",IF(D31&gt;=IF(Aturan!$D$37="",Aturan!$C$37,Aturan!$D$37),"Nyaman","Cukup")))))</f>
        <v>Cukup</v>
      </c>
      <c r="M31" s="70" t="str">
        <f aca="false">IF($A31="","",IF(AND(Aturan!$C$38="",Aturan!$D$38=""),"Tidak dinilai",IF(E31="","Belum ada data",IF(E31&lt;IF(Aturan!$C$38="",0,Aturan!$C$38),"Kurang",IF(E31&gt;=IF(Aturan!$D$38="",Aturan!$C$38,Aturan!$D$38),"Nyaman","Cukup")))))</f>
        <v>Nyaman</v>
      </c>
      <c r="N31" s="70" t="str">
        <f aca="false">IF($A31="","",IF(AND(Aturan!$C$39="",Aturan!$D$39=""),"Tidak dinilai",IF(F31="","Belum ada data",IF(F31&lt;IF(Aturan!$C$39="",0,Aturan!$C$39),"Kurang",IF(F31&gt;=IF(Aturan!$D$39="",Aturan!$C$39,Aturan!$D$39),"Nyaman","Cukup")))))</f>
        <v>Nyaman</v>
      </c>
      <c r="O31" s="70" t="str">
        <f aca="false">IF($A31="","",IF(AND(Aturan!$C$40="",Aturan!$D$40=""),"Tidak dinilai",IF(G31="","Belum ada data",IF(G31&lt;IF(Aturan!$C$40="",0,Aturan!$C$40),"Kurang",IF(G31&gt;=IF(Aturan!$D$40="",Aturan!$C$40,Aturan!$D$40),"Nyaman","Cukup")))))</f>
        <v>Belum ada data</v>
      </c>
      <c r="P31" s="70" t="str">
        <f aca="false">IF($A31="","",IF(AND(Aturan!$C$41="",Aturan!$D$41=""),"Tidak dinilai",IF(H31="","Belum ada data",IF(H31&lt;IF(Aturan!$C$41="",0,Aturan!$C$41),"Kurang",IF(H31&gt;=IF(Aturan!$D$41="",Aturan!$C$41,Aturan!$D$41),"Nyaman","Cukup")))))</f>
        <v>Tidak dinilai</v>
      </c>
      <c r="Q31" s="70" t="str">
        <f aca="false">IF($A31="","",IF(COUNTIF(K31:P31,"Tidak dinilai")=6,"Tidak dinilai",IF(COUNTIF(K31:P31,"Kurang")&gt;0,"Kurang cocok",IF(COUNTIF(K31:P31,"Belum ada data")&gt;0,"Data belum lengkap",IF(COUNTIF(K31:P31,"Cukup")&gt;0,"Bisa, dengan catatan","Cocok")))))</f>
        <v>Data belum lengkap</v>
      </c>
      <c r="R31" s="33" t="str">
        <f aca="false">IF($A31="","",IF(K31="Kurang","prosesor tingkat "&amp;C31&amp;" dari 5, di bawah batas minimal (tingkat "&amp;Aturan!$C$36&amp;")",IF(K31="Cukup","prosesor tingkat "&amp;C31&amp;" dari 5 cukup, nyamannya mulai tingkat "&amp;Aturan!$D$36,IF(K31="Belum ada data","tingkat prosesor belum diisi",""))))</f>
        <v>prosesor tingkat 2 dari 5 cukup, nyamannya mulai tingkat 3</v>
      </c>
      <c r="S31" s="33" t="str">
        <f aca="false">IF($A31="","",IF(L31="Kurang","grafis tingkat "&amp;D31&amp;" dari 5, di bawah batas minimal (tingkat "&amp;Aturan!$C$37&amp;")",IF(L31="Cukup","grafis tingkat "&amp;D31&amp;" dari 5 cukup, nyamannya mulai tingkat "&amp;Aturan!$D$37,IF(L31="Belum ada data","tingkat grafis belum diisi",""))))</f>
        <v>grafis tingkat 1 dari 5 cukup, nyamannya mulai tingkat 2</v>
      </c>
      <c r="T31" s="33" t="str">
        <f aca="false">IF($A31="","",IF(M31="Kurang","RAM "&amp;E31&amp;" GB, di bawah batas minimal "&amp;Aturan!$C$38&amp;" GB ("&amp;I31&amp;")",IF(M31="Cukup","RAM "&amp;E31&amp;" GB cukup, nyamannya "&amp;Aturan!$D$38&amp;" GB atau lebih ("&amp;I31&amp;")",IF(M31="Belum ada data","ukuran RAM belum diisi",""))))</f>
        <v/>
      </c>
      <c r="U31" s="33" t="str">
        <f aca="false">IF($A31="","",IF(N31="Kurang","penyimpanan "&amp;F31&amp;" GB, di bawah batas minimal "&amp;Aturan!$C$39&amp;" GB ("&amp;J31&amp;")",IF(N31="Cukup","penyimpanan "&amp;F31&amp;" GB cukup, nyamannya "&amp;Aturan!$D$39&amp;" GB atau lebih ("&amp;J31&amp;")",IF(N31="Belum ada data","ukuran penyimpanan belum diisi",""))))</f>
        <v/>
      </c>
      <c r="V31" s="33" t="str">
        <f aca="false">IF($A31="","",IF(O31="Kurang","layar "&amp;Varian!$AG10&amp;", di bawah batas minimal ("&amp;IFERROR(INDEX(Aturan!$A$63:$A$66,MATCH(Aturan!$C$40,Aturan!$B$63:$B$66,0)),"peringkat "&amp;Aturan!$C$40)&amp;")",IF(O31="Cukup","layar "&amp;Varian!$AG10&amp;" cukup, nyamannya "&amp;IFERROR(INDEX(Aturan!$A$63:$A$66,MATCH(Aturan!$D$40,Aturan!$B$63:$B$66,0)),"peringkat "&amp;Aturan!$D$40),IF(O31="Belum ada data","jenis layar belum diketahui",""))))</f>
        <v>jenis layar belum diketahui</v>
      </c>
      <c r="W31" s="33" t="str">
        <f aca="false">IF($A31="","",IF(P31="Kurang","layar "&amp;H31&amp;" Hz, di bawah batas minimal "&amp;Aturan!$C$41&amp;" Hz",IF(P31="Cukup","layar "&amp;H31&amp;" Hz cukup, nyamannya "&amp;Aturan!$D$41&amp;" Hz atau lebih",IF(P31="Belum ada data","refresh rate belum diketahui",""))))</f>
        <v/>
      </c>
      <c r="X31" s="33" t="str">
        <f aca="false">IF($A31="","",IF(K31="Kurang",R31&amp;"; ","")&amp;IF(L31="Kurang",S31&amp;"; ","")&amp;IF(M31="Kurang",T31&amp;"; ","")&amp;IF(N31="Kurang",U31&amp;"; ","")&amp;IF(O31="Kurang",V31&amp;"; ","")&amp;IF(P31="Kurang",W31&amp;"; ","")&amp;IF(K31="Belum ada data",R31&amp;"; ","")&amp;IF(L31="Belum ada data",S31&amp;"; ","")&amp;IF(M31="Belum ada data",T31&amp;"; ","")&amp;IF(N31="Belum ada data",U31&amp;"; ","")&amp;IF(O31="Belum ada data",V31&amp;"; ","")&amp;IF(P31="Belum ada data",W31&amp;"; ","")&amp;IF(K31="Cukup",R31&amp;"; ","")&amp;IF(L31="Cukup",S31&amp;"; ","")&amp;IF(M31="Cukup",T31&amp;"; ","")&amp;IF(N31="Cukup",U31&amp;"; ","")&amp;IF(O31="Cukup",V31&amp;"; ","")&amp;IF(P31="Cukup",W31&amp;"; ",""))</f>
        <v>jenis layar belum diketahui; prosesor tingkat 2 dari 5 cukup, nyamannya mulai tingkat 3; grafis tingkat 1 dari 5 cukup, nyamannya mulai tingkat 2; </v>
      </c>
      <c r="Y31" s="33" t="str">
        <f aca="false">IF($A31="","",IF(K31="Nyaman","prosesor, ","")&amp;IF(L31="Nyaman","grafis, ","")&amp;IF(M31="Nyaman","RAM, ","")&amp;IF(N31="Nyaman","penyimpanan, ","")&amp;IF(O31="Nyaman","layar, ","")&amp;IF(P31="Nyaman","refresh rate, ",""))</f>
        <v>RAM, penyimpanan, </v>
      </c>
      <c r="Z31" s="33" t="str">
        <f aca="false">IF($A31="","",IF(Q31="Tidak dinilai","Belum ada kriteria yang dinilai untuk kebutuhan ini.",IF(Q31="Cocok","Semua kriteria yang dinilai sudah nyaman: "&amp;LEFT(Y31,LEN(Y31)-2)&amp;".",UPPER(LEFT(X31,1))&amp;MID(X31,2,LEN(X31)-3)&amp;"."&amp;IF(Y31="",""," Sudah nyaman: "&amp;LEFT(Y31,LEN(Y31)-2)&amp;"."))))</f>
        <v>Jenis layar belum diketahui; prosesor tingkat 2 dari 5 cukup, nyamannya mulai tingkat 3; grafis tingkat 1 dari 5 cukup, nyamannya mulai tingkat 2. Sudah nyaman: RAM, penyimpanan.</v>
      </c>
      <c r="AA31" s="33"/>
      <c r="AB31" s="33"/>
      <c r="AC31" s="69"/>
    </row>
    <row r="32" customFormat="false" ht="15" hidden="false" customHeight="true" outlineLevel="0" collapsed="false">
      <c r="A32" s="33" t="str">
        <f aca="false">IF(Varian!$A10="","",Varian!$A10)</f>
        <v>lenovo-thinkpad-t480-i5-8350u-16-512</v>
      </c>
      <c r="B32" s="33" t="str">
        <f aca="false">IF($A32="","",Aturan!$A$23)</f>
        <v>Pemrograman</v>
      </c>
      <c r="C32" s="69" t="n">
        <f aca="false">IF($A32="","",IFERROR(IF(ISNUMBER(INDEX(CPU!$J$4:$J$64,MATCH(Varian!$J10,CPU!$A$4:$A$64,0))),INDEX(CPU!$J$4:$J$64,MATCH(Varian!$J10,CPU!$A$4:$A$64,0)),""),""))</f>
        <v>2</v>
      </c>
      <c r="D32" s="69" t="n">
        <f aca="false">IF($A32="","",IFERROR(IF(ISNUMBER(INDEX(GPU!$G$4:$G$64,MATCH(Varian!$K10,GPU!$A$4:$A$64,0))),INDEX(GPU!$G$4:$G$64,MATCH(Varian!$K10,GPU!$A$4:$A$64,0)),""),""))</f>
        <v>1</v>
      </c>
      <c r="E32" s="69" t="n">
        <f aca="false">IF($A32="","",IF(ISNUMBER(Varian!$M10),Varian!$M10,""))</f>
        <v>16</v>
      </c>
      <c r="F32" s="69" t="n">
        <f aca="false">IF($A32="","",IF(ISNUMBER(Varian!$V10),Varian!$V10,""))</f>
        <v>512</v>
      </c>
      <c r="G32" s="69" t="str">
        <f aca="false">IF($A32="","",IFERROR(INDEX(Aturan!$B$63:$B$66,MATCH(Varian!$AG10,Aturan!$A$63:$A$66,0)),""))</f>
        <v/>
      </c>
      <c r="H32" s="69" t="str">
        <f aca="false">IF($A32="","",IF(ISNUMBER(Varian!$AI10),Varian!$AI10,""))</f>
        <v/>
      </c>
      <c r="I32" s="33" t="str">
        <f aca="false">IF($A32="","",IF(Varian!$Q10="disolder","menempel di papan utama, tidak bisa ditambah",IF(OR(Varian!$Q10="slot",Varian!$Q10="setengah_disolder"),IF(Varian!$Q10="setengah_disolder","sebagian menempel, ","")&amp;IF(ISNUMBER(Varian!$U10),IF(AND(ISNUMBER(Varian!$M10),Varian!$U10&gt;Varian!$M10),"bisa dinaikkan lewat slot sampai "&amp;Varian!$U10&amp;" GB","sudah di batas maksimal "&amp;Varian!$U10&amp;" GB"),"ada slot, batas maksimalnya belum diketahui"),"belum diketahui apakah bisa ditambah")))</f>
        <v>bisa dinaikkan lewat slot sampai 32 GB</v>
      </c>
      <c r="J32" s="33" t="str">
        <f aca="false">IF($A32="","",IF(Varian!$Z10="ya","bisa diganti dengan yang lebih besar",IF(Varian!$Z10="tidak","menempel, tidak bisa diganti","belum diketahui apakah bisa diganti")))</f>
        <v>bisa diganti dengan yang lebih besar</v>
      </c>
      <c r="K32" s="70" t="str">
        <f aca="false">IF($A32="","",IF(AND(Aturan!$C$42="",Aturan!$D$42=""),"Tidak dinilai",IF(C32="","Belum ada data",IF(C32&lt;IF(Aturan!$C$42="",0,Aturan!$C$42),"Kurang",IF(C32&gt;=IF(Aturan!$D$42="",Aturan!$C$42,Aturan!$D$42),"Nyaman","Cukup")))))</f>
        <v>Cukup</v>
      </c>
      <c r="L32" s="70" t="str">
        <f aca="false">IF($A32="","",IF(AND(Aturan!$C$43="",Aturan!$D$43=""),"Tidak dinilai",IF(D32="","Belum ada data",IF(D32&lt;IF(Aturan!$C$43="",0,Aturan!$C$43),"Kurang",IF(D32&gt;=IF(Aturan!$D$43="",Aturan!$C$43,Aturan!$D$43),"Nyaman","Cukup")))))</f>
        <v>Tidak dinilai</v>
      </c>
      <c r="M32" s="70" t="str">
        <f aca="false">IF($A32="","",IF(AND(Aturan!$C$44="",Aturan!$D$44=""),"Tidak dinilai",IF(E32="","Belum ada data",IF(E32&lt;IF(Aturan!$C$44="",0,Aturan!$C$44),"Kurang",IF(E32&gt;=IF(Aturan!$D$44="",Aturan!$C$44,Aturan!$D$44),"Nyaman","Cukup")))))</f>
        <v>Nyaman</v>
      </c>
      <c r="N32" s="70" t="str">
        <f aca="false">IF($A32="","",IF(AND(Aturan!$C$45="",Aturan!$D$45=""),"Tidak dinilai",IF(F32="","Belum ada data",IF(F32&lt;IF(Aturan!$C$45="",0,Aturan!$C$45),"Kurang",IF(F32&gt;=IF(Aturan!$D$45="",Aturan!$C$45,Aturan!$D$45),"Nyaman","Cukup")))))</f>
        <v>Nyaman</v>
      </c>
      <c r="O32" s="70" t="str">
        <f aca="false">IF($A32="","",IF(AND(Aturan!$C$46="",Aturan!$D$46=""),"Tidak dinilai",IF(G32="","Belum ada data",IF(G32&lt;IF(Aturan!$C$46="",0,Aturan!$C$46),"Kurang",IF(G32&gt;=IF(Aturan!$D$46="",Aturan!$C$46,Aturan!$D$46),"Nyaman","Cukup")))))</f>
        <v>Tidak dinilai</v>
      </c>
      <c r="P32" s="70" t="str">
        <f aca="false">IF($A32="","",IF(AND(Aturan!$C$47="",Aturan!$D$47=""),"Tidak dinilai",IF(H32="","Belum ada data",IF(H32&lt;IF(Aturan!$C$47="",0,Aturan!$C$47),"Kurang",IF(H32&gt;=IF(Aturan!$D$47="",Aturan!$C$47,Aturan!$D$47),"Nyaman","Cukup")))))</f>
        <v>Tidak dinilai</v>
      </c>
      <c r="Q32" s="70" t="str">
        <f aca="false">IF($A32="","",IF(COUNTIF(K32:P32,"Tidak dinilai")=6,"Tidak dinilai",IF(COUNTIF(K32:P32,"Kurang")&gt;0,"Kurang cocok",IF(COUNTIF(K32:P32,"Belum ada data")&gt;0,"Data belum lengkap",IF(COUNTIF(K32:P32,"Cukup")&gt;0,"Bisa, dengan catatan","Cocok")))))</f>
        <v>Bisa, dengan catatan</v>
      </c>
      <c r="R32" s="33" t="str">
        <f aca="false">IF($A32="","",IF(K32="Kurang","prosesor tingkat "&amp;C32&amp;" dari 5, di bawah batas minimal (tingkat "&amp;Aturan!$C$42&amp;")",IF(K32="Cukup","prosesor tingkat "&amp;C32&amp;" dari 5 cukup, nyamannya mulai tingkat "&amp;Aturan!$D$42,IF(K32="Belum ada data","tingkat prosesor belum diisi",""))))</f>
        <v>prosesor tingkat 2 dari 5 cukup, nyamannya mulai tingkat 3</v>
      </c>
      <c r="S32" s="33" t="str">
        <f aca="false">IF($A32="","",IF(L32="Kurang","grafis tingkat "&amp;D32&amp;" dari 5, di bawah batas minimal (tingkat "&amp;Aturan!$C$43&amp;")",IF(L32="Cukup","grafis tingkat "&amp;D32&amp;" dari 5 cukup, nyamannya mulai tingkat "&amp;Aturan!$D$43,IF(L32="Belum ada data","tingkat grafis belum diisi",""))))</f>
        <v/>
      </c>
      <c r="T32" s="33" t="str">
        <f aca="false">IF($A32="","",IF(M32="Kurang","RAM "&amp;E32&amp;" GB, di bawah batas minimal "&amp;Aturan!$C$44&amp;" GB ("&amp;I32&amp;")",IF(M32="Cukup","RAM "&amp;E32&amp;" GB cukup, nyamannya "&amp;Aturan!$D$44&amp;" GB atau lebih ("&amp;I32&amp;")",IF(M32="Belum ada data","ukuran RAM belum diisi",""))))</f>
        <v/>
      </c>
      <c r="U32" s="33" t="str">
        <f aca="false">IF($A32="","",IF(N32="Kurang","penyimpanan "&amp;F32&amp;" GB, di bawah batas minimal "&amp;Aturan!$C$45&amp;" GB ("&amp;J32&amp;")",IF(N32="Cukup","penyimpanan "&amp;F32&amp;" GB cukup, nyamannya "&amp;Aturan!$D$45&amp;" GB atau lebih ("&amp;J32&amp;")",IF(N32="Belum ada data","ukuran penyimpanan belum diisi",""))))</f>
        <v/>
      </c>
      <c r="V32" s="33" t="str">
        <f aca="false">IF($A32="","",IF(O32="Kurang","layar "&amp;Varian!$AG10&amp;", di bawah batas minimal ("&amp;IFERROR(INDEX(Aturan!$A$63:$A$66,MATCH(Aturan!$C$46,Aturan!$B$63:$B$66,0)),"peringkat "&amp;Aturan!$C$46)&amp;")",IF(O32="Cukup","layar "&amp;Varian!$AG10&amp;" cukup, nyamannya "&amp;IFERROR(INDEX(Aturan!$A$63:$A$66,MATCH(Aturan!$D$46,Aturan!$B$63:$B$66,0)),"peringkat "&amp;Aturan!$D$46),IF(O32="Belum ada data","jenis layar belum diketahui",""))))</f>
        <v/>
      </c>
      <c r="W32" s="33" t="str">
        <f aca="false">IF($A32="","",IF(P32="Kurang","layar "&amp;H32&amp;" Hz, di bawah batas minimal "&amp;Aturan!$C$47&amp;" Hz",IF(P32="Cukup","layar "&amp;H32&amp;" Hz cukup, nyamannya "&amp;Aturan!$D$47&amp;" Hz atau lebih",IF(P32="Belum ada data","refresh rate belum diketahui",""))))</f>
        <v/>
      </c>
      <c r="X32" s="33" t="str">
        <f aca="false">IF($A32="","",IF(K32="Kurang",R32&amp;"; ","")&amp;IF(L32="Kurang",S32&amp;"; ","")&amp;IF(M32="Kurang",T32&amp;"; ","")&amp;IF(N32="Kurang",U32&amp;"; ","")&amp;IF(O32="Kurang",V32&amp;"; ","")&amp;IF(P32="Kurang",W32&amp;"; ","")&amp;IF(K32="Belum ada data",R32&amp;"; ","")&amp;IF(L32="Belum ada data",S32&amp;"; ","")&amp;IF(M32="Belum ada data",T32&amp;"; ","")&amp;IF(N32="Belum ada data",U32&amp;"; ","")&amp;IF(O32="Belum ada data",V32&amp;"; ","")&amp;IF(P32="Belum ada data",W32&amp;"; ","")&amp;IF(K32="Cukup",R32&amp;"; ","")&amp;IF(L32="Cukup",S32&amp;"; ","")&amp;IF(M32="Cukup",T32&amp;"; ","")&amp;IF(N32="Cukup",U32&amp;"; ","")&amp;IF(O32="Cukup",V32&amp;"; ","")&amp;IF(P32="Cukup",W32&amp;"; ",""))</f>
        <v>prosesor tingkat 2 dari 5 cukup, nyamannya mulai tingkat 3; </v>
      </c>
      <c r="Y32" s="33" t="str">
        <f aca="false">IF($A32="","",IF(K32="Nyaman","prosesor, ","")&amp;IF(L32="Nyaman","grafis, ","")&amp;IF(M32="Nyaman","RAM, ","")&amp;IF(N32="Nyaman","penyimpanan, ","")&amp;IF(O32="Nyaman","layar, ","")&amp;IF(P32="Nyaman","refresh rate, ",""))</f>
        <v>RAM, penyimpanan, </v>
      </c>
      <c r="Z32" s="33" t="str">
        <f aca="false">IF($A32="","",IF(Q32="Tidak dinilai","Belum ada kriteria yang dinilai untuk kebutuhan ini.",IF(Q32="Cocok","Semua kriteria yang dinilai sudah nyaman: "&amp;LEFT(Y32,LEN(Y32)-2)&amp;".",UPPER(LEFT(X32,1))&amp;MID(X32,2,LEN(X32)-3)&amp;"."&amp;IF(Y32="",""," Sudah nyaman: "&amp;LEFT(Y32,LEN(Y32)-2)&amp;"."))))</f>
        <v>Prosesor tingkat 2 dari 5 cukup, nyamannya mulai tingkat 3. Sudah nyaman: RAM, penyimpanan.</v>
      </c>
      <c r="AA32" s="33"/>
      <c r="AB32" s="33"/>
      <c r="AC32" s="69"/>
    </row>
    <row r="33" customFormat="false" ht="15" hidden="false" customHeight="true" outlineLevel="0" collapsed="false">
      <c r="A33" s="33" t="str">
        <f aca="false">IF(Varian!$A10="","",Varian!$A10)</f>
        <v>lenovo-thinkpad-t480-i5-8350u-16-512</v>
      </c>
      <c r="B33" s="33" t="str">
        <f aca="false">IF($A33="","",Aturan!$A$24)</f>
        <v>Game ringan</v>
      </c>
      <c r="C33" s="69" t="n">
        <f aca="false">IF($A33="","",IFERROR(IF(ISNUMBER(INDEX(CPU!$J$4:$J$64,MATCH(Varian!$J10,CPU!$A$4:$A$64,0))),INDEX(CPU!$J$4:$J$64,MATCH(Varian!$J10,CPU!$A$4:$A$64,0)),""),""))</f>
        <v>2</v>
      </c>
      <c r="D33" s="69" t="n">
        <f aca="false">IF($A33="","",IFERROR(IF(ISNUMBER(INDEX(GPU!$G$4:$G$64,MATCH(Varian!$K10,GPU!$A$4:$A$64,0))),INDEX(GPU!$G$4:$G$64,MATCH(Varian!$K10,GPU!$A$4:$A$64,0)),""),""))</f>
        <v>1</v>
      </c>
      <c r="E33" s="69" t="n">
        <f aca="false">IF($A33="","",IF(ISNUMBER(Varian!$M10),Varian!$M10,""))</f>
        <v>16</v>
      </c>
      <c r="F33" s="69" t="n">
        <f aca="false">IF($A33="","",IF(ISNUMBER(Varian!$V10),Varian!$V10,""))</f>
        <v>512</v>
      </c>
      <c r="G33" s="69" t="str">
        <f aca="false">IF($A33="","",IFERROR(INDEX(Aturan!$B$63:$B$66,MATCH(Varian!$AG10,Aturan!$A$63:$A$66,0)),""))</f>
        <v/>
      </c>
      <c r="H33" s="69" t="str">
        <f aca="false">IF($A33="","",IF(ISNUMBER(Varian!$AI10),Varian!$AI10,""))</f>
        <v/>
      </c>
      <c r="I33" s="33" t="str">
        <f aca="false">IF($A33="","",IF(Varian!$Q10="disolder","menempel di papan utama, tidak bisa ditambah",IF(OR(Varian!$Q10="slot",Varian!$Q10="setengah_disolder"),IF(Varian!$Q10="setengah_disolder","sebagian menempel, ","")&amp;IF(ISNUMBER(Varian!$U10),IF(AND(ISNUMBER(Varian!$M10),Varian!$U10&gt;Varian!$M10),"bisa dinaikkan lewat slot sampai "&amp;Varian!$U10&amp;" GB","sudah di batas maksimal "&amp;Varian!$U10&amp;" GB"),"ada slot, batas maksimalnya belum diketahui"),"belum diketahui apakah bisa ditambah")))</f>
        <v>bisa dinaikkan lewat slot sampai 32 GB</v>
      </c>
      <c r="J33" s="33" t="str">
        <f aca="false">IF($A33="","",IF(Varian!$Z10="ya","bisa diganti dengan yang lebih besar",IF(Varian!$Z10="tidak","menempel, tidak bisa diganti","belum diketahui apakah bisa diganti")))</f>
        <v>bisa diganti dengan yang lebih besar</v>
      </c>
      <c r="K33" s="70" t="str">
        <f aca="false">IF($A33="","",IF(AND(Aturan!$C$48="",Aturan!$D$48=""),"Tidak dinilai",IF(C33="","Belum ada data",IF(C33&lt;IF(Aturan!$C$48="",0,Aturan!$C$48),"Kurang",IF(C33&gt;=IF(Aturan!$D$48="",Aturan!$C$48,Aturan!$D$48),"Nyaman","Cukup")))))</f>
        <v>Cukup</v>
      </c>
      <c r="L33" s="70" t="str">
        <f aca="false">IF($A33="","",IF(AND(Aturan!$C$49="",Aturan!$D$49=""),"Tidak dinilai",IF(D33="","Belum ada data",IF(D33&lt;IF(Aturan!$C$49="",0,Aturan!$C$49),"Kurang",IF(D33&gt;=IF(Aturan!$D$49="",Aturan!$C$49,Aturan!$D$49),"Nyaman","Cukup")))))</f>
        <v>Cukup</v>
      </c>
      <c r="M33" s="70" t="str">
        <f aca="false">IF($A33="","",IF(AND(Aturan!$C$50="",Aturan!$D$50=""),"Tidak dinilai",IF(E33="","Belum ada data",IF(E33&lt;IF(Aturan!$C$50="",0,Aturan!$C$50),"Kurang",IF(E33&gt;=IF(Aturan!$D$50="",Aturan!$C$50,Aturan!$D$50),"Nyaman","Cukup")))))</f>
        <v>Nyaman</v>
      </c>
      <c r="N33" s="70" t="str">
        <f aca="false">IF($A33="","",IF(AND(Aturan!$C$51="",Aturan!$D$51=""),"Tidak dinilai",IF(F33="","Belum ada data",IF(F33&lt;IF(Aturan!$C$51="",0,Aturan!$C$51),"Kurang",IF(F33&gt;=IF(Aturan!$D$51="",Aturan!$C$51,Aturan!$D$51),"Nyaman","Cukup")))))</f>
        <v>Nyaman</v>
      </c>
      <c r="O33" s="70" t="str">
        <f aca="false">IF($A33="","",IF(AND(Aturan!$C$52="",Aturan!$D$52=""),"Tidak dinilai",IF(G33="","Belum ada data",IF(G33&lt;IF(Aturan!$C$52="",0,Aturan!$C$52),"Kurang",IF(G33&gt;=IF(Aturan!$D$52="",Aturan!$C$52,Aturan!$D$52),"Nyaman","Cukup")))))</f>
        <v>Tidak dinilai</v>
      </c>
      <c r="P33" s="70" t="str">
        <f aca="false">IF($A33="","",IF(AND(Aturan!$C$53="",Aturan!$D$53=""),"Tidak dinilai",IF(H33="","Belum ada data",IF(H33&lt;IF(Aturan!$C$53="",0,Aturan!$C$53),"Kurang",IF(H33&gt;=IF(Aturan!$D$53="",Aturan!$C$53,Aturan!$D$53),"Nyaman","Cukup")))))</f>
        <v>Tidak dinilai</v>
      </c>
      <c r="Q33" s="70" t="str">
        <f aca="false">IF($A33="","",IF(COUNTIF(K33:P33,"Tidak dinilai")=6,"Tidak dinilai",IF(COUNTIF(K33:P33,"Kurang")&gt;0,"Kurang cocok",IF(COUNTIF(K33:P33,"Belum ada data")&gt;0,"Data belum lengkap",IF(COUNTIF(K33:P33,"Cukup")&gt;0,"Bisa, dengan catatan","Cocok")))))</f>
        <v>Bisa, dengan catatan</v>
      </c>
      <c r="R33" s="33" t="str">
        <f aca="false">IF($A33="","",IF(K33="Kurang","prosesor tingkat "&amp;C33&amp;" dari 5, di bawah batas minimal (tingkat "&amp;Aturan!$C$48&amp;")",IF(K33="Cukup","prosesor tingkat "&amp;C33&amp;" dari 5 cukup, nyamannya mulai tingkat "&amp;Aturan!$D$48,IF(K33="Belum ada data","tingkat prosesor belum diisi",""))))</f>
        <v>prosesor tingkat 2 dari 5 cukup, nyamannya mulai tingkat 3</v>
      </c>
      <c r="S33" s="33" t="str">
        <f aca="false">IF($A33="","",IF(L33="Kurang","grafis tingkat "&amp;D33&amp;" dari 5, di bawah batas minimal (tingkat "&amp;Aturan!$C$49&amp;")",IF(L33="Cukup","grafis tingkat "&amp;D33&amp;" dari 5 cukup, nyamannya mulai tingkat "&amp;Aturan!$D$49,IF(L33="Belum ada data","tingkat grafis belum diisi",""))))</f>
        <v>grafis tingkat 1 dari 5 cukup, nyamannya mulai tingkat 2</v>
      </c>
      <c r="T33" s="33" t="str">
        <f aca="false">IF($A33="","",IF(M33="Kurang","RAM "&amp;E33&amp;" GB, di bawah batas minimal "&amp;Aturan!$C$50&amp;" GB ("&amp;I33&amp;")",IF(M33="Cukup","RAM "&amp;E33&amp;" GB cukup, nyamannya "&amp;Aturan!$D$50&amp;" GB atau lebih ("&amp;I33&amp;")",IF(M33="Belum ada data","ukuran RAM belum diisi",""))))</f>
        <v/>
      </c>
      <c r="U33" s="33" t="str">
        <f aca="false">IF($A33="","",IF(N33="Kurang","penyimpanan "&amp;F33&amp;" GB, di bawah batas minimal "&amp;Aturan!$C$51&amp;" GB ("&amp;J33&amp;")",IF(N33="Cukup","penyimpanan "&amp;F33&amp;" GB cukup, nyamannya "&amp;Aturan!$D$51&amp;" GB atau lebih ("&amp;J33&amp;")",IF(N33="Belum ada data","ukuran penyimpanan belum diisi",""))))</f>
        <v/>
      </c>
      <c r="V33" s="33" t="str">
        <f aca="false">IF($A33="","",IF(O33="Kurang","layar "&amp;Varian!$AG10&amp;", di bawah batas minimal ("&amp;IFERROR(INDEX(Aturan!$A$63:$A$66,MATCH(Aturan!$C$52,Aturan!$B$63:$B$66,0)),"peringkat "&amp;Aturan!$C$52)&amp;")",IF(O33="Cukup","layar "&amp;Varian!$AG10&amp;" cukup, nyamannya "&amp;IFERROR(INDEX(Aturan!$A$63:$A$66,MATCH(Aturan!$D$52,Aturan!$B$63:$B$66,0)),"peringkat "&amp;Aturan!$D$52),IF(O33="Belum ada data","jenis layar belum diketahui",""))))</f>
        <v/>
      </c>
      <c r="W33" s="33" t="str">
        <f aca="false">IF($A33="","",IF(P33="Kurang","layar "&amp;H33&amp;" Hz, di bawah batas minimal "&amp;Aturan!$C$53&amp;" Hz",IF(P33="Cukup","layar "&amp;H33&amp;" Hz cukup, nyamannya "&amp;Aturan!$D$53&amp;" Hz atau lebih",IF(P33="Belum ada data","refresh rate belum diketahui",""))))</f>
        <v/>
      </c>
      <c r="X33" s="33" t="str">
        <f aca="false">IF($A33="","",IF(K33="Kurang",R33&amp;"; ","")&amp;IF(L33="Kurang",S33&amp;"; ","")&amp;IF(M33="Kurang",T33&amp;"; ","")&amp;IF(N33="Kurang",U33&amp;"; ","")&amp;IF(O33="Kurang",V33&amp;"; ","")&amp;IF(P33="Kurang",W33&amp;"; ","")&amp;IF(K33="Belum ada data",R33&amp;"; ","")&amp;IF(L33="Belum ada data",S33&amp;"; ","")&amp;IF(M33="Belum ada data",T33&amp;"; ","")&amp;IF(N33="Belum ada data",U33&amp;"; ","")&amp;IF(O33="Belum ada data",V33&amp;"; ","")&amp;IF(P33="Belum ada data",W33&amp;"; ","")&amp;IF(K33="Cukup",R33&amp;"; ","")&amp;IF(L33="Cukup",S33&amp;"; ","")&amp;IF(M33="Cukup",T33&amp;"; ","")&amp;IF(N33="Cukup",U33&amp;"; ","")&amp;IF(O33="Cukup",V33&amp;"; ","")&amp;IF(P33="Cukup",W33&amp;"; ",""))</f>
        <v>prosesor tingkat 2 dari 5 cukup, nyamannya mulai tingkat 3; grafis tingkat 1 dari 5 cukup, nyamannya mulai tingkat 2; </v>
      </c>
      <c r="Y33" s="33" t="str">
        <f aca="false">IF($A33="","",IF(K33="Nyaman","prosesor, ","")&amp;IF(L33="Nyaman","grafis, ","")&amp;IF(M33="Nyaman","RAM, ","")&amp;IF(N33="Nyaman","penyimpanan, ","")&amp;IF(O33="Nyaman","layar, ","")&amp;IF(P33="Nyaman","refresh rate, ",""))</f>
        <v>RAM, penyimpanan, </v>
      </c>
      <c r="Z33" s="33" t="str">
        <f aca="false">IF($A33="","",IF(Q33="Tidak dinilai","Belum ada kriteria yang dinilai untuk kebutuhan ini.",IF(Q33="Cocok","Semua kriteria yang dinilai sudah nyaman: "&amp;LEFT(Y33,LEN(Y33)-2)&amp;".",UPPER(LEFT(X33,1))&amp;MID(X33,2,LEN(X33)-3)&amp;"."&amp;IF(Y33="",""," Sudah nyaman: "&amp;LEFT(Y33,LEN(Y33)-2)&amp;"."))))</f>
        <v>Prosesor tingkat 2 dari 5 cukup, nyamannya mulai tingkat 3; grafis tingkat 1 dari 5 cukup, nyamannya mulai tingkat 2. Sudah nyaman: RAM, penyimpanan.</v>
      </c>
      <c r="AA33" s="33"/>
      <c r="AB33" s="33"/>
      <c r="AC33" s="69"/>
    </row>
    <row r="34" customFormat="false" ht="15" hidden="false" customHeight="true" outlineLevel="0" collapsed="false">
      <c r="A34" s="33" t="str">
        <f aca="false">IF(Varian!$A10="","",Varian!$A10)</f>
        <v>lenovo-thinkpad-t480-i5-8350u-16-512</v>
      </c>
      <c r="B34" s="33" t="str">
        <f aca="false">IF($A34="","",Aturan!$A$25)</f>
        <v>Game berat</v>
      </c>
      <c r="C34" s="69" t="n">
        <f aca="false">IF($A34="","",IFERROR(IF(ISNUMBER(INDEX(CPU!$J$4:$J$64,MATCH(Varian!$J10,CPU!$A$4:$A$64,0))),INDEX(CPU!$J$4:$J$64,MATCH(Varian!$J10,CPU!$A$4:$A$64,0)),""),""))</f>
        <v>2</v>
      </c>
      <c r="D34" s="69" t="n">
        <f aca="false">IF($A34="","",IFERROR(IF(ISNUMBER(INDEX(GPU!$G$4:$G$64,MATCH(Varian!$K10,GPU!$A$4:$A$64,0))),INDEX(GPU!$G$4:$G$64,MATCH(Varian!$K10,GPU!$A$4:$A$64,0)),""),""))</f>
        <v>1</v>
      </c>
      <c r="E34" s="69" t="n">
        <f aca="false">IF($A34="","",IF(ISNUMBER(Varian!$M10),Varian!$M10,""))</f>
        <v>16</v>
      </c>
      <c r="F34" s="69" t="n">
        <f aca="false">IF($A34="","",IF(ISNUMBER(Varian!$V10),Varian!$V10,""))</f>
        <v>512</v>
      </c>
      <c r="G34" s="69" t="str">
        <f aca="false">IF($A34="","",IFERROR(INDEX(Aturan!$B$63:$B$66,MATCH(Varian!$AG10,Aturan!$A$63:$A$66,0)),""))</f>
        <v/>
      </c>
      <c r="H34" s="69" t="str">
        <f aca="false">IF($A34="","",IF(ISNUMBER(Varian!$AI10),Varian!$AI10,""))</f>
        <v/>
      </c>
      <c r="I34" s="33" t="str">
        <f aca="false">IF($A34="","",IF(Varian!$Q10="disolder","menempel di papan utama, tidak bisa ditambah",IF(OR(Varian!$Q10="slot",Varian!$Q10="setengah_disolder"),IF(Varian!$Q10="setengah_disolder","sebagian menempel, ","")&amp;IF(ISNUMBER(Varian!$U10),IF(AND(ISNUMBER(Varian!$M10),Varian!$U10&gt;Varian!$M10),"bisa dinaikkan lewat slot sampai "&amp;Varian!$U10&amp;" GB","sudah di batas maksimal "&amp;Varian!$U10&amp;" GB"),"ada slot, batas maksimalnya belum diketahui"),"belum diketahui apakah bisa ditambah")))</f>
        <v>bisa dinaikkan lewat slot sampai 32 GB</v>
      </c>
      <c r="J34" s="33" t="str">
        <f aca="false">IF($A34="","",IF(Varian!$Z10="ya","bisa diganti dengan yang lebih besar",IF(Varian!$Z10="tidak","menempel, tidak bisa diganti","belum diketahui apakah bisa diganti")))</f>
        <v>bisa diganti dengan yang lebih besar</v>
      </c>
      <c r="K34" s="70" t="str">
        <f aca="false">IF($A34="","",IF(AND(Aturan!$C$54="",Aturan!$D$54=""),"Tidak dinilai",IF(C34="","Belum ada data",IF(C34&lt;IF(Aturan!$C$54="",0,Aturan!$C$54),"Kurang",IF(C34&gt;=IF(Aturan!$D$54="",Aturan!$C$54,Aturan!$D$54),"Nyaman","Cukup")))))</f>
        <v>Kurang</v>
      </c>
      <c r="L34" s="70" t="str">
        <f aca="false">IF($A34="","",IF(AND(Aturan!$C$55="",Aturan!$D$55=""),"Tidak dinilai",IF(D34="","Belum ada data",IF(D34&lt;IF(Aturan!$C$55="",0,Aturan!$C$55),"Kurang",IF(D34&gt;=IF(Aturan!$D$55="",Aturan!$C$55,Aturan!$D$55),"Nyaman","Cukup")))))</f>
        <v>Kurang</v>
      </c>
      <c r="M34" s="70" t="str">
        <f aca="false">IF($A34="","",IF(AND(Aturan!$C$56="",Aturan!$D$56=""),"Tidak dinilai",IF(E34="","Belum ada data",IF(E34&lt;IF(Aturan!$C$56="",0,Aturan!$C$56),"Kurang",IF(E34&gt;=IF(Aturan!$D$56="",Aturan!$C$56,Aturan!$D$56),"Nyaman","Cukup")))))</f>
        <v>Nyaman</v>
      </c>
      <c r="N34" s="70" t="str">
        <f aca="false">IF($A34="","",IF(AND(Aturan!$C$57="",Aturan!$D$57=""),"Tidak dinilai",IF(F34="","Belum ada data",IF(F34&lt;IF(Aturan!$C$57="",0,Aturan!$C$57),"Kurang",IF(F34&gt;=IF(Aturan!$D$57="",Aturan!$C$57,Aturan!$D$57),"Nyaman","Cukup")))))</f>
        <v>Cukup</v>
      </c>
      <c r="O34" s="70" t="str">
        <f aca="false">IF($A34="","",IF(AND(Aturan!$C$58="",Aturan!$D$58=""),"Tidak dinilai",IF(G34="","Belum ada data",IF(G34&lt;IF(Aturan!$C$58="",0,Aturan!$C$58),"Kurang",IF(G34&gt;=IF(Aturan!$D$58="",Aturan!$C$58,Aturan!$D$58),"Nyaman","Cukup")))))</f>
        <v>Tidak dinilai</v>
      </c>
      <c r="P34" s="70" t="str">
        <f aca="false">IF($A34="","",IF(AND(Aturan!$C$59="",Aturan!$D$59=""),"Tidak dinilai",IF(H34="","Belum ada data",IF(H34&lt;IF(Aturan!$C$59="",0,Aturan!$C$59),"Kurang",IF(H34&gt;=IF(Aturan!$D$59="",Aturan!$C$59,Aturan!$D$59),"Nyaman","Cukup")))))</f>
        <v>Belum ada data</v>
      </c>
      <c r="Q34" s="70" t="str">
        <f aca="false">IF($A34="","",IF(COUNTIF(K34:P34,"Tidak dinilai")=6,"Tidak dinilai",IF(COUNTIF(K34:P34,"Kurang")&gt;0,"Kurang cocok",IF(COUNTIF(K34:P34,"Belum ada data")&gt;0,"Data belum lengkap",IF(COUNTIF(K34:P34,"Cukup")&gt;0,"Bisa, dengan catatan","Cocok")))))</f>
        <v>Kurang cocok</v>
      </c>
      <c r="R34" s="33" t="str">
        <f aca="false">IF($A34="","",IF(K34="Kurang","prosesor tingkat "&amp;C34&amp;" dari 5, di bawah batas minimal (tingkat "&amp;Aturan!$C$54&amp;")",IF(K34="Cukup","prosesor tingkat "&amp;C34&amp;" dari 5 cukup, nyamannya mulai tingkat "&amp;Aturan!$D$54,IF(K34="Belum ada data","tingkat prosesor belum diisi",""))))</f>
        <v>prosesor tingkat 2 dari 5, di bawah batas minimal (tingkat 3)</v>
      </c>
      <c r="S34" s="33" t="str">
        <f aca="false">IF($A34="","",IF(L34="Kurang","grafis tingkat "&amp;D34&amp;" dari 5, di bawah batas minimal (tingkat "&amp;Aturan!$C$55&amp;")",IF(L34="Cukup","grafis tingkat "&amp;D34&amp;" dari 5 cukup, nyamannya mulai tingkat "&amp;Aturan!$D$55,IF(L34="Belum ada data","tingkat grafis belum diisi",""))))</f>
        <v>grafis tingkat 1 dari 5, di bawah batas minimal (tingkat 3)</v>
      </c>
      <c r="T34" s="33" t="str">
        <f aca="false">IF($A34="","",IF(M34="Kurang","RAM "&amp;E34&amp;" GB, di bawah batas minimal "&amp;Aturan!$C$56&amp;" GB ("&amp;I34&amp;")",IF(M34="Cukup","RAM "&amp;E34&amp;" GB cukup, nyamannya "&amp;Aturan!$D$56&amp;" GB atau lebih ("&amp;I34&amp;")",IF(M34="Belum ada data","ukuran RAM belum diisi",""))))</f>
        <v/>
      </c>
      <c r="U34" s="33" t="str">
        <f aca="false">IF($A34="","",IF(N34="Kurang","penyimpanan "&amp;F34&amp;" GB, di bawah batas minimal "&amp;Aturan!$C$57&amp;" GB ("&amp;J34&amp;")",IF(N34="Cukup","penyimpanan "&amp;F34&amp;" GB cukup, nyamannya "&amp;Aturan!$D$57&amp;" GB atau lebih ("&amp;J34&amp;")",IF(N34="Belum ada data","ukuran penyimpanan belum diisi",""))))</f>
        <v>penyimpanan 512 GB cukup, nyamannya 1000 GB atau lebih (bisa diganti dengan yang lebih besar)</v>
      </c>
      <c r="V34" s="33" t="str">
        <f aca="false">IF($A34="","",IF(O34="Kurang","layar "&amp;Varian!$AG10&amp;", di bawah batas minimal ("&amp;IFERROR(INDEX(Aturan!$A$63:$A$66,MATCH(Aturan!$C$58,Aturan!$B$63:$B$66,0)),"peringkat "&amp;Aturan!$C$58)&amp;")",IF(O34="Cukup","layar "&amp;Varian!$AG10&amp;" cukup, nyamannya "&amp;IFERROR(INDEX(Aturan!$A$63:$A$66,MATCH(Aturan!$D$58,Aturan!$B$63:$B$66,0)),"peringkat "&amp;Aturan!$D$58),IF(O34="Belum ada data","jenis layar belum diketahui",""))))</f>
        <v/>
      </c>
      <c r="W34" s="33" t="str">
        <f aca="false">IF($A34="","",IF(P34="Kurang","layar "&amp;H34&amp;" Hz, di bawah batas minimal "&amp;Aturan!$C$59&amp;" Hz",IF(P34="Cukup","layar "&amp;H34&amp;" Hz cukup, nyamannya "&amp;Aturan!$D$59&amp;" Hz atau lebih",IF(P34="Belum ada data","refresh rate belum diketahui",""))))</f>
        <v>refresh rate belum diketahui</v>
      </c>
      <c r="X34" s="33" t="str">
        <f aca="false">IF($A34="","",IF(K34="Kurang",R34&amp;"; ","")&amp;IF(L34="Kurang",S34&amp;"; ","")&amp;IF(M34="Kurang",T34&amp;"; ","")&amp;IF(N34="Kurang",U34&amp;"; ","")&amp;IF(O34="Kurang",V34&amp;"; ","")&amp;IF(P34="Kurang",W34&amp;"; ","")&amp;IF(K34="Belum ada data",R34&amp;"; ","")&amp;IF(L34="Belum ada data",S34&amp;"; ","")&amp;IF(M34="Belum ada data",T34&amp;"; ","")&amp;IF(N34="Belum ada data",U34&amp;"; ","")&amp;IF(O34="Belum ada data",V34&amp;"; ","")&amp;IF(P34="Belum ada data",W34&amp;"; ","")&amp;IF(K34="Cukup",R34&amp;"; ","")&amp;IF(L34="Cukup",S34&amp;"; ","")&amp;IF(M34="Cukup",T34&amp;"; ","")&amp;IF(N34="Cukup",U34&amp;"; ","")&amp;IF(O34="Cukup",V34&amp;"; ","")&amp;IF(P34="Cukup",W34&amp;"; ",""))</f>
        <v>prosesor tingkat 2 dari 5, di bawah batas minimal (tingkat 3); grafis tingkat 1 dari 5, di bawah batas minimal (tingkat 3); refresh rate belum diketahui; penyimpanan 512 GB cukup, nyamannya 1000 GB atau lebih (bisa diganti dengan yang lebih besar); </v>
      </c>
      <c r="Y34" s="33" t="str">
        <f aca="false">IF($A34="","",IF(K34="Nyaman","prosesor, ","")&amp;IF(L34="Nyaman","grafis, ","")&amp;IF(M34="Nyaman","RAM, ","")&amp;IF(N34="Nyaman","penyimpanan, ","")&amp;IF(O34="Nyaman","layar, ","")&amp;IF(P34="Nyaman","refresh rate, ",""))</f>
        <v>RAM, </v>
      </c>
      <c r="Z34" s="33" t="str">
        <f aca="false">IF($A34="","",IF(Q34="Tidak dinilai","Belum ada kriteria yang dinilai untuk kebutuhan ini.",IF(Q34="Cocok","Semua kriteria yang dinilai sudah nyaman: "&amp;LEFT(Y34,LEN(Y34)-2)&amp;".",UPPER(LEFT(X34,1))&amp;MID(X34,2,LEN(X34)-3)&amp;"."&amp;IF(Y34="",""," Sudah nyaman: "&amp;LEFT(Y34,LEN(Y34)-2)&amp;"."))))</f>
        <v>Prosesor tingkat 2 dari 5, di bawah batas minimal (tingkat 3); grafis tingkat 1 dari 5, di bawah batas minimal (tingkat 3); refresh rate belum diketahui; penyimpanan 512 GB cukup, nyamannya 1000 GB atau lebih (bisa diganti dengan yang lebih besar). Sudah nyaman: RAM.</v>
      </c>
      <c r="AA34" s="33"/>
      <c r="AB34" s="33"/>
      <c r="AC34" s="69"/>
    </row>
    <row r="35" customFormat="false" ht="15" hidden="false" customHeight="true" outlineLevel="0" collapsed="false">
      <c r="A35" s="66" t="str">
        <f aca="false">IF(Varian!$A11="","",Varian!$A11)</f>
        <v>dell-latitude-5400-i5-8265u-8-256</v>
      </c>
      <c r="B35" s="66" t="str">
        <f aca="false">IF($A35="","",Aturan!$A$21)</f>
        <v>Kuliah dan kantor</v>
      </c>
      <c r="C35" s="67" t="n">
        <f aca="false">IF($A35="","",IFERROR(IF(ISNUMBER(INDEX(CPU!$J$4:$J$64,MATCH(Varian!$J11,CPU!$A$4:$A$64,0))),INDEX(CPU!$J$4:$J$64,MATCH(Varian!$J11,CPU!$A$4:$A$64,0)),""),""))</f>
        <v>2</v>
      </c>
      <c r="D35" s="67" t="n">
        <f aca="false">IF($A35="","",IFERROR(IF(ISNUMBER(INDEX(GPU!$G$4:$G$64,MATCH(Varian!$K11,GPU!$A$4:$A$64,0))),INDEX(GPU!$G$4:$G$64,MATCH(Varian!$K11,GPU!$A$4:$A$64,0)),""),""))</f>
        <v>1</v>
      </c>
      <c r="E35" s="67" t="n">
        <f aca="false">IF($A35="","",IF(ISNUMBER(Varian!$M11),Varian!$M11,""))</f>
        <v>8</v>
      </c>
      <c r="F35" s="67" t="n">
        <f aca="false">IF($A35="","",IF(ISNUMBER(Varian!$V11),Varian!$V11,""))</f>
        <v>256</v>
      </c>
      <c r="G35" s="67" t="str">
        <f aca="false">IF($A35="","",IFERROR(INDEX(Aturan!$B$63:$B$66,MATCH(Varian!$AG11,Aturan!$A$63:$A$66,0)),""))</f>
        <v/>
      </c>
      <c r="H35" s="67" t="str">
        <f aca="false">IF($A35="","",IF(ISNUMBER(Varian!$AI11),Varian!$AI11,""))</f>
        <v/>
      </c>
      <c r="I35" s="66" t="str">
        <f aca="false">IF($A35="","",IF(Varian!$Q11="disolder","menempel di papan utama, tidak bisa ditambah",IF(OR(Varian!$Q11="slot",Varian!$Q11="setengah_disolder"),IF(Varian!$Q11="setengah_disolder","sebagian menempel, ","")&amp;IF(ISNUMBER(Varian!$U11),IF(AND(ISNUMBER(Varian!$M11),Varian!$U11&gt;Varian!$M11),"bisa dinaikkan lewat slot sampai "&amp;Varian!$U11&amp;" GB","sudah di batas maksimal "&amp;Varian!$U11&amp;" GB"),"ada slot, batas maksimalnya belum diketahui"),"belum diketahui apakah bisa ditambah")))</f>
        <v>bisa dinaikkan lewat slot sampai 32 GB</v>
      </c>
      <c r="J35" s="66" t="str">
        <f aca="false">IF($A35="","",IF(Varian!$Z11="ya","bisa diganti dengan yang lebih besar",IF(Varian!$Z11="tidak","menempel, tidak bisa diganti","belum diketahui apakah bisa diganti")))</f>
        <v>bisa diganti dengan yang lebih besar</v>
      </c>
      <c r="K35" s="68" t="str">
        <f aca="false">IF($A35="","",IF(AND(Aturan!$C$30="",Aturan!$D$30=""),"Tidak dinilai",IF(C35="","Belum ada data",IF(C35&lt;IF(Aturan!$C$30="",0,Aturan!$C$30),"Kurang",IF(C35&gt;=IF(Aturan!$D$30="",Aturan!$C$30,Aturan!$D$30),"Nyaman","Cukup")))))</f>
        <v>Nyaman</v>
      </c>
      <c r="L35" s="68" t="str">
        <f aca="false">IF($A35="","",IF(AND(Aturan!$C$31="",Aturan!$D$31=""),"Tidak dinilai",IF(D35="","Belum ada data",IF(D35&lt;IF(Aturan!$C$31="",0,Aturan!$C$31),"Kurang",IF(D35&gt;=IF(Aturan!$D$31="",Aturan!$C$31,Aturan!$D$31),"Nyaman","Cukup")))))</f>
        <v>Tidak dinilai</v>
      </c>
      <c r="M35" s="68" t="str">
        <f aca="false">IF($A35="","",IF(AND(Aturan!$C$32="",Aturan!$D$32=""),"Tidak dinilai",IF(E35="","Belum ada data",IF(E35&lt;IF(Aturan!$C$32="",0,Aturan!$C$32),"Kurang",IF(E35&gt;=IF(Aturan!$D$32="",Aturan!$C$32,Aturan!$D$32),"Nyaman","Cukup")))))</f>
        <v>Nyaman</v>
      </c>
      <c r="N35" s="68" t="str">
        <f aca="false">IF($A35="","",IF(AND(Aturan!$C$33="",Aturan!$D$33=""),"Tidak dinilai",IF(F35="","Belum ada data",IF(F35&lt;IF(Aturan!$C$33="",0,Aturan!$C$33),"Kurang",IF(F35&gt;=IF(Aturan!$D$33="",Aturan!$C$33,Aturan!$D$33),"Nyaman","Cukup")))))</f>
        <v>Nyaman</v>
      </c>
      <c r="O35" s="68" t="str">
        <f aca="false">IF($A35="","",IF(AND(Aturan!$C$34="",Aturan!$D$34=""),"Tidak dinilai",IF(G35="","Belum ada data",IF(G35&lt;IF(Aturan!$C$34="",0,Aturan!$C$34),"Kurang",IF(G35&gt;=IF(Aturan!$D$34="",Aturan!$C$34,Aturan!$D$34),"Nyaman","Cukup")))))</f>
        <v>Tidak dinilai</v>
      </c>
      <c r="P35" s="68" t="str">
        <f aca="false">IF($A35="","",IF(AND(Aturan!$C$35="",Aturan!$D$35=""),"Tidak dinilai",IF(H35="","Belum ada data",IF(H35&lt;IF(Aturan!$C$35="",0,Aturan!$C$35),"Kurang",IF(H35&gt;=IF(Aturan!$D$35="",Aturan!$C$35,Aturan!$D$35),"Nyaman","Cukup")))))</f>
        <v>Tidak dinilai</v>
      </c>
      <c r="Q35" s="68" t="str">
        <f aca="false">IF($A35="","",IF(COUNTIF(K35:P35,"Tidak dinilai")=6,"Tidak dinilai",IF(COUNTIF(K35:P35,"Kurang")&gt;0,"Kurang cocok",IF(COUNTIF(K35:P35,"Belum ada data")&gt;0,"Data belum lengkap",IF(COUNTIF(K35:P35,"Cukup")&gt;0,"Bisa, dengan catatan","Cocok")))))</f>
        <v>Cocok</v>
      </c>
      <c r="R35" s="66" t="str">
        <f aca="false">IF($A35="","",IF(K35="Kurang","prosesor tingkat "&amp;C35&amp;" dari 5, di bawah batas minimal (tingkat "&amp;Aturan!$C$30&amp;")",IF(K35="Cukup","prosesor tingkat "&amp;C35&amp;" dari 5 cukup, nyamannya mulai tingkat "&amp;Aturan!$D$30,IF(K35="Belum ada data","tingkat prosesor belum diisi",""))))</f>
        <v/>
      </c>
      <c r="S35" s="66" t="str">
        <f aca="false">IF($A35="","",IF(L35="Kurang","grafis tingkat "&amp;D35&amp;" dari 5, di bawah batas minimal (tingkat "&amp;Aturan!$C$31&amp;")",IF(L35="Cukup","grafis tingkat "&amp;D35&amp;" dari 5 cukup, nyamannya mulai tingkat "&amp;Aturan!$D$31,IF(L35="Belum ada data","tingkat grafis belum diisi",""))))</f>
        <v/>
      </c>
      <c r="T35" s="66" t="str">
        <f aca="false">IF($A35="","",IF(M35="Kurang","RAM "&amp;E35&amp;" GB, di bawah batas minimal "&amp;Aturan!$C$32&amp;" GB ("&amp;I35&amp;")",IF(M35="Cukup","RAM "&amp;E35&amp;" GB cukup, nyamannya "&amp;Aturan!$D$32&amp;" GB atau lebih ("&amp;I35&amp;")",IF(M35="Belum ada data","ukuran RAM belum diisi",""))))</f>
        <v/>
      </c>
      <c r="U35" s="66" t="str">
        <f aca="false">IF($A35="","",IF(N35="Kurang","penyimpanan "&amp;F35&amp;" GB, di bawah batas minimal "&amp;Aturan!$C$33&amp;" GB ("&amp;J35&amp;")",IF(N35="Cukup","penyimpanan "&amp;F35&amp;" GB cukup, nyamannya "&amp;Aturan!$D$33&amp;" GB atau lebih ("&amp;J35&amp;")",IF(N35="Belum ada data","ukuran penyimpanan belum diisi",""))))</f>
        <v/>
      </c>
      <c r="V35" s="66" t="str">
        <f aca="false">IF($A35="","",IF(O35="Kurang","layar "&amp;Varian!$AG11&amp;", di bawah batas minimal ("&amp;IFERROR(INDEX(Aturan!$A$63:$A$66,MATCH(Aturan!$C$34,Aturan!$B$63:$B$66,0)),"peringkat "&amp;Aturan!$C$34)&amp;")",IF(O35="Cukup","layar "&amp;Varian!$AG11&amp;" cukup, nyamannya "&amp;IFERROR(INDEX(Aturan!$A$63:$A$66,MATCH(Aturan!$D$34,Aturan!$B$63:$B$66,0)),"peringkat "&amp;Aturan!$D$34),IF(O35="Belum ada data","jenis layar belum diketahui",""))))</f>
        <v/>
      </c>
      <c r="W35" s="66" t="str">
        <f aca="false">IF($A35="","",IF(P35="Kurang","layar "&amp;H35&amp;" Hz, di bawah batas minimal "&amp;Aturan!$C$35&amp;" Hz",IF(P35="Cukup","layar "&amp;H35&amp;" Hz cukup, nyamannya "&amp;Aturan!$D$35&amp;" Hz atau lebih",IF(P35="Belum ada data","refresh rate belum diketahui",""))))</f>
        <v/>
      </c>
      <c r="X35" s="66" t="str">
        <f aca="false">IF($A35="","",IF(K35="Kurang",R35&amp;"; ","")&amp;IF(L35="Kurang",S35&amp;"; ","")&amp;IF(M35="Kurang",T35&amp;"; ","")&amp;IF(N35="Kurang",U35&amp;"; ","")&amp;IF(O35="Kurang",V35&amp;"; ","")&amp;IF(P35="Kurang",W35&amp;"; ","")&amp;IF(K35="Belum ada data",R35&amp;"; ","")&amp;IF(L35="Belum ada data",S35&amp;"; ","")&amp;IF(M35="Belum ada data",T35&amp;"; ","")&amp;IF(N35="Belum ada data",U35&amp;"; ","")&amp;IF(O35="Belum ada data",V35&amp;"; ","")&amp;IF(P35="Belum ada data",W35&amp;"; ","")&amp;IF(K35="Cukup",R35&amp;"; ","")&amp;IF(L35="Cukup",S35&amp;"; ","")&amp;IF(M35="Cukup",T35&amp;"; ","")&amp;IF(N35="Cukup",U35&amp;"; ","")&amp;IF(O35="Cukup",V35&amp;"; ","")&amp;IF(P35="Cukup",W35&amp;"; ",""))</f>
        <v/>
      </c>
      <c r="Y35" s="66" t="str">
        <f aca="false">IF($A35="","",IF(K35="Nyaman","prosesor, ","")&amp;IF(L35="Nyaman","grafis, ","")&amp;IF(M35="Nyaman","RAM, ","")&amp;IF(N35="Nyaman","penyimpanan, ","")&amp;IF(O35="Nyaman","layar, ","")&amp;IF(P35="Nyaman","refresh rate, ",""))</f>
        <v>prosesor, RAM, penyimpanan, </v>
      </c>
      <c r="Z35" s="66" t="str">
        <f aca="false">IF($A35="","",IF(Q35="Tidak dinilai","Belum ada kriteria yang dinilai untuk kebutuhan ini.",IF(Q35="Cocok","Semua kriteria yang dinilai sudah nyaman: "&amp;LEFT(Y35,LEN(Y35)-2)&amp;".",UPPER(LEFT(X35,1))&amp;MID(X35,2,LEN(X35)-3)&amp;"."&amp;IF(Y35="",""," Sudah nyaman: "&amp;LEFT(Y35,LEN(Y35)-2)&amp;"."))))</f>
        <v>Semua kriteria yang dinilai sudah nyaman: prosesor, RAM, penyimpanan.</v>
      </c>
      <c r="AA35" s="66" t="str">
        <f aca="false">IF($A35="","",IF(Varian!$AR11="Windows 10","• "&amp;Aturan!$E$71&amp;CHAR(10),"")&amp;IF(Varian!$BB11="tidak","• "&amp;Aturan!$E$72&amp;CHAR(10),"")&amp;IF(OR(Varian!$AD11="belum terverifikasi",Varian!$AD11="tidak diketahui"),"• "&amp;Aturan!$E$73&amp;CHAR(10),"")&amp;IF(Varian!$AH11="1366x768","• "&amp;Aturan!$E$74&amp;CHAR(10),"")&amp;IF(Varian!$AG11="TN","• "&amp;Aturan!$E$75&amp;CHAR(10),"")&amp;IF(AND(Varian!$Q11="disolder",ISNUMBER(Varian!$M11),Varian!$M11&lt;=8),"• "&amp;Aturan!$E$76&amp;CHAR(10),""))</f>
        <v/>
      </c>
      <c r="AB35" s="66" t="str">
        <f aca="false">IF($A35="","",IF(AA35="","",LEFT(AA35,LEN(AA35)-1)))</f>
        <v/>
      </c>
      <c r="AC35" s="67" t="n">
        <f aca="false">IF($A35="","",IF(AA35="",0,LEN(AA35)-LEN(SUBSTITUTE(AA35,CHAR(10),""))))</f>
        <v>0</v>
      </c>
    </row>
    <row r="36" customFormat="false" ht="15" hidden="false" customHeight="true" outlineLevel="0" collapsed="false">
      <c r="A36" s="33" t="str">
        <f aca="false">IF(Varian!$A11="","",Varian!$A11)</f>
        <v>dell-latitude-5400-i5-8265u-8-256</v>
      </c>
      <c r="B36" s="33" t="str">
        <f aca="false">IF($A36="","",Aturan!$A$22)</f>
        <v>Desain grafis</v>
      </c>
      <c r="C36" s="69" t="n">
        <f aca="false">IF($A36="","",IFERROR(IF(ISNUMBER(INDEX(CPU!$J$4:$J$64,MATCH(Varian!$J11,CPU!$A$4:$A$64,0))),INDEX(CPU!$J$4:$J$64,MATCH(Varian!$J11,CPU!$A$4:$A$64,0)),""),""))</f>
        <v>2</v>
      </c>
      <c r="D36" s="69" t="n">
        <f aca="false">IF($A36="","",IFERROR(IF(ISNUMBER(INDEX(GPU!$G$4:$G$64,MATCH(Varian!$K11,GPU!$A$4:$A$64,0))),INDEX(GPU!$G$4:$G$64,MATCH(Varian!$K11,GPU!$A$4:$A$64,0)),""),""))</f>
        <v>1</v>
      </c>
      <c r="E36" s="69" t="n">
        <f aca="false">IF($A36="","",IF(ISNUMBER(Varian!$M11),Varian!$M11,""))</f>
        <v>8</v>
      </c>
      <c r="F36" s="69" t="n">
        <f aca="false">IF($A36="","",IF(ISNUMBER(Varian!$V11),Varian!$V11,""))</f>
        <v>256</v>
      </c>
      <c r="G36" s="69" t="str">
        <f aca="false">IF($A36="","",IFERROR(INDEX(Aturan!$B$63:$B$66,MATCH(Varian!$AG11,Aturan!$A$63:$A$66,0)),""))</f>
        <v/>
      </c>
      <c r="H36" s="69" t="str">
        <f aca="false">IF($A36="","",IF(ISNUMBER(Varian!$AI11),Varian!$AI11,""))</f>
        <v/>
      </c>
      <c r="I36" s="33" t="str">
        <f aca="false">IF($A36="","",IF(Varian!$Q11="disolder","menempel di papan utama, tidak bisa ditambah",IF(OR(Varian!$Q11="slot",Varian!$Q11="setengah_disolder"),IF(Varian!$Q11="setengah_disolder","sebagian menempel, ","")&amp;IF(ISNUMBER(Varian!$U11),IF(AND(ISNUMBER(Varian!$M11),Varian!$U11&gt;Varian!$M11),"bisa dinaikkan lewat slot sampai "&amp;Varian!$U11&amp;" GB","sudah di batas maksimal "&amp;Varian!$U11&amp;" GB"),"ada slot, batas maksimalnya belum diketahui"),"belum diketahui apakah bisa ditambah")))</f>
        <v>bisa dinaikkan lewat slot sampai 32 GB</v>
      </c>
      <c r="J36" s="33" t="str">
        <f aca="false">IF($A36="","",IF(Varian!$Z11="ya","bisa diganti dengan yang lebih besar",IF(Varian!$Z11="tidak","menempel, tidak bisa diganti","belum diketahui apakah bisa diganti")))</f>
        <v>bisa diganti dengan yang lebih besar</v>
      </c>
      <c r="K36" s="70" t="str">
        <f aca="false">IF($A36="","",IF(AND(Aturan!$C$36="",Aturan!$D$36=""),"Tidak dinilai",IF(C36="","Belum ada data",IF(C36&lt;IF(Aturan!$C$36="",0,Aturan!$C$36),"Kurang",IF(C36&gt;=IF(Aturan!$D$36="",Aturan!$C$36,Aturan!$D$36),"Nyaman","Cukup")))))</f>
        <v>Cukup</v>
      </c>
      <c r="L36" s="70" t="str">
        <f aca="false">IF($A36="","",IF(AND(Aturan!$C$37="",Aturan!$D$37=""),"Tidak dinilai",IF(D36="","Belum ada data",IF(D36&lt;IF(Aturan!$C$37="",0,Aturan!$C$37),"Kurang",IF(D36&gt;=IF(Aturan!$D$37="",Aturan!$C$37,Aturan!$D$37),"Nyaman","Cukup")))))</f>
        <v>Cukup</v>
      </c>
      <c r="M36" s="70" t="str">
        <f aca="false">IF($A36="","",IF(AND(Aturan!$C$38="",Aturan!$D$38=""),"Tidak dinilai",IF(E36="","Belum ada data",IF(E36&lt;IF(Aturan!$C$38="",0,Aturan!$C$38),"Kurang",IF(E36&gt;=IF(Aturan!$D$38="",Aturan!$C$38,Aturan!$D$38),"Nyaman","Cukup")))))</f>
        <v>Cukup</v>
      </c>
      <c r="N36" s="70" t="str">
        <f aca="false">IF($A36="","",IF(AND(Aturan!$C$39="",Aturan!$D$39=""),"Tidak dinilai",IF(F36="","Belum ada data",IF(F36&lt;IF(Aturan!$C$39="",0,Aturan!$C$39),"Kurang",IF(F36&gt;=IF(Aturan!$D$39="",Aturan!$C$39,Aturan!$D$39),"Nyaman","Cukup")))))</f>
        <v>Cukup</v>
      </c>
      <c r="O36" s="70" t="str">
        <f aca="false">IF($A36="","",IF(AND(Aturan!$C$40="",Aturan!$D$40=""),"Tidak dinilai",IF(G36="","Belum ada data",IF(G36&lt;IF(Aturan!$C$40="",0,Aturan!$C$40),"Kurang",IF(G36&gt;=IF(Aturan!$D$40="",Aturan!$C$40,Aturan!$D$40),"Nyaman","Cukup")))))</f>
        <v>Belum ada data</v>
      </c>
      <c r="P36" s="70" t="str">
        <f aca="false">IF($A36="","",IF(AND(Aturan!$C$41="",Aturan!$D$41=""),"Tidak dinilai",IF(H36="","Belum ada data",IF(H36&lt;IF(Aturan!$C$41="",0,Aturan!$C$41),"Kurang",IF(H36&gt;=IF(Aturan!$D$41="",Aturan!$C$41,Aturan!$D$41),"Nyaman","Cukup")))))</f>
        <v>Tidak dinilai</v>
      </c>
      <c r="Q36" s="70" t="str">
        <f aca="false">IF($A36="","",IF(COUNTIF(K36:P36,"Tidak dinilai")=6,"Tidak dinilai",IF(COUNTIF(K36:P36,"Kurang")&gt;0,"Kurang cocok",IF(COUNTIF(K36:P36,"Belum ada data")&gt;0,"Data belum lengkap",IF(COUNTIF(K36:P36,"Cukup")&gt;0,"Bisa, dengan catatan","Cocok")))))</f>
        <v>Data belum lengkap</v>
      </c>
      <c r="R36" s="33" t="str">
        <f aca="false">IF($A36="","",IF(K36="Kurang","prosesor tingkat "&amp;C36&amp;" dari 5, di bawah batas minimal (tingkat "&amp;Aturan!$C$36&amp;")",IF(K36="Cukup","prosesor tingkat "&amp;C36&amp;" dari 5 cukup, nyamannya mulai tingkat "&amp;Aturan!$D$36,IF(K36="Belum ada data","tingkat prosesor belum diisi",""))))</f>
        <v>prosesor tingkat 2 dari 5 cukup, nyamannya mulai tingkat 3</v>
      </c>
      <c r="S36" s="33" t="str">
        <f aca="false">IF($A36="","",IF(L36="Kurang","grafis tingkat "&amp;D36&amp;" dari 5, di bawah batas minimal (tingkat "&amp;Aturan!$C$37&amp;")",IF(L36="Cukup","grafis tingkat "&amp;D36&amp;" dari 5 cukup, nyamannya mulai tingkat "&amp;Aturan!$D$37,IF(L36="Belum ada data","tingkat grafis belum diisi",""))))</f>
        <v>grafis tingkat 1 dari 5 cukup, nyamannya mulai tingkat 2</v>
      </c>
      <c r="T36" s="33" t="str">
        <f aca="false">IF($A36="","",IF(M36="Kurang","RAM "&amp;E36&amp;" GB, di bawah batas minimal "&amp;Aturan!$C$38&amp;" GB ("&amp;I36&amp;")",IF(M36="Cukup","RAM "&amp;E36&amp;" GB cukup, nyamannya "&amp;Aturan!$D$38&amp;" GB atau lebih ("&amp;I36&amp;")",IF(M36="Belum ada data","ukuran RAM belum diisi",""))))</f>
        <v>RAM 8 GB cukup, nyamannya 16 GB atau lebih (bisa dinaikkan lewat slot sampai 32 GB)</v>
      </c>
      <c r="U36" s="33" t="str">
        <f aca="false">IF($A36="","",IF(N36="Kurang","penyimpanan "&amp;F36&amp;" GB, di bawah batas minimal "&amp;Aturan!$C$39&amp;" GB ("&amp;J36&amp;")",IF(N36="Cukup","penyimpanan "&amp;F36&amp;" GB cukup, nyamannya "&amp;Aturan!$D$39&amp;" GB atau lebih ("&amp;J36&amp;")",IF(N36="Belum ada data","ukuran penyimpanan belum diisi",""))))</f>
        <v>penyimpanan 256 GB cukup, nyamannya 512 GB atau lebih (bisa diganti dengan yang lebih besar)</v>
      </c>
      <c r="V36" s="33" t="str">
        <f aca="false">IF($A36="","",IF(O36="Kurang","layar "&amp;Varian!$AG11&amp;", di bawah batas minimal ("&amp;IFERROR(INDEX(Aturan!$A$63:$A$66,MATCH(Aturan!$C$40,Aturan!$B$63:$B$66,0)),"peringkat "&amp;Aturan!$C$40)&amp;")",IF(O36="Cukup","layar "&amp;Varian!$AG11&amp;" cukup, nyamannya "&amp;IFERROR(INDEX(Aturan!$A$63:$A$66,MATCH(Aturan!$D$40,Aturan!$B$63:$B$66,0)),"peringkat "&amp;Aturan!$D$40),IF(O36="Belum ada data","jenis layar belum diketahui",""))))</f>
        <v>jenis layar belum diketahui</v>
      </c>
      <c r="W36" s="33" t="str">
        <f aca="false">IF($A36="","",IF(P36="Kurang","layar "&amp;H36&amp;" Hz, di bawah batas minimal "&amp;Aturan!$C$41&amp;" Hz",IF(P36="Cukup","layar "&amp;H36&amp;" Hz cukup, nyamannya "&amp;Aturan!$D$41&amp;" Hz atau lebih",IF(P36="Belum ada data","refresh rate belum diketahui",""))))</f>
        <v/>
      </c>
      <c r="X36" s="33" t="str">
        <f aca="false">IF($A36="","",IF(K36="Kurang",R36&amp;"; ","")&amp;IF(L36="Kurang",S36&amp;"; ","")&amp;IF(M36="Kurang",T36&amp;"; ","")&amp;IF(N36="Kurang",U36&amp;"; ","")&amp;IF(O36="Kurang",V36&amp;"; ","")&amp;IF(P36="Kurang",W36&amp;"; ","")&amp;IF(K36="Belum ada data",R36&amp;"; ","")&amp;IF(L36="Belum ada data",S36&amp;"; ","")&amp;IF(M36="Belum ada data",T36&amp;"; ","")&amp;IF(N36="Belum ada data",U36&amp;"; ","")&amp;IF(O36="Belum ada data",V36&amp;"; ","")&amp;IF(P36="Belum ada data",W36&amp;"; ","")&amp;IF(K36="Cukup",R36&amp;"; ","")&amp;IF(L36="Cukup",S36&amp;"; ","")&amp;IF(M36="Cukup",T36&amp;"; ","")&amp;IF(N36="Cukup",U36&amp;"; ","")&amp;IF(O36="Cukup",V36&amp;"; ","")&amp;IF(P36="Cukup",W36&amp;"; ",""))</f>
        <v>jenis layar belum diketahui; prosesor tingkat 2 dari 5 cukup, nyamannya mulai tingkat 3; grafis tingkat 1 dari 5 cukup, nyamannya mulai tingkat 2; RAM 8 GB cukup, nyamannya 16 GB atau lebih (bisa dinaikkan lewat slot sampai 32 GB); penyimpanan 256 GB cukup, nyamannya 512 GB atau lebih (bisa diganti dengan yang lebih besar); </v>
      </c>
      <c r="Y36" s="33" t="str">
        <f aca="false">IF($A36="","",IF(K36="Nyaman","prosesor, ","")&amp;IF(L36="Nyaman","grafis, ","")&amp;IF(M36="Nyaman","RAM, ","")&amp;IF(N36="Nyaman","penyimpanan, ","")&amp;IF(O36="Nyaman","layar, ","")&amp;IF(P36="Nyaman","refresh rate, ",""))</f>
        <v/>
      </c>
      <c r="Z36" s="33" t="str">
        <f aca="false">IF($A36="","",IF(Q36="Tidak dinilai","Belum ada kriteria yang dinilai untuk kebutuhan ini.",IF(Q36="Cocok","Semua kriteria yang dinilai sudah nyaman: "&amp;LEFT(Y36,LEN(Y36)-2)&amp;".",UPPER(LEFT(X36,1))&amp;MID(X36,2,LEN(X36)-3)&amp;"."&amp;IF(Y36="",""," Sudah nyaman: "&amp;LEFT(Y36,LEN(Y36)-2)&amp;"."))))</f>
        <v>Jenis layar belum diketahui; prosesor tingkat 2 dari 5 cukup, nyamannya mulai tingkat 3; grafis tingkat 1 dari 5 cukup, nyamannya mulai tingkat 2; RAM 8 GB cukup, nyamannya 16 GB atau lebih (bisa dinaikkan lewat slot sampai 32 GB); penyimpanan 256 GB cukup, nyamannya 512 GB atau lebih (bisa diganti dengan yang lebih besar).</v>
      </c>
      <c r="AA36" s="33"/>
      <c r="AB36" s="33"/>
      <c r="AC36" s="69"/>
    </row>
    <row r="37" customFormat="false" ht="15" hidden="false" customHeight="true" outlineLevel="0" collapsed="false">
      <c r="A37" s="33" t="str">
        <f aca="false">IF(Varian!$A11="","",Varian!$A11)</f>
        <v>dell-latitude-5400-i5-8265u-8-256</v>
      </c>
      <c r="B37" s="33" t="str">
        <f aca="false">IF($A37="","",Aturan!$A$23)</f>
        <v>Pemrograman</v>
      </c>
      <c r="C37" s="69" t="n">
        <f aca="false">IF($A37="","",IFERROR(IF(ISNUMBER(INDEX(CPU!$J$4:$J$64,MATCH(Varian!$J11,CPU!$A$4:$A$64,0))),INDEX(CPU!$J$4:$J$64,MATCH(Varian!$J11,CPU!$A$4:$A$64,0)),""),""))</f>
        <v>2</v>
      </c>
      <c r="D37" s="69" t="n">
        <f aca="false">IF($A37="","",IFERROR(IF(ISNUMBER(INDEX(GPU!$G$4:$G$64,MATCH(Varian!$K11,GPU!$A$4:$A$64,0))),INDEX(GPU!$G$4:$G$64,MATCH(Varian!$K11,GPU!$A$4:$A$64,0)),""),""))</f>
        <v>1</v>
      </c>
      <c r="E37" s="69" t="n">
        <f aca="false">IF($A37="","",IF(ISNUMBER(Varian!$M11),Varian!$M11,""))</f>
        <v>8</v>
      </c>
      <c r="F37" s="69" t="n">
        <f aca="false">IF($A37="","",IF(ISNUMBER(Varian!$V11),Varian!$V11,""))</f>
        <v>256</v>
      </c>
      <c r="G37" s="69" t="str">
        <f aca="false">IF($A37="","",IFERROR(INDEX(Aturan!$B$63:$B$66,MATCH(Varian!$AG11,Aturan!$A$63:$A$66,0)),""))</f>
        <v/>
      </c>
      <c r="H37" s="69" t="str">
        <f aca="false">IF($A37="","",IF(ISNUMBER(Varian!$AI11),Varian!$AI11,""))</f>
        <v/>
      </c>
      <c r="I37" s="33" t="str">
        <f aca="false">IF($A37="","",IF(Varian!$Q11="disolder","menempel di papan utama, tidak bisa ditambah",IF(OR(Varian!$Q11="slot",Varian!$Q11="setengah_disolder"),IF(Varian!$Q11="setengah_disolder","sebagian menempel, ","")&amp;IF(ISNUMBER(Varian!$U11),IF(AND(ISNUMBER(Varian!$M11),Varian!$U11&gt;Varian!$M11),"bisa dinaikkan lewat slot sampai "&amp;Varian!$U11&amp;" GB","sudah di batas maksimal "&amp;Varian!$U11&amp;" GB"),"ada slot, batas maksimalnya belum diketahui"),"belum diketahui apakah bisa ditambah")))</f>
        <v>bisa dinaikkan lewat slot sampai 32 GB</v>
      </c>
      <c r="J37" s="33" t="str">
        <f aca="false">IF($A37="","",IF(Varian!$Z11="ya","bisa diganti dengan yang lebih besar",IF(Varian!$Z11="tidak","menempel, tidak bisa diganti","belum diketahui apakah bisa diganti")))</f>
        <v>bisa diganti dengan yang lebih besar</v>
      </c>
      <c r="K37" s="70" t="str">
        <f aca="false">IF($A37="","",IF(AND(Aturan!$C$42="",Aturan!$D$42=""),"Tidak dinilai",IF(C37="","Belum ada data",IF(C37&lt;IF(Aturan!$C$42="",0,Aturan!$C$42),"Kurang",IF(C37&gt;=IF(Aturan!$D$42="",Aturan!$C$42,Aturan!$D$42),"Nyaman","Cukup")))))</f>
        <v>Cukup</v>
      </c>
      <c r="L37" s="70" t="str">
        <f aca="false">IF($A37="","",IF(AND(Aturan!$C$43="",Aturan!$D$43=""),"Tidak dinilai",IF(D37="","Belum ada data",IF(D37&lt;IF(Aturan!$C$43="",0,Aturan!$C$43),"Kurang",IF(D37&gt;=IF(Aturan!$D$43="",Aturan!$C$43,Aturan!$D$43),"Nyaman","Cukup")))))</f>
        <v>Tidak dinilai</v>
      </c>
      <c r="M37" s="70" t="str">
        <f aca="false">IF($A37="","",IF(AND(Aturan!$C$44="",Aturan!$D$44=""),"Tidak dinilai",IF(E37="","Belum ada data",IF(E37&lt;IF(Aturan!$C$44="",0,Aturan!$C$44),"Kurang",IF(E37&gt;=IF(Aturan!$D$44="",Aturan!$C$44,Aturan!$D$44),"Nyaman","Cukup")))))</f>
        <v>Cukup</v>
      </c>
      <c r="N37" s="70" t="str">
        <f aca="false">IF($A37="","",IF(AND(Aturan!$C$45="",Aturan!$D$45=""),"Tidak dinilai",IF(F37="","Belum ada data",IF(F37&lt;IF(Aturan!$C$45="",0,Aturan!$C$45),"Kurang",IF(F37&gt;=IF(Aturan!$D$45="",Aturan!$C$45,Aturan!$D$45),"Nyaman","Cukup")))))</f>
        <v>Cukup</v>
      </c>
      <c r="O37" s="70" t="str">
        <f aca="false">IF($A37="","",IF(AND(Aturan!$C$46="",Aturan!$D$46=""),"Tidak dinilai",IF(G37="","Belum ada data",IF(G37&lt;IF(Aturan!$C$46="",0,Aturan!$C$46),"Kurang",IF(G37&gt;=IF(Aturan!$D$46="",Aturan!$C$46,Aturan!$D$46),"Nyaman","Cukup")))))</f>
        <v>Tidak dinilai</v>
      </c>
      <c r="P37" s="70" t="str">
        <f aca="false">IF($A37="","",IF(AND(Aturan!$C$47="",Aturan!$D$47=""),"Tidak dinilai",IF(H37="","Belum ada data",IF(H37&lt;IF(Aturan!$C$47="",0,Aturan!$C$47),"Kurang",IF(H37&gt;=IF(Aturan!$D$47="",Aturan!$C$47,Aturan!$D$47),"Nyaman","Cukup")))))</f>
        <v>Tidak dinilai</v>
      </c>
      <c r="Q37" s="70" t="str">
        <f aca="false">IF($A37="","",IF(COUNTIF(K37:P37,"Tidak dinilai")=6,"Tidak dinilai",IF(COUNTIF(K37:P37,"Kurang")&gt;0,"Kurang cocok",IF(COUNTIF(K37:P37,"Belum ada data")&gt;0,"Data belum lengkap",IF(COUNTIF(K37:P37,"Cukup")&gt;0,"Bisa, dengan catatan","Cocok")))))</f>
        <v>Bisa, dengan catatan</v>
      </c>
      <c r="R37" s="33" t="str">
        <f aca="false">IF($A37="","",IF(K37="Kurang","prosesor tingkat "&amp;C37&amp;" dari 5, di bawah batas minimal (tingkat "&amp;Aturan!$C$42&amp;")",IF(K37="Cukup","prosesor tingkat "&amp;C37&amp;" dari 5 cukup, nyamannya mulai tingkat "&amp;Aturan!$D$42,IF(K37="Belum ada data","tingkat prosesor belum diisi",""))))</f>
        <v>prosesor tingkat 2 dari 5 cukup, nyamannya mulai tingkat 3</v>
      </c>
      <c r="S37" s="33" t="str">
        <f aca="false">IF($A37="","",IF(L37="Kurang","grafis tingkat "&amp;D37&amp;" dari 5, di bawah batas minimal (tingkat "&amp;Aturan!$C$43&amp;")",IF(L37="Cukup","grafis tingkat "&amp;D37&amp;" dari 5 cukup, nyamannya mulai tingkat "&amp;Aturan!$D$43,IF(L37="Belum ada data","tingkat grafis belum diisi",""))))</f>
        <v/>
      </c>
      <c r="T37" s="33" t="str">
        <f aca="false">IF($A37="","",IF(M37="Kurang","RAM "&amp;E37&amp;" GB, di bawah batas minimal "&amp;Aturan!$C$44&amp;" GB ("&amp;I37&amp;")",IF(M37="Cukup","RAM "&amp;E37&amp;" GB cukup, nyamannya "&amp;Aturan!$D$44&amp;" GB atau lebih ("&amp;I37&amp;")",IF(M37="Belum ada data","ukuran RAM belum diisi",""))))</f>
        <v>RAM 8 GB cukup, nyamannya 16 GB atau lebih (bisa dinaikkan lewat slot sampai 32 GB)</v>
      </c>
      <c r="U37" s="33" t="str">
        <f aca="false">IF($A37="","",IF(N37="Kurang","penyimpanan "&amp;F37&amp;" GB, di bawah batas minimal "&amp;Aturan!$C$45&amp;" GB ("&amp;J37&amp;")",IF(N37="Cukup","penyimpanan "&amp;F37&amp;" GB cukup, nyamannya "&amp;Aturan!$D$45&amp;" GB atau lebih ("&amp;J37&amp;")",IF(N37="Belum ada data","ukuran penyimpanan belum diisi",""))))</f>
        <v>penyimpanan 256 GB cukup, nyamannya 512 GB atau lebih (bisa diganti dengan yang lebih besar)</v>
      </c>
      <c r="V37" s="33" t="str">
        <f aca="false">IF($A37="","",IF(O37="Kurang","layar "&amp;Varian!$AG11&amp;", di bawah batas minimal ("&amp;IFERROR(INDEX(Aturan!$A$63:$A$66,MATCH(Aturan!$C$46,Aturan!$B$63:$B$66,0)),"peringkat "&amp;Aturan!$C$46)&amp;")",IF(O37="Cukup","layar "&amp;Varian!$AG11&amp;" cukup, nyamannya "&amp;IFERROR(INDEX(Aturan!$A$63:$A$66,MATCH(Aturan!$D$46,Aturan!$B$63:$B$66,0)),"peringkat "&amp;Aturan!$D$46),IF(O37="Belum ada data","jenis layar belum diketahui",""))))</f>
        <v/>
      </c>
      <c r="W37" s="33" t="str">
        <f aca="false">IF($A37="","",IF(P37="Kurang","layar "&amp;H37&amp;" Hz, di bawah batas minimal "&amp;Aturan!$C$47&amp;" Hz",IF(P37="Cukup","layar "&amp;H37&amp;" Hz cukup, nyamannya "&amp;Aturan!$D$47&amp;" Hz atau lebih",IF(P37="Belum ada data","refresh rate belum diketahui",""))))</f>
        <v/>
      </c>
      <c r="X37" s="33" t="str">
        <f aca="false">IF($A37="","",IF(K37="Kurang",R37&amp;"; ","")&amp;IF(L37="Kurang",S37&amp;"; ","")&amp;IF(M37="Kurang",T37&amp;"; ","")&amp;IF(N37="Kurang",U37&amp;"; ","")&amp;IF(O37="Kurang",V37&amp;"; ","")&amp;IF(P37="Kurang",W37&amp;"; ","")&amp;IF(K37="Belum ada data",R37&amp;"; ","")&amp;IF(L37="Belum ada data",S37&amp;"; ","")&amp;IF(M37="Belum ada data",T37&amp;"; ","")&amp;IF(N37="Belum ada data",U37&amp;"; ","")&amp;IF(O37="Belum ada data",V37&amp;"; ","")&amp;IF(P37="Belum ada data",W37&amp;"; ","")&amp;IF(K37="Cukup",R37&amp;"; ","")&amp;IF(L37="Cukup",S37&amp;"; ","")&amp;IF(M37="Cukup",T37&amp;"; ","")&amp;IF(N37="Cukup",U37&amp;"; ","")&amp;IF(O37="Cukup",V37&amp;"; ","")&amp;IF(P37="Cukup",W37&amp;"; ",""))</f>
        <v>prosesor tingkat 2 dari 5 cukup, nyamannya mulai tingkat 3; RAM 8 GB cukup, nyamannya 16 GB atau lebih (bisa dinaikkan lewat slot sampai 32 GB); penyimpanan 256 GB cukup, nyamannya 512 GB atau lebih (bisa diganti dengan yang lebih besar); </v>
      </c>
      <c r="Y37" s="33" t="str">
        <f aca="false">IF($A37="","",IF(K37="Nyaman","prosesor, ","")&amp;IF(L37="Nyaman","grafis, ","")&amp;IF(M37="Nyaman","RAM, ","")&amp;IF(N37="Nyaman","penyimpanan, ","")&amp;IF(O37="Nyaman","layar, ","")&amp;IF(P37="Nyaman","refresh rate, ",""))</f>
        <v/>
      </c>
      <c r="Z37" s="33" t="str">
        <f aca="false">IF($A37="","",IF(Q37="Tidak dinilai","Belum ada kriteria yang dinilai untuk kebutuhan ini.",IF(Q37="Cocok","Semua kriteria yang dinilai sudah nyaman: "&amp;LEFT(Y37,LEN(Y37)-2)&amp;".",UPPER(LEFT(X37,1))&amp;MID(X37,2,LEN(X37)-3)&amp;"."&amp;IF(Y37="",""," Sudah nyaman: "&amp;LEFT(Y37,LEN(Y37)-2)&amp;"."))))</f>
        <v>Prosesor tingkat 2 dari 5 cukup, nyamannya mulai tingkat 3; RAM 8 GB cukup, nyamannya 16 GB atau lebih (bisa dinaikkan lewat slot sampai 32 GB); penyimpanan 256 GB cukup, nyamannya 512 GB atau lebih (bisa diganti dengan yang lebih besar).</v>
      </c>
      <c r="AA37" s="33"/>
      <c r="AB37" s="33"/>
      <c r="AC37" s="69"/>
    </row>
    <row r="38" customFormat="false" ht="15" hidden="false" customHeight="true" outlineLevel="0" collapsed="false">
      <c r="A38" s="33" t="str">
        <f aca="false">IF(Varian!$A11="","",Varian!$A11)</f>
        <v>dell-latitude-5400-i5-8265u-8-256</v>
      </c>
      <c r="B38" s="33" t="str">
        <f aca="false">IF($A38="","",Aturan!$A$24)</f>
        <v>Game ringan</v>
      </c>
      <c r="C38" s="69" t="n">
        <f aca="false">IF($A38="","",IFERROR(IF(ISNUMBER(INDEX(CPU!$J$4:$J$64,MATCH(Varian!$J11,CPU!$A$4:$A$64,0))),INDEX(CPU!$J$4:$J$64,MATCH(Varian!$J11,CPU!$A$4:$A$64,0)),""),""))</f>
        <v>2</v>
      </c>
      <c r="D38" s="69" t="n">
        <f aca="false">IF($A38="","",IFERROR(IF(ISNUMBER(INDEX(GPU!$G$4:$G$64,MATCH(Varian!$K11,GPU!$A$4:$A$64,0))),INDEX(GPU!$G$4:$G$64,MATCH(Varian!$K11,GPU!$A$4:$A$64,0)),""),""))</f>
        <v>1</v>
      </c>
      <c r="E38" s="69" t="n">
        <f aca="false">IF($A38="","",IF(ISNUMBER(Varian!$M11),Varian!$M11,""))</f>
        <v>8</v>
      </c>
      <c r="F38" s="69" t="n">
        <f aca="false">IF($A38="","",IF(ISNUMBER(Varian!$V11),Varian!$V11,""))</f>
        <v>256</v>
      </c>
      <c r="G38" s="69" t="str">
        <f aca="false">IF($A38="","",IFERROR(INDEX(Aturan!$B$63:$B$66,MATCH(Varian!$AG11,Aturan!$A$63:$A$66,0)),""))</f>
        <v/>
      </c>
      <c r="H38" s="69" t="str">
        <f aca="false">IF($A38="","",IF(ISNUMBER(Varian!$AI11),Varian!$AI11,""))</f>
        <v/>
      </c>
      <c r="I38" s="33" t="str">
        <f aca="false">IF($A38="","",IF(Varian!$Q11="disolder","menempel di papan utama, tidak bisa ditambah",IF(OR(Varian!$Q11="slot",Varian!$Q11="setengah_disolder"),IF(Varian!$Q11="setengah_disolder","sebagian menempel, ","")&amp;IF(ISNUMBER(Varian!$U11),IF(AND(ISNUMBER(Varian!$M11),Varian!$U11&gt;Varian!$M11),"bisa dinaikkan lewat slot sampai "&amp;Varian!$U11&amp;" GB","sudah di batas maksimal "&amp;Varian!$U11&amp;" GB"),"ada slot, batas maksimalnya belum diketahui"),"belum diketahui apakah bisa ditambah")))</f>
        <v>bisa dinaikkan lewat slot sampai 32 GB</v>
      </c>
      <c r="J38" s="33" t="str">
        <f aca="false">IF($A38="","",IF(Varian!$Z11="ya","bisa diganti dengan yang lebih besar",IF(Varian!$Z11="tidak","menempel, tidak bisa diganti","belum diketahui apakah bisa diganti")))</f>
        <v>bisa diganti dengan yang lebih besar</v>
      </c>
      <c r="K38" s="70" t="str">
        <f aca="false">IF($A38="","",IF(AND(Aturan!$C$48="",Aturan!$D$48=""),"Tidak dinilai",IF(C38="","Belum ada data",IF(C38&lt;IF(Aturan!$C$48="",0,Aturan!$C$48),"Kurang",IF(C38&gt;=IF(Aturan!$D$48="",Aturan!$C$48,Aturan!$D$48),"Nyaman","Cukup")))))</f>
        <v>Cukup</v>
      </c>
      <c r="L38" s="70" t="str">
        <f aca="false">IF($A38="","",IF(AND(Aturan!$C$49="",Aturan!$D$49=""),"Tidak dinilai",IF(D38="","Belum ada data",IF(D38&lt;IF(Aturan!$C$49="",0,Aturan!$C$49),"Kurang",IF(D38&gt;=IF(Aturan!$D$49="",Aturan!$C$49,Aturan!$D$49),"Nyaman","Cukup")))))</f>
        <v>Cukup</v>
      </c>
      <c r="M38" s="70" t="str">
        <f aca="false">IF($A38="","",IF(AND(Aturan!$C$50="",Aturan!$D$50=""),"Tidak dinilai",IF(E38="","Belum ada data",IF(E38&lt;IF(Aturan!$C$50="",0,Aturan!$C$50),"Kurang",IF(E38&gt;=IF(Aturan!$D$50="",Aturan!$C$50,Aturan!$D$50),"Nyaman","Cukup")))))</f>
        <v>Nyaman</v>
      </c>
      <c r="N38" s="70" t="str">
        <f aca="false">IF($A38="","",IF(AND(Aturan!$C$51="",Aturan!$D$51=""),"Tidak dinilai",IF(F38="","Belum ada data",IF(F38&lt;IF(Aturan!$C$51="",0,Aturan!$C$51),"Kurang",IF(F38&gt;=IF(Aturan!$D$51="",Aturan!$C$51,Aturan!$D$51),"Nyaman","Cukup")))))</f>
        <v>Nyaman</v>
      </c>
      <c r="O38" s="70" t="str">
        <f aca="false">IF($A38="","",IF(AND(Aturan!$C$52="",Aturan!$D$52=""),"Tidak dinilai",IF(G38="","Belum ada data",IF(G38&lt;IF(Aturan!$C$52="",0,Aturan!$C$52),"Kurang",IF(G38&gt;=IF(Aturan!$D$52="",Aturan!$C$52,Aturan!$D$52),"Nyaman","Cukup")))))</f>
        <v>Tidak dinilai</v>
      </c>
      <c r="P38" s="70" t="str">
        <f aca="false">IF($A38="","",IF(AND(Aturan!$C$53="",Aturan!$D$53=""),"Tidak dinilai",IF(H38="","Belum ada data",IF(H38&lt;IF(Aturan!$C$53="",0,Aturan!$C$53),"Kurang",IF(H38&gt;=IF(Aturan!$D$53="",Aturan!$C$53,Aturan!$D$53),"Nyaman","Cukup")))))</f>
        <v>Tidak dinilai</v>
      </c>
      <c r="Q38" s="70" t="str">
        <f aca="false">IF($A38="","",IF(COUNTIF(K38:P38,"Tidak dinilai")=6,"Tidak dinilai",IF(COUNTIF(K38:P38,"Kurang")&gt;0,"Kurang cocok",IF(COUNTIF(K38:P38,"Belum ada data")&gt;0,"Data belum lengkap",IF(COUNTIF(K38:P38,"Cukup")&gt;0,"Bisa, dengan catatan","Cocok")))))</f>
        <v>Bisa, dengan catatan</v>
      </c>
      <c r="R38" s="33" t="str">
        <f aca="false">IF($A38="","",IF(K38="Kurang","prosesor tingkat "&amp;C38&amp;" dari 5, di bawah batas minimal (tingkat "&amp;Aturan!$C$48&amp;")",IF(K38="Cukup","prosesor tingkat "&amp;C38&amp;" dari 5 cukup, nyamannya mulai tingkat "&amp;Aturan!$D$48,IF(K38="Belum ada data","tingkat prosesor belum diisi",""))))</f>
        <v>prosesor tingkat 2 dari 5 cukup, nyamannya mulai tingkat 3</v>
      </c>
      <c r="S38" s="33" t="str">
        <f aca="false">IF($A38="","",IF(L38="Kurang","grafis tingkat "&amp;D38&amp;" dari 5, di bawah batas minimal (tingkat "&amp;Aturan!$C$49&amp;")",IF(L38="Cukup","grafis tingkat "&amp;D38&amp;" dari 5 cukup, nyamannya mulai tingkat "&amp;Aturan!$D$49,IF(L38="Belum ada data","tingkat grafis belum diisi",""))))</f>
        <v>grafis tingkat 1 dari 5 cukup, nyamannya mulai tingkat 2</v>
      </c>
      <c r="T38" s="33" t="str">
        <f aca="false">IF($A38="","",IF(M38="Kurang","RAM "&amp;E38&amp;" GB, di bawah batas minimal "&amp;Aturan!$C$50&amp;" GB ("&amp;I38&amp;")",IF(M38="Cukup","RAM "&amp;E38&amp;" GB cukup, nyamannya "&amp;Aturan!$D$50&amp;" GB atau lebih ("&amp;I38&amp;")",IF(M38="Belum ada data","ukuran RAM belum diisi",""))))</f>
        <v/>
      </c>
      <c r="U38" s="33" t="str">
        <f aca="false">IF($A38="","",IF(N38="Kurang","penyimpanan "&amp;F38&amp;" GB, di bawah batas minimal "&amp;Aturan!$C$51&amp;" GB ("&amp;J38&amp;")",IF(N38="Cukup","penyimpanan "&amp;F38&amp;" GB cukup, nyamannya "&amp;Aturan!$D$51&amp;" GB atau lebih ("&amp;J38&amp;")",IF(N38="Belum ada data","ukuran penyimpanan belum diisi",""))))</f>
        <v/>
      </c>
      <c r="V38" s="33" t="str">
        <f aca="false">IF($A38="","",IF(O38="Kurang","layar "&amp;Varian!$AG11&amp;", di bawah batas minimal ("&amp;IFERROR(INDEX(Aturan!$A$63:$A$66,MATCH(Aturan!$C$52,Aturan!$B$63:$B$66,0)),"peringkat "&amp;Aturan!$C$52)&amp;")",IF(O38="Cukup","layar "&amp;Varian!$AG11&amp;" cukup, nyamannya "&amp;IFERROR(INDEX(Aturan!$A$63:$A$66,MATCH(Aturan!$D$52,Aturan!$B$63:$B$66,0)),"peringkat "&amp;Aturan!$D$52),IF(O38="Belum ada data","jenis layar belum diketahui",""))))</f>
        <v/>
      </c>
      <c r="W38" s="33" t="str">
        <f aca="false">IF($A38="","",IF(P38="Kurang","layar "&amp;H38&amp;" Hz, di bawah batas minimal "&amp;Aturan!$C$53&amp;" Hz",IF(P38="Cukup","layar "&amp;H38&amp;" Hz cukup, nyamannya "&amp;Aturan!$D$53&amp;" Hz atau lebih",IF(P38="Belum ada data","refresh rate belum diketahui",""))))</f>
        <v/>
      </c>
      <c r="X38" s="33" t="str">
        <f aca="false">IF($A38="","",IF(K38="Kurang",R38&amp;"; ","")&amp;IF(L38="Kurang",S38&amp;"; ","")&amp;IF(M38="Kurang",T38&amp;"; ","")&amp;IF(N38="Kurang",U38&amp;"; ","")&amp;IF(O38="Kurang",V38&amp;"; ","")&amp;IF(P38="Kurang",W38&amp;"; ","")&amp;IF(K38="Belum ada data",R38&amp;"; ","")&amp;IF(L38="Belum ada data",S38&amp;"; ","")&amp;IF(M38="Belum ada data",T38&amp;"; ","")&amp;IF(N38="Belum ada data",U38&amp;"; ","")&amp;IF(O38="Belum ada data",V38&amp;"; ","")&amp;IF(P38="Belum ada data",W38&amp;"; ","")&amp;IF(K38="Cukup",R38&amp;"; ","")&amp;IF(L38="Cukup",S38&amp;"; ","")&amp;IF(M38="Cukup",T38&amp;"; ","")&amp;IF(N38="Cukup",U38&amp;"; ","")&amp;IF(O38="Cukup",V38&amp;"; ","")&amp;IF(P38="Cukup",W38&amp;"; ",""))</f>
        <v>prosesor tingkat 2 dari 5 cukup, nyamannya mulai tingkat 3; grafis tingkat 1 dari 5 cukup, nyamannya mulai tingkat 2; </v>
      </c>
      <c r="Y38" s="33" t="str">
        <f aca="false">IF($A38="","",IF(K38="Nyaman","prosesor, ","")&amp;IF(L38="Nyaman","grafis, ","")&amp;IF(M38="Nyaman","RAM, ","")&amp;IF(N38="Nyaman","penyimpanan, ","")&amp;IF(O38="Nyaman","layar, ","")&amp;IF(P38="Nyaman","refresh rate, ",""))</f>
        <v>RAM, penyimpanan, </v>
      </c>
      <c r="Z38" s="33" t="str">
        <f aca="false">IF($A38="","",IF(Q38="Tidak dinilai","Belum ada kriteria yang dinilai untuk kebutuhan ini.",IF(Q38="Cocok","Semua kriteria yang dinilai sudah nyaman: "&amp;LEFT(Y38,LEN(Y38)-2)&amp;".",UPPER(LEFT(X38,1))&amp;MID(X38,2,LEN(X38)-3)&amp;"."&amp;IF(Y38="",""," Sudah nyaman: "&amp;LEFT(Y38,LEN(Y38)-2)&amp;"."))))</f>
        <v>Prosesor tingkat 2 dari 5 cukup, nyamannya mulai tingkat 3; grafis tingkat 1 dari 5 cukup, nyamannya mulai tingkat 2. Sudah nyaman: RAM, penyimpanan.</v>
      </c>
      <c r="AA38" s="33"/>
      <c r="AB38" s="33"/>
      <c r="AC38" s="69"/>
    </row>
    <row r="39" customFormat="false" ht="15" hidden="false" customHeight="true" outlineLevel="0" collapsed="false">
      <c r="A39" s="33" t="str">
        <f aca="false">IF(Varian!$A11="","",Varian!$A11)</f>
        <v>dell-latitude-5400-i5-8265u-8-256</v>
      </c>
      <c r="B39" s="33" t="str">
        <f aca="false">IF($A39="","",Aturan!$A$25)</f>
        <v>Game berat</v>
      </c>
      <c r="C39" s="69" t="n">
        <f aca="false">IF($A39="","",IFERROR(IF(ISNUMBER(INDEX(CPU!$J$4:$J$64,MATCH(Varian!$J11,CPU!$A$4:$A$64,0))),INDEX(CPU!$J$4:$J$64,MATCH(Varian!$J11,CPU!$A$4:$A$64,0)),""),""))</f>
        <v>2</v>
      </c>
      <c r="D39" s="69" t="n">
        <f aca="false">IF($A39="","",IFERROR(IF(ISNUMBER(INDEX(GPU!$G$4:$G$64,MATCH(Varian!$K11,GPU!$A$4:$A$64,0))),INDEX(GPU!$G$4:$G$64,MATCH(Varian!$K11,GPU!$A$4:$A$64,0)),""),""))</f>
        <v>1</v>
      </c>
      <c r="E39" s="69" t="n">
        <f aca="false">IF($A39="","",IF(ISNUMBER(Varian!$M11),Varian!$M11,""))</f>
        <v>8</v>
      </c>
      <c r="F39" s="69" t="n">
        <f aca="false">IF($A39="","",IF(ISNUMBER(Varian!$V11),Varian!$V11,""))</f>
        <v>256</v>
      </c>
      <c r="G39" s="69" t="str">
        <f aca="false">IF($A39="","",IFERROR(INDEX(Aturan!$B$63:$B$66,MATCH(Varian!$AG11,Aturan!$A$63:$A$66,0)),""))</f>
        <v/>
      </c>
      <c r="H39" s="69" t="str">
        <f aca="false">IF($A39="","",IF(ISNUMBER(Varian!$AI11),Varian!$AI11,""))</f>
        <v/>
      </c>
      <c r="I39" s="33" t="str">
        <f aca="false">IF($A39="","",IF(Varian!$Q11="disolder","menempel di papan utama, tidak bisa ditambah",IF(OR(Varian!$Q11="slot",Varian!$Q11="setengah_disolder"),IF(Varian!$Q11="setengah_disolder","sebagian menempel, ","")&amp;IF(ISNUMBER(Varian!$U11),IF(AND(ISNUMBER(Varian!$M11),Varian!$U11&gt;Varian!$M11),"bisa dinaikkan lewat slot sampai "&amp;Varian!$U11&amp;" GB","sudah di batas maksimal "&amp;Varian!$U11&amp;" GB"),"ada slot, batas maksimalnya belum diketahui"),"belum diketahui apakah bisa ditambah")))</f>
        <v>bisa dinaikkan lewat slot sampai 32 GB</v>
      </c>
      <c r="J39" s="33" t="str">
        <f aca="false">IF($A39="","",IF(Varian!$Z11="ya","bisa diganti dengan yang lebih besar",IF(Varian!$Z11="tidak","menempel, tidak bisa diganti","belum diketahui apakah bisa diganti")))</f>
        <v>bisa diganti dengan yang lebih besar</v>
      </c>
      <c r="K39" s="70" t="str">
        <f aca="false">IF($A39="","",IF(AND(Aturan!$C$54="",Aturan!$D$54=""),"Tidak dinilai",IF(C39="","Belum ada data",IF(C39&lt;IF(Aturan!$C$54="",0,Aturan!$C$54),"Kurang",IF(C39&gt;=IF(Aturan!$D$54="",Aturan!$C$54,Aturan!$D$54),"Nyaman","Cukup")))))</f>
        <v>Kurang</v>
      </c>
      <c r="L39" s="70" t="str">
        <f aca="false">IF($A39="","",IF(AND(Aturan!$C$55="",Aturan!$D$55=""),"Tidak dinilai",IF(D39="","Belum ada data",IF(D39&lt;IF(Aturan!$C$55="",0,Aturan!$C$55),"Kurang",IF(D39&gt;=IF(Aturan!$D$55="",Aturan!$C$55,Aturan!$D$55),"Nyaman","Cukup")))))</f>
        <v>Kurang</v>
      </c>
      <c r="M39" s="70" t="str">
        <f aca="false">IF($A39="","",IF(AND(Aturan!$C$56="",Aturan!$D$56=""),"Tidak dinilai",IF(E39="","Belum ada data",IF(E39&lt;IF(Aturan!$C$56="",0,Aturan!$C$56),"Kurang",IF(E39&gt;=IF(Aturan!$D$56="",Aturan!$C$56,Aturan!$D$56),"Nyaman","Cukup")))))</f>
        <v>Cukup</v>
      </c>
      <c r="N39" s="70" t="str">
        <f aca="false">IF($A39="","",IF(AND(Aturan!$C$57="",Aturan!$D$57=""),"Tidak dinilai",IF(F39="","Belum ada data",IF(F39&lt;IF(Aturan!$C$57="",0,Aturan!$C$57),"Kurang",IF(F39&gt;=IF(Aturan!$D$57="",Aturan!$C$57,Aturan!$D$57),"Nyaman","Cukup")))))</f>
        <v>Kurang</v>
      </c>
      <c r="O39" s="70" t="str">
        <f aca="false">IF($A39="","",IF(AND(Aturan!$C$58="",Aturan!$D$58=""),"Tidak dinilai",IF(G39="","Belum ada data",IF(G39&lt;IF(Aturan!$C$58="",0,Aturan!$C$58),"Kurang",IF(G39&gt;=IF(Aturan!$D$58="",Aturan!$C$58,Aturan!$D$58),"Nyaman","Cukup")))))</f>
        <v>Tidak dinilai</v>
      </c>
      <c r="P39" s="70" t="str">
        <f aca="false">IF($A39="","",IF(AND(Aturan!$C$59="",Aturan!$D$59=""),"Tidak dinilai",IF(H39="","Belum ada data",IF(H39&lt;IF(Aturan!$C$59="",0,Aturan!$C$59),"Kurang",IF(H39&gt;=IF(Aturan!$D$59="",Aturan!$C$59,Aturan!$D$59),"Nyaman","Cukup")))))</f>
        <v>Belum ada data</v>
      </c>
      <c r="Q39" s="70" t="str">
        <f aca="false">IF($A39="","",IF(COUNTIF(K39:P39,"Tidak dinilai")=6,"Tidak dinilai",IF(COUNTIF(K39:P39,"Kurang")&gt;0,"Kurang cocok",IF(COUNTIF(K39:P39,"Belum ada data")&gt;0,"Data belum lengkap",IF(COUNTIF(K39:P39,"Cukup")&gt;0,"Bisa, dengan catatan","Cocok")))))</f>
        <v>Kurang cocok</v>
      </c>
      <c r="R39" s="33" t="str">
        <f aca="false">IF($A39="","",IF(K39="Kurang","prosesor tingkat "&amp;C39&amp;" dari 5, di bawah batas minimal (tingkat "&amp;Aturan!$C$54&amp;")",IF(K39="Cukup","prosesor tingkat "&amp;C39&amp;" dari 5 cukup, nyamannya mulai tingkat "&amp;Aturan!$D$54,IF(K39="Belum ada data","tingkat prosesor belum diisi",""))))</f>
        <v>prosesor tingkat 2 dari 5, di bawah batas minimal (tingkat 3)</v>
      </c>
      <c r="S39" s="33" t="str">
        <f aca="false">IF($A39="","",IF(L39="Kurang","grafis tingkat "&amp;D39&amp;" dari 5, di bawah batas minimal (tingkat "&amp;Aturan!$C$55&amp;")",IF(L39="Cukup","grafis tingkat "&amp;D39&amp;" dari 5 cukup, nyamannya mulai tingkat "&amp;Aturan!$D$55,IF(L39="Belum ada data","tingkat grafis belum diisi",""))))</f>
        <v>grafis tingkat 1 dari 5, di bawah batas minimal (tingkat 3)</v>
      </c>
      <c r="T39" s="33" t="str">
        <f aca="false">IF($A39="","",IF(M39="Kurang","RAM "&amp;E39&amp;" GB, di bawah batas minimal "&amp;Aturan!$C$56&amp;" GB ("&amp;I39&amp;")",IF(M39="Cukup","RAM "&amp;E39&amp;" GB cukup, nyamannya "&amp;Aturan!$D$56&amp;" GB atau lebih ("&amp;I39&amp;")",IF(M39="Belum ada data","ukuran RAM belum diisi",""))))</f>
        <v>RAM 8 GB cukup, nyamannya 16 GB atau lebih (bisa dinaikkan lewat slot sampai 32 GB)</v>
      </c>
      <c r="U39" s="33" t="str">
        <f aca="false">IF($A39="","",IF(N39="Kurang","penyimpanan "&amp;F39&amp;" GB, di bawah batas minimal "&amp;Aturan!$C$57&amp;" GB ("&amp;J39&amp;")",IF(N39="Cukup","penyimpanan "&amp;F39&amp;" GB cukup, nyamannya "&amp;Aturan!$D$57&amp;" GB atau lebih ("&amp;J39&amp;")",IF(N39="Belum ada data","ukuran penyimpanan belum diisi",""))))</f>
        <v>penyimpanan 256 GB, di bawah batas minimal 512 GB (bisa diganti dengan yang lebih besar)</v>
      </c>
      <c r="V39" s="33" t="str">
        <f aca="false">IF($A39="","",IF(O39="Kurang","layar "&amp;Varian!$AG11&amp;", di bawah batas minimal ("&amp;IFERROR(INDEX(Aturan!$A$63:$A$66,MATCH(Aturan!$C$58,Aturan!$B$63:$B$66,0)),"peringkat "&amp;Aturan!$C$58)&amp;")",IF(O39="Cukup","layar "&amp;Varian!$AG11&amp;" cukup, nyamannya "&amp;IFERROR(INDEX(Aturan!$A$63:$A$66,MATCH(Aturan!$D$58,Aturan!$B$63:$B$66,0)),"peringkat "&amp;Aturan!$D$58),IF(O39="Belum ada data","jenis layar belum diketahui",""))))</f>
        <v/>
      </c>
      <c r="W39" s="33" t="str">
        <f aca="false">IF($A39="","",IF(P39="Kurang","layar "&amp;H39&amp;" Hz, di bawah batas minimal "&amp;Aturan!$C$59&amp;" Hz",IF(P39="Cukup","layar "&amp;H39&amp;" Hz cukup, nyamannya "&amp;Aturan!$D$59&amp;" Hz atau lebih",IF(P39="Belum ada data","refresh rate belum diketahui",""))))</f>
        <v>refresh rate belum diketahui</v>
      </c>
      <c r="X39" s="33" t="str">
        <f aca="false">IF($A39="","",IF(K39="Kurang",R39&amp;"; ","")&amp;IF(L39="Kurang",S39&amp;"; ","")&amp;IF(M39="Kurang",T39&amp;"; ","")&amp;IF(N39="Kurang",U39&amp;"; ","")&amp;IF(O39="Kurang",V39&amp;"; ","")&amp;IF(P39="Kurang",W39&amp;"; ","")&amp;IF(K39="Belum ada data",R39&amp;"; ","")&amp;IF(L39="Belum ada data",S39&amp;"; ","")&amp;IF(M39="Belum ada data",T39&amp;"; ","")&amp;IF(N39="Belum ada data",U39&amp;"; ","")&amp;IF(O39="Belum ada data",V39&amp;"; ","")&amp;IF(P39="Belum ada data",W39&amp;"; ","")&amp;IF(K39="Cukup",R39&amp;"; ","")&amp;IF(L39="Cukup",S39&amp;"; ","")&amp;IF(M39="Cukup",T39&amp;"; ","")&amp;IF(N39="Cukup",U39&amp;"; ","")&amp;IF(O39="Cukup",V39&amp;"; ","")&amp;IF(P39="Cukup",W39&amp;"; ",""))</f>
        <v>prosesor tingkat 2 dari 5, di bawah batas minimal (tingkat 3); grafis tingkat 1 dari 5, di bawah batas minimal (tingkat 3); penyimpanan 256 GB, di bawah batas minimal 512 GB (bisa diganti dengan yang lebih besar); refresh rate belum diketahui; RAM 8 GB cukup, nyamannya 16 GB atau lebih (bisa dinaikkan lewat slot sampai 32 GB); </v>
      </c>
      <c r="Y39" s="33" t="str">
        <f aca="false">IF($A39="","",IF(K39="Nyaman","prosesor, ","")&amp;IF(L39="Nyaman","grafis, ","")&amp;IF(M39="Nyaman","RAM, ","")&amp;IF(N39="Nyaman","penyimpanan, ","")&amp;IF(O39="Nyaman","layar, ","")&amp;IF(P39="Nyaman","refresh rate, ",""))</f>
        <v/>
      </c>
      <c r="Z39" s="33" t="str">
        <f aca="false">IF($A39="","",IF(Q39="Tidak dinilai","Belum ada kriteria yang dinilai untuk kebutuhan ini.",IF(Q39="Cocok","Semua kriteria yang dinilai sudah nyaman: "&amp;LEFT(Y39,LEN(Y39)-2)&amp;".",UPPER(LEFT(X39,1))&amp;MID(X39,2,LEN(X39)-3)&amp;"."&amp;IF(Y39="",""," Sudah nyaman: "&amp;LEFT(Y39,LEN(Y39)-2)&amp;"."))))</f>
        <v>Prosesor tingkat 2 dari 5, di bawah batas minimal (tingkat 3); grafis tingkat 1 dari 5, di bawah batas minimal (tingkat 3); penyimpanan 256 GB, di bawah batas minimal 512 GB (bisa diganti dengan yang lebih besar); refresh rate belum diketahui; RAM 8 GB cukup, nyamannya 16 GB atau lebih (bisa dinaikkan lewat slot sampai 32 GB).</v>
      </c>
      <c r="AA39" s="33"/>
      <c r="AB39" s="33"/>
      <c r="AC39" s="69"/>
    </row>
    <row r="40" customFormat="false" ht="15" hidden="false" customHeight="true" outlineLevel="0" collapsed="false">
      <c r="A40" s="66" t="str">
        <f aca="false">IF(Varian!$A12="","",Varian!$A12)</f>
        <v>dell-latitude-5400-i5-8365u-8-256</v>
      </c>
      <c r="B40" s="66" t="str">
        <f aca="false">IF($A40="","",Aturan!$A$21)</f>
        <v>Kuliah dan kantor</v>
      </c>
      <c r="C40" s="67" t="n">
        <f aca="false">IF($A40="","",IFERROR(IF(ISNUMBER(INDEX(CPU!$J$4:$J$64,MATCH(Varian!$J12,CPU!$A$4:$A$64,0))),INDEX(CPU!$J$4:$J$64,MATCH(Varian!$J12,CPU!$A$4:$A$64,0)),""),""))</f>
        <v>2</v>
      </c>
      <c r="D40" s="67" t="n">
        <f aca="false">IF($A40="","",IFERROR(IF(ISNUMBER(INDEX(GPU!$G$4:$G$64,MATCH(Varian!$K12,GPU!$A$4:$A$64,0))),INDEX(GPU!$G$4:$G$64,MATCH(Varian!$K12,GPU!$A$4:$A$64,0)),""),""))</f>
        <v>1</v>
      </c>
      <c r="E40" s="67" t="n">
        <f aca="false">IF($A40="","",IF(ISNUMBER(Varian!$M12),Varian!$M12,""))</f>
        <v>8</v>
      </c>
      <c r="F40" s="67" t="n">
        <f aca="false">IF($A40="","",IF(ISNUMBER(Varian!$V12),Varian!$V12,""))</f>
        <v>256</v>
      </c>
      <c r="G40" s="67" t="str">
        <f aca="false">IF($A40="","",IFERROR(INDEX(Aturan!$B$63:$B$66,MATCH(Varian!$AG12,Aturan!$A$63:$A$66,0)),""))</f>
        <v/>
      </c>
      <c r="H40" s="67" t="str">
        <f aca="false">IF($A40="","",IF(ISNUMBER(Varian!$AI12),Varian!$AI12,""))</f>
        <v/>
      </c>
      <c r="I40" s="66" t="str">
        <f aca="false">IF($A40="","",IF(Varian!$Q12="disolder","menempel di papan utama, tidak bisa ditambah",IF(OR(Varian!$Q12="slot",Varian!$Q12="setengah_disolder"),IF(Varian!$Q12="setengah_disolder","sebagian menempel, ","")&amp;IF(ISNUMBER(Varian!$U12),IF(AND(ISNUMBER(Varian!$M12),Varian!$U12&gt;Varian!$M12),"bisa dinaikkan lewat slot sampai "&amp;Varian!$U12&amp;" GB","sudah di batas maksimal "&amp;Varian!$U12&amp;" GB"),"ada slot, batas maksimalnya belum diketahui"),"belum diketahui apakah bisa ditambah")))</f>
        <v>bisa dinaikkan lewat slot sampai 32 GB</v>
      </c>
      <c r="J40" s="66" t="str">
        <f aca="false">IF($A40="","",IF(Varian!$Z12="ya","bisa diganti dengan yang lebih besar",IF(Varian!$Z12="tidak","menempel, tidak bisa diganti","belum diketahui apakah bisa diganti")))</f>
        <v>bisa diganti dengan yang lebih besar</v>
      </c>
      <c r="K40" s="68" t="str">
        <f aca="false">IF($A40="","",IF(AND(Aturan!$C$30="",Aturan!$D$30=""),"Tidak dinilai",IF(C40="","Belum ada data",IF(C40&lt;IF(Aturan!$C$30="",0,Aturan!$C$30),"Kurang",IF(C40&gt;=IF(Aturan!$D$30="",Aturan!$C$30,Aturan!$D$30),"Nyaman","Cukup")))))</f>
        <v>Nyaman</v>
      </c>
      <c r="L40" s="68" t="str">
        <f aca="false">IF($A40="","",IF(AND(Aturan!$C$31="",Aturan!$D$31=""),"Tidak dinilai",IF(D40="","Belum ada data",IF(D40&lt;IF(Aturan!$C$31="",0,Aturan!$C$31),"Kurang",IF(D40&gt;=IF(Aturan!$D$31="",Aturan!$C$31,Aturan!$D$31),"Nyaman","Cukup")))))</f>
        <v>Tidak dinilai</v>
      </c>
      <c r="M40" s="68" t="str">
        <f aca="false">IF($A40="","",IF(AND(Aturan!$C$32="",Aturan!$D$32=""),"Tidak dinilai",IF(E40="","Belum ada data",IF(E40&lt;IF(Aturan!$C$32="",0,Aturan!$C$32),"Kurang",IF(E40&gt;=IF(Aturan!$D$32="",Aturan!$C$32,Aturan!$D$32),"Nyaman","Cukup")))))</f>
        <v>Nyaman</v>
      </c>
      <c r="N40" s="68" t="str">
        <f aca="false">IF($A40="","",IF(AND(Aturan!$C$33="",Aturan!$D$33=""),"Tidak dinilai",IF(F40="","Belum ada data",IF(F40&lt;IF(Aturan!$C$33="",0,Aturan!$C$33),"Kurang",IF(F40&gt;=IF(Aturan!$D$33="",Aturan!$C$33,Aturan!$D$33),"Nyaman","Cukup")))))</f>
        <v>Nyaman</v>
      </c>
      <c r="O40" s="68" t="str">
        <f aca="false">IF($A40="","",IF(AND(Aturan!$C$34="",Aturan!$D$34=""),"Tidak dinilai",IF(G40="","Belum ada data",IF(G40&lt;IF(Aturan!$C$34="",0,Aturan!$C$34),"Kurang",IF(G40&gt;=IF(Aturan!$D$34="",Aturan!$C$34,Aturan!$D$34),"Nyaman","Cukup")))))</f>
        <v>Tidak dinilai</v>
      </c>
      <c r="P40" s="68" t="str">
        <f aca="false">IF($A40="","",IF(AND(Aturan!$C$35="",Aturan!$D$35=""),"Tidak dinilai",IF(H40="","Belum ada data",IF(H40&lt;IF(Aturan!$C$35="",0,Aturan!$C$35),"Kurang",IF(H40&gt;=IF(Aturan!$D$35="",Aturan!$C$35,Aturan!$D$35),"Nyaman","Cukup")))))</f>
        <v>Tidak dinilai</v>
      </c>
      <c r="Q40" s="68" t="str">
        <f aca="false">IF($A40="","",IF(COUNTIF(K40:P40,"Tidak dinilai")=6,"Tidak dinilai",IF(COUNTIF(K40:P40,"Kurang")&gt;0,"Kurang cocok",IF(COUNTIF(K40:P40,"Belum ada data")&gt;0,"Data belum lengkap",IF(COUNTIF(K40:P40,"Cukup")&gt;0,"Bisa, dengan catatan","Cocok")))))</f>
        <v>Cocok</v>
      </c>
      <c r="R40" s="66" t="str">
        <f aca="false">IF($A40="","",IF(K40="Kurang","prosesor tingkat "&amp;C40&amp;" dari 5, di bawah batas minimal (tingkat "&amp;Aturan!$C$30&amp;")",IF(K40="Cukup","prosesor tingkat "&amp;C40&amp;" dari 5 cukup, nyamannya mulai tingkat "&amp;Aturan!$D$30,IF(K40="Belum ada data","tingkat prosesor belum diisi",""))))</f>
        <v/>
      </c>
      <c r="S40" s="66" t="str">
        <f aca="false">IF($A40="","",IF(L40="Kurang","grafis tingkat "&amp;D40&amp;" dari 5, di bawah batas minimal (tingkat "&amp;Aturan!$C$31&amp;")",IF(L40="Cukup","grafis tingkat "&amp;D40&amp;" dari 5 cukup, nyamannya mulai tingkat "&amp;Aturan!$D$31,IF(L40="Belum ada data","tingkat grafis belum diisi",""))))</f>
        <v/>
      </c>
      <c r="T40" s="66" t="str">
        <f aca="false">IF($A40="","",IF(M40="Kurang","RAM "&amp;E40&amp;" GB, di bawah batas minimal "&amp;Aturan!$C$32&amp;" GB ("&amp;I40&amp;")",IF(M40="Cukup","RAM "&amp;E40&amp;" GB cukup, nyamannya "&amp;Aturan!$D$32&amp;" GB atau lebih ("&amp;I40&amp;")",IF(M40="Belum ada data","ukuran RAM belum diisi",""))))</f>
        <v/>
      </c>
      <c r="U40" s="66" t="str">
        <f aca="false">IF($A40="","",IF(N40="Kurang","penyimpanan "&amp;F40&amp;" GB, di bawah batas minimal "&amp;Aturan!$C$33&amp;" GB ("&amp;J40&amp;")",IF(N40="Cukup","penyimpanan "&amp;F40&amp;" GB cukup, nyamannya "&amp;Aturan!$D$33&amp;" GB atau lebih ("&amp;J40&amp;")",IF(N40="Belum ada data","ukuran penyimpanan belum diisi",""))))</f>
        <v/>
      </c>
      <c r="V40" s="66" t="str">
        <f aca="false">IF($A40="","",IF(O40="Kurang","layar "&amp;Varian!$AG12&amp;", di bawah batas minimal ("&amp;IFERROR(INDEX(Aturan!$A$63:$A$66,MATCH(Aturan!$C$34,Aturan!$B$63:$B$66,0)),"peringkat "&amp;Aturan!$C$34)&amp;")",IF(O40="Cukup","layar "&amp;Varian!$AG12&amp;" cukup, nyamannya "&amp;IFERROR(INDEX(Aturan!$A$63:$A$66,MATCH(Aturan!$D$34,Aturan!$B$63:$B$66,0)),"peringkat "&amp;Aturan!$D$34),IF(O40="Belum ada data","jenis layar belum diketahui",""))))</f>
        <v/>
      </c>
      <c r="W40" s="66" t="str">
        <f aca="false">IF($A40="","",IF(P40="Kurang","layar "&amp;H40&amp;" Hz, di bawah batas minimal "&amp;Aturan!$C$35&amp;" Hz",IF(P40="Cukup","layar "&amp;H40&amp;" Hz cukup, nyamannya "&amp;Aturan!$D$35&amp;" Hz atau lebih",IF(P40="Belum ada data","refresh rate belum diketahui",""))))</f>
        <v/>
      </c>
      <c r="X40" s="66" t="str">
        <f aca="false">IF($A40="","",IF(K40="Kurang",R40&amp;"; ","")&amp;IF(L40="Kurang",S40&amp;"; ","")&amp;IF(M40="Kurang",T40&amp;"; ","")&amp;IF(N40="Kurang",U40&amp;"; ","")&amp;IF(O40="Kurang",V40&amp;"; ","")&amp;IF(P40="Kurang",W40&amp;"; ","")&amp;IF(K40="Belum ada data",R40&amp;"; ","")&amp;IF(L40="Belum ada data",S40&amp;"; ","")&amp;IF(M40="Belum ada data",T40&amp;"; ","")&amp;IF(N40="Belum ada data",U40&amp;"; ","")&amp;IF(O40="Belum ada data",V40&amp;"; ","")&amp;IF(P40="Belum ada data",W40&amp;"; ","")&amp;IF(K40="Cukup",R40&amp;"; ","")&amp;IF(L40="Cukup",S40&amp;"; ","")&amp;IF(M40="Cukup",T40&amp;"; ","")&amp;IF(N40="Cukup",U40&amp;"; ","")&amp;IF(O40="Cukup",V40&amp;"; ","")&amp;IF(P40="Cukup",W40&amp;"; ",""))</f>
        <v/>
      </c>
      <c r="Y40" s="66" t="str">
        <f aca="false">IF($A40="","",IF(K40="Nyaman","prosesor, ","")&amp;IF(L40="Nyaman","grafis, ","")&amp;IF(M40="Nyaman","RAM, ","")&amp;IF(N40="Nyaman","penyimpanan, ","")&amp;IF(O40="Nyaman","layar, ","")&amp;IF(P40="Nyaman","refresh rate, ",""))</f>
        <v>prosesor, RAM, penyimpanan, </v>
      </c>
      <c r="Z40" s="66" t="str">
        <f aca="false">IF($A40="","",IF(Q40="Tidak dinilai","Belum ada kriteria yang dinilai untuk kebutuhan ini.",IF(Q40="Cocok","Semua kriteria yang dinilai sudah nyaman: "&amp;LEFT(Y40,LEN(Y40)-2)&amp;".",UPPER(LEFT(X40,1))&amp;MID(X40,2,LEN(X40)-3)&amp;"."&amp;IF(Y40="",""," Sudah nyaman: "&amp;LEFT(Y40,LEN(Y40)-2)&amp;"."))))</f>
        <v>Semua kriteria yang dinilai sudah nyaman: prosesor, RAM, penyimpanan.</v>
      </c>
      <c r="AA40" s="66" t="str">
        <f aca="false">IF($A40="","",IF(Varian!$AR12="Windows 10","• "&amp;Aturan!$E$71&amp;CHAR(10),"")&amp;IF(Varian!$BB12="tidak","• "&amp;Aturan!$E$72&amp;CHAR(10),"")&amp;IF(OR(Varian!$AD12="belum terverifikasi",Varian!$AD12="tidak diketahui"),"• "&amp;Aturan!$E$73&amp;CHAR(10),"")&amp;IF(Varian!$AH12="1366x768","• "&amp;Aturan!$E$74&amp;CHAR(10),"")&amp;IF(Varian!$AG12="TN","• "&amp;Aturan!$E$75&amp;CHAR(10),"")&amp;IF(AND(Varian!$Q12="disolder",ISNUMBER(Varian!$M12),Varian!$M12&lt;=8),"• "&amp;Aturan!$E$76&amp;CHAR(10),""))</f>
        <v/>
      </c>
      <c r="AB40" s="66" t="str">
        <f aca="false">IF($A40="","",IF(AA40="","",LEFT(AA40,LEN(AA40)-1)))</f>
        <v/>
      </c>
      <c r="AC40" s="67" t="n">
        <f aca="false">IF($A40="","",IF(AA40="",0,LEN(AA40)-LEN(SUBSTITUTE(AA40,CHAR(10),""))))</f>
        <v>0</v>
      </c>
    </row>
    <row r="41" customFormat="false" ht="15" hidden="false" customHeight="true" outlineLevel="0" collapsed="false">
      <c r="A41" s="33" t="str">
        <f aca="false">IF(Varian!$A12="","",Varian!$A12)</f>
        <v>dell-latitude-5400-i5-8365u-8-256</v>
      </c>
      <c r="B41" s="33" t="str">
        <f aca="false">IF($A41="","",Aturan!$A$22)</f>
        <v>Desain grafis</v>
      </c>
      <c r="C41" s="69" t="n">
        <f aca="false">IF($A41="","",IFERROR(IF(ISNUMBER(INDEX(CPU!$J$4:$J$64,MATCH(Varian!$J12,CPU!$A$4:$A$64,0))),INDEX(CPU!$J$4:$J$64,MATCH(Varian!$J12,CPU!$A$4:$A$64,0)),""),""))</f>
        <v>2</v>
      </c>
      <c r="D41" s="69" t="n">
        <f aca="false">IF($A41="","",IFERROR(IF(ISNUMBER(INDEX(GPU!$G$4:$G$64,MATCH(Varian!$K12,GPU!$A$4:$A$64,0))),INDEX(GPU!$G$4:$G$64,MATCH(Varian!$K12,GPU!$A$4:$A$64,0)),""),""))</f>
        <v>1</v>
      </c>
      <c r="E41" s="69" t="n">
        <f aca="false">IF($A41="","",IF(ISNUMBER(Varian!$M12),Varian!$M12,""))</f>
        <v>8</v>
      </c>
      <c r="F41" s="69" t="n">
        <f aca="false">IF($A41="","",IF(ISNUMBER(Varian!$V12),Varian!$V12,""))</f>
        <v>256</v>
      </c>
      <c r="G41" s="69" t="str">
        <f aca="false">IF($A41="","",IFERROR(INDEX(Aturan!$B$63:$B$66,MATCH(Varian!$AG12,Aturan!$A$63:$A$66,0)),""))</f>
        <v/>
      </c>
      <c r="H41" s="69" t="str">
        <f aca="false">IF($A41="","",IF(ISNUMBER(Varian!$AI12),Varian!$AI12,""))</f>
        <v/>
      </c>
      <c r="I41" s="33" t="str">
        <f aca="false">IF($A41="","",IF(Varian!$Q12="disolder","menempel di papan utama, tidak bisa ditambah",IF(OR(Varian!$Q12="slot",Varian!$Q12="setengah_disolder"),IF(Varian!$Q12="setengah_disolder","sebagian menempel, ","")&amp;IF(ISNUMBER(Varian!$U12),IF(AND(ISNUMBER(Varian!$M12),Varian!$U12&gt;Varian!$M12),"bisa dinaikkan lewat slot sampai "&amp;Varian!$U12&amp;" GB","sudah di batas maksimal "&amp;Varian!$U12&amp;" GB"),"ada slot, batas maksimalnya belum diketahui"),"belum diketahui apakah bisa ditambah")))</f>
        <v>bisa dinaikkan lewat slot sampai 32 GB</v>
      </c>
      <c r="J41" s="33" t="str">
        <f aca="false">IF($A41="","",IF(Varian!$Z12="ya","bisa diganti dengan yang lebih besar",IF(Varian!$Z12="tidak","menempel, tidak bisa diganti","belum diketahui apakah bisa diganti")))</f>
        <v>bisa diganti dengan yang lebih besar</v>
      </c>
      <c r="K41" s="70" t="str">
        <f aca="false">IF($A41="","",IF(AND(Aturan!$C$36="",Aturan!$D$36=""),"Tidak dinilai",IF(C41="","Belum ada data",IF(C41&lt;IF(Aturan!$C$36="",0,Aturan!$C$36),"Kurang",IF(C41&gt;=IF(Aturan!$D$36="",Aturan!$C$36,Aturan!$D$36),"Nyaman","Cukup")))))</f>
        <v>Cukup</v>
      </c>
      <c r="L41" s="70" t="str">
        <f aca="false">IF($A41="","",IF(AND(Aturan!$C$37="",Aturan!$D$37=""),"Tidak dinilai",IF(D41="","Belum ada data",IF(D41&lt;IF(Aturan!$C$37="",0,Aturan!$C$37),"Kurang",IF(D41&gt;=IF(Aturan!$D$37="",Aturan!$C$37,Aturan!$D$37),"Nyaman","Cukup")))))</f>
        <v>Cukup</v>
      </c>
      <c r="M41" s="70" t="str">
        <f aca="false">IF($A41="","",IF(AND(Aturan!$C$38="",Aturan!$D$38=""),"Tidak dinilai",IF(E41="","Belum ada data",IF(E41&lt;IF(Aturan!$C$38="",0,Aturan!$C$38),"Kurang",IF(E41&gt;=IF(Aturan!$D$38="",Aturan!$C$38,Aturan!$D$38),"Nyaman","Cukup")))))</f>
        <v>Cukup</v>
      </c>
      <c r="N41" s="70" t="str">
        <f aca="false">IF($A41="","",IF(AND(Aturan!$C$39="",Aturan!$D$39=""),"Tidak dinilai",IF(F41="","Belum ada data",IF(F41&lt;IF(Aturan!$C$39="",0,Aturan!$C$39),"Kurang",IF(F41&gt;=IF(Aturan!$D$39="",Aturan!$C$39,Aturan!$D$39),"Nyaman","Cukup")))))</f>
        <v>Cukup</v>
      </c>
      <c r="O41" s="70" t="str">
        <f aca="false">IF($A41="","",IF(AND(Aturan!$C$40="",Aturan!$D$40=""),"Tidak dinilai",IF(G41="","Belum ada data",IF(G41&lt;IF(Aturan!$C$40="",0,Aturan!$C$40),"Kurang",IF(G41&gt;=IF(Aturan!$D$40="",Aturan!$C$40,Aturan!$D$40),"Nyaman","Cukup")))))</f>
        <v>Belum ada data</v>
      </c>
      <c r="P41" s="70" t="str">
        <f aca="false">IF($A41="","",IF(AND(Aturan!$C$41="",Aturan!$D$41=""),"Tidak dinilai",IF(H41="","Belum ada data",IF(H41&lt;IF(Aturan!$C$41="",0,Aturan!$C$41),"Kurang",IF(H41&gt;=IF(Aturan!$D$41="",Aturan!$C$41,Aturan!$D$41),"Nyaman","Cukup")))))</f>
        <v>Tidak dinilai</v>
      </c>
      <c r="Q41" s="70" t="str">
        <f aca="false">IF($A41="","",IF(COUNTIF(K41:P41,"Tidak dinilai")=6,"Tidak dinilai",IF(COUNTIF(K41:P41,"Kurang")&gt;0,"Kurang cocok",IF(COUNTIF(K41:P41,"Belum ada data")&gt;0,"Data belum lengkap",IF(COUNTIF(K41:P41,"Cukup")&gt;0,"Bisa, dengan catatan","Cocok")))))</f>
        <v>Data belum lengkap</v>
      </c>
      <c r="R41" s="33" t="str">
        <f aca="false">IF($A41="","",IF(K41="Kurang","prosesor tingkat "&amp;C41&amp;" dari 5, di bawah batas minimal (tingkat "&amp;Aturan!$C$36&amp;")",IF(K41="Cukup","prosesor tingkat "&amp;C41&amp;" dari 5 cukup, nyamannya mulai tingkat "&amp;Aturan!$D$36,IF(K41="Belum ada data","tingkat prosesor belum diisi",""))))</f>
        <v>prosesor tingkat 2 dari 5 cukup, nyamannya mulai tingkat 3</v>
      </c>
      <c r="S41" s="33" t="str">
        <f aca="false">IF($A41="","",IF(L41="Kurang","grafis tingkat "&amp;D41&amp;" dari 5, di bawah batas minimal (tingkat "&amp;Aturan!$C$37&amp;")",IF(L41="Cukup","grafis tingkat "&amp;D41&amp;" dari 5 cukup, nyamannya mulai tingkat "&amp;Aturan!$D$37,IF(L41="Belum ada data","tingkat grafis belum diisi",""))))</f>
        <v>grafis tingkat 1 dari 5 cukup, nyamannya mulai tingkat 2</v>
      </c>
      <c r="T41" s="33" t="str">
        <f aca="false">IF($A41="","",IF(M41="Kurang","RAM "&amp;E41&amp;" GB, di bawah batas minimal "&amp;Aturan!$C$38&amp;" GB ("&amp;I41&amp;")",IF(M41="Cukup","RAM "&amp;E41&amp;" GB cukup, nyamannya "&amp;Aturan!$D$38&amp;" GB atau lebih ("&amp;I41&amp;")",IF(M41="Belum ada data","ukuran RAM belum diisi",""))))</f>
        <v>RAM 8 GB cukup, nyamannya 16 GB atau lebih (bisa dinaikkan lewat slot sampai 32 GB)</v>
      </c>
      <c r="U41" s="33" t="str">
        <f aca="false">IF($A41="","",IF(N41="Kurang","penyimpanan "&amp;F41&amp;" GB, di bawah batas minimal "&amp;Aturan!$C$39&amp;" GB ("&amp;J41&amp;")",IF(N41="Cukup","penyimpanan "&amp;F41&amp;" GB cukup, nyamannya "&amp;Aturan!$D$39&amp;" GB atau lebih ("&amp;J41&amp;")",IF(N41="Belum ada data","ukuran penyimpanan belum diisi",""))))</f>
        <v>penyimpanan 256 GB cukup, nyamannya 512 GB atau lebih (bisa diganti dengan yang lebih besar)</v>
      </c>
      <c r="V41" s="33" t="str">
        <f aca="false">IF($A41="","",IF(O41="Kurang","layar "&amp;Varian!$AG12&amp;", di bawah batas minimal ("&amp;IFERROR(INDEX(Aturan!$A$63:$A$66,MATCH(Aturan!$C$40,Aturan!$B$63:$B$66,0)),"peringkat "&amp;Aturan!$C$40)&amp;")",IF(O41="Cukup","layar "&amp;Varian!$AG12&amp;" cukup, nyamannya "&amp;IFERROR(INDEX(Aturan!$A$63:$A$66,MATCH(Aturan!$D$40,Aturan!$B$63:$B$66,0)),"peringkat "&amp;Aturan!$D$40),IF(O41="Belum ada data","jenis layar belum diketahui",""))))</f>
        <v>jenis layar belum diketahui</v>
      </c>
      <c r="W41" s="33" t="str">
        <f aca="false">IF($A41="","",IF(P41="Kurang","layar "&amp;H41&amp;" Hz, di bawah batas minimal "&amp;Aturan!$C$41&amp;" Hz",IF(P41="Cukup","layar "&amp;H41&amp;" Hz cukup, nyamannya "&amp;Aturan!$D$41&amp;" Hz atau lebih",IF(P41="Belum ada data","refresh rate belum diketahui",""))))</f>
        <v/>
      </c>
      <c r="X41" s="33" t="str">
        <f aca="false">IF($A41="","",IF(K41="Kurang",R41&amp;"; ","")&amp;IF(L41="Kurang",S41&amp;"; ","")&amp;IF(M41="Kurang",T41&amp;"; ","")&amp;IF(N41="Kurang",U41&amp;"; ","")&amp;IF(O41="Kurang",V41&amp;"; ","")&amp;IF(P41="Kurang",W41&amp;"; ","")&amp;IF(K41="Belum ada data",R41&amp;"; ","")&amp;IF(L41="Belum ada data",S41&amp;"; ","")&amp;IF(M41="Belum ada data",T41&amp;"; ","")&amp;IF(N41="Belum ada data",U41&amp;"; ","")&amp;IF(O41="Belum ada data",V41&amp;"; ","")&amp;IF(P41="Belum ada data",W41&amp;"; ","")&amp;IF(K41="Cukup",R41&amp;"; ","")&amp;IF(L41="Cukup",S41&amp;"; ","")&amp;IF(M41="Cukup",T41&amp;"; ","")&amp;IF(N41="Cukup",U41&amp;"; ","")&amp;IF(O41="Cukup",V41&amp;"; ","")&amp;IF(P41="Cukup",W41&amp;"; ",""))</f>
        <v>jenis layar belum diketahui; prosesor tingkat 2 dari 5 cukup, nyamannya mulai tingkat 3; grafis tingkat 1 dari 5 cukup, nyamannya mulai tingkat 2; RAM 8 GB cukup, nyamannya 16 GB atau lebih (bisa dinaikkan lewat slot sampai 32 GB); penyimpanan 256 GB cukup, nyamannya 512 GB atau lebih (bisa diganti dengan yang lebih besar); </v>
      </c>
      <c r="Y41" s="33" t="str">
        <f aca="false">IF($A41="","",IF(K41="Nyaman","prosesor, ","")&amp;IF(L41="Nyaman","grafis, ","")&amp;IF(M41="Nyaman","RAM, ","")&amp;IF(N41="Nyaman","penyimpanan, ","")&amp;IF(O41="Nyaman","layar, ","")&amp;IF(P41="Nyaman","refresh rate, ",""))</f>
        <v/>
      </c>
      <c r="Z41" s="33" t="str">
        <f aca="false">IF($A41="","",IF(Q41="Tidak dinilai","Belum ada kriteria yang dinilai untuk kebutuhan ini.",IF(Q41="Cocok","Semua kriteria yang dinilai sudah nyaman: "&amp;LEFT(Y41,LEN(Y41)-2)&amp;".",UPPER(LEFT(X41,1))&amp;MID(X41,2,LEN(X41)-3)&amp;"."&amp;IF(Y41="",""," Sudah nyaman: "&amp;LEFT(Y41,LEN(Y41)-2)&amp;"."))))</f>
        <v>Jenis layar belum diketahui; prosesor tingkat 2 dari 5 cukup, nyamannya mulai tingkat 3; grafis tingkat 1 dari 5 cukup, nyamannya mulai tingkat 2; RAM 8 GB cukup, nyamannya 16 GB atau lebih (bisa dinaikkan lewat slot sampai 32 GB); penyimpanan 256 GB cukup, nyamannya 512 GB atau lebih (bisa diganti dengan yang lebih besar).</v>
      </c>
      <c r="AA41" s="33"/>
      <c r="AB41" s="33"/>
      <c r="AC41" s="69"/>
    </row>
    <row r="42" customFormat="false" ht="15" hidden="false" customHeight="true" outlineLevel="0" collapsed="false">
      <c r="A42" s="33" t="str">
        <f aca="false">IF(Varian!$A12="","",Varian!$A12)</f>
        <v>dell-latitude-5400-i5-8365u-8-256</v>
      </c>
      <c r="B42" s="33" t="str">
        <f aca="false">IF($A42="","",Aturan!$A$23)</f>
        <v>Pemrograman</v>
      </c>
      <c r="C42" s="69" t="n">
        <f aca="false">IF($A42="","",IFERROR(IF(ISNUMBER(INDEX(CPU!$J$4:$J$64,MATCH(Varian!$J12,CPU!$A$4:$A$64,0))),INDEX(CPU!$J$4:$J$64,MATCH(Varian!$J12,CPU!$A$4:$A$64,0)),""),""))</f>
        <v>2</v>
      </c>
      <c r="D42" s="69" t="n">
        <f aca="false">IF($A42="","",IFERROR(IF(ISNUMBER(INDEX(GPU!$G$4:$G$64,MATCH(Varian!$K12,GPU!$A$4:$A$64,0))),INDEX(GPU!$G$4:$G$64,MATCH(Varian!$K12,GPU!$A$4:$A$64,0)),""),""))</f>
        <v>1</v>
      </c>
      <c r="E42" s="69" t="n">
        <f aca="false">IF($A42="","",IF(ISNUMBER(Varian!$M12),Varian!$M12,""))</f>
        <v>8</v>
      </c>
      <c r="F42" s="69" t="n">
        <f aca="false">IF($A42="","",IF(ISNUMBER(Varian!$V12),Varian!$V12,""))</f>
        <v>256</v>
      </c>
      <c r="G42" s="69" t="str">
        <f aca="false">IF($A42="","",IFERROR(INDEX(Aturan!$B$63:$B$66,MATCH(Varian!$AG12,Aturan!$A$63:$A$66,0)),""))</f>
        <v/>
      </c>
      <c r="H42" s="69" t="str">
        <f aca="false">IF($A42="","",IF(ISNUMBER(Varian!$AI12),Varian!$AI12,""))</f>
        <v/>
      </c>
      <c r="I42" s="33" t="str">
        <f aca="false">IF($A42="","",IF(Varian!$Q12="disolder","menempel di papan utama, tidak bisa ditambah",IF(OR(Varian!$Q12="slot",Varian!$Q12="setengah_disolder"),IF(Varian!$Q12="setengah_disolder","sebagian menempel, ","")&amp;IF(ISNUMBER(Varian!$U12),IF(AND(ISNUMBER(Varian!$M12),Varian!$U12&gt;Varian!$M12),"bisa dinaikkan lewat slot sampai "&amp;Varian!$U12&amp;" GB","sudah di batas maksimal "&amp;Varian!$U12&amp;" GB"),"ada slot, batas maksimalnya belum diketahui"),"belum diketahui apakah bisa ditambah")))</f>
        <v>bisa dinaikkan lewat slot sampai 32 GB</v>
      </c>
      <c r="J42" s="33" t="str">
        <f aca="false">IF($A42="","",IF(Varian!$Z12="ya","bisa diganti dengan yang lebih besar",IF(Varian!$Z12="tidak","menempel, tidak bisa diganti","belum diketahui apakah bisa diganti")))</f>
        <v>bisa diganti dengan yang lebih besar</v>
      </c>
      <c r="K42" s="70" t="str">
        <f aca="false">IF($A42="","",IF(AND(Aturan!$C$42="",Aturan!$D$42=""),"Tidak dinilai",IF(C42="","Belum ada data",IF(C42&lt;IF(Aturan!$C$42="",0,Aturan!$C$42),"Kurang",IF(C42&gt;=IF(Aturan!$D$42="",Aturan!$C$42,Aturan!$D$42),"Nyaman","Cukup")))))</f>
        <v>Cukup</v>
      </c>
      <c r="L42" s="70" t="str">
        <f aca="false">IF($A42="","",IF(AND(Aturan!$C$43="",Aturan!$D$43=""),"Tidak dinilai",IF(D42="","Belum ada data",IF(D42&lt;IF(Aturan!$C$43="",0,Aturan!$C$43),"Kurang",IF(D42&gt;=IF(Aturan!$D$43="",Aturan!$C$43,Aturan!$D$43),"Nyaman","Cukup")))))</f>
        <v>Tidak dinilai</v>
      </c>
      <c r="M42" s="70" t="str">
        <f aca="false">IF($A42="","",IF(AND(Aturan!$C$44="",Aturan!$D$44=""),"Tidak dinilai",IF(E42="","Belum ada data",IF(E42&lt;IF(Aturan!$C$44="",0,Aturan!$C$44),"Kurang",IF(E42&gt;=IF(Aturan!$D$44="",Aturan!$C$44,Aturan!$D$44),"Nyaman","Cukup")))))</f>
        <v>Cukup</v>
      </c>
      <c r="N42" s="70" t="str">
        <f aca="false">IF($A42="","",IF(AND(Aturan!$C$45="",Aturan!$D$45=""),"Tidak dinilai",IF(F42="","Belum ada data",IF(F42&lt;IF(Aturan!$C$45="",0,Aturan!$C$45),"Kurang",IF(F42&gt;=IF(Aturan!$D$45="",Aturan!$C$45,Aturan!$D$45),"Nyaman","Cukup")))))</f>
        <v>Cukup</v>
      </c>
      <c r="O42" s="70" t="str">
        <f aca="false">IF($A42="","",IF(AND(Aturan!$C$46="",Aturan!$D$46=""),"Tidak dinilai",IF(G42="","Belum ada data",IF(G42&lt;IF(Aturan!$C$46="",0,Aturan!$C$46),"Kurang",IF(G42&gt;=IF(Aturan!$D$46="",Aturan!$C$46,Aturan!$D$46),"Nyaman","Cukup")))))</f>
        <v>Tidak dinilai</v>
      </c>
      <c r="P42" s="70" t="str">
        <f aca="false">IF($A42="","",IF(AND(Aturan!$C$47="",Aturan!$D$47=""),"Tidak dinilai",IF(H42="","Belum ada data",IF(H42&lt;IF(Aturan!$C$47="",0,Aturan!$C$47),"Kurang",IF(H42&gt;=IF(Aturan!$D$47="",Aturan!$C$47,Aturan!$D$47),"Nyaman","Cukup")))))</f>
        <v>Tidak dinilai</v>
      </c>
      <c r="Q42" s="70" t="str">
        <f aca="false">IF($A42="","",IF(COUNTIF(K42:P42,"Tidak dinilai")=6,"Tidak dinilai",IF(COUNTIF(K42:P42,"Kurang")&gt;0,"Kurang cocok",IF(COUNTIF(K42:P42,"Belum ada data")&gt;0,"Data belum lengkap",IF(COUNTIF(K42:P42,"Cukup")&gt;0,"Bisa, dengan catatan","Cocok")))))</f>
        <v>Bisa, dengan catatan</v>
      </c>
      <c r="R42" s="33" t="str">
        <f aca="false">IF($A42="","",IF(K42="Kurang","prosesor tingkat "&amp;C42&amp;" dari 5, di bawah batas minimal (tingkat "&amp;Aturan!$C$42&amp;")",IF(K42="Cukup","prosesor tingkat "&amp;C42&amp;" dari 5 cukup, nyamannya mulai tingkat "&amp;Aturan!$D$42,IF(K42="Belum ada data","tingkat prosesor belum diisi",""))))</f>
        <v>prosesor tingkat 2 dari 5 cukup, nyamannya mulai tingkat 3</v>
      </c>
      <c r="S42" s="33" t="str">
        <f aca="false">IF($A42="","",IF(L42="Kurang","grafis tingkat "&amp;D42&amp;" dari 5, di bawah batas minimal (tingkat "&amp;Aturan!$C$43&amp;")",IF(L42="Cukup","grafis tingkat "&amp;D42&amp;" dari 5 cukup, nyamannya mulai tingkat "&amp;Aturan!$D$43,IF(L42="Belum ada data","tingkat grafis belum diisi",""))))</f>
        <v/>
      </c>
      <c r="T42" s="33" t="str">
        <f aca="false">IF($A42="","",IF(M42="Kurang","RAM "&amp;E42&amp;" GB, di bawah batas minimal "&amp;Aturan!$C$44&amp;" GB ("&amp;I42&amp;")",IF(M42="Cukup","RAM "&amp;E42&amp;" GB cukup, nyamannya "&amp;Aturan!$D$44&amp;" GB atau lebih ("&amp;I42&amp;")",IF(M42="Belum ada data","ukuran RAM belum diisi",""))))</f>
        <v>RAM 8 GB cukup, nyamannya 16 GB atau lebih (bisa dinaikkan lewat slot sampai 32 GB)</v>
      </c>
      <c r="U42" s="33" t="str">
        <f aca="false">IF($A42="","",IF(N42="Kurang","penyimpanan "&amp;F42&amp;" GB, di bawah batas minimal "&amp;Aturan!$C$45&amp;" GB ("&amp;J42&amp;")",IF(N42="Cukup","penyimpanan "&amp;F42&amp;" GB cukup, nyamannya "&amp;Aturan!$D$45&amp;" GB atau lebih ("&amp;J42&amp;")",IF(N42="Belum ada data","ukuran penyimpanan belum diisi",""))))</f>
        <v>penyimpanan 256 GB cukup, nyamannya 512 GB atau lebih (bisa diganti dengan yang lebih besar)</v>
      </c>
      <c r="V42" s="33" t="str">
        <f aca="false">IF($A42="","",IF(O42="Kurang","layar "&amp;Varian!$AG12&amp;", di bawah batas minimal ("&amp;IFERROR(INDEX(Aturan!$A$63:$A$66,MATCH(Aturan!$C$46,Aturan!$B$63:$B$66,0)),"peringkat "&amp;Aturan!$C$46)&amp;")",IF(O42="Cukup","layar "&amp;Varian!$AG12&amp;" cukup, nyamannya "&amp;IFERROR(INDEX(Aturan!$A$63:$A$66,MATCH(Aturan!$D$46,Aturan!$B$63:$B$66,0)),"peringkat "&amp;Aturan!$D$46),IF(O42="Belum ada data","jenis layar belum diketahui",""))))</f>
        <v/>
      </c>
      <c r="W42" s="33" t="str">
        <f aca="false">IF($A42="","",IF(P42="Kurang","layar "&amp;H42&amp;" Hz, di bawah batas minimal "&amp;Aturan!$C$47&amp;" Hz",IF(P42="Cukup","layar "&amp;H42&amp;" Hz cukup, nyamannya "&amp;Aturan!$D$47&amp;" Hz atau lebih",IF(P42="Belum ada data","refresh rate belum diketahui",""))))</f>
        <v/>
      </c>
      <c r="X42" s="33" t="str">
        <f aca="false">IF($A42="","",IF(K42="Kurang",R42&amp;"; ","")&amp;IF(L42="Kurang",S42&amp;"; ","")&amp;IF(M42="Kurang",T42&amp;"; ","")&amp;IF(N42="Kurang",U42&amp;"; ","")&amp;IF(O42="Kurang",V42&amp;"; ","")&amp;IF(P42="Kurang",W42&amp;"; ","")&amp;IF(K42="Belum ada data",R42&amp;"; ","")&amp;IF(L42="Belum ada data",S42&amp;"; ","")&amp;IF(M42="Belum ada data",T42&amp;"; ","")&amp;IF(N42="Belum ada data",U42&amp;"; ","")&amp;IF(O42="Belum ada data",V42&amp;"; ","")&amp;IF(P42="Belum ada data",W42&amp;"; ","")&amp;IF(K42="Cukup",R42&amp;"; ","")&amp;IF(L42="Cukup",S42&amp;"; ","")&amp;IF(M42="Cukup",T42&amp;"; ","")&amp;IF(N42="Cukup",U42&amp;"; ","")&amp;IF(O42="Cukup",V42&amp;"; ","")&amp;IF(P42="Cukup",W42&amp;"; ",""))</f>
        <v>prosesor tingkat 2 dari 5 cukup, nyamannya mulai tingkat 3; RAM 8 GB cukup, nyamannya 16 GB atau lebih (bisa dinaikkan lewat slot sampai 32 GB); penyimpanan 256 GB cukup, nyamannya 512 GB atau lebih (bisa diganti dengan yang lebih besar); </v>
      </c>
      <c r="Y42" s="33" t="str">
        <f aca="false">IF($A42="","",IF(K42="Nyaman","prosesor, ","")&amp;IF(L42="Nyaman","grafis, ","")&amp;IF(M42="Nyaman","RAM, ","")&amp;IF(N42="Nyaman","penyimpanan, ","")&amp;IF(O42="Nyaman","layar, ","")&amp;IF(P42="Nyaman","refresh rate, ",""))</f>
        <v/>
      </c>
      <c r="Z42" s="33" t="str">
        <f aca="false">IF($A42="","",IF(Q42="Tidak dinilai","Belum ada kriteria yang dinilai untuk kebutuhan ini.",IF(Q42="Cocok","Semua kriteria yang dinilai sudah nyaman: "&amp;LEFT(Y42,LEN(Y42)-2)&amp;".",UPPER(LEFT(X42,1))&amp;MID(X42,2,LEN(X42)-3)&amp;"."&amp;IF(Y42="",""," Sudah nyaman: "&amp;LEFT(Y42,LEN(Y42)-2)&amp;"."))))</f>
        <v>Prosesor tingkat 2 dari 5 cukup, nyamannya mulai tingkat 3; RAM 8 GB cukup, nyamannya 16 GB atau lebih (bisa dinaikkan lewat slot sampai 32 GB); penyimpanan 256 GB cukup, nyamannya 512 GB atau lebih (bisa diganti dengan yang lebih besar).</v>
      </c>
      <c r="AA42" s="33"/>
      <c r="AB42" s="33"/>
      <c r="AC42" s="69"/>
    </row>
    <row r="43" customFormat="false" ht="15" hidden="false" customHeight="true" outlineLevel="0" collapsed="false">
      <c r="A43" s="33" t="str">
        <f aca="false">IF(Varian!$A12="","",Varian!$A12)</f>
        <v>dell-latitude-5400-i5-8365u-8-256</v>
      </c>
      <c r="B43" s="33" t="str">
        <f aca="false">IF($A43="","",Aturan!$A$24)</f>
        <v>Game ringan</v>
      </c>
      <c r="C43" s="69" t="n">
        <f aca="false">IF($A43="","",IFERROR(IF(ISNUMBER(INDEX(CPU!$J$4:$J$64,MATCH(Varian!$J12,CPU!$A$4:$A$64,0))),INDEX(CPU!$J$4:$J$64,MATCH(Varian!$J12,CPU!$A$4:$A$64,0)),""),""))</f>
        <v>2</v>
      </c>
      <c r="D43" s="69" t="n">
        <f aca="false">IF($A43="","",IFERROR(IF(ISNUMBER(INDEX(GPU!$G$4:$G$64,MATCH(Varian!$K12,GPU!$A$4:$A$64,0))),INDEX(GPU!$G$4:$G$64,MATCH(Varian!$K12,GPU!$A$4:$A$64,0)),""),""))</f>
        <v>1</v>
      </c>
      <c r="E43" s="69" t="n">
        <f aca="false">IF($A43="","",IF(ISNUMBER(Varian!$M12),Varian!$M12,""))</f>
        <v>8</v>
      </c>
      <c r="F43" s="69" t="n">
        <f aca="false">IF($A43="","",IF(ISNUMBER(Varian!$V12),Varian!$V12,""))</f>
        <v>256</v>
      </c>
      <c r="G43" s="69" t="str">
        <f aca="false">IF($A43="","",IFERROR(INDEX(Aturan!$B$63:$B$66,MATCH(Varian!$AG12,Aturan!$A$63:$A$66,0)),""))</f>
        <v/>
      </c>
      <c r="H43" s="69" t="str">
        <f aca="false">IF($A43="","",IF(ISNUMBER(Varian!$AI12),Varian!$AI12,""))</f>
        <v/>
      </c>
      <c r="I43" s="33" t="str">
        <f aca="false">IF($A43="","",IF(Varian!$Q12="disolder","menempel di papan utama, tidak bisa ditambah",IF(OR(Varian!$Q12="slot",Varian!$Q12="setengah_disolder"),IF(Varian!$Q12="setengah_disolder","sebagian menempel, ","")&amp;IF(ISNUMBER(Varian!$U12),IF(AND(ISNUMBER(Varian!$M12),Varian!$U12&gt;Varian!$M12),"bisa dinaikkan lewat slot sampai "&amp;Varian!$U12&amp;" GB","sudah di batas maksimal "&amp;Varian!$U12&amp;" GB"),"ada slot, batas maksimalnya belum diketahui"),"belum diketahui apakah bisa ditambah")))</f>
        <v>bisa dinaikkan lewat slot sampai 32 GB</v>
      </c>
      <c r="J43" s="33" t="str">
        <f aca="false">IF($A43="","",IF(Varian!$Z12="ya","bisa diganti dengan yang lebih besar",IF(Varian!$Z12="tidak","menempel, tidak bisa diganti","belum diketahui apakah bisa diganti")))</f>
        <v>bisa diganti dengan yang lebih besar</v>
      </c>
      <c r="K43" s="70" t="str">
        <f aca="false">IF($A43="","",IF(AND(Aturan!$C$48="",Aturan!$D$48=""),"Tidak dinilai",IF(C43="","Belum ada data",IF(C43&lt;IF(Aturan!$C$48="",0,Aturan!$C$48),"Kurang",IF(C43&gt;=IF(Aturan!$D$48="",Aturan!$C$48,Aturan!$D$48),"Nyaman","Cukup")))))</f>
        <v>Cukup</v>
      </c>
      <c r="L43" s="70" t="str">
        <f aca="false">IF($A43="","",IF(AND(Aturan!$C$49="",Aturan!$D$49=""),"Tidak dinilai",IF(D43="","Belum ada data",IF(D43&lt;IF(Aturan!$C$49="",0,Aturan!$C$49),"Kurang",IF(D43&gt;=IF(Aturan!$D$49="",Aturan!$C$49,Aturan!$D$49),"Nyaman","Cukup")))))</f>
        <v>Cukup</v>
      </c>
      <c r="M43" s="70" t="str">
        <f aca="false">IF($A43="","",IF(AND(Aturan!$C$50="",Aturan!$D$50=""),"Tidak dinilai",IF(E43="","Belum ada data",IF(E43&lt;IF(Aturan!$C$50="",0,Aturan!$C$50),"Kurang",IF(E43&gt;=IF(Aturan!$D$50="",Aturan!$C$50,Aturan!$D$50),"Nyaman","Cukup")))))</f>
        <v>Nyaman</v>
      </c>
      <c r="N43" s="70" t="str">
        <f aca="false">IF($A43="","",IF(AND(Aturan!$C$51="",Aturan!$D$51=""),"Tidak dinilai",IF(F43="","Belum ada data",IF(F43&lt;IF(Aturan!$C$51="",0,Aturan!$C$51),"Kurang",IF(F43&gt;=IF(Aturan!$D$51="",Aturan!$C$51,Aturan!$D$51),"Nyaman","Cukup")))))</f>
        <v>Nyaman</v>
      </c>
      <c r="O43" s="70" t="str">
        <f aca="false">IF($A43="","",IF(AND(Aturan!$C$52="",Aturan!$D$52=""),"Tidak dinilai",IF(G43="","Belum ada data",IF(G43&lt;IF(Aturan!$C$52="",0,Aturan!$C$52),"Kurang",IF(G43&gt;=IF(Aturan!$D$52="",Aturan!$C$52,Aturan!$D$52),"Nyaman","Cukup")))))</f>
        <v>Tidak dinilai</v>
      </c>
      <c r="P43" s="70" t="str">
        <f aca="false">IF($A43="","",IF(AND(Aturan!$C$53="",Aturan!$D$53=""),"Tidak dinilai",IF(H43="","Belum ada data",IF(H43&lt;IF(Aturan!$C$53="",0,Aturan!$C$53),"Kurang",IF(H43&gt;=IF(Aturan!$D$53="",Aturan!$C$53,Aturan!$D$53),"Nyaman","Cukup")))))</f>
        <v>Tidak dinilai</v>
      </c>
      <c r="Q43" s="70" t="str">
        <f aca="false">IF($A43="","",IF(COUNTIF(K43:P43,"Tidak dinilai")=6,"Tidak dinilai",IF(COUNTIF(K43:P43,"Kurang")&gt;0,"Kurang cocok",IF(COUNTIF(K43:P43,"Belum ada data")&gt;0,"Data belum lengkap",IF(COUNTIF(K43:P43,"Cukup")&gt;0,"Bisa, dengan catatan","Cocok")))))</f>
        <v>Bisa, dengan catatan</v>
      </c>
      <c r="R43" s="33" t="str">
        <f aca="false">IF($A43="","",IF(K43="Kurang","prosesor tingkat "&amp;C43&amp;" dari 5, di bawah batas minimal (tingkat "&amp;Aturan!$C$48&amp;")",IF(K43="Cukup","prosesor tingkat "&amp;C43&amp;" dari 5 cukup, nyamannya mulai tingkat "&amp;Aturan!$D$48,IF(K43="Belum ada data","tingkat prosesor belum diisi",""))))</f>
        <v>prosesor tingkat 2 dari 5 cukup, nyamannya mulai tingkat 3</v>
      </c>
      <c r="S43" s="33" t="str">
        <f aca="false">IF($A43="","",IF(L43="Kurang","grafis tingkat "&amp;D43&amp;" dari 5, di bawah batas minimal (tingkat "&amp;Aturan!$C$49&amp;")",IF(L43="Cukup","grafis tingkat "&amp;D43&amp;" dari 5 cukup, nyamannya mulai tingkat "&amp;Aturan!$D$49,IF(L43="Belum ada data","tingkat grafis belum diisi",""))))</f>
        <v>grafis tingkat 1 dari 5 cukup, nyamannya mulai tingkat 2</v>
      </c>
      <c r="T43" s="33" t="str">
        <f aca="false">IF($A43="","",IF(M43="Kurang","RAM "&amp;E43&amp;" GB, di bawah batas minimal "&amp;Aturan!$C$50&amp;" GB ("&amp;I43&amp;")",IF(M43="Cukup","RAM "&amp;E43&amp;" GB cukup, nyamannya "&amp;Aturan!$D$50&amp;" GB atau lebih ("&amp;I43&amp;")",IF(M43="Belum ada data","ukuran RAM belum diisi",""))))</f>
        <v/>
      </c>
      <c r="U43" s="33" t="str">
        <f aca="false">IF($A43="","",IF(N43="Kurang","penyimpanan "&amp;F43&amp;" GB, di bawah batas minimal "&amp;Aturan!$C$51&amp;" GB ("&amp;J43&amp;")",IF(N43="Cukup","penyimpanan "&amp;F43&amp;" GB cukup, nyamannya "&amp;Aturan!$D$51&amp;" GB atau lebih ("&amp;J43&amp;")",IF(N43="Belum ada data","ukuran penyimpanan belum diisi",""))))</f>
        <v/>
      </c>
      <c r="V43" s="33" t="str">
        <f aca="false">IF($A43="","",IF(O43="Kurang","layar "&amp;Varian!$AG12&amp;", di bawah batas minimal ("&amp;IFERROR(INDEX(Aturan!$A$63:$A$66,MATCH(Aturan!$C$52,Aturan!$B$63:$B$66,0)),"peringkat "&amp;Aturan!$C$52)&amp;")",IF(O43="Cukup","layar "&amp;Varian!$AG12&amp;" cukup, nyamannya "&amp;IFERROR(INDEX(Aturan!$A$63:$A$66,MATCH(Aturan!$D$52,Aturan!$B$63:$B$66,0)),"peringkat "&amp;Aturan!$D$52),IF(O43="Belum ada data","jenis layar belum diketahui",""))))</f>
        <v/>
      </c>
      <c r="W43" s="33" t="str">
        <f aca="false">IF($A43="","",IF(P43="Kurang","layar "&amp;H43&amp;" Hz, di bawah batas minimal "&amp;Aturan!$C$53&amp;" Hz",IF(P43="Cukup","layar "&amp;H43&amp;" Hz cukup, nyamannya "&amp;Aturan!$D$53&amp;" Hz atau lebih",IF(P43="Belum ada data","refresh rate belum diketahui",""))))</f>
        <v/>
      </c>
      <c r="X43" s="33" t="str">
        <f aca="false">IF($A43="","",IF(K43="Kurang",R43&amp;"; ","")&amp;IF(L43="Kurang",S43&amp;"; ","")&amp;IF(M43="Kurang",T43&amp;"; ","")&amp;IF(N43="Kurang",U43&amp;"; ","")&amp;IF(O43="Kurang",V43&amp;"; ","")&amp;IF(P43="Kurang",W43&amp;"; ","")&amp;IF(K43="Belum ada data",R43&amp;"; ","")&amp;IF(L43="Belum ada data",S43&amp;"; ","")&amp;IF(M43="Belum ada data",T43&amp;"; ","")&amp;IF(N43="Belum ada data",U43&amp;"; ","")&amp;IF(O43="Belum ada data",V43&amp;"; ","")&amp;IF(P43="Belum ada data",W43&amp;"; ","")&amp;IF(K43="Cukup",R43&amp;"; ","")&amp;IF(L43="Cukup",S43&amp;"; ","")&amp;IF(M43="Cukup",T43&amp;"; ","")&amp;IF(N43="Cukup",U43&amp;"; ","")&amp;IF(O43="Cukup",V43&amp;"; ","")&amp;IF(P43="Cukup",W43&amp;"; ",""))</f>
        <v>prosesor tingkat 2 dari 5 cukup, nyamannya mulai tingkat 3; grafis tingkat 1 dari 5 cukup, nyamannya mulai tingkat 2; </v>
      </c>
      <c r="Y43" s="33" t="str">
        <f aca="false">IF($A43="","",IF(K43="Nyaman","prosesor, ","")&amp;IF(L43="Nyaman","grafis, ","")&amp;IF(M43="Nyaman","RAM, ","")&amp;IF(N43="Nyaman","penyimpanan, ","")&amp;IF(O43="Nyaman","layar, ","")&amp;IF(P43="Nyaman","refresh rate, ",""))</f>
        <v>RAM, penyimpanan, </v>
      </c>
      <c r="Z43" s="33" t="str">
        <f aca="false">IF($A43="","",IF(Q43="Tidak dinilai","Belum ada kriteria yang dinilai untuk kebutuhan ini.",IF(Q43="Cocok","Semua kriteria yang dinilai sudah nyaman: "&amp;LEFT(Y43,LEN(Y43)-2)&amp;".",UPPER(LEFT(X43,1))&amp;MID(X43,2,LEN(X43)-3)&amp;"."&amp;IF(Y43="",""," Sudah nyaman: "&amp;LEFT(Y43,LEN(Y43)-2)&amp;"."))))</f>
        <v>Prosesor tingkat 2 dari 5 cukup, nyamannya mulai tingkat 3; grafis tingkat 1 dari 5 cukup, nyamannya mulai tingkat 2. Sudah nyaman: RAM, penyimpanan.</v>
      </c>
      <c r="AA43" s="33"/>
      <c r="AB43" s="33"/>
      <c r="AC43" s="69"/>
    </row>
    <row r="44" customFormat="false" ht="15" hidden="false" customHeight="true" outlineLevel="0" collapsed="false">
      <c r="A44" s="33" t="str">
        <f aca="false">IF(Varian!$A12="","",Varian!$A12)</f>
        <v>dell-latitude-5400-i5-8365u-8-256</v>
      </c>
      <c r="B44" s="33" t="str">
        <f aca="false">IF($A44="","",Aturan!$A$25)</f>
        <v>Game berat</v>
      </c>
      <c r="C44" s="69" t="n">
        <f aca="false">IF($A44="","",IFERROR(IF(ISNUMBER(INDEX(CPU!$J$4:$J$64,MATCH(Varian!$J12,CPU!$A$4:$A$64,0))),INDEX(CPU!$J$4:$J$64,MATCH(Varian!$J12,CPU!$A$4:$A$64,0)),""),""))</f>
        <v>2</v>
      </c>
      <c r="D44" s="69" t="n">
        <f aca="false">IF($A44="","",IFERROR(IF(ISNUMBER(INDEX(GPU!$G$4:$G$64,MATCH(Varian!$K12,GPU!$A$4:$A$64,0))),INDEX(GPU!$G$4:$G$64,MATCH(Varian!$K12,GPU!$A$4:$A$64,0)),""),""))</f>
        <v>1</v>
      </c>
      <c r="E44" s="69" t="n">
        <f aca="false">IF($A44="","",IF(ISNUMBER(Varian!$M12),Varian!$M12,""))</f>
        <v>8</v>
      </c>
      <c r="F44" s="69" t="n">
        <f aca="false">IF($A44="","",IF(ISNUMBER(Varian!$V12),Varian!$V12,""))</f>
        <v>256</v>
      </c>
      <c r="G44" s="69" t="str">
        <f aca="false">IF($A44="","",IFERROR(INDEX(Aturan!$B$63:$B$66,MATCH(Varian!$AG12,Aturan!$A$63:$A$66,0)),""))</f>
        <v/>
      </c>
      <c r="H44" s="69" t="str">
        <f aca="false">IF($A44="","",IF(ISNUMBER(Varian!$AI12),Varian!$AI12,""))</f>
        <v/>
      </c>
      <c r="I44" s="33" t="str">
        <f aca="false">IF($A44="","",IF(Varian!$Q12="disolder","menempel di papan utama, tidak bisa ditambah",IF(OR(Varian!$Q12="slot",Varian!$Q12="setengah_disolder"),IF(Varian!$Q12="setengah_disolder","sebagian menempel, ","")&amp;IF(ISNUMBER(Varian!$U12),IF(AND(ISNUMBER(Varian!$M12),Varian!$U12&gt;Varian!$M12),"bisa dinaikkan lewat slot sampai "&amp;Varian!$U12&amp;" GB","sudah di batas maksimal "&amp;Varian!$U12&amp;" GB"),"ada slot, batas maksimalnya belum diketahui"),"belum diketahui apakah bisa ditambah")))</f>
        <v>bisa dinaikkan lewat slot sampai 32 GB</v>
      </c>
      <c r="J44" s="33" t="str">
        <f aca="false">IF($A44="","",IF(Varian!$Z12="ya","bisa diganti dengan yang lebih besar",IF(Varian!$Z12="tidak","menempel, tidak bisa diganti","belum diketahui apakah bisa diganti")))</f>
        <v>bisa diganti dengan yang lebih besar</v>
      </c>
      <c r="K44" s="70" t="str">
        <f aca="false">IF($A44="","",IF(AND(Aturan!$C$54="",Aturan!$D$54=""),"Tidak dinilai",IF(C44="","Belum ada data",IF(C44&lt;IF(Aturan!$C$54="",0,Aturan!$C$54),"Kurang",IF(C44&gt;=IF(Aturan!$D$54="",Aturan!$C$54,Aturan!$D$54),"Nyaman","Cukup")))))</f>
        <v>Kurang</v>
      </c>
      <c r="L44" s="70" t="str">
        <f aca="false">IF($A44="","",IF(AND(Aturan!$C$55="",Aturan!$D$55=""),"Tidak dinilai",IF(D44="","Belum ada data",IF(D44&lt;IF(Aturan!$C$55="",0,Aturan!$C$55),"Kurang",IF(D44&gt;=IF(Aturan!$D$55="",Aturan!$C$55,Aturan!$D$55),"Nyaman","Cukup")))))</f>
        <v>Kurang</v>
      </c>
      <c r="M44" s="70" t="str">
        <f aca="false">IF($A44="","",IF(AND(Aturan!$C$56="",Aturan!$D$56=""),"Tidak dinilai",IF(E44="","Belum ada data",IF(E44&lt;IF(Aturan!$C$56="",0,Aturan!$C$56),"Kurang",IF(E44&gt;=IF(Aturan!$D$56="",Aturan!$C$56,Aturan!$D$56),"Nyaman","Cukup")))))</f>
        <v>Cukup</v>
      </c>
      <c r="N44" s="70" t="str">
        <f aca="false">IF($A44="","",IF(AND(Aturan!$C$57="",Aturan!$D$57=""),"Tidak dinilai",IF(F44="","Belum ada data",IF(F44&lt;IF(Aturan!$C$57="",0,Aturan!$C$57),"Kurang",IF(F44&gt;=IF(Aturan!$D$57="",Aturan!$C$57,Aturan!$D$57),"Nyaman","Cukup")))))</f>
        <v>Kurang</v>
      </c>
      <c r="O44" s="70" t="str">
        <f aca="false">IF($A44="","",IF(AND(Aturan!$C$58="",Aturan!$D$58=""),"Tidak dinilai",IF(G44="","Belum ada data",IF(G44&lt;IF(Aturan!$C$58="",0,Aturan!$C$58),"Kurang",IF(G44&gt;=IF(Aturan!$D$58="",Aturan!$C$58,Aturan!$D$58),"Nyaman","Cukup")))))</f>
        <v>Tidak dinilai</v>
      </c>
      <c r="P44" s="70" t="str">
        <f aca="false">IF($A44="","",IF(AND(Aturan!$C$59="",Aturan!$D$59=""),"Tidak dinilai",IF(H44="","Belum ada data",IF(H44&lt;IF(Aturan!$C$59="",0,Aturan!$C$59),"Kurang",IF(H44&gt;=IF(Aturan!$D$59="",Aturan!$C$59,Aturan!$D$59),"Nyaman","Cukup")))))</f>
        <v>Belum ada data</v>
      </c>
      <c r="Q44" s="70" t="str">
        <f aca="false">IF($A44="","",IF(COUNTIF(K44:P44,"Tidak dinilai")=6,"Tidak dinilai",IF(COUNTIF(K44:P44,"Kurang")&gt;0,"Kurang cocok",IF(COUNTIF(K44:P44,"Belum ada data")&gt;0,"Data belum lengkap",IF(COUNTIF(K44:P44,"Cukup")&gt;0,"Bisa, dengan catatan","Cocok")))))</f>
        <v>Kurang cocok</v>
      </c>
      <c r="R44" s="33" t="str">
        <f aca="false">IF($A44="","",IF(K44="Kurang","prosesor tingkat "&amp;C44&amp;" dari 5, di bawah batas minimal (tingkat "&amp;Aturan!$C$54&amp;")",IF(K44="Cukup","prosesor tingkat "&amp;C44&amp;" dari 5 cukup, nyamannya mulai tingkat "&amp;Aturan!$D$54,IF(K44="Belum ada data","tingkat prosesor belum diisi",""))))</f>
        <v>prosesor tingkat 2 dari 5, di bawah batas minimal (tingkat 3)</v>
      </c>
      <c r="S44" s="33" t="str">
        <f aca="false">IF($A44="","",IF(L44="Kurang","grafis tingkat "&amp;D44&amp;" dari 5, di bawah batas minimal (tingkat "&amp;Aturan!$C$55&amp;")",IF(L44="Cukup","grafis tingkat "&amp;D44&amp;" dari 5 cukup, nyamannya mulai tingkat "&amp;Aturan!$D$55,IF(L44="Belum ada data","tingkat grafis belum diisi",""))))</f>
        <v>grafis tingkat 1 dari 5, di bawah batas minimal (tingkat 3)</v>
      </c>
      <c r="T44" s="33" t="str">
        <f aca="false">IF($A44="","",IF(M44="Kurang","RAM "&amp;E44&amp;" GB, di bawah batas minimal "&amp;Aturan!$C$56&amp;" GB ("&amp;I44&amp;")",IF(M44="Cukup","RAM "&amp;E44&amp;" GB cukup, nyamannya "&amp;Aturan!$D$56&amp;" GB atau lebih ("&amp;I44&amp;")",IF(M44="Belum ada data","ukuran RAM belum diisi",""))))</f>
        <v>RAM 8 GB cukup, nyamannya 16 GB atau lebih (bisa dinaikkan lewat slot sampai 32 GB)</v>
      </c>
      <c r="U44" s="33" t="str">
        <f aca="false">IF($A44="","",IF(N44="Kurang","penyimpanan "&amp;F44&amp;" GB, di bawah batas minimal "&amp;Aturan!$C$57&amp;" GB ("&amp;J44&amp;")",IF(N44="Cukup","penyimpanan "&amp;F44&amp;" GB cukup, nyamannya "&amp;Aturan!$D$57&amp;" GB atau lebih ("&amp;J44&amp;")",IF(N44="Belum ada data","ukuran penyimpanan belum diisi",""))))</f>
        <v>penyimpanan 256 GB, di bawah batas minimal 512 GB (bisa diganti dengan yang lebih besar)</v>
      </c>
      <c r="V44" s="33" t="str">
        <f aca="false">IF($A44="","",IF(O44="Kurang","layar "&amp;Varian!$AG12&amp;", di bawah batas minimal ("&amp;IFERROR(INDEX(Aturan!$A$63:$A$66,MATCH(Aturan!$C$58,Aturan!$B$63:$B$66,0)),"peringkat "&amp;Aturan!$C$58)&amp;")",IF(O44="Cukup","layar "&amp;Varian!$AG12&amp;" cukup, nyamannya "&amp;IFERROR(INDEX(Aturan!$A$63:$A$66,MATCH(Aturan!$D$58,Aturan!$B$63:$B$66,0)),"peringkat "&amp;Aturan!$D$58),IF(O44="Belum ada data","jenis layar belum diketahui",""))))</f>
        <v/>
      </c>
      <c r="W44" s="33" t="str">
        <f aca="false">IF($A44="","",IF(P44="Kurang","layar "&amp;H44&amp;" Hz, di bawah batas minimal "&amp;Aturan!$C$59&amp;" Hz",IF(P44="Cukup","layar "&amp;H44&amp;" Hz cukup, nyamannya "&amp;Aturan!$D$59&amp;" Hz atau lebih",IF(P44="Belum ada data","refresh rate belum diketahui",""))))</f>
        <v>refresh rate belum diketahui</v>
      </c>
      <c r="X44" s="33" t="str">
        <f aca="false">IF($A44="","",IF(K44="Kurang",R44&amp;"; ","")&amp;IF(L44="Kurang",S44&amp;"; ","")&amp;IF(M44="Kurang",T44&amp;"; ","")&amp;IF(N44="Kurang",U44&amp;"; ","")&amp;IF(O44="Kurang",V44&amp;"; ","")&amp;IF(P44="Kurang",W44&amp;"; ","")&amp;IF(K44="Belum ada data",R44&amp;"; ","")&amp;IF(L44="Belum ada data",S44&amp;"; ","")&amp;IF(M44="Belum ada data",T44&amp;"; ","")&amp;IF(N44="Belum ada data",U44&amp;"; ","")&amp;IF(O44="Belum ada data",V44&amp;"; ","")&amp;IF(P44="Belum ada data",W44&amp;"; ","")&amp;IF(K44="Cukup",R44&amp;"; ","")&amp;IF(L44="Cukup",S44&amp;"; ","")&amp;IF(M44="Cukup",T44&amp;"; ","")&amp;IF(N44="Cukup",U44&amp;"; ","")&amp;IF(O44="Cukup",V44&amp;"; ","")&amp;IF(P44="Cukup",W44&amp;"; ",""))</f>
        <v>prosesor tingkat 2 dari 5, di bawah batas minimal (tingkat 3); grafis tingkat 1 dari 5, di bawah batas minimal (tingkat 3); penyimpanan 256 GB, di bawah batas minimal 512 GB (bisa diganti dengan yang lebih besar); refresh rate belum diketahui; RAM 8 GB cukup, nyamannya 16 GB atau lebih (bisa dinaikkan lewat slot sampai 32 GB); </v>
      </c>
      <c r="Y44" s="33" t="str">
        <f aca="false">IF($A44="","",IF(K44="Nyaman","prosesor, ","")&amp;IF(L44="Nyaman","grafis, ","")&amp;IF(M44="Nyaman","RAM, ","")&amp;IF(N44="Nyaman","penyimpanan, ","")&amp;IF(O44="Nyaman","layar, ","")&amp;IF(P44="Nyaman","refresh rate, ",""))</f>
        <v/>
      </c>
      <c r="Z44" s="33" t="str">
        <f aca="false">IF($A44="","",IF(Q44="Tidak dinilai","Belum ada kriteria yang dinilai untuk kebutuhan ini.",IF(Q44="Cocok","Semua kriteria yang dinilai sudah nyaman: "&amp;LEFT(Y44,LEN(Y44)-2)&amp;".",UPPER(LEFT(X44,1))&amp;MID(X44,2,LEN(X44)-3)&amp;"."&amp;IF(Y44="",""," Sudah nyaman: "&amp;LEFT(Y44,LEN(Y44)-2)&amp;"."))))</f>
        <v>Prosesor tingkat 2 dari 5, di bawah batas minimal (tingkat 3); grafis tingkat 1 dari 5, di bawah batas minimal (tingkat 3); penyimpanan 256 GB, di bawah batas minimal 512 GB (bisa diganti dengan yang lebih besar); refresh rate belum diketahui; RAM 8 GB cukup, nyamannya 16 GB atau lebih (bisa dinaikkan lewat slot sampai 32 GB).</v>
      </c>
      <c r="AA44" s="33"/>
      <c r="AB44" s="33"/>
      <c r="AC44" s="69"/>
    </row>
    <row r="45" customFormat="false" ht="15" hidden="false" customHeight="true" outlineLevel="0" collapsed="false">
      <c r="A45" s="66" t="str">
        <f aca="false">IF(Varian!$A13="","",Varian!$A13)</f>
        <v/>
      </c>
      <c r="B45" s="66" t="str">
        <f aca="false">IF($A45="","",Aturan!$A$21)</f>
        <v/>
      </c>
      <c r="C45" s="67" t="str">
        <f aca="false">IF($A45="","",IFERROR(IF(ISNUMBER(INDEX(CPU!$J$4:$J$64,MATCH(Varian!$J13,CPU!$A$4:$A$64,0))),INDEX(CPU!$J$4:$J$64,MATCH(Varian!$J13,CPU!$A$4:$A$64,0)),""),""))</f>
        <v/>
      </c>
      <c r="D45" s="67" t="str">
        <f aca="false">IF($A45="","",IFERROR(IF(ISNUMBER(INDEX(GPU!$G$4:$G$64,MATCH(Varian!$K13,GPU!$A$4:$A$64,0))),INDEX(GPU!$G$4:$G$64,MATCH(Varian!$K13,GPU!$A$4:$A$64,0)),""),""))</f>
        <v/>
      </c>
      <c r="E45" s="67" t="str">
        <f aca="false">IF($A45="","",IF(ISNUMBER(Varian!$M13),Varian!$M13,""))</f>
        <v/>
      </c>
      <c r="F45" s="67" t="str">
        <f aca="false">IF($A45="","",IF(ISNUMBER(Varian!$V13),Varian!$V13,""))</f>
        <v/>
      </c>
      <c r="G45" s="67" t="str">
        <f aca="false">IF($A45="","",IFERROR(INDEX(Aturan!$B$63:$B$66,MATCH(Varian!$AG13,Aturan!$A$63:$A$66,0)),""))</f>
        <v/>
      </c>
      <c r="H45" s="67" t="str">
        <f aca="false">IF($A45="","",IF(ISNUMBER(Varian!$AI13),Varian!$AI13,""))</f>
        <v/>
      </c>
      <c r="I45" s="66" t="str">
        <f aca="false">IF($A45="","",IF(Varian!$Q13="disolder","menempel di papan utama, tidak bisa ditambah",IF(OR(Varian!$Q13="slot",Varian!$Q13="setengah_disolder"),IF(Varian!$Q13="setengah_disolder","sebagian menempel, ","")&amp;IF(ISNUMBER(Varian!$U13),IF(AND(ISNUMBER(Varian!$M13),Varian!$U13&gt;Varian!$M13),"bisa dinaikkan lewat slot sampai "&amp;Varian!$U13&amp;" GB","sudah di batas maksimal "&amp;Varian!$U13&amp;" GB"),"ada slot, batas maksimalnya belum diketahui"),"belum diketahui apakah bisa ditambah")))</f>
        <v/>
      </c>
      <c r="J45" s="66" t="str">
        <f aca="false">IF($A45="","",IF(Varian!$Z13="ya","bisa diganti dengan yang lebih besar",IF(Varian!$Z13="tidak","menempel, tidak bisa diganti","belum diketahui apakah bisa diganti")))</f>
        <v/>
      </c>
      <c r="K45" s="68" t="str">
        <f aca="false">IF($A45="","",IF(AND(Aturan!$C$30="",Aturan!$D$30=""),"Tidak dinilai",IF(C45="","Belum ada data",IF(C45&lt;IF(Aturan!$C$30="",0,Aturan!$C$30),"Kurang",IF(C45&gt;=IF(Aturan!$D$30="",Aturan!$C$30,Aturan!$D$30),"Nyaman","Cukup")))))</f>
        <v/>
      </c>
      <c r="L45" s="68" t="str">
        <f aca="false">IF($A45="","",IF(AND(Aturan!$C$31="",Aturan!$D$31=""),"Tidak dinilai",IF(D45="","Belum ada data",IF(D45&lt;IF(Aturan!$C$31="",0,Aturan!$C$31),"Kurang",IF(D45&gt;=IF(Aturan!$D$31="",Aturan!$C$31,Aturan!$D$31),"Nyaman","Cukup")))))</f>
        <v/>
      </c>
      <c r="M45" s="68" t="str">
        <f aca="false">IF($A45="","",IF(AND(Aturan!$C$32="",Aturan!$D$32=""),"Tidak dinilai",IF(E45="","Belum ada data",IF(E45&lt;IF(Aturan!$C$32="",0,Aturan!$C$32),"Kurang",IF(E45&gt;=IF(Aturan!$D$32="",Aturan!$C$32,Aturan!$D$32),"Nyaman","Cukup")))))</f>
        <v/>
      </c>
      <c r="N45" s="68" t="str">
        <f aca="false">IF($A45="","",IF(AND(Aturan!$C$33="",Aturan!$D$33=""),"Tidak dinilai",IF(F45="","Belum ada data",IF(F45&lt;IF(Aturan!$C$33="",0,Aturan!$C$33),"Kurang",IF(F45&gt;=IF(Aturan!$D$33="",Aturan!$C$33,Aturan!$D$33),"Nyaman","Cukup")))))</f>
        <v/>
      </c>
      <c r="O45" s="68" t="str">
        <f aca="false">IF($A45="","",IF(AND(Aturan!$C$34="",Aturan!$D$34=""),"Tidak dinilai",IF(G45="","Belum ada data",IF(G45&lt;IF(Aturan!$C$34="",0,Aturan!$C$34),"Kurang",IF(G45&gt;=IF(Aturan!$D$34="",Aturan!$C$34,Aturan!$D$34),"Nyaman","Cukup")))))</f>
        <v/>
      </c>
      <c r="P45" s="68" t="str">
        <f aca="false">IF($A45="","",IF(AND(Aturan!$C$35="",Aturan!$D$35=""),"Tidak dinilai",IF(H45="","Belum ada data",IF(H45&lt;IF(Aturan!$C$35="",0,Aturan!$C$35),"Kurang",IF(H45&gt;=IF(Aturan!$D$35="",Aturan!$C$35,Aturan!$D$35),"Nyaman","Cukup")))))</f>
        <v/>
      </c>
      <c r="Q45" s="68" t="str">
        <f aca="false">IF($A45="","",IF(COUNTIF(K45:P45,"Tidak dinilai")=6,"Tidak dinilai",IF(COUNTIF(K45:P45,"Kurang")&gt;0,"Kurang cocok",IF(COUNTIF(K45:P45,"Belum ada data")&gt;0,"Data belum lengkap",IF(COUNTIF(K45:P45,"Cukup")&gt;0,"Bisa, dengan catatan","Cocok")))))</f>
        <v/>
      </c>
      <c r="R45" s="66" t="str">
        <f aca="false">IF($A45="","",IF(K45="Kurang","prosesor tingkat "&amp;C45&amp;" dari 5, di bawah batas minimal (tingkat "&amp;Aturan!$C$30&amp;")",IF(K45="Cukup","prosesor tingkat "&amp;C45&amp;" dari 5 cukup, nyamannya mulai tingkat "&amp;Aturan!$D$30,IF(K45="Belum ada data","tingkat prosesor belum diisi",""))))</f>
        <v/>
      </c>
      <c r="S45" s="66" t="str">
        <f aca="false">IF($A45="","",IF(L45="Kurang","grafis tingkat "&amp;D45&amp;" dari 5, di bawah batas minimal (tingkat "&amp;Aturan!$C$31&amp;")",IF(L45="Cukup","grafis tingkat "&amp;D45&amp;" dari 5 cukup, nyamannya mulai tingkat "&amp;Aturan!$D$31,IF(L45="Belum ada data","tingkat grafis belum diisi",""))))</f>
        <v/>
      </c>
      <c r="T45" s="66" t="str">
        <f aca="false">IF($A45="","",IF(M45="Kurang","RAM "&amp;E45&amp;" GB, di bawah batas minimal "&amp;Aturan!$C$32&amp;" GB ("&amp;I45&amp;")",IF(M45="Cukup","RAM "&amp;E45&amp;" GB cukup, nyamannya "&amp;Aturan!$D$32&amp;" GB atau lebih ("&amp;I45&amp;")",IF(M45="Belum ada data","ukuran RAM belum diisi",""))))</f>
        <v/>
      </c>
      <c r="U45" s="66" t="str">
        <f aca="false">IF($A45="","",IF(N45="Kurang","penyimpanan "&amp;F45&amp;" GB, di bawah batas minimal "&amp;Aturan!$C$33&amp;" GB ("&amp;J45&amp;")",IF(N45="Cukup","penyimpanan "&amp;F45&amp;" GB cukup, nyamannya "&amp;Aturan!$D$33&amp;" GB atau lebih ("&amp;J45&amp;")",IF(N45="Belum ada data","ukuran penyimpanan belum diisi",""))))</f>
        <v/>
      </c>
      <c r="V45" s="66" t="str">
        <f aca="false">IF($A45="","",IF(O45="Kurang","layar "&amp;Varian!$AG13&amp;", di bawah batas minimal ("&amp;IFERROR(INDEX(Aturan!$A$63:$A$66,MATCH(Aturan!$C$34,Aturan!$B$63:$B$66,0)),"peringkat "&amp;Aturan!$C$34)&amp;")",IF(O45="Cukup","layar "&amp;Varian!$AG13&amp;" cukup, nyamannya "&amp;IFERROR(INDEX(Aturan!$A$63:$A$66,MATCH(Aturan!$D$34,Aturan!$B$63:$B$66,0)),"peringkat "&amp;Aturan!$D$34),IF(O45="Belum ada data","jenis layar belum diketahui",""))))</f>
        <v/>
      </c>
      <c r="W45" s="66" t="str">
        <f aca="false">IF($A45="","",IF(P45="Kurang","layar "&amp;H45&amp;" Hz, di bawah batas minimal "&amp;Aturan!$C$35&amp;" Hz",IF(P45="Cukup","layar "&amp;H45&amp;" Hz cukup, nyamannya "&amp;Aturan!$D$35&amp;" Hz atau lebih",IF(P45="Belum ada data","refresh rate belum diketahui",""))))</f>
        <v/>
      </c>
      <c r="X45" s="66" t="str">
        <f aca="false">IF($A45="","",IF(K45="Kurang",R45&amp;"; ","")&amp;IF(L45="Kurang",S45&amp;"; ","")&amp;IF(M45="Kurang",T45&amp;"; ","")&amp;IF(N45="Kurang",U45&amp;"; ","")&amp;IF(O45="Kurang",V45&amp;"; ","")&amp;IF(P45="Kurang",W45&amp;"; ","")&amp;IF(K45="Belum ada data",R45&amp;"; ","")&amp;IF(L45="Belum ada data",S45&amp;"; ","")&amp;IF(M45="Belum ada data",T45&amp;"; ","")&amp;IF(N45="Belum ada data",U45&amp;"; ","")&amp;IF(O45="Belum ada data",V45&amp;"; ","")&amp;IF(P45="Belum ada data",W45&amp;"; ","")&amp;IF(K45="Cukup",R45&amp;"; ","")&amp;IF(L45="Cukup",S45&amp;"; ","")&amp;IF(M45="Cukup",T45&amp;"; ","")&amp;IF(N45="Cukup",U45&amp;"; ","")&amp;IF(O45="Cukup",V45&amp;"; ","")&amp;IF(P45="Cukup",W45&amp;"; ",""))</f>
        <v/>
      </c>
      <c r="Y45" s="66" t="str">
        <f aca="false">IF($A45="","",IF(K45="Nyaman","prosesor, ","")&amp;IF(L45="Nyaman","grafis, ","")&amp;IF(M45="Nyaman","RAM, ","")&amp;IF(N45="Nyaman","penyimpanan, ","")&amp;IF(O45="Nyaman","layar, ","")&amp;IF(P45="Nyaman","refresh rate, ",""))</f>
        <v/>
      </c>
      <c r="Z45" s="66" t="str">
        <f aca="false">IF($A45="","",IF(Q45="Tidak dinilai","Belum ada kriteria yang dinilai untuk kebutuhan ini.",IF(Q45="Cocok","Semua kriteria yang dinilai sudah nyaman: "&amp;LEFT(Y45,LEN(Y45)-2)&amp;".",UPPER(LEFT(X45,1))&amp;MID(X45,2,LEN(X45)-3)&amp;"."&amp;IF(Y45="",""," Sudah nyaman: "&amp;LEFT(Y45,LEN(Y45)-2)&amp;"."))))</f>
        <v/>
      </c>
      <c r="AA45" s="66" t="str">
        <f aca="false">IF($A45="","",IF(Varian!$AR13="Windows 10","• "&amp;Aturan!$E$71&amp;CHAR(10),"")&amp;IF(Varian!$BB13="tidak","• "&amp;Aturan!$E$72&amp;CHAR(10),"")&amp;IF(OR(Varian!$AD13="belum terverifikasi",Varian!$AD13="tidak diketahui"),"• "&amp;Aturan!$E$73&amp;CHAR(10),"")&amp;IF(Varian!$AH13="1366x768","• "&amp;Aturan!$E$74&amp;CHAR(10),"")&amp;IF(Varian!$AG13="TN","• "&amp;Aturan!$E$75&amp;CHAR(10),"")&amp;IF(AND(Varian!$Q13="disolder",ISNUMBER(Varian!$M13),Varian!$M13&lt;=8),"• "&amp;Aturan!$E$76&amp;CHAR(10),""))</f>
        <v/>
      </c>
      <c r="AB45" s="66" t="str">
        <f aca="false">IF($A45="","",IF(AA45="","",LEFT(AA45,LEN(AA45)-1)))</f>
        <v/>
      </c>
      <c r="AC45" s="67" t="str">
        <f aca="false">IF($A45="","",IF(AA45="",0,LEN(AA45)-LEN(SUBSTITUTE(AA45,CHAR(10),""))))</f>
        <v/>
      </c>
    </row>
    <row r="46" customFormat="false" ht="15" hidden="false" customHeight="true" outlineLevel="0" collapsed="false">
      <c r="A46" s="33" t="str">
        <f aca="false">IF(Varian!$A13="","",Varian!$A13)</f>
        <v/>
      </c>
      <c r="B46" s="33" t="str">
        <f aca="false">IF($A46="","",Aturan!$A$22)</f>
        <v/>
      </c>
      <c r="C46" s="69" t="str">
        <f aca="false">IF($A46="","",IFERROR(IF(ISNUMBER(INDEX(CPU!$J$4:$J$64,MATCH(Varian!$J13,CPU!$A$4:$A$64,0))),INDEX(CPU!$J$4:$J$64,MATCH(Varian!$J13,CPU!$A$4:$A$64,0)),""),""))</f>
        <v/>
      </c>
      <c r="D46" s="69" t="str">
        <f aca="false">IF($A46="","",IFERROR(IF(ISNUMBER(INDEX(GPU!$G$4:$G$64,MATCH(Varian!$K13,GPU!$A$4:$A$64,0))),INDEX(GPU!$G$4:$G$64,MATCH(Varian!$K13,GPU!$A$4:$A$64,0)),""),""))</f>
        <v/>
      </c>
      <c r="E46" s="69" t="str">
        <f aca="false">IF($A46="","",IF(ISNUMBER(Varian!$M13),Varian!$M13,""))</f>
        <v/>
      </c>
      <c r="F46" s="69" t="str">
        <f aca="false">IF($A46="","",IF(ISNUMBER(Varian!$V13),Varian!$V13,""))</f>
        <v/>
      </c>
      <c r="G46" s="69" t="str">
        <f aca="false">IF($A46="","",IFERROR(INDEX(Aturan!$B$63:$B$66,MATCH(Varian!$AG13,Aturan!$A$63:$A$66,0)),""))</f>
        <v/>
      </c>
      <c r="H46" s="69" t="str">
        <f aca="false">IF($A46="","",IF(ISNUMBER(Varian!$AI13),Varian!$AI13,""))</f>
        <v/>
      </c>
      <c r="I46" s="33" t="str">
        <f aca="false">IF($A46="","",IF(Varian!$Q13="disolder","menempel di papan utama, tidak bisa ditambah",IF(OR(Varian!$Q13="slot",Varian!$Q13="setengah_disolder"),IF(Varian!$Q13="setengah_disolder","sebagian menempel, ","")&amp;IF(ISNUMBER(Varian!$U13),IF(AND(ISNUMBER(Varian!$M13),Varian!$U13&gt;Varian!$M13),"bisa dinaikkan lewat slot sampai "&amp;Varian!$U13&amp;" GB","sudah di batas maksimal "&amp;Varian!$U13&amp;" GB"),"ada slot, batas maksimalnya belum diketahui"),"belum diketahui apakah bisa ditambah")))</f>
        <v/>
      </c>
      <c r="J46" s="33" t="str">
        <f aca="false">IF($A46="","",IF(Varian!$Z13="ya","bisa diganti dengan yang lebih besar",IF(Varian!$Z13="tidak","menempel, tidak bisa diganti","belum diketahui apakah bisa diganti")))</f>
        <v/>
      </c>
      <c r="K46" s="70" t="str">
        <f aca="false">IF($A46="","",IF(AND(Aturan!$C$36="",Aturan!$D$36=""),"Tidak dinilai",IF(C46="","Belum ada data",IF(C46&lt;IF(Aturan!$C$36="",0,Aturan!$C$36),"Kurang",IF(C46&gt;=IF(Aturan!$D$36="",Aturan!$C$36,Aturan!$D$36),"Nyaman","Cukup")))))</f>
        <v/>
      </c>
      <c r="L46" s="70" t="str">
        <f aca="false">IF($A46="","",IF(AND(Aturan!$C$37="",Aturan!$D$37=""),"Tidak dinilai",IF(D46="","Belum ada data",IF(D46&lt;IF(Aturan!$C$37="",0,Aturan!$C$37),"Kurang",IF(D46&gt;=IF(Aturan!$D$37="",Aturan!$C$37,Aturan!$D$37),"Nyaman","Cukup")))))</f>
        <v/>
      </c>
      <c r="M46" s="70" t="str">
        <f aca="false">IF($A46="","",IF(AND(Aturan!$C$38="",Aturan!$D$38=""),"Tidak dinilai",IF(E46="","Belum ada data",IF(E46&lt;IF(Aturan!$C$38="",0,Aturan!$C$38),"Kurang",IF(E46&gt;=IF(Aturan!$D$38="",Aturan!$C$38,Aturan!$D$38),"Nyaman","Cukup")))))</f>
        <v/>
      </c>
      <c r="N46" s="70" t="str">
        <f aca="false">IF($A46="","",IF(AND(Aturan!$C$39="",Aturan!$D$39=""),"Tidak dinilai",IF(F46="","Belum ada data",IF(F46&lt;IF(Aturan!$C$39="",0,Aturan!$C$39),"Kurang",IF(F46&gt;=IF(Aturan!$D$39="",Aturan!$C$39,Aturan!$D$39),"Nyaman","Cukup")))))</f>
        <v/>
      </c>
      <c r="O46" s="70" t="str">
        <f aca="false">IF($A46="","",IF(AND(Aturan!$C$40="",Aturan!$D$40=""),"Tidak dinilai",IF(G46="","Belum ada data",IF(G46&lt;IF(Aturan!$C$40="",0,Aturan!$C$40),"Kurang",IF(G46&gt;=IF(Aturan!$D$40="",Aturan!$C$40,Aturan!$D$40),"Nyaman","Cukup")))))</f>
        <v/>
      </c>
      <c r="P46" s="70" t="str">
        <f aca="false">IF($A46="","",IF(AND(Aturan!$C$41="",Aturan!$D$41=""),"Tidak dinilai",IF(H46="","Belum ada data",IF(H46&lt;IF(Aturan!$C$41="",0,Aturan!$C$41),"Kurang",IF(H46&gt;=IF(Aturan!$D$41="",Aturan!$C$41,Aturan!$D$41),"Nyaman","Cukup")))))</f>
        <v/>
      </c>
      <c r="Q46" s="70" t="str">
        <f aca="false">IF($A46="","",IF(COUNTIF(K46:P46,"Tidak dinilai")=6,"Tidak dinilai",IF(COUNTIF(K46:P46,"Kurang")&gt;0,"Kurang cocok",IF(COUNTIF(K46:P46,"Belum ada data")&gt;0,"Data belum lengkap",IF(COUNTIF(K46:P46,"Cukup")&gt;0,"Bisa, dengan catatan","Cocok")))))</f>
        <v/>
      </c>
      <c r="R46" s="33" t="str">
        <f aca="false">IF($A46="","",IF(K46="Kurang","prosesor tingkat "&amp;C46&amp;" dari 5, di bawah batas minimal (tingkat "&amp;Aturan!$C$36&amp;")",IF(K46="Cukup","prosesor tingkat "&amp;C46&amp;" dari 5 cukup, nyamannya mulai tingkat "&amp;Aturan!$D$36,IF(K46="Belum ada data","tingkat prosesor belum diisi",""))))</f>
        <v/>
      </c>
      <c r="S46" s="33" t="str">
        <f aca="false">IF($A46="","",IF(L46="Kurang","grafis tingkat "&amp;D46&amp;" dari 5, di bawah batas minimal (tingkat "&amp;Aturan!$C$37&amp;")",IF(L46="Cukup","grafis tingkat "&amp;D46&amp;" dari 5 cukup, nyamannya mulai tingkat "&amp;Aturan!$D$37,IF(L46="Belum ada data","tingkat grafis belum diisi",""))))</f>
        <v/>
      </c>
      <c r="T46" s="33" t="str">
        <f aca="false">IF($A46="","",IF(M46="Kurang","RAM "&amp;E46&amp;" GB, di bawah batas minimal "&amp;Aturan!$C$38&amp;" GB ("&amp;I46&amp;")",IF(M46="Cukup","RAM "&amp;E46&amp;" GB cukup, nyamannya "&amp;Aturan!$D$38&amp;" GB atau lebih ("&amp;I46&amp;")",IF(M46="Belum ada data","ukuran RAM belum diisi",""))))</f>
        <v/>
      </c>
      <c r="U46" s="33" t="str">
        <f aca="false">IF($A46="","",IF(N46="Kurang","penyimpanan "&amp;F46&amp;" GB, di bawah batas minimal "&amp;Aturan!$C$39&amp;" GB ("&amp;J46&amp;")",IF(N46="Cukup","penyimpanan "&amp;F46&amp;" GB cukup, nyamannya "&amp;Aturan!$D$39&amp;" GB atau lebih ("&amp;J46&amp;")",IF(N46="Belum ada data","ukuran penyimpanan belum diisi",""))))</f>
        <v/>
      </c>
      <c r="V46" s="33" t="str">
        <f aca="false">IF($A46="","",IF(O46="Kurang","layar "&amp;Varian!$AG13&amp;", di bawah batas minimal ("&amp;IFERROR(INDEX(Aturan!$A$63:$A$66,MATCH(Aturan!$C$40,Aturan!$B$63:$B$66,0)),"peringkat "&amp;Aturan!$C$40)&amp;")",IF(O46="Cukup","layar "&amp;Varian!$AG13&amp;" cukup, nyamannya "&amp;IFERROR(INDEX(Aturan!$A$63:$A$66,MATCH(Aturan!$D$40,Aturan!$B$63:$B$66,0)),"peringkat "&amp;Aturan!$D$40),IF(O46="Belum ada data","jenis layar belum diketahui",""))))</f>
        <v/>
      </c>
      <c r="W46" s="33" t="str">
        <f aca="false">IF($A46="","",IF(P46="Kurang","layar "&amp;H46&amp;" Hz, di bawah batas minimal "&amp;Aturan!$C$41&amp;" Hz",IF(P46="Cukup","layar "&amp;H46&amp;" Hz cukup, nyamannya "&amp;Aturan!$D$41&amp;" Hz atau lebih",IF(P46="Belum ada data","refresh rate belum diketahui",""))))</f>
        <v/>
      </c>
      <c r="X46" s="33" t="str">
        <f aca="false">IF($A46="","",IF(K46="Kurang",R46&amp;"; ","")&amp;IF(L46="Kurang",S46&amp;"; ","")&amp;IF(M46="Kurang",T46&amp;"; ","")&amp;IF(N46="Kurang",U46&amp;"; ","")&amp;IF(O46="Kurang",V46&amp;"; ","")&amp;IF(P46="Kurang",W46&amp;"; ","")&amp;IF(K46="Belum ada data",R46&amp;"; ","")&amp;IF(L46="Belum ada data",S46&amp;"; ","")&amp;IF(M46="Belum ada data",T46&amp;"; ","")&amp;IF(N46="Belum ada data",U46&amp;"; ","")&amp;IF(O46="Belum ada data",V46&amp;"; ","")&amp;IF(P46="Belum ada data",W46&amp;"; ","")&amp;IF(K46="Cukup",R46&amp;"; ","")&amp;IF(L46="Cukup",S46&amp;"; ","")&amp;IF(M46="Cukup",T46&amp;"; ","")&amp;IF(N46="Cukup",U46&amp;"; ","")&amp;IF(O46="Cukup",V46&amp;"; ","")&amp;IF(P46="Cukup",W46&amp;"; ",""))</f>
        <v/>
      </c>
      <c r="Y46" s="33" t="str">
        <f aca="false">IF($A46="","",IF(K46="Nyaman","prosesor, ","")&amp;IF(L46="Nyaman","grafis, ","")&amp;IF(M46="Nyaman","RAM, ","")&amp;IF(N46="Nyaman","penyimpanan, ","")&amp;IF(O46="Nyaman","layar, ","")&amp;IF(P46="Nyaman","refresh rate, ",""))</f>
        <v/>
      </c>
      <c r="Z46" s="33" t="str">
        <f aca="false">IF($A46="","",IF(Q46="Tidak dinilai","Belum ada kriteria yang dinilai untuk kebutuhan ini.",IF(Q46="Cocok","Semua kriteria yang dinilai sudah nyaman: "&amp;LEFT(Y46,LEN(Y46)-2)&amp;".",UPPER(LEFT(X46,1))&amp;MID(X46,2,LEN(X46)-3)&amp;"."&amp;IF(Y46="",""," Sudah nyaman: "&amp;LEFT(Y46,LEN(Y46)-2)&amp;"."))))</f>
        <v/>
      </c>
      <c r="AA46" s="33"/>
      <c r="AB46" s="33"/>
      <c r="AC46" s="69"/>
    </row>
    <row r="47" customFormat="false" ht="15" hidden="false" customHeight="true" outlineLevel="0" collapsed="false">
      <c r="A47" s="33" t="str">
        <f aca="false">IF(Varian!$A13="","",Varian!$A13)</f>
        <v/>
      </c>
      <c r="B47" s="33" t="str">
        <f aca="false">IF($A47="","",Aturan!$A$23)</f>
        <v/>
      </c>
      <c r="C47" s="69" t="str">
        <f aca="false">IF($A47="","",IFERROR(IF(ISNUMBER(INDEX(CPU!$J$4:$J$64,MATCH(Varian!$J13,CPU!$A$4:$A$64,0))),INDEX(CPU!$J$4:$J$64,MATCH(Varian!$J13,CPU!$A$4:$A$64,0)),""),""))</f>
        <v/>
      </c>
      <c r="D47" s="69" t="str">
        <f aca="false">IF($A47="","",IFERROR(IF(ISNUMBER(INDEX(GPU!$G$4:$G$64,MATCH(Varian!$K13,GPU!$A$4:$A$64,0))),INDEX(GPU!$G$4:$G$64,MATCH(Varian!$K13,GPU!$A$4:$A$64,0)),""),""))</f>
        <v/>
      </c>
      <c r="E47" s="69" t="str">
        <f aca="false">IF($A47="","",IF(ISNUMBER(Varian!$M13),Varian!$M13,""))</f>
        <v/>
      </c>
      <c r="F47" s="69" t="str">
        <f aca="false">IF($A47="","",IF(ISNUMBER(Varian!$V13),Varian!$V13,""))</f>
        <v/>
      </c>
      <c r="G47" s="69" t="str">
        <f aca="false">IF($A47="","",IFERROR(INDEX(Aturan!$B$63:$B$66,MATCH(Varian!$AG13,Aturan!$A$63:$A$66,0)),""))</f>
        <v/>
      </c>
      <c r="H47" s="69" t="str">
        <f aca="false">IF($A47="","",IF(ISNUMBER(Varian!$AI13),Varian!$AI13,""))</f>
        <v/>
      </c>
      <c r="I47" s="33" t="str">
        <f aca="false">IF($A47="","",IF(Varian!$Q13="disolder","menempel di papan utama, tidak bisa ditambah",IF(OR(Varian!$Q13="slot",Varian!$Q13="setengah_disolder"),IF(Varian!$Q13="setengah_disolder","sebagian menempel, ","")&amp;IF(ISNUMBER(Varian!$U13),IF(AND(ISNUMBER(Varian!$M13),Varian!$U13&gt;Varian!$M13),"bisa dinaikkan lewat slot sampai "&amp;Varian!$U13&amp;" GB","sudah di batas maksimal "&amp;Varian!$U13&amp;" GB"),"ada slot, batas maksimalnya belum diketahui"),"belum diketahui apakah bisa ditambah")))</f>
        <v/>
      </c>
      <c r="J47" s="33" t="str">
        <f aca="false">IF($A47="","",IF(Varian!$Z13="ya","bisa diganti dengan yang lebih besar",IF(Varian!$Z13="tidak","menempel, tidak bisa diganti","belum diketahui apakah bisa diganti")))</f>
        <v/>
      </c>
      <c r="K47" s="70" t="str">
        <f aca="false">IF($A47="","",IF(AND(Aturan!$C$42="",Aturan!$D$42=""),"Tidak dinilai",IF(C47="","Belum ada data",IF(C47&lt;IF(Aturan!$C$42="",0,Aturan!$C$42),"Kurang",IF(C47&gt;=IF(Aturan!$D$42="",Aturan!$C$42,Aturan!$D$42),"Nyaman","Cukup")))))</f>
        <v/>
      </c>
      <c r="L47" s="70" t="str">
        <f aca="false">IF($A47="","",IF(AND(Aturan!$C$43="",Aturan!$D$43=""),"Tidak dinilai",IF(D47="","Belum ada data",IF(D47&lt;IF(Aturan!$C$43="",0,Aturan!$C$43),"Kurang",IF(D47&gt;=IF(Aturan!$D$43="",Aturan!$C$43,Aturan!$D$43),"Nyaman","Cukup")))))</f>
        <v/>
      </c>
      <c r="M47" s="70" t="str">
        <f aca="false">IF($A47="","",IF(AND(Aturan!$C$44="",Aturan!$D$44=""),"Tidak dinilai",IF(E47="","Belum ada data",IF(E47&lt;IF(Aturan!$C$44="",0,Aturan!$C$44),"Kurang",IF(E47&gt;=IF(Aturan!$D$44="",Aturan!$C$44,Aturan!$D$44),"Nyaman","Cukup")))))</f>
        <v/>
      </c>
      <c r="N47" s="70" t="str">
        <f aca="false">IF($A47="","",IF(AND(Aturan!$C$45="",Aturan!$D$45=""),"Tidak dinilai",IF(F47="","Belum ada data",IF(F47&lt;IF(Aturan!$C$45="",0,Aturan!$C$45),"Kurang",IF(F47&gt;=IF(Aturan!$D$45="",Aturan!$C$45,Aturan!$D$45),"Nyaman","Cukup")))))</f>
        <v/>
      </c>
      <c r="O47" s="70" t="str">
        <f aca="false">IF($A47="","",IF(AND(Aturan!$C$46="",Aturan!$D$46=""),"Tidak dinilai",IF(G47="","Belum ada data",IF(G47&lt;IF(Aturan!$C$46="",0,Aturan!$C$46),"Kurang",IF(G47&gt;=IF(Aturan!$D$46="",Aturan!$C$46,Aturan!$D$46),"Nyaman","Cukup")))))</f>
        <v/>
      </c>
      <c r="P47" s="70" t="str">
        <f aca="false">IF($A47="","",IF(AND(Aturan!$C$47="",Aturan!$D$47=""),"Tidak dinilai",IF(H47="","Belum ada data",IF(H47&lt;IF(Aturan!$C$47="",0,Aturan!$C$47),"Kurang",IF(H47&gt;=IF(Aturan!$D$47="",Aturan!$C$47,Aturan!$D$47),"Nyaman","Cukup")))))</f>
        <v/>
      </c>
      <c r="Q47" s="70" t="str">
        <f aca="false">IF($A47="","",IF(COUNTIF(K47:P47,"Tidak dinilai")=6,"Tidak dinilai",IF(COUNTIF(K47:P47,"Kurang")&gt;0,"Kurang cocok",IF(COUNTIF(K47:P47,"Belum ada data")&gt;0,"Data belum lengkap",IF(COUNTIF(K47:P47,"Cukup")&gt;0,"Bisa, dengan catatan","Cocok")))))</f>
        <v/>
      </c>
      <c r="R47" s="33" t="str">
        <f aca="false">IF($A47="","",IF(K47="Kurang","prosesor tingkat "&amp;C47&amp;" dari 5, di bawah batas minimal (tingkat "&amp;Aturan!$C$42&amp;")",IF(K47="Cukup","prosesor tingkat "&amp;C47&amp;" dari 5 cukup, nyamannya mulai tingkat "&amp;Aturan!$D$42,IF(K47="Belum ada data","tingkat prosesor belum diisi",""))))</f>
        <v/>
      </c>
      <c r="S47" s="33" t="str">
        <f aca="false">IF($A47="","",IF(L47="Kurang","grafis tingkat "&amp;D47&amp;" dari 5, di bawah batas minimal (tingkat "&amp;Aturan!$C$43&amp;")",IF(L47="Cukup","grafis tingkat "&amp;D47&amp;" dari 5 cukup, nyamannya mulai tingkat "&amp;Aturan!$D$43,IF(L47="Belum ada data","tingkat grafis belum diisi",""))))</f>
        <v/>
      </c>
      <c r="T47" s="33" t="str">
        <f aca="false">IF($A47="","",IF(M47="Kurang","RAM "&amp;E47&amp;" GB, di bawah batas minimal "&amp;Aturan!$C$44&amp;" GB ("&amp;I47&amp;")",IF(M47="Cukup","RAM "&amp;E47&amp;" GB cukup, nyamannya "&amp;Aturan!$D$44&amp;" GB atau lebih ("&amp;I47&amp;")",IF(M47="Belum ada data","ukuran RAM belum diisi",""))))</f>
        <v/>
      </c>
      <c r="U47" s="33" t="str">
        <f aca="false">IF($A47="","",IF(N47="Kurang","penyimpanan "&amp;F47&amp;" GB, di bawah batas minimal "&amp;Aturan!$C$45&amp;" GB ("&amp;J47&amp;")",IF(N47="Cukup","penyimpanan "&amp;F47&amp;" GB cukup, nyamannya "&amp;Aturan!$D$45&amp;" GB atau lebih ("&amp;J47&amp;")",IF(N47="Belum ada data","ukuran penyimpanan belum diisi",""))))</f>
        <v/>
      </c>
      <c r="V47" s="33" t="str">
        <f aca="false">IF($A47="","",IF(O47="Kurang","layar "&amp;Varian!$AG13&amp;", di bawah batas minimal ("&amp;IFERROR(INDEX(Aturan!$A$63:$A$66,MATCH(Aturan!$C$46,Aturan!$B$63:$B$66,0)),"peringkat "&amp;Aturan!$C$46)&amp;")",IF(O47="Cukup","layar "&amp;Varian!$AG13&amp;" cukup, nyamannya "&amp;IFERROR(INDEX(Aturan!$A$63:$A$66,MATCH(Aturan!$D$46,Aturan!$B$63:$B$66,0)),"peringkat "&amp;Aturan!$D$46),IF(O47="Belum ada data","jenis layar belum diketahui",""))))</f>
        <v/>
      </c>
      <c r="W47" s="33" t="str">
        <f aca="false">IF($A47="","",IF(P47="Kurang","layar "&amp;H47&amp;" Hz, di bawah batas minimal "&amp;Aturan!$C$47&amp;" Hz",IF(P47="Cukup","layar "&amp;H47&amp;" Hz cukup, nyamannya "&amp;Aturan!$D$47&amp;" Hz atau lebih",IF(P47="Belum ada data","refresh rate belum diketahui",""))))</f>
        <v/>
      </c>
      <c r="X47" s="33" t="str">
        <f aca="false">IF($A47="","",IF(K47="Kurang",R47&amp;"; ","")&amp;IF(L47="Kurang",S47&amp;"; ","")&amp;IF(M47="Kurang",T47&amp;"; ","")&amp;IF(N47="Kurang",U47&amp;"; ","")&amp;IF(O47="Kurang",V47&amp;"; ","")&amp;IF(P47="Kurang",W47&amp;"; ","")&amp;IF(K47="Belum ada data",R47&amp;"; ","")&amp;IF(L47="Belum ada data",S47&amp;"; ","")&amp;IF(M47="Belum ada data",T47&amp;"; ","")&amp;IF(N47="Belum ada data",U47&amp;"; ","")&amp;IF(O47="Belum ada data",V47&amp;"; ","")&amp;IF(P47="Belum ada data",W47&amp;"; ","")&amp;IF(K47="Cukup",R47&amp;"; ","")&amp;IF(L47="Cukup",S47&amp;"; ","")&amp;IF(M47="Cukup",T47&amp;"; ","")&amp;IF(N47="Cukup",U47&amp;"; ","")&amp;IF(O47="Cukup",V47&amp;"; ","")&amp;IF(P47="Cukup",W47&amp;"; ",""))</f>
        <v/>
      </c>
      <c r="Y47" s="33" t="str">
        <f aca="false">IF($A47="","",IF(K47="Nyaman","prosesor, ","")&amp;IF(L47="Nyaman","grafis, ","")&amp;IF(M47="Nyaman","RAM, ","")&amp;IF(N47="Nyaman","penyimpanan, ","")&amp;IF(O47="Nyaman","layar, ","")&amp;IF(P47="Nyaman","refresh rate, ",""))</f>
        <v/>
      </c>
      <c r="Z47" s="33" t="str">
        <f aca="false">IF($A47="","",IF(Q47="Tidak dinilai","Belum ada kriteria yang dinilai untuk kebutuhan ini.",IF(Q47="Cocok","Semua kriteria yang dinilai sudah nyaman: "&amp;LEFT(Y47,LEN(Y47)-2)&amp;".",UPPER(LEFT(X47,1))&amp;MID(X47,2,LEN(X47)-3)&amp;"."&amp;IF(Y47="",""," Sudah nyaman: "&amp;LEFT(Y47,LEN(Y47)-2)&amp;"."))))</f>
        <v/>
      </c>
      <c r="AA47" s="33"/>
      <c r="AB47" s="33"/>
      <c r="AC47" s="69"/>
    </row>
    <row r="48" customFormat="false" ht="15" hidden="false" customHeight="true" outlineLevel="0" collapsed="false">
      <c r="A48" s="33" t="str">
        <f aca="false">IF(Varian!$A13="","",Varian!$A13)</f>
        <v/>
      </c>
      <c r="B48" s="33" t="str">
        <f aca="false">IF($A48="","",Aturan!$A$24)</f>
        <v/>
      </c>
      <c r="C48" s="69" t="str">
        <f aca="false">IF($A48="","",IFERROR(IF(ISNUMBER(INDEX(CPU!$J$4:$J$64,MATCH(Varian!$J13,CPU!$A$4:$A$64,0))),INDEX(CPU!$J$4:$J$64,MATCH(Varian!$J13,CPU!$A$4:$A$64,0)),""),""))</f>
        <v/>
      </c>
      <c r="D48" s="69" t="str">
        <f aca="false">IF($A48="","",IFERROR(IF(ISNUMBER(INDEX(GPU!$G$4:$G$64,MATCH(Varian!$K13,GPU!$A$4:$A$64,0))),INDEX(GPU!$G$4:$G$64,MATCH(Varian!$K13,GPU!$A$4:$A$64,0)),""),""))</f>
        <v/>
      </c>
      <c r="E48" s="69" t="str">
        <f aca="false">IF($A48="","",IF(ISNUMBER(Varian!$M13),Varian!$M13,""))</f>
        <v/>
      </c>
      <c r="F48" s="69" t="str">
        <f aca="false">IF($A48="","",IF(ISNUMBER(Varian!$V13),Varian!$V13,""))</f>
        <v/>
      </c>
      <c r="G48" s="69" t="str">
        <f aca="false">IF($A48="","",IFERROR(INDEX(Aturan!$B$63:$B$66,MATCH(Varian!$AG13,Aturan!$A$63:$A$66,0)),""))</f>
        <v/>
      </c>
      <c r="H48" s="69" t="str">
        <f aca="false">IF($A48="","",IF(ISNUMBER(Varian!$AI13),Varian!$AI13,""))</f>
        <v/>
      </c>
      <c r="I48" s="33" t="str">
        <f aca="false">IF($A48="","",IF(Varian!$Q13="disolder","menempel di papan utama, tidak bisa ditambah",IF(OR(Varian!$Q13="slot",Varian!$Q13="setengah_disolder"),IF(Varian!$Q13="setengah_disolder","sebagian menempel, ","")&amp;IF(ISNUMBER(Varian!$U13),IF(AND(ISNUMBER(Varian!$M13),Varian!$U13&gt;Varian!$M13),"bisa dinaikkan lewat slot sampai "&amp;Varian!$U13&amp;" GB","sudah di batas maksimal "&amp;Varian!$U13&amp;" GB"),"ada slot, batas maksimalnya belum diketahui"),"belum diketahui apakah bisa ditambah")))</f>
        <v/>
      </c>
      <c r="J48" s="33" t="str">
        <f aca="false">IF($A48="","",IF(Varian!$Z13="ya","bisa diganti dengan yang lebih besar",IF(Varian!$Z13="tidak","menempel, tidak bisa diganti","belum diketahui apakah bisa diganti")))</f>
        <v/>
      </c>
      <c r="K48" s="70" t="str">
        <f aca="false">IF($A48="","",IF(AND(Aturan!$C$48="",Aturan!$D$48=""),"Tidak dinilai",IF(C48="","Belum ada data",IF(C48&lt;IF(Aturan!$C$48="",0,Aturan!$C$48),"Kurang",IF(C48&gt;=IF(Aturan!$D$48="",Aturan!$C$48,Aturan!$D$48),"Nyaman","Cukup")))))</f>
        <v/>
      </c>
      <c r="L48" s="70" t="str">
        <f aca="false">IF($A48="","",IF(AND(Aturan!$C$49="",Aturan!$D$49=""),"Tidak dinilai",IF(D48="","Belum ada data",IF(D48&lt;IF(Aturan!$C$49="",0,Aturan!$C$49),"Kurang",IF(D48&gt;=IF(Aturan!$D$49="",Aturan!$C$49,Aturan!$D$49),"Nyaman","Cukup")))))</f>
        <v/>
      </c>
      <c r="M48" s="70" t="str">
        <f aca="false">IF($A48="","",IF(AND(Aturan!$C$50="",Aturan!$D$50=""),"Tidak dinilai",IF(E48="","Belum ada data",IF(E48&lt;IF(Aturan!$C$50="",0,Aturan!$C$50),"Kurang",IF(E48&gt;=IF(Aturan!$D$50="",Aturan!$C$50,Aturan!$D$50),"Nyaman","Cukup")))))</f>
        <v/>
      </c>
      <c r="N48" s="70" t="str">
        <f aca="false">IF($A48="","",IF(AND(Aturan!$C$51="",Aturan!$D$51=""),"Tidak dinilai",IF(F48="","Belum ada data",IF(F48&lt;IF(Aturan!$C$51="",0,Aturan!$C$51),"Kurang",IF(F48&gt;=IF(Aturan!$D$51="",Aturan!$C$51,Aturan!$D$51),"Nyaman","Cukup")))))</f>
        <v/>
      </c>
      <c r="O48" s="70" t="str">
        <f aca="false">IF($A48="","",IF(AND(Aturan!$C$52="",Aturan!$D$52=""),"Tidak dinilai",IF(G48="","Belum ada data",IF(G48&lt;IF(Aturan!$C$52="",0,Aturan!$C$52),"Kurang",IF(G48&gt;=IF(Aturan!$D$52="",Aturan!$C$52,Aturan!$D$52),"Nyaman","Cukup")))))</f>
        <v/>
      </c>
      <c r="P48" s="70" t="str">
        <f aca="false">IF($A48="","",IF(AND(Aturan!$C$53="",Aturan!$D$53=""),"Tidak dinilai",IF(H48="","Belum ada data",IF(H48&lt;IF(Aturan!$C$53="",0,Aturan!$C$53),"Kurang",IF(H48&gt;=IF(Aturan!$D$53="",Aturan!$C$53,Aturan!$D$53),"Nyaman","Cukup")))))</f>
        <v/>
      </c>
      <c r="Q48" s="70" t="str">
        <f aca="false">IF($A48="","",IF(COUNTIF(K48:P48,"Tidak dinilai")=6,"Tidak dinilai",IF(COUNTIF(K48:P48,"Kurang")&gt;0,"Kurang cocok",IF(COUNTIF(K48:P48,"Belum ada data")&gt;0,"Data belum lengkap",IF(COUNTIF(K48:P48,"Cukup")&gt;0,"Bisa, dengan catatan","Cocok")))))</f>
        <v/>
      </c>
      <c r="R48" s="33" t="str">
        <f aca="false">IF($A48="","",IF(K48="Kurang","prosesor tingkat "&amp;C48&amp;" dari 5, di bawah batas minimal (tingkat "&amp;Aturan!$C$48&amp;")",IF(K48="Cukup","prosesor tingkat "&amp;C48&amp;" dari 5 cukup, nyamannya mulai tingkat "&amp;Aturan!$D$48,IF(K48="Belum ada data","tingkat prosesor belum diisi",""))))</f>
        <v/>
      </c>
      <c r="S48" s="33" t="str">
        <f aca="false">IF($A48="","",IF(L48="Kurang","grafis tingkat "&amp;D48&amp;" dari 5, di bawah batas minimal (tingkat "&amp;Aturan!$C$49&amp;")",IF(L48="Cukup","grafis tingkat "&amp;D48&amp;" dari 5 cukup, nyamannya mulai tingkat "&amp;Aturan!$D$49,IF(L48="Belum ada data","tingkat grafis belum diisi",""))))</f>
        <v/>
      </c>
      <c r="T48" s="33" t="str">
        <f aca="false">IF($A48="","",IF(M48="Kurang","RAM "&amp;E48&amp;" GB, di bawah batas minimal "&amp;Aturan!$C$50&amp;" GB ("&amp;I48&amp;")",IF(M48="Cukup","RAM "&amp;E48&amp;" GB cukup, nyamannya "&amp;Aturan!$D$50&amp;" GB atau lebih ("&amp;I48&amp;")",IF(M48="Belum ada data","ukuran RAM belum diisi",""))))</f>
        <v/>
      </c>
      <c r="U48" s="33" t="str">
        <f aca="false">IF($A48="","",IF(N48="Kurang","penyimpanan "&amp;F48&amp;" GB, di bawah batas minimal "&amp;Aturan!$C$51&amp;" GB ("&amp;J48&amp;")",IF(N48="Cukup","penyimpanan "&amp;F48&amp;" GB cukup, nyamannya "&amp;Aturan!$D$51&amp;" GB atau lebih ("&amp;J48&amp;")",IF(N48="Belum ada data","ukuran penyimpanan belum diisi",""))))</f>
        <v/>
      </c>
      <c r="V48" s="33" t="str">
        <f aca="false">IF($A48="","",IF(O48="Kurang","layar "&amp;Varian!$AG13&amp;", di bawah batas minimal ("&amp;IFERROR(INDEX(Aturan!$A$63:$A$66,MATCH(Aturan!$C$52,Aturan!$B$63:$B$66,0)),"peringkat "&amp;Aturan!$C$52)&amp;")",IF(O48="Cukup","layar "&amp;Varian!$AG13&amp;" cukup, nyamannya "&amp;IFERROR(INDEX(Aturan!$A$63:$A$66,MATCH(Aturan!$D$52,Aturan!$B$63:$B$66,0)),"peringkat "&amp;Aturan!$D$52),IF(O48="Belum ada data","jenis layar belum diketahui",""))))</f>
        <v/>
      </c>
      <c r="W48" s="33" t="str">
        <f aca="false">IF($A48="","",IF(P48="Kurang","layar "&amp;H48&amp;" Hz, di bawah batas minimal "&amp;Aturan!$C$53&amp;" Hz",IF(P48="Cukup","layar "&amp;H48&amp;" Hz cukup, nyamannya "&amp;Aturan!$D$53&amp;" Hz atau lebih",IF(P48="Belum ada data","refresh rate belum diketahui",""))))</f>
        <v/>
      </c>
      <c r="X48" s="33" t="str">
        <f aca="false">IF($A48="","",IF(K48="Kurang",R48&amp;"; ","")&amp;IF(L48="Kurang",S48&amp;"; ","")&amp;IF(M48="Kurang",T48&amp;"; ","")&amp;IF(N48="Kurang",U48&amp;"; ","")&amp;IF(O48="Kurang",V48&amp;"; ","")&amp;IF(P48="Kurang",W48&amp;"; ","")&amp;IF(K48="Belum ada data",R48&amp;"; ","")&amp;IF(L48="Belum ada data",S48&amp;"; ","")&amp;IF(M48="Belum ada data",T48&amp;"; ","")&amp;IF(N48="Belum ada data",U48&amp;"; ","")&amp;IF(O48="Belum ada data",V48&amp;"; ","")&amp;IF(P48="Belum ada data",W48&amp;"; ","")&amp;IF(K48="Cukup",R48&amp;"; ","")&amp;IF(L48="Cukup",S48&amp;"; ","")&amp;IF(M48="Cukup",T48&amp;"; ","")&amp;IF(N48="Cukup",U48&amp;"; ","")&amp;IF(O48="Cukup",V48&amp;"; ","")&amp;IF(P48="Cukup",W48&amp;"; ",""))</f>
        <v/>
      </c>
      <c r="Y48" s="33" t="str">
        <f aca="false">IF($A48="","",IF(K48="Nyaman","prosesor, ","")&amp;IF(L48="Nyaman","grafis, ","")&amp;IF(M48="Nyaman","RAM, ","")&amp;IF(N48="Nyaman","penyimpanan, ","")&amp;IF(O48="Nyaman","layar, ","")&amp;IF(P48="Nyaman","refresh rate, ",""))</f>
        <v/>
      </c>
      <c r="Z48" s="33" t="str">
        <f aca="false">IF($A48="","",IF(Q48="Tidak dinilai","Belum ada kriteria yang dinilai untuk kebutuhan ini.",IF(Q48="Cocok","Semua kriteria yang dinilai sudah nyaman: "&amp;LEFT(Y48,LEN(Y48)-2)&amp;".",UPPER(LEFT(X48,1))&amp;MID(X48,2,LEN(X48)-3)&amp;"."&amp;IF(Y48="",""," Sudah nyaman: "&amp;LEFT(Y48,LEN(Y48)-2)&amp;"."))))</f>
        <v/>
      </c>
      <c r="AA48" s="33"/>
      <c r="AB48" s="33"/>
      <c r="AC48" s="69"/>
    </row>
    <row r="49" customFormat="false" ht="15" hidden="false" customHeight="true" outlineLevel="0" collapsed="false">
      <c r="A49" s="33" t="str">
        <f aca="false">IF(Varian!$A13="","",Varian!$A13)</f>
        <v/>
      </c>
      <c r="B49" s="33" t="str">
        <f aca="false">IF($A49="","",Aturan!$A$25)</f>
        <v/>
      </c>
      <c r="C49" s="69" t="str">
        <f aca="false">IF($A49="","",IFERROR(IF(ISNUMBER(INDEX(CPU!$J$4:$J$64,MATCH(Varian!$J13,CPU!$A$4:$A$64,0))),INDEX(CPU!$J$4:$J$64,MATCH(Varian!$J13,CPU!$A$4:$A$64,0)),""),""))</f>
        <v/>
      </c>
      <c r="D49" s="69" t="str">
        <f aca="false">IF($A49="","",IFERROR(IF(ISNUMBER(INDEX(GPU!$G$4:$G$64,MATCH(Varian!$K13,GPU!$A$4:$A$64,0))),INDEX(GPU!$G$4:$G$64,MATCH(Varian!$K13,GPU!$A$4:$A$64,0)),""),""))</f>
        <v/>
      </c>
      <c r="E49" s="69" t="str">
        <f aca="false">IF($A49="","",IF(ISNUMBER(Varian!$M13),Varian!$M13,""))</f>
        <v/>
      </c>
      <c r="F49" s="69" t="str">
        <f aca="false">IF($A49="","",IF(ISNUMBER(Varian!$V13),Varian!$V13,""))</f>
        <v/>
      </c>
      <c r="G49" s="69" t="str">
        <f aca="false">IF($A49="","",IFERROR(INDEX(Aturan!$B$63:$B$66,MATCH(Varian!$AG13,Aturan!$A$63:$A$66,0)),""))</f>
        <v/>
      </c>
      <c r="H49" s="69" t="str">
        <f aca="false">IF($A49="","",IF(ISNUMBER(Varian!$AI13),Varian!$AI13,""))</f>
        <v/>
      </c>
      <c r="I49" s="33" t="str">
        <f aca="false">IF($A49="","",IF(Varian!$Q13="disolder","menempel di papan utama, tidak bisa ditambah",IF(OR(Varian!$Q13="slot",Varian!$Q13="setengah_disolder"),IF(Varian!$Q13="setengah_disolder","sebagian menempel, ","")&amp;IF(ISNUMBER(Varian!$U13),IF(AND(ISNUMBER(Varian!$M13),Varian!$U13&gt;Varian!$M13),"bisa dinaikkan lewat slot sampai "&amp;Varian!$U13&amp;" GB","sudah di batas maksimal "&amp;Varian!$U13&amp;" GB"),"ada slot, batas maksimalnya belum diketahui"),"belum diketahui apakah bisa ditambah")))</f>
        <v/>
      </c>
      <c r="J49" s="33" t="str">
        <f aca="false">IF($A49="","",IF(Varian!$Z13="ya","bisa diganti dengan yang lebih besar",IF(Varian!$Z13="tidak","menempel, tidak bisa diganti","belum diketahui apakah bisa diganti")))</f>
        <v/>
      </c>
      <c r="K49" s="70" t="str">
        <f aca="false">IF($A49="","",IF(AND(Aturan!$C$54="",Aturan!$D$54=""),"Tidak dinilai",IF(C49="","Belum ada data",IF(C49&lt;IF(Aturan!$C$54="",0,Aturan!$C$54),"Kurang",IF(C49&gt;=IF(Aturan!$D$54="",Aturan!$C$54,Aturan!$D$54),"Nyaman","Cukup")))))</f>
        <v/>
      </c>
      <c r="L49" s="70" t="str">
        <f aca="false">IF($A49="","",IF(AND(Aturan!$C$55="",Aturan!$D$55=""),"Tidak dinilai",IF(D49="","Belum ada data",IF(D49&lt;IF(Aturan!$C$55="",0,Aturan!$C$55),"Kurang",IF(D49&gt;=IF(Aturan!$D$55="",Aturan!$C$55,Aturan!$D$55),"Nyaman","Cukup")))))</f>
        <v/>
      </c>
      <c r="M49" s="70" t="str">
        <f aca="false">IF($A49="","",IF(AND(Aturan!$C$56="",Aturan!$D$56=""),"Tidak dinilai",IF(E49="","Belum ada data",IF(E49&lt;IF(Aturan!$C$56="",0,Aturan!$C$56),"Kurang",IF(E49&gt;=IF(Aturan!$D$56="",Aturan!$C$56,Aturan!$D$56),"Nyaman","Cukup")))))</f>
        <v/>
      </c>
      <c r="N49" s="70" t="str">
        <f aca="false">IF($A49="","",IF(AND(Aturan!$C$57="",Aturan!$D$57=""),"Tidak dinilai",IF(F49="","Belum ada data",IF(F49&lt;IF(Aturan!$C$57="",0,Aturan!$C$57),"Kurang",IF(F49&gt;=IF(Aturan!$D$57="",Aturan!$C$57,Aturan!$D$57),"Nyaman","Cukup")))))</f>
        <v/>
      </c>
      <c r="O49" s="70" t="str">
        <f aca="false">IF($A49="","",IF(AND(Aturan!$C$58="",Aturan!$D$58=""),"Tidak dinilai",IF(G49="","Belum ada data",IF(G49&lt;IF(Aturan!$C$58="",0,Aturan!$C$58),"Kurang",IF(G49&gt;=IF(Aturan!$D$58="",Aturan!$C$58,Aturan!$D$58),"Nyaman","Cukup")))))</f>
        <v/>
      </c>
      <c r="P49" s="70" t="str">
        <f aca="false">IF($A49="","",IF(AND(Aturan!$C$59="",Aturan!$D$59=""),"Tidak dinilai",IF(H49="","Belum ada data",IF(H49&lt;IF(Aturan!$C$59="",0,Aturan!$C$59),"Kurang",IF(H49&gt;=IF(Aturan!$D$59="",Aturan!$C$59,Aturan!$D$59),"Nyaman","Cukup")))))</f>
        <v/>
      </c>
      <c r="Q49" s="70" t="str">
        <f aca="false">IF($A49="","",IF(COUNTIF(K49:P49,"Tidak dinilai")=6,"Tidak dinilai",IF(COUNTIF(K49:P49,"Kurang")&gt;0,"Kurang cocok",IF(COUNTIF(K49:P49,"Belum ada data")&gt;0,"Data belum lengkap",IF(COUNTIF(K49:P49,"Cukup")&gt;0,"Bisa, dengan catatan","Cocok")))))</f>
        <v/>
      </c>
      <c r="R49" s="33" t="str">
        <f aca="false">IF($A49="","",IF(K49="Kurang","prosesor tingkat "&amp;C49&amp;" dari 5, di bawah batas minimal (tingkat "&amp;Aturan!$C$54&amp;")",IF(K49="Cukup","prosesor tingkat "&amp;C49&amp;" dari 5 cukup, nyamannya mulai tingkat "&amp;Aturan!$D$54,IF(K49="Belum ada data","tingkat prosesor belum diisi",""))))</f>
        <v/>
      </c>
      <c r="S49" s="33" t="str">
        <f aca="false">IF($A49="","",IF(L49="Kurang","grafis tingkat "&amp;D49&amp;" dari 5, di bawah batas minimal (tingkat "&amp;Aturan!$C$55&amp;")",IF(L49="Cukup","grafis tingkat "&amp;D49&amp;" dari 5 cukup, nyamannya mulai tingkat "&amp;Aturan!$D$55,IF(L49="Belum ada data","tingkat grafis belum diisi",""))))</f>
        <v/>
      </c>
      <c r="T49" s="33" t="str">
        <f aca="false">IF($A49="","",IF(M49="Kurang","RAM "&amp;E49&amp;" GB, di bawah batas minimal "&amp;Aturan!$C$56&amp;" GB ("&amp;I49&amp;")",IF(M49="Cukup","RAM "&amp;E49&amp;" GB cukup, nyamannya "&amp;Aturan!$D$56&amp;" GB atau lebih ("&amp;I49&amp;")",IF(M49="Belum ada data","ukuran RAM belum diisi",""))))</f>
        <v/>
      </c>
      <c r="U49" s="33" t="str">
        <f aca="false">IF($A49="","",IF(N49="Kurang","penyimpanan "&amp;F49&amp;" GB, di bawah batas minimal "&amp;Aturan!$C$57&amp;" GB ("&amp;J49&amp;")",IF(N49="Cukup","penyimpanan "&amp;F49&amp;" GB cukup, nyamannya "&amp;Aturan!$D$57&amp;" GB atau lebih ("&amp;J49&amp;")",IF(N49="Belum ada data","ukuran penyimpanan belum diisi",""))))</f>
        <v/>
      </c>
      <c r="V49" s="33" t="str">
        <f aca="false">IF($A49="","",IF(O49="Kurang","layar "&amp;Varian!$AG13&amp;", di bawah batas minimal ("&amp;IFERROR(INDEX(Aturan!$A$63:$A$66,MATCH(Aturan!$C$58,Aturan!$B$63:$B$66,0)),"peringkat "&amp;Aturan!$C$58)&amp;")",IF(O49="Cukup","layar "&amp;Varian!$AG13&amp;" cukup, nyamannya "&amp;IFERROR(INDEX(Aturan!$A$63:$A$66,MATCH(Aturan!$D$58,Aturan!$B$63:$B$66,0)),"peringkat "&amp;Aturan!$D$58),IF(O49="Belum ada data","jenis layar belum diketahui",""))))</f>
        <v/>
      </c>
      <c r="W49" s="33" t="str">
        <f aca="false">IF($A49="","",IF(P49="Kurang","layar "&amp;H49&amp;" Hz, di bawah batas minimal "&amp;Aturan!$C$59&amp;" Hz",IF(P49="Cukup","layar "&amp;H49&amp;" Hz cukup, nyamannya "&amp;Aturan!$D$59&amp;" Hz atau lebih",IF(P49="Belum ada data","refresh rate belum diketahui",""))))</f>
        <v/>
      </c>
      <c r="X49" s="33" t="str">
        <f aca="false">IF($A49="","",IF(K49="Kurang",R49&amp;"; ","")&amp;IF(L49="Kurang",S49&amp;"; ","")&amp;IF(M49="Kurang",T49&amp;"; ","")&amp;IF(N49="Kurang",U49&amp;"; ","")&amp;IF(O49="Kurang",V49&amp;"; ","")&amp;IF(P49="Kurang",W49&amp;"; ","")&amp;IF(K49="Belum ada data",R49&amp;"; ","")&amp;IF(L49="Belum ada data",S49&amp;"; ","")&amp;IF(M49="Belum ada data",T49&amp;"; ","")&amp;IF(N49="Belum ada data",U49&amp;"; ","")&amp;IF(O49="Belum ada data",V49&amp;"; ","")&amp;IF(P49="Belum ada data",W49&amp;"; ","")&amp;IF(K49="Cukup",R49&amp;"; ","")&amp;IF(L49="Cukup",S49&amp;"; ","")&amp;IF(M49="Cukup",T49&amp;"; ","")&amp;IF(N49="Cukup",U49&amp;"; ","")&amp;IF(O49="Cukup",V49&amp;"; ","")&amp;IF(P49="Cukup",W49&amp;"; ",""))</f>
        <v/>
      </c>
      <c r="Y49" s="33" t="str">
        <f aca="false">IF($A49="","",IF(K49="Nyaman","prosesor, ","")&amp;IF(L49="Nyaman","grafis, ","")&amp;IF(M49="Nyaman","RAM, ","")&amp;IF(N49="Nyaman","penyimpanan, ","")&amp;IF(O49="Nyaman","layar, ","")&amp;IF(P49="Nyaman","refresh rate, ",""))</f>
        <v/>
      </c>
      <c r="Z49" s="33" t="str">
        <f aca="false">IF($A49="","",IF(Q49="Tidak dinilai","Belum ada kriteria yang dinilai untuk kebutuhan ini.",IF(Q49="Cocok","Semua kriteria yang dinilai sudah nyaman: "&amp;LEFT(Y49,LEN(Y49)-2)&amp;".",UPPER(LEFT(X49,1))&amp;MID(X49,2,LEN(X49)-3)&amp;"."&amp;IF(Y49="",""," Sudah nyaman: "&amp;LEFT(Y49,LEN(Y49)-2)&amp;"."))))</f>
        <v/>
      </c>
      <c r="AA49" s="33"/>
      <c r="AB49" s="33"/>
      <c r="AC49" s="69"/>
    </row>
    <row r="50" customFormat="false" ht="15" hidden="false" customHeight="true" outlineLevel="0" collapsed="false">
      <c r="A50" s="66" t="str">
        <f aca="false">IF(Varian!$A14="","",Varian!$A14)</f>
        <v/>
      </c>
      <c r="B50" s="66" t="str">
        <f aca="false">IF($A50="","",Aturan!$A$21)</f>
        <v/>
      </c>
      <c r="C50" s="67" t="str">
        <f aca="false">IF($A50="","",IFERROR(IF(ISNUMBER(INDEX(CPU!$J$4:$J$64,MATCH(Varian!$J14,CPU!$A$4:$A$64,0))),INDEX(CPU!$J$4:$J$64,MATCH(Varian!$J14,CPU!$A$4:$A$64,0)),""),""))</f>
        <v/>
      </c>
      <c r="D50" s="67" t="str">
        <f aca="false">IF($A50="","",IFERROR(IF(ISNUMBER(INDEX(GPU!$G$4:$G$64,MATCH(Varian!$K14,GPU!$A$4:$A$64,0))),INDEX(GPU!$G$4:$G$64,MATCH(Varian!$K14,GPU!$A$4:$A$64,0)),""),""))</f>
        <v/>
      </c>
      <c r="E50" s="67" t="str">
        <f aca="false">IF($A50="","",IF(ISNUMBER(Varian!$M14),Varian!$M14,""))</f>
        <v/>
      </c>
      <c r="F50" s="67" t="str">
        <f aca="false">IF($A50="","",IF(ISNUMBER(Varian!$V14),Varian!$V14,""))</f>
        <v/>
      </c>
      <c r="G50" s="67" t="str">
        <f aca="false">IF($A50="","",IFERROR(INDEX(Aturan!$B$63:$B$66,MATCH(Varian!$AG14,Aturan!$A$63:$A$66,0)),""))</f>
        <v/>
      </c>
      <c r="H50" s="67" t="str">
        <f aca="false">IF($A50="","",IF(ISNUMBER(Varian!$AI14),Varian!$AI14,""))</f>
        <v/>
      </c>
      <c r="I50" s="66" t="str">
        <f aca="false">IF($A50="","",IF(Varian!$Q14="disolder","menempel di papan utama, tidak bisa ditambah",IF(OR(Varian!$Q14="slot",Varian!$Q14="setengah_disolder"),IF(Varian!$Q14="setengah_disolder","sebagian menempel, ","")&amp;IF(ISNUMBER(Varian!$U14),IF(AND(ISNUMBER(Varian!$M14),Varian!$U14&gt;Varian!$M14),"bisa dinaikkan lewat slot sampai "&amp;Varian!$U14&amp;" GB","sudah di batas maksimal "&amp;Varian!$U14&amp;" GB"),"ada slot, batas maksimalnya belum diketahui"),"belum diketahui apakah bisa ditambah")))</f>
        <v/>
      </c>
      <c r="J50" s="66" t="str">
        <f aca="false">IF($A50="","",IF(Varian!$Z14="ya","bisa diganti dengan yang lebih besar",IF(Varian!$Z14="tidak","menempel, tidak bisa diganti","belum diketahui apakah bisa diganti")))</f>
        <v/>
      </c>
      <c r="K50" s="68" t="str">
        <f aca="false">IF($A50="","",IF(AND(Aturan!$C$30="",Aturan!$D$30=""),"Tidak dinilai",IF(C50="","Belum ada data",IF(C50&lt;IF(Aturan!$C$30="",0,Aturan!$C$30),"Kurang",IF(C50&gt;=IF(Aturan!$D$30="",Aturan!$C$30,Aturan!$D$30),"Nyaman","Cukup")))))</f>
        <v/>
      </c>
      <c r="L50" s="68" t="str">
        <f aca="false">IF($A50="","",IF(AND(Aturan!$C$31="",Aturan!$D$31=""),"Tidak dinilai",IF(D50="","Belum ada data",IF(D50&lt;IF(Aturan!$C$31="",0,Aturan!$C$31),"Kurang",IF(D50&gt;=IF(Aturan!$D$31="",Aturan!$C$31,Aturan!$D$31),"Nyaman","Cukup")))))</f>
        <v/>
      </c>
      <c r="M50" s="68" t="str">
        <f aca="false">IF($A50="","",IF(AND(Aturan!$C$32="",Aturan!$D$32=""),"Tidak dinilai",IF(E50="","Belum ada data",IF(E50&lt;IF(Aturan!$C$32="",0,Aturan!$C$32),"Kurang",IF(E50&gt;=IF(Aturan!$D$32="",Aturan!$C$32,Aturan!$D$32),"Nyaman","Cukup")))))</f>
        <v/>
      </c>
      <c r="N50" s="68" t="str">
        <f aca="false">IF($A50="","",IF(AND(Aturan!$C$33="",Aturan!$D$33=""),"Tidak dinilai",IF(F50="","Belum ada data",IF(F50&lt;IF(Aturan!$C$33="",0,Aturan!$C$33),"Kurang",IF(F50&gt;=IF(Aturan!$D$33="",Aturan!$C$33,Aturan!$D$33),"Nyaman","Cukup")))))</f>
        <v/>
      </c>
      <c r="O50" s="68" t="str">
        <f aca="false">IF($A50="","",IF(AND(Aturan!$C$34="",Aturan!$D$34=""),"Tidak dinilai",IF(G50="","Belum ada data",IF(G50&lt;IF(Aturan!$C$34="",0,Aturan!$C$34),"Kurang",IF(G50&gt;=IF(Aturan!$D$34="",Aturan!$C$34,Aturan!$D$34),"Nyaman","Cukup")))))</f>
        <v/>
      </c>
      <c r="P50" s="68" t="str">
        <f aca="false">IF($A50="","",IF(AND(Aturan!$C$35="",Aturan!$D$35=""),"Tidak dinilai",IF(H50="","Belum ada data",IF(H50&lt;IF(Aturan!$C$35="",0,Aturan!$C$35),"Kurang",IF(H50&gt;=IF(Aturan!$D$35="",Aturan!$C$35,Aturan!$D$35),"Nyaman","Cukup")))))</f>
        <v/>
      </c>
      <c r="Q50" s="68" t="str">
        <f aca="false">IF($A50="","",IF(COUNTIF(K50:P50,"Tidak dinilai")=6,"Tidak dinilai",IF(COUNTIF(K50:P50,"Kurang")&gt;0,"Kurang cocok",IF(COUNTIF(K50:P50,"Belum ada data")&gt;0,"Data belum lengkap",IF(COUNTIF(K50:P50,"Cukup")&gt;0,"Bisa, dengan catatan","Cocok")))))</f>
        <v/>
      </c>
      <c r="R50" s="66" t="str">
        <f aca="false">IF($A50="","",IF(K50="Kurang","prosesor tingkat "&amp;C50&amp;" dari 5, di bawah batas minimal (tingkat "&amp;Aturan!$C$30&amp;")",IF(K50="Cukup","prosesor tingkat "&amp;C50&amp;" dari 5 cukup, nyamannya mulai tingkat "&amp;Aturan!$D$30,IF(K50="Belum ada data","tingkat prosesor belum diisi",""))))</f>
        <v/>
      </c>
      <c r="S50" s="66" t="str">
        <f aca="false">IF($A50="","",IF(L50="Kurang","grafis tingkat "&amp;D50&amp;" dari 5, di bawah batas minimal (tingkat "&amp;Aturan!$C$31&amp;")",IF(L50="Cukup","grafis tingkat "&amp;D50&amp;" dari 5 cukup, nyamannya mulai tingkat "&amp;Aturan!$D$31,IF(L50="Belum ada data","tingkat grafis belum diisi",""))))</f>
        <v/>
      </c>
      <c r="T50" s="66" t="str">
        <f aca="false">IF($A50="","",IF(M50="Kurang","RAM "&amp;E50&amp;" GB, di bawah batas minimal "&amp;Aturan!$C$32&amp;" GB ("&amp;I50&amp;")",IF(M50="Cukup","RAM "&amp;E50&amp;" GB cukup, nyamannya "&amp;Aturan!$D$32&amp;" GB atau lebih ("&amp;I50&amp;")",IF(M50="Belum ada data","ukuran RAM belum diisi",""))))</f>
        <v/>
      </c>
      <c r="U50" s="66" t="str">
        <f aca="false">IF($A50="","",IF(N50="Kurang","penyimpanan "&amp;F50&amp;" GB, di bawah batas minimal "&amp;Aturan!$C$33&amp;" GB ("&amp;J50&amp;")",IF(N50="Cukup","penyimpanan "&amp;F50&amp;" GB cukup, nyamannya "&amp;Aturan!$D$33&amp;" GB atau lebih ("&amp;J50&amp;")",IF(N50="Belum ada data","ukuran penyimpanan belum diisi",""))))</f>
        <v/>
      </c>
      <c r="V50" s="66" t="str">
        <f aca="false">IF($A50="","",IF(O50="Kurang","layar "&amp;Varian!$AG14&amp;", di bawah batas minimal ("&amp;IFERROR(INDEX(Aturan!$A$63:$A$66,MATCH(Aturan!$C$34,Aturan!$B$63:$B$66,0)),"peringkat "&amp;Aturan!$C$34)&amp;")",IF(O50="Cukup","layar "&amp;Varian!$AG14&amp;" cukup, nyamannya "&amp;IFERROR(INDEX(Aturan!$A$63:$A$66,MATCH(Aturan!$D$34,Aturan!$B$63:$B$66,0)),"peringkat "&amp;Aturan!$D$34),IF(O50="Belum ada data","jenis layar belum diketahui",""))))</f>
        <v/>
      </c>
      <c r="W50" s="66" t="str">
        <f aca="false">IF($A50="","",IF(P50="Kurang","layar "&amp;H50&amp;" Hz, di bawah batas minimal "&amp;Aturan!$C$35&amp;" Hz",IF(P50="Cukup","layar "&amp;H50&amp;" Hz cukup, nyamannya "&amp;Aturan!$D$35&amp;" Hz atau lebih",IF(P50="Belum ada data","refresh rate belum diketahui",""))))</f>
        <v/>
      </c>
      <c r="X50" s="66" t="str">
        <f aca="false">IF($A50="","",IF(K50="Kurang",R50&amp;"; ","")&amp;IF(L50="Kurang",S50&amp;"; ","")&amp;IF(M50="Kurang",T50&amp;"; ","")&amp;IF(N50="Kurang",U50&amp;"; ","")&amp;IF(O50="Kurang",V50&amp;"; ","")&amp;IF(P50="Kurang",W50&amp;"; ","")&amp;IF(K50="Belum ada data",R50&amp;"; ","")&amp;IF(L50="Belum ada data",S50&amp;"; ","")&amp;IF(M50="Belum ada data",T50&amp;"; ","")&amp;IF(N50="Belum ada data",U50&amp;"; ","")&amp;IF(O50="Belum ada data",V50&amp;"; ","")&amp;IF(P50="Belum ada data",W50&amp;"; ","")&amp;IF(K50="Cukup",R50&amp;"; ","")&amp;IF(L50="Cukup",S50&amp;"; ","")&amp;IF(M50="Cukup",T50&amp;"; ","")&amp;IF(N50="Cukup",U50&amp;"; ","")&amp;IF(O50="Cukup",V50&amp;"; ","")&amp;IF(P50="Cukup",W50&amp;"; ",""))</f>
        <v/>
      </c>
      <c r="Y50" s="66" t="str">
        <f aca="false">IF($A50="","",IF(K50="Nyaman","prosesor, ","")&amp;IF(L50="Nyaman","grafis, ","")&amp;IF(M50="Nyaman","RAM, ","")&amp;IF(N50="Nyaman","penyimpanan, ","")&amp;IF(O50="Nyaman","layar, ","")&amp;IF(P50="Nyaman","refresh rate, ",""))</f>
        <v/>
      </c>
      <c r="Z50" s="66" t="str">
        <f aca="false">IF($A50="","",IF(Q50="Tidak dinilai","Belum ada kriteria yang dinilai untuk kebutuhan ini.",IF(Q50="Cocok","Semua kriteria yang dinilai sudah nyaman: "&amp;LEFT(Y50,LEN(Y50)-2)&amp;".",UPPER(LEFT(X50,1))&amp;MID(X50,2,LEN(X50)-3)&amp;"."&amp;IF(Y50="",""," Sudah nyaman: "&amp;LEFT(Y50,LEN(Y50)-2)&amp;"."))))</f>
        <v/>
      </c>
      <c r="AA50" s="66" t="str">
        <f aca="false">IF($A50="","",IF(Varian!$AR14="Windows 10","• "&amp;Aturan!$E$71&amp;CHAR(10),"")&amp;IF(Varian!$BB14="tidak","• "&amp;Aturan!$E$72&amp;CHAR(10),"")&amp;IF(OR(Varian!$AD14="belum terverifikasi",Varian!$AD14="tidak diketahui"),"• "&amp;Aturan!$E$73&amp;CHAR(10),"")&amp;IF(Varian!$AH14="1366x768","• "&amp;Aturan!$E$74&amp;CHAR(10),"")&amp;IF(Varian!$AG14="TN","• "&amp;Aturan!$E$75&amp;CHAR(10),"")&amp;IF(AND(Varian!$Q14="disolder",ISNUMBER(Varian!$M14),Varian!$M14&lt;=8),"• "&amp;Aturan!$E$76&amp;CHAR(10),""))</f>
        <v/>
      </c>
      <c r="AB50" s="66" t="str">
        <f aca="false">IF($A50="","",IF(AA50="","",LEFT(AA50,LEN(AA50)-1)))</f>
        <v/>
      </c>
      <c r="AC50" s="67" t="str">
        <f aca="false">IF($A50="","",IF(AA50="",0,LEN(AA50)-LEN(SUBSTITUTE(AA50,CHAR(10),""))))</f>
        <v/>
      </c>
    </row>
    <row r="51" customFormat="false" ht="15" hidden="false" customHeight="true" outlineLevel="0" collapsed="false">
      <c r="A51" s="33" t="str">
        <f aca="false">IF(Varian!$A14="","",Varian!$A14)</f>
        <v/>
      </c>
      <c r="B51" s="33" t="str">
        <f aca="false">IF($A51="","",Aturan!$A$22)</f>
        <v/>
      </c>
      <c r="C51" s="69" t="str">
        <f aca="false">IF($A51="","",IFERROR(IF(ISNUMBER(INDEX(CPU!$J$4:$J$64,MATCH(Varian!$J14,CPU!$A$4:$A$64,0))),INDEX(CPU!$J$4:$J$64,MATCH(Varian!$J14,CPU!$A$4:$A$64,0)),""),""))</f>
        <v/>
      </c>
      <c r="D51" s="69" t="str">
        <f aca="false">IF($A51="","",IFERROR(IF(ISNUMBER(INDEX(GPU!$G$4:$G$64,MATCH(Varian!$K14,GPU!$A$4:$A$64,0))),INDEX(GPU!$G$4:$G$64,MATCH(Varian!$K14,GPU!$A$4:$A$64,0)),""),""))</f>
        <v/>
      </c>
      <c r="E51" s="69" t="str">
        <f aca="false">IF($A51="","",IF(ISNUMBER(Varian!$M14),Varian!$M14,""))</f>
        <v/>
      </c>
      <c r="F51" s="69" t="str">
        <f aca="false">IF($A51="","",IF(ISNUMBER(Varian!$V14),Varian!$V14,""))</f>
        <v/>
      </c>
      <c r="G51" s="69" t="str">
        <f aca="false">IF($A51="","",IFERROR(INDEX(Aturan!$B$63:$B$66,MATCH(Varian!$AG14,Aturan!$A$63:$A$66,0)),""))</f>
        <v/>
      </c>
      <c r="H51" s="69" t="str">
        <f aca="false">IF($A51="","",IF(ISNUMBER(Varian!$AI14),Varian!$AI14,""))</f>
        <v/>
      </c>
      <c r="I51" s="33" t="str">
        <f aca="false">IF($A51="","",IF(Varian!$Q14="disolder","menempel di papan utama, tidak bisa ditambah",IF(OR(Varian!$Q14="slot",Varian!$Q14="setengah_disolder"),IF(Varian!$Q14="setengah_disolder","sebagian menempel, ","")&amp;IF(ISNUMBER(Varian!$U14),IF(AND(ISNUMBER(Varian!$M14),Varian!$U14&gt;Varian!$M14),"bisa dinaikkan lewat slot sampai "&amp;Varian!$U14&amp;" GB","sudah di batas maksimal "&amp;Varian!$U14&amp;" GB"),"ada slot, batas maksimalnya belum diketahui"),"belum diketahui apakah bisa ditambah")))</f>
        <v/>
      </c>
      <c r="J51" s="33" t="str">
        <f aca="false">IF($A51="","",IF(Varian!$Z14="ya","bisa diganti dengan yang lebih besar",IF(Varian!$Z14="tidak","menempel, tidak bisa diganti","belum diketahui apakah bisa diganti")))</f>
        <v/>
      </c>
      <c r="K51" s="70" t="str">
        <f aca="false">IF($A51="","",IF(AND(Aturan!$C$36="",Aturan!$D$36=""),"Tidak dinilai",IF(C51="","Belum ada data",IF(C51&lt;IF(Aturan!$C$36="",0,Aturan!$C$36),"Kurang",IF(C51&gt;=IF(Aturan!$D$36="",Aturan!$C$36,Aturan!$D$36),"Nyaman","Cukup")))))</f>
        <v/>
      </c>
      <c r="L51" s="70" t="str">
        <f aca="false">IF($A51="","",IF(AND(Aturan!$C$37="",Aturan!$D$37=""),"Tidak dinilai",IF(D51="","Belum ada data",IF(D51&lt;IF(Aturan!$C$37="",0,Aturan!$C$37),"Kurang",IF(D51&gt;=IF(Aturan!$D$37="",Aturan!$C$37,Aturan!$D$37),"Nyaman","Cukup")))))</f>
        <v/>
      </c>
      <c r="M51" s="70" t="str">
        <f aca="false">IF($A51="","",IF(AND(Aturan!$C$38="",Aturan!$D$38=""),"Tidak dinilai",IF(E51="","Belum ada data",IF(E51&lt;IF(Aturan!$C$38="",0,Aturan!$C$38),"Kurang",IF(E51&gt;=IF(Aturan!$D$38="",Aturan!$C$38,Aturan!$D$38),"Nyaman","Cukup")))))</f>
        <v/>
      </c>
      <c r="N51" s="70" t="str">
        <f aca="false">IF($A51="","",IF(AND(Aturan!$C$39="",Aturan!$D$39=""),"Tidak dinilai",IF(F51="","Belum ada data",IF(F51&lt;IF(Aturan!$C$39="",0,Aturan!$C$39),"Kurang",IF(F51&gt;=IF(Aturan!$D$39="",Aturan!$C$39,Aturan!$D$39),"Nyaman","Cukup")))))</f>
        <v/>
      </c>
      <c r="O51" s="70" t="str">
        <f aca="false">IF($A51="","",IF(AND(Aturan!$C$40="",Aturan!$D$40=""),"Tidak dinilai",IF(G51="","Belum ada data",IF(G51&lt;IF(Aturan!$C$40="",0,Aturan!$C$40),"Kurang",IF(G51&gt;=IF(Aturan!$D$40="",Aturan!$C$40,Aturan!$D$40),"Nyaman","Cukup")))))</f>
        <v/>
      </c>
      <c r="P51" s="70" t="str">
        <f aca="false">IF($A51="","",IF(AND(Aturan!$C$41="",Aturan!$D$41=""),"Tidak dinilai",IF(H51="","Belum ada data",IF(H51&lt;IF(Aturan!$C$41="",0,Aturan!$C$41),"Kurang",IF(H51&gt;=IF(Aturan!$D$41="",Aturan!$C$41,Aturan!$D$41),"Nyaman","Cukup")))))</f>
        <v/>
      </c>
      <c r="Q51" s="70" t="str">
        <f aca="false">IF($A51="","",IF(COUNTIF(K51:P51,"Tidak dinilai")=6,"Tidak dinilai",IF(COUNTIF(K51:P51,"Kurang")&gt;0,"Kurang cocok",IF(COUNTIF(K51:P51,"Belum ada data")&gt;0,"Data belum lengkap",IF(COUNTIF(K51:P51,"Cukup")&gt;0,"Bisa, dengan catatan","Cocok")))))</f>
        <v/>
      </c>
      <c r="R51" s="33" t="str">
        <f aca="false">IF($A51="","",IF(K51="Kurang","prosesor tingkat "&amp;C51&amp;" dari 5, di bawah batas minimal (tingkat "&amp;Aturan!$C$36&amp;")",IF(K51="Cukup","prosesor tingkat "&amp;C51&amp;" dari 5 cukup, nyamannya mulai tingkat "&amp;Aturan!$D$36,IF(K51="Belum ada data","tingkat prosesor belum diisi",""))))</f>
        <v/>
      </c>
      <c r="S51" s="33" t="str">
        <f aca="false">IF($A51="","",IF(L51="Kurang","grafis tingkat "&amp;D51&amp;" dari 5, di bawah batas minimal (tingkat "&amp;Aturan!$C$37&amp;")",IF(L51="Cukup","grafis tingkat "&amp;D51&amp;" dari 5 cukup, nyamannya mulai tingkat "&amp;Aturan!$D$37,IF(L51="Belum ada data","tingkat grafis belum diisi",""))))</f>
        <v/>
      </c>
      <c r="T51" s="33" t="str">
        <f aca="false">IF($A51="","",IF(M51="Kurang","RAM "&amp;E51&amp;" GB, di bawah batas minimal "&amp;Aturan!$C$38&amp;" GB ("&amp;I51&amp;")",IF(M51="Cukup","RAM "&amp;E51&amp;" GB cukup, nyamannya "&amp;Aturan!$D$38&amp;" GB atau lebih ("&amp;I51&amp;")",IF(M51="Belum ada data","ukuran RAM belum diisi",""))))</f>
        <v/>
      </c>
      <c r="U51" s="33" t="str">
        <f aca="false">IF($A51="","",IF(N51="Kurang","penyimpanan "&amp;F51&amp;" GB, di bawah batas minimal "&amp;Aturan!$C$39&amp;" GB ("&amp;J51&amp;")",IF(N51="Cukup","penyimpanan "&amp;F51&amp;" GB cukup, nyamannya "&amp;Aturan!$D$39&amp;" GB atau lebih ("&amp;J51&amp;")",IF(N51="Belum ada data","ukuran penyimpanan belum diisi",""))))</f>
        <v/>
      </c>
      <c r="V51" s="33" t="str">
        <f aca="false">IF($A51="","",IF(O51="Kurang","layar "&amp;Varian!$AG14&amp;", di bawah batas minimal ("&amp;IFERROR(INDEX(Aturan!$A$63:$A$66,MATCH(Aturan!$C$40,Aturan!$B$63:$B$66,0)),"peringkat "&amp;Aturan!$C$40)&amp;")",IF(O51="Cukup","layar "&amp;Varian!$AG14&amp;" cukup, nyamannya "&amp;IFERROR(INDEX(Aturan!$A$63:$A$66,MATCH(Aturan!$D$40,Aturan!$B$63:$B$66,0)),"peringkat "&amp;Aturan!$D$40),IF(O51="Belum ada data","jenis layar belum diketahui",""))))</f>
        <v/>
      </c>
      <c r="W51" s="33" t="str">
        <f aca="false">IF($A51="","",IF(P51="Kurang","layar "&amp;H51&amp;" Hz, di bawah batas minimal "&amp;Aturan!$C$41&amp;" Hz",IF(P51="Cukup","layar "&amp;H51&amp;" Hz cukup, nyamannya "&amp;Aturan!$D$41&amp;" Hz atau lebih",IF(P51="Belum ada data","refresh rate belum diketahui",""))))</f>
        <v/>
      </c>
      <c r="X51" s="33" t="str">
        <f aca="false">IF($A51="","",IF(K51="Kurang",R51&amp;"; ","")&amp;IF(L51="Kurang",S51&amp;"; ","")&amp;IF(M51="Kurang",T51&amp;"; ","")&amp;IF(N51="Kurang",U51&amp;"; ","")&amp;IF(O51="Kurang",V51&amp;"; ","")&amp;IF(P51="Kurang",W51&amp;"; ","")&amp;IF(K51="Belum ada data",R51&amp;"; ","")&amp;IF(L51="Belum ada data",S51&amp;"; ","")&amp;IF(M51="Belum ada data",T51&amp;"; ","")&amp;IF(N51="Belum ada data",U51&amp;"; ","")&amp;IF(O51="Belum ada data",V51&amp;"; ","")&amp;IF(P51="Belum ada data",W51&amp;"; ","")&amp;IF(K51="Cukup",R51&amp;"; ","")&amp;IF(L51="Cukup",S51&amp;"; ","")&amp;IF(M51="Cukup",T51&amp;"; ","")&amp;IF(N51="Cukup",U51&amp;"; ","")&amp;IF(O51="Cukup",V51&amp;"; ","")&amp;IF(P51="Cukup",W51&amp;"; ",""))</f>
        <v/>
      </c>
      <c r="Y51" s="33" t="str">
        <f aca="false">IF($A51="","",IF(K51="Nyaman","prosesor, ","")&amp;IF(L51="Nyaman","grafis, ","")&amp;IF(M51="Nyaman","RAM, ","")&amp;IF(N51="Nyaman","penyimpanan, ","")&amp;IF(O51="Nyaman","layar, ","")&amp;IF(P51="Nyaman","refresh rate, ",""))</f>
        <v/>
      </c>
      <c r="Z51" s="33" t="str">
        <f aca="false">IF($A51="","",IF(Q51="Tidak dinilai","Belum ada kriteria yang dinilai untuk kebutuhan ini.",IF(Q51="Cocok","Semua kriteria yang dinilai sudah nyaman: "&amp;LEFT(Y51,LEN(Y51)-2)&amp;".",UPPER(LEFT(X51,1))&amp;MID(X51,2,LEN(X51)-3)&amp;"."&amp;IF(Y51="",""," Sudah nyaman: "&amp;LEFT(Y51,LEN(Y51)-2)&amp;"."))))</f>
        <v/>
      </c>
      <c r="AA51" s="33"/>
      <c r="AB51" s="33"/>
      <c r="AC51" s="69"/>
    </row>
    <row r="52" customFormat="false" ht="15" hidden="false" customHeight="true" outlineLevel="0" collapsed="false">
      <c r="A52" s="33" t="str">
        <f aca="false">IF(Varian!$A14="","",Varian!$A14)</f>
        <v/>
      </c>
      <c r="B52" s="33" t="str">
        <f aca="false">IF($A52="","",Aturan!$A$23)</f>
        <v/>
      </c>
      <c r="C52" s="69" t="str">
        <f aca="false">IF($A52="","",IFERROR(IF(ISNUMBER(INDEX(CPU!$J$4:$J$64,MATCH(Varian!$J14,CPU!$A$4:$A$64,0))),INDEX(CPU!$J$4:$J$64,MATCH(Varian!$J14,CPU!$A$4:$A$64,0)),""),""))</f>
        <v/>
      </c>
      <c r="D52" s="69" t="str">
        <f aca="false">IF($A52="","",IFERROR(IF(ISNUMBER(INDEX(GPU!$G$4:$G$64,MATCH(Varian!$K14,GPU!$A$4:$A$64,0))),INDEX(GPU!$G$4:$G$64,MATCH(Varian!$K14,GPU!$A$4:$A$64,0)),""),""))</f>
        <v/>
      </c>
      <c r="E52" s="69" t="str">
        <f aca="false">IF($A52="","",IF(ISNUMBER(Varian!$M14),Varian!$M14,""))</f>
        <v/>
      </c>
      <c r="F52" s="69" t="str">
        <f aca="false">IF($A52="","",IF(ISNUMBER(Varian!$V14),Varian!$V14,""))</f>
        <v/>
      </c>
      <c r="G52" s="69" t="str">
        <f aca="false">IF($A52="","",IFERROR(INDEX(Aturan!$B$63:$B$66,MATCH(Varian!$AG14,Aturan!$A$63:$A$66,0)),""))</f>
        <v/>
      </c>
      <c r="H52" s="69" t="str">
        <f aca="false">IF($A52="","",IF(ISNUMBER(Varian!$AI14),Varian!$AI14,""))</f>
        <v/>
      </c>
      <c r="I52" s="33" t="str">
        <f aca="false">IF($A52="","",IF(Varian!$Q14="disolder","menempel di papan utama, tidak bisa ditambah",IF(OR(Varian!$Q14="slot",Varian!$Q14="setengah_disolder"),IF(Varian!$Q14="setengah_disolder","sebagian menempel, ","")&amp;IF(ISNUMBER(Varian!$U14),IF(AND(ISNUMBER(Varian!$M14),Varian!$U14&gt;Varian!$M14),"bisa dinaikkan lewat slot sampai "&amp;Varian!$U14&amp;" GB","sudah di batas maksimal "&amp;Varian!$U14&amp;" GB"),"ada slot, batas maksimalnya belum diketahui"),"belum diketahui apakah bisa ditambah")))</f>
        <v/>
      </c>
      <c r="J52" s="33" t="str">
        <f aca="false">IF($A52="","",IF(Varian!$Z14="ya","bisa diganti dengan yang lebih besar",IF(Varian!$Z14="tidak","menempel, tidak bisa diganti","belum diketahui apakah bisa diganti")))</f>
        <v/>
      </c>
      <c r="K52" s="70" t="str">
        <f aca="false">IF($A52="","",IF(AND(Aturan!$C$42="",Aturan!$D$42=""),"Tidak dinilai",IF(C52="","Belum ada data",IF(C52&lt;IF(Aturan!$C$42="",0,Aturan!$C$42),"Kurang",IF(C52&gt;=IF(Aturan!$D$42="",Aturan!$C$42,Aturan!$D$42),"Nyaman","Cukup")))))</f>
        <v/>
      </c>
      <c r="L52" s="70" t="str">
        <f aca="false">IF($A52="","",IF(AND(Aturan!$C$43="",Aturan!$D$43=""),"Tidak dinilai",IF(D52="","Belum ada data",IF(D52&lt;IF(Aturan!$C$43="",0,Aturan!$C$43),"Kurang",IF(D52&gt;=IF(Aturan!$D$43="",Aturan!$C$43,Aturan!$D$43),"Nyaman","Cukup")))))</f>
        <v/>
      </c>
      <c r="M52" s="70" t="str">
        <f aca="false">IF($A52="","",IF(AND(Aturan!$C$44="",Aturan!$D$44=""),"Tidak dinilai",IF(E52="","Belum ada data",IF(E52&lt;IF(Aturan!$C$44="",0,Aturan!$C$44),"Kurang",IF(E52&gt;=IF(Aturan!$D$44="",Aturan!$C$44,Aturan!$D$44),"Nyaman","Cukup")))))</f>
        <v/>
      </c>
      <c r="N52" s="70" t="str">
        <f aca="false">IF($A52="","",IF(AND(Aturan!$C$45="",Aturan!$D$45=""),"Tidak dinilai",IF(F52="","Belum ada data",IF(F52&lt;IF(Aturan!$C$45="",0,Aturan!$C$45),"Kurang",IF(F52&gt;=IF(Aturan!$D$45="",Aturan!$C$45,Aturan!$D$45),"Nyaman","Cukup")))))</f>
        <v/>
      </c>
      <c r="O52" s="70" t="str">
        <f aca="false">IF($A52="","",IF(AND(Aturan!$C$46="",Aturan!$D$46=""),"Tidak dinilai",IF(G52="","Belum ada data",IF(G52&lt;IF(Aturan!$C$46="",0,Aturan!$C$46),"Kurang",IF(G52&gt;=IF(Aturan!$D$46="",Aturan!$C$46,Aturan!$D$46),"Nyaman","Cukup")))))</f>
        <v/>
      </c>
      <c r="P52" s="70" t="str">
        <f aca="false">IF($A52="","",IF(AND(Aturan!$C$47="",Aturan!$D$47=""),"Tidak dinilai",IF(H52="","Belum ada data",IF(H52&lt;IF(Aturan!$C$47="",0,Aturan!$C$47),"Kurang",IF(H52&gt;=IF(Aturan!$D$47="",Aturan!$C$47,Aturan!$D$47),"Nyaman","Cukup")))))</f>
        <v/>
      </c>
      <c r="Q52" s="70" t="str">
        <f aca="false">IF($A52="","",IF(COUNTIF(K52:P52,"Tidak dinilai")=6,"Tidak dinilai",IF(COUNTIF(K52:P52,"Kurang")&gt;0,"Kurang cocok",IF(COUNTIF(K52:P52,"Belum ada data")&gt;0,"Data belum lengkap",IF(COUNTIF(K52:P52,"Cukup")&gt;0,"Bisa, dengan catatan","Cocok")))))</f>
        <v/>
      </c>
      <c r="R52" s="33" t="str">
        <f aca="false">IF($A52="","",IF(K52="Kurang","prosesor tingkat "&amp;C52&amp;" dari 5, di bawah batas minimal (tingkat "&amp;Aturan!$C$42&amp;")",IF(K52="Cukup","prosesor tingkat "&amp;C52&amp;" dari 5 cukup, nyamannya mulai tingkat "&amp;Aturan!$D$42,IF(K52="Belum ada data","tingkat prosesor belum diisi",""))))</f>
        <v/>
      </c>
      <c r="S52" s="33" t="str">
        <f aca="false">IF($A52="","",IF(L52="Kurang","grafis tingkat "&amp;D52&amp;" dari 5, di bawah batas minimal (tingkat "&amp;Aturan!$C$43&amp;")",IF(L52="Cukup","grafis tingkat "&amp;D52&amp;" dari 5 cukup, nyamannya mulai tingkat "&amp;Aturan!$D$43,IF(L52="Belum ada data","tingkat grafis belum diisi",""))))</f>
        <v/>
      </c>
      <c r="T52" s="33" t="str">
        <f aca="false">IF($A52="","",IF(M52="Kurang","RAM "&amp;E52&amp;" GB, di bawah batas minimal "&amp;Aturan!$C$44&amp;" GB ("&amp;I52&amp;")",IF(M52="Cukup","RAM "&amp;E52&amp;" GB cukup, nyamannya "&amp;Aturan!$D$44&amp;" GB atau lebih ("&amp;I52&amp;")",IF(M52="Belum ada data","ukuran RAM belum diisi",""))))</f>
        <v/>
      </c>
      <c r="U52" s="33" t="str">
        <f aca="false">IF($A52="","",IF(N52="Kurang","penyimpanan "&amp;F52&amp;" GB, di bawah batas minimal "&amp;Aturan!$C$45&amp;" GB ("&amp;J52&amp;")",IF(N52="Cukup","penyimpanan "&amp;F52&amp;" GB cukup, nyamannya "&amp;Aturan!$D$45&amp;" GB atau lebih ("&amp;J52&amp;")",IF(N52="Belum ada data","ukuran penyimpanan belum diisi",""))))</f>
        <v/>
      </c>
      <c r="V52" s="33" t="str">
        <f aca="false">IF($A52="","",IF(O52="Kurang","layar "&amp;Varian!$AG14&amp;", di bawah batas minimal ("&amp;IFERROR(INDEX(Aturan!$A$63:$A$66,MATCH(Aturan!$C$46,Aturan!$B$63:$B$66,0)),"peringkat "&amp;Aturan!$C$46)&amp;")",IF(O52="Cukup","layar "&amp;Varian!$AG14&amp;" cukup, nyamannya "&amp;IFERROR(INDEX(Aturan!$A$63:$A$66,MATCH(Aturan!$D$46,Aturan!$B$63:$B$66,0)),"peringkat "&amp;Aturan!$D$46),IF(O52="Belum ada data","jenis layar belum diketahui",""))))</f>
        <v/>
      </c>
      <c r="W52" s="33" t="str">
        <f aca="false">IF($A52="","",IF(P52="Kurang","layar "&amp;H52&amp;" Hz, di bawah batas minimal "&amp;Aturan!$C$47&amp;" Hz",IF(P52="Cukup","layar "&amp;H52&amp;" Hz cukup, nyamannya "&amp;Aturan!$D$47&amp;" Hz atau lebih",IF(P52="Belum ada data","refresh rate belum diketahui",""))))</f>
        <v/>
      </c>
      <c r="X52" s="33" t="str">
        <f aca="false">IF($A52="","",IF(K52="Kurang",R52&amp;"; ","")&amp;IF(L52="Kurang",S52&amp;"; ","")&amp;IF(M52="Kurang",T52&amp;"; ","")&amp;IF(N52="Kurang",U52&amp;"; ","")&amp;IF(O52="Kurang",V52&amp;"; ","")&amp;IF(P52="Kurang",W52&amp;"; ","")&amp;IF(K52="Belum ada data",R52&amp;"; ","")&amp;IF(L52="Belum ada data",S52&amp;"; ","")&amp;IF(M52="Belum ada data",T52&amp;"; ","")&amp;IF(N52="Belum ada data",U52&amp;"; ","")&amp;IF(O52="Belum ada data",V52&amp;"; ","")&amp;IF(P52="Belum ada data",W52&amp;"; ","")&amp;IF(K52="Cukup",R52&amp;"; ","")&amp;IF(L52="Cukup",S52&amp;"; ","")&amp;IF(M52="Cukup",T52&amp;"; ","")&amp;IF(N52="Cukup",U52&amp;"; ","")&amp;IF(O52="Cukup",V52&amp;"; ","")&amp;IF(P52="Cukup",W52&amp;"; ",""))</f>
        <v/>
      </c>
      <c r="Y52" s="33" t="str">
        <f aca="false">IF($A52="","",IF(K52="Nyaman","prosesor, ","")&amp;IF(L52="Nyaman","grafis, ","")&amp;IF(M52="Nyaman","RAM, ","")&amp;IF(N52="Nyaman","penyimpanan, ","")&amp;IF(O52="Nyaman","layar, ","")&amp;IF(P52="Nyaman","refresh rate, ",""))</f>
        <v/>
      </c>
      <c r="Z52" s="33" t="str">
        <f aca="false">IF($A52="","",IF(Q52="Tidak dinilai","Belum ada kriteria yang dinilai untuk kebutuhan ini.",IF(Q52="Cocok","Semua kriteria yang dinilai sudah nyaman: "&amp;LEFT(Y52,LEN(Y52)-2)&amp;".",UPPER(LEFT(X52,1))&amp;MID(X52,2,LEN(X52)-3)&amp;"."&amp;IF(Y52="",""," Sudah nyaman: "&amp;LEFT(Y52,LEN(Y52)-2)&amp;"."))))</f>
        <v/>
      </c>
      <c r="AA52" s="33"/>
      <c r="AB52" s="33"/>
      <c r="AC52" s="69"/>
    </row>
    <row r="53" customFormat="false" ht="15" hidden="false" customHeight="true" outlineLevel="0" collapsed="false">
      <c r="A53" s="33" t="str">
        <f aca="false">IF(Varian!$A14="","",Varian!$A14)</f>
        <v/>
      </c>
      <c r="B53" s="33" t="str">
        <f aca="false">IF($A53="","",Aturan!$A$24)</f>
        <v/>
      </c>
      <c r="C53" s="69" t="str">
        <f aca="false">IF($A53="","",IFERROR(IF(ISNUMBER(INDEX(CPU!$J$4:$J$64,MATCH(Varian!$J14,CPU!$A$4:$A$64,0))),INDEX(CPU!$J$4:$J$64,MATCH(Varian!$J14,CPU!$A$4:$A$64,0)),""),""))</f>
        <v/>
      </c>
      <c r="D53" s="69" t="str">
        <f aca="false">IF($A53="","",IFERROR(IF(ISNUMBER(INDEX(GPU!$G$4:$G$64,MATCH(Varian!$K14,GPU!$A$4:$A$64,0))),INDEX(GPU!$G$4:$G$64,MATCH(Varian!$K14,GPU!$A$4:$A$64,0)),""),""))</f>
        <v/>
      </c>
      <c r="E53" s="69" t="str">
        <f aca="false">IF($A53="","",IF(ISNUMBER(Varian!$M14),Varian!$M14,""))</f>
        <v/>
      </c>
      <c r="F53" s="69" t="str">
        <f aca="false">IF($A53="","",IF(ISNUMBER(Varian!$V14),Varian!$V14,""))</f>
        <v/>
      </c>
      <c r="G53" s="69" t="str">
        <f aca="false">IF($A53="","",IFERROR(INDEX(Aturan!$B$63:$B$66,MATCH(Varian!$AG14,Aturan!$A$63:$A$66,0)),""))</f>
        <v/>
      </c>
      <c r="H53" s="69" t="str">
        <f aca="false">IF($A53="","",IF(ISNUMBER(Varian!$AI14),Varian!$AI14,""))</f>
        <v/>
      </c>
      <c r="I53" s="33" t="str">
        <f aca="false">IF($A53="","",IF(Varian!$Q14="disolder","menempel di papan utama, tidak bisa ditambah",IF(OR(Varian!$Q14="slot",Varian!$Q14="setengah_disolder"),IF(Varian!$Q14="setengah_disolder","sebagian menempel, ","")&amp;IF(ISNUMBER(Varian!$U14),IF(AND(ISNUMBER(Varian!$M14),Varian!$U14&gt;Varian!$M14),"bisa dinaikkan lewat slot sampai "&amp;Varian!$U14&amp;" GB","sudah di batas maksimal "&amp;Varian!$U14&amp;" GB"),"ada slot, batas maksimalnya belum diketahui"),"belum diketahui apakah bisa ditambah")))</f>
        <v/>
      </c>
      <c r="J53" s="33" t="str">
        <f aca="false">IF($A53="","",IF(Varian!$Z14="ya","bisa diganti dengan yang lebih besar",IF(Varian!$Z14="tidak","menempel, tidak bisa diganti","belum diketahui apakah bisa diganti")))</f>
        <v/>
      </c>
      <c r="K53" s="70" t="str">
        <f aca="false">IF($A53="","",IF(AND(Aturan!$C$48="",Aturan!$D$48=""),"Tidak dinilai",IF(C53="","Belum ada data",IF(C53&lt;IF(Aturan!$C$48="",0,Aturan!$C$48),"Kurang",IF(C53&gt;=IF(Aturan!$D$48="",Aturan!$C$48,Aturan!$D$48),"Nyaman","Cukup")))))</f>
        <v/>
      </c>
      <c r="L53" s="70" t="str">
        <f aca="false">IF($A53="","",IF(AND(Aturan!$C$49="",Aturan!$D$49=""),"Tidak dinilai",IF(D53="","Belum ada data",IF(D53&lt;IF(Aturan!$C$49="",0,Aturan!$C$49),"Kurang",IF(D53&gt;=IF(Aturan!$D$49="",Aturan!$C$49,Aturan!$D$49),"Nyaman","Cukup")))))</f>
        <v/>
      </c>
      <c r="M53" s="70" t="str">
        <f aca="false">IF($A53="","",IF(AND(Aturan!$C$50="",Aturan!$D$50=""),"Tidak dinilai",IF(E53="","Belum ada data",IF(E53&lt;IF(Aturan!$C$50="",0,Aturan!$C$50),"Kurang",IF(E53&gt;=IF(Aturan!$D$50="",Aturan!$C$50,Aturan!$D$50),"Nyaman","Cukup")))))</f>
        <v/>
      </c>
      <c r="N53" s="70" t="str">
        <f aca="false">IF($A53="","",IF(AND(Aturan!$C$51="",Aturan!$D$51=""),"Tidak dinilai",IF(F53="","Belum ada data",IF(F53&lt;IF(Aturan!$C$51="",0,Aturan!$C$51),"Kurang",IF(F53&gt;=IF(Aturan!$D$51="",Aturan!$C$51,Aturan!$D$51),"Nyaman","Cukup")))))</f>
        <v/>
      </c>
      <c r="O53" s="70" t="str">
        <f aca="false">IF($A53="","",IF(AND(Aturan!$C$52="",Aturan!$D$52=""),"Tidak dinilai",IF(G53="","Belum ada data",IF(G53&lt;IF(Aturan!$C$52="",0,Aturan!$C$52),"Kurang",IF(G53&gt;=IF(Aturan!$D$52="",Aturan!$C$52,Aturan!$D$52),"Nyaman","Cukup")))))</f>
        <v/>
      </c>
      <c r="P53" s="70" t="str">
        <f aca="false">IF($A53="","",IF(AND(Aturan!$C$53="",Aturan!$D$53=""),"Tidak dinilai",IF(H53="","Belum ada data",IF(H53&lt;IF(Aturan!$C$53="",0,Aturan!$C$53),"Kurang",IF(H53&gt;=IF(Aturan!$D$53="",Aturan!$C$53,Aturan!$D$53),"Nyaman","Cukup")))))</f>
        <v/>
      </c>
      <c r="Q53" s="70" t="str">
        <f aca="false">IF($A53="","",IF(COUNTIF(K53:P53,"Tidak dinilai")=6,"Tidak dinilai",IF(COUNTIF(K53:P53,"Kurang")&gt;0,"Kurang cocok",IF(COUNTIF(K53:P53,"Belum ada data")&gt;0,"Data belum lengkap",IF(COUNTIF(K53:P53,"Cukup")&gt;0,"Bisa, dengan catatan","Cocok")))))</f>
        <v/>
      </c>
      <c r="R53" s="33" t="str">
        <f aca="false">IF($A53="","",IF(K53="Kurang","prosesor tingkat "&amp;C53&amp;" dari 5, di bawah batas minimal (tingkat "&amp;Aturan!$C$48&amp;")",IF(K53="Cukup","prosesor tingkat "&amp;C53&amp;" dari 5 cukup, nyamannya mulai tingkat "&amp;Aturan!$D$48,IF(K53="Belum ada data","tingkat prosesor belum diisi",""))))</f>
        <v/>
      </c>
      <c r="S53" s="33" t="str">
        <f aca="false">IF($A53="","",IF(L53="Kurang","grafis tingkat "&amp;D53&amp;" dari 5, di bawah batas minimal (tingkat "&amp;Aturan!$C$49&amp;")",IF(L53="Cukup","grafis tingkat "&amp;D53&amp;" dari 5 cukup, nyamannya mulai tingkat "&amp;Aturan!$D$49,IF(L53="Belum ada data","tingkat grafis belum diisi",""))))</f>
        <v/>
      </c>
      <c r="T53" s="33" t="str">
        <f aca="false">IF($A53="","",IF(M53="Kurang","RAM "&amp;E53&amp;" GB, di bawah batas minimal "&amp;Aturan!$C$50&amp;" GB ("&amp;I53&amp;")",IF(M53="Cukup","RAM "&amp;E53&amp;" GB cukup, nyamannya "&amp;Aturan!$D$50&amp;" GB atau lebih ("&amp;I53&amp;")",IF(M53="Belum ada data","ukuran RAM belum diisi",""))))</f>
        <v/>
      </c>
      <c r="U53" s="33" t="str">
        <f aca="false">IF($A53="","",IF(N53="Kurang","penyimpanan "&amp;F53&amp;" GB, di bawah batas minimal "&amp;Aturan!$C$51&amp;" GB ("&amp;J53&amp;")",IF(N53="Cukup","penyimpanan "&amp;F53&amp;" GB cukup, nyamannya "&amp;Aturan!$D$51&amp;" GB atau lebih ("&amp;J53&amp;")",IF(N53="Belum ada data","ukuran penyimpanan belum diisi",""))))</f>
        <v/>
      </c>
      <c r="V53" s="33" t="str">
        <f aca="false">IF($A53="","",IF(O53="Kurang","layar "&amp;Varian!$AG14&amp;", di bawah batas minimal ("&amp;IFERROR(INDEX(Aturan!$A$63:$A$66,MATCH(Aturan!$C$52,Aturan!$B$63:$B$66,0)),"peringkat "&amp;Aturan!$C$52)&amp;")",IF(O53="Cukup","layar "&amp;Varian!$AG14&amp;" cukup, nyamannya "&amp;IFERROR(INDEX(Aturan!$A$63:$A$66,MATCH(Aturan!$D$52,Aturan!$B$63:$B$66,0)),"peringkat "&amp;Aturan!$D$52),IF(O53="Belum ada data","jenis layar belum diketahui",""))))</f>
        <v/>
      </c>
      <c r="W53" s="33" t="str">
        <f aca="false">IF($A53="","",IF(P53="Kurang","layar "&amp;H53&amp;" Hz, di bawah batas minimal "&amp;Aturan!$C$53&amp;" Hz",IF(P53="Cukup","layar "&amp;H53&amp;" Hz cukup, nyamannya "&amp;Aturan!$D$53&amp;" Hz atau lebih",IF(P53="Belum ada data","refresh rate belum diketahui",""))))</f>
        <v/>
      </c>
      <c r="X53" s="33" t="str">
        <f aca="false">IF($A53="","",IF(K53="Kurang",R53&amp;"; ","")&amp;IF(L53="Kurang",S53&amp;"; ","")&amp;IF(M53="Kurang",T53&amp;"; ","")&amp;IF(N53="Kurang",U53&amp;"; ","")&amp;IF(O53="Kurang",V53&amp;"; ","")&amp;IF(P53="Kurang",W53&amp;"; ","")&amp;IF(K53="Belum ada data",R53&amp;"; ","")&amp;IF(L53="Belum ada data",S53&amp;"; ","")&amp;IF(M53="Belum ada data",T53&amp;"; ","")&amp;IF(N53="Belum ada data",U53&amp;"; ","")&amp;IF(O53="Belum ada data",V53&amp;"; ","")&amp;IF(P53="Belum ada data",W53&amp;"; ","")&amp;IF(K53="Cukup",R53&amp;"; ","")&amp;IF(L53="Cukup",S53&amp;"; ","")&amp;IF(M53="Cukup",T53&amp;"; ","")&amp;IF(N53="Cukup",U53&amp;"; ","")&amp;IF(O53="Cukup",V53&amp;"; ","")&amp;IF(P53="Cukup",W53&amp;"; ",""))</f>
        <v/>
      </c>
      <c r="Y53" s="33" t="str">
        <f aca="false">IF($A53="","",IF(K53="Nyaman","prosesor, ","")&amp;IF(L53="Nyaman","grafis, ","")&amp;IF(M53="Nyaman","RAM, ","")&amp;IF(N53="Nyaman","penyimpanan, ","")&amp;IF(O53="Nyaman","layar, ","")&amp;IF(P53="Nyaman","refresh rate, ",""))</f>
        <v/>
      </c>
      <c r="Z53" s="33" t="str">
        <f aca="false">IF($A53="","",IF(Q53="Tidak dinilai","Belum ada kriteria yang dinilai untuk kebutuhan ini.",IF(Q53="Cocok","Semua kriteria yang dinilai sudah nyaman: "&amp;LEFT(Y53,LEN(Y53)-2)&amp;".",UPPER(LEFT(X53,1))&amp;MID(X53,2,LEN(X53)-3)&amp;"."&amp;IF(Y53="",""," Sudah nyaman: "&amp;LEFT(Y53,LEN(Y53)-2)&amp;"."))))</f>
        <v/>
      </c>
      <c r="AA53" s="33"/>
      <c r="AB53" s="33"/>
      <c r="AC53" s="69"/>
    </row>
    <row r="54" customFormat="false" ht="15" hidden="false" customHeight="true" outlineLevel="0" collapsed="false">
      <c r="A54" s="33" t="str">
        <f aca="false">IF(Varian!$A14="","",Varian!$A14)</f>
        <v/>
      </c>
      <c r="B54" s="33" t="str">
        <f aca="false">IF($A54="","",Aturan!$A$25)</f>
        <v/>
      </c>
      <c r="C54" s="69" t="str">
        <f aca="false">IF($A54="","",IFERROR(IF(ISNUMBER(INDEX(CPU!$J$4:$J$64,MATCH(Varian!$J14,CPU!$A$4:$A$64,0))),INDEX(CPU!$J$4:$J$64,MATCH(Varian!$J14,CPU!$A$4:$A$64,0)),""),""))</f>
        <v/>
      </c>
      <c r="D54" s="69" t="str">
        <f aca="false">IF($A54="","",IFERROR(IF(ISNUMBER(INDEX(GPU!$G$4:$G$64,MATCH(Varian!$K14,GPU!$A$4:$A$64,0))),INDEX(GPU!$G$4:$G$64,MATCH(Varian!$K14,GPU!$A$4:$A$64,0)),""),""))</f>
        <v/>
      </c>
      <c r="E54" s="69" t="str">
        <f aca="false">IF($A54="","",IF(ISNUMBER(Varian!$M14),Varian!$M14,""))</f>
        <v/>
      </c>
      <c r="F54" s="69" t="str">
        <f aca="false">IF($A54="","",IF(ISNUMBER(Varian!$V14),Varian!$V14,""))</f>
        <v/>
      </c>
      <c r="G54" s="69" t="str">
        <f aca="false">IF($A54="","",IFERROR(INDEX(Aturan!$B$63:$B$66,MATCH(Varian!$AG14,Aturan!$A$63:$A$66,0)),""))</f>
        <v/>
      </c>
      <c r="H54" s="69" t="str">
        <f aca="false">IF($A54="","",IF(ISNUMBER(Varian!$AI14),Varian!$AI14,""))</f>
        <v/>
      </c>
      <c r="I54" s="33" t="str">
        <f aca="false">IF($A54="","",IF(Varian!$Q14="disolder","menempel di papan utama, tidak bisa ditambah",IF(OR(Varian!$Q14="slot",Varian!$Q14="setengah_disolder"),IF(Varian!$Q14="setengah_disolder","sebagian menempel, ","")&amp;IF(ISNUMBER(Varian!$U14),IF(AND(ISNUMBER(Varian!$M14),Varian!$U14&gt;Varian!$M14),"bisa dinaikkan lewat slot sampai "&amp;Varian!$U14&amp;" GB","sudah di batas maksimal "&amp;Varian!$U14&amp;" GB"),"ada slot, batas maksimalnya belum diketahui"),"belum diketahui apakah bisa ditambah")))</f>
        <v/>
      </c>
      <c r="J54" s="33" t="str">
        <f aca="false">IF($A54="","",IF(Varian!$Z14="ya","bisa diganti dengan yang lebih besar",IF(Varian!$Z14="tidak","menempel, tidak bisa diganti","belum diketahui apakah bisa diganti")))</f>
        <v/>
      </c>
      <c r="K54" s="70" t="str">
        <f aca="false">IF($A54="","",IF(AND(Aturan!$C$54="",Aturan!$D$54=""),"Tidak dinilai",IF(C54="","Belum ada data",IF(C54&lt;IF(Aturan!$C$54="",0,Aturan!$C$54),"Kurang",IF(C54&gt;=IF(Aturan!$D$54="",Aturan!$C$54,Aturan!$D$54),"Nyaman","Cukup")))))</f>
        <v/>
      </c>
      <c r="L54" s="70" t="str">
        <f aca="false">IF($A54="","",IF(AND(Aturan!$C$55="",Aturan!$D$55=""),"Tidak dinilai",IF(D54="","Belum ada data",IF(D54&lt;IF(Aturan!$C$55="",0,Aturan!$C$55),"Kurang",IF(D54&gt;=IF(Aturan!$D$55="",Aturan!$C$55,Aturan!$D$55),"Nyaman","Cukup")))))</f>
        <v/>
      </c>
      <c r="M54" s="70" t="str">
        <f aca="false">IF($A54="","",IF(AND(Aturan!$C$56="",Aturan!$D$56=""),"Tidak dinilai",IF(E54="","Belum ada data",IF(E54&lt;IF(Aturan!$C$56="",0,Aturan!$C$56),"Kurang",IF(E54&gt;=IF(Aturan!$D$56="",Aturan!$C$56,Aturan!$D$56),"Nyaman","Cukup")))))</f>
        <v/>
      </c>
      <c r="N54" s="70" t="str">
        <f aca="false">IF($A54="","",IF(AND(Aturan!$C$57="",Aturan!$D$57=""),"Tidak dinilai",IF(F54="","Belum ada data",IF(F54&lt;IF(Aturan!$C$57="",0,Aturan!$C$57),"Kurang",IF(F54&gt;=IF(Aturan!$D$57="",Aturan!$C$57,Aturan!$D$57),"Nyaman","Cukup")))))</f>
        <v/>
      </c>
      <c r="O54" s="70" t="str">
        <f aca="false">IF($A54="","",IF(AND(Aturan!$C$58="",Aturan!$D$58=""),"Tidak dinilai",IF(G54="","Belum ada data",IF(G54&lt;IF(Aturan!$C$58="",0,Aturan!$C$58),"Kurang",IF(G54&gt;=IF(Aturan!$D$58="",Aturan!$C$58,Aturan!$D$58),"Nyaman","Cukup")))))</f>
        <v/>
      </c>
      <c r="P54" s="70" t="str">
        <f aca="false">IF($A54="","",IF(AND(Aturan!$C$59="",Aturan!$D$59=""),"Tidak dinilai",IF(H54="","Belum ada data",IF(H54&lt;IF(Aturan!$C$59="",0,Aturan!$C$59),"Kurang",IF(H54&gt;=IF(Aturan!$D$59="",Aturan!$C$59,Aturan!$D$59),"Nyaman","Cukup")))))</f>
        <v/>
      </c>
      <c r="Q54" s="70" t="str">
        <f aca="false">IF($A54="","",IF(COUNTIF(K54:P54,"Tidak dinilai")=6,"Tidak dinilai",IF(COUNTIF(K54:P54,"Kurang")&gt;0,"Kurang cocok",IF(COUNTIF(K54:P54,"Belum ada data")&gt;0,"Data belum lengkap",IF(COUNTIF(K54:P54,"Cukup")&gt;0,"Bisa, dengan catatan","Cocok")))))</f>
        <v/>
      </c>
      <c r="R54" s="33" t="str">
        <f aca="false">IF($A54="","",IF(K54="Kurang","prosesor tingkat "&amp;C54&amp;" dari 5, di bawah batas minimal (tingkat "&amp;Aturan!$C$54&amp;")",IF(K54="Cukup","prosesor tingkat "&amp;C54&amp;" dari 5 cukup, nyamannya mulai tingkat "&amp;Aturan!$D$54,IF(K54="Belum ada data","tingkat prosesor belum diisi",""))))</f>
        <v/>
      </c>
      <c r="S54" s="33" t="str">
        <f aca="false">IF($A54="","",IF(L54="Kurang","grafis tingkat "&amp;D54&amp;" dari 5, di bawah batas minimal (tingkat "&amp;Aturan!$C$55&amp;")",IF(L54="Cukup","grafis tingkat "&amp;D54&amp;" dari 5 cukup, nyamannya mulai tingkat "&amp;Aturan!$D$55,IF(L54="Belum ada data","tingkat grafis belum diisi",""))))</f>
        <v/>
      </c>
      <c r="T54" s="33" t="str">
        <f aca="false">IF($A54="","",IF(M54="Kurang","RAM "&amp;E54&amp;" GB, di bawah batas minimal "&amp;Aturan!$C$56&amp;" GB ("&amp;I54&amp;")",IF(M54="Cukup","RAM "&amp;E54&amp;" GB cukup, nyamannya "&amp;Aturan!$D$56&amp;" GB atau lebih ("&amp;I54&amp;")",IF(M54="Belum ada data","ukuran RAM belum diisi",""))))</f>
        <v/>
      </c>
      <c r="U54" s="33" t="str">
        <f aca="false">IF($A54="","",IF(N54="Kurang","penyimpanan "&amp;F54&amp;" GB, di bawah batas minimal "&amp;Aturan!$C$57&amp;" GB ("&amp;J54&amp;")",IF(N54="Cukup","penyimpanan "&amp;F54&amp;" GB cukup, nyamannya "&amp;Aturan!$D$57&amp;" GB atau lebih ("&amp;J54&amp;")",IF(N54="Belum ada data","ukuran penyimpanan belum diisi",""))))</f>
        <v/>
      </c>
      <c r="V54" s="33" t="str">
        <f aca="false">IF($A54="","",IF(O54="Kurang","layar "&amp;Varian!$AG14&amp;", di bawah batas minimal ("&amp;IFERROR(INDEX(Aturan!$A$63:$A$66,MATCH(Aturan!$C$58,Aturan!$B$63:$B$66,0)),"peringkat "&amp;Aturan!$C$58)&amp;")",IF(O54="Cukup","layar "&amp;Varian!$AG14&amp;" cukup, nyamannya "&amp;IFERROR(INDEX(Aturan!$A$63:$A$66,MATCH(Aturan!$D$58,Aturan!$B$63:$B$66,0)),"peringkat "&amp;Aturan!$D$58),IF(O54="Belum ada data","jenis layar belum diketahui",""))))</f>
        <v/>
      </c>
      <c r="W54" s="33" t="str">
        <f aca="false">IF($A54="","",IF(P54="Kurang","layar "&amp;H54&amp;" Hz, di bawah batas minimal "&amp;Aturan!$C$59&amp;" Hz",IF(P54="Cukup","layar "&amp;H54&amp;" Hz cukup, nyamannya "&amp;Aturan!$D$59&amp;" Hz atau lebih",IF(P54="Belum ada data","refresh rate belum diketahui",""))))</f>
        <v/>
      </c>
      <c r="X54" s="33" t="str">
        <f aca="false">IF($A54="","",IF(K54="Kurang",R54&amp;"; ","")&amp;IF(L54="Kurang",S54&amp;"; ","")&amp;IF(M54="Kurang",T54&amp;"; ","")&amp;IF(N54="Kurang",U54&amp;"; ","")&amp;IF(O54="Kurang",V54&amp;"; ","")&amp;IF(P54="Kurang",W54&amp;"; ","")&amp;IF(K54="Belum ada data",R54&amp;"; ","")&amp;IF(L54="Belum ada data",S54&amp;"; ","")&amp;IF(M54="Belum ada data",T54&amp;"; ","")&amp;IF(N54="Belum ada data",U54&amp;"; ","")&amp;IF(O54="Belum ada data",V54&amp;"; ","")&amp;IF(P54="Belum ada data",W54&amp;"; ","")&amp;IF(K54="Cukup",R54&amp;"; ","")&amp;IF(L54="Cukup",S54&amp;"; ","")&amp;IF(M54="Cukup",T54&amp;"; ","")&amp;IF(N54="Cukup",U54&amp;"; ","")&amp;IF(O54="Cukup",V54&amp;"; ","")&amp;IF(P54="Cukup",W54&amp;"; ",""))</f>
        <v/>
      </c>
      <c r="Y54" s="33" t="str">
        <f aca="false">IF($A54="","",IF(K54="Nyaman","prosesor, ","")&amp;IF(L54="Nyaman","grafis, ","")&amp;IF(M54="Nyaman","RAM, ","")&amp;IF(N54="Nyaman","penyimpanan, ","")&amp;IF(O54="Nyaman","layar, ","")&amp;IF(P54="Nyaman","refresh rate, ",""))</f>
        <v/>
      </c>
      <c r="Z54" s="33" t="str">
        <f aca="false">IF($A54="","",IF(Q54="Tidak dinilai","Belum ada kriteria yang dinilai untuk kebutuhan ini.",IF(Q54="Cocok","Semua kriteria yang dinilai sudah nyaman: "&amp;LEFT(Y54,LEN(Y54)-2)&amp;".",UPPER(LEFT(X54,1))&amp;MID(X54,2,LEN(X54)-3)&amp;"."&amp;IF(Y54="",""," Sudah nyaman: "&amp;LEFT(Y54,LEN(Y54)-2)&amp;"."))))</f>
        <v/>
      </c>
      <c r="AA54" s="33"/>
      <c r="AB54" s="33"/>
      <c r="AC54" s="69"/>
    </row>
    <row r="55" customFormat="false" ht="15" hidden="false" customHeight="true" outlineLevel="0" collapsed="false">
      <c r="A55" s="66" t="str">
        <f aca="false">IF(Varian!$A15="","",Varian!$A15)</f>
        <v/>
      </c>
      <c r="B55" s="66" t="str">
        <f aca="false">IF($A55="","",Aturan!$A$21)</f>
        <v/>
      </c>
      <c r="C55" s="67" t="str">
        <f aca="false">IF($A55="","",IFERROR(IF(ISNUMBER(INDEX(CPU!$J$4:$J$64,MATCH(Varian!$J15,CPU!$A$4:$A$64,0))),INDEX(CPU!$J$4:$J$64,MATCH(Varian!$J15,CPU!$A$4:$A$64,0)),""),""))</f>
        <v/>
      </c>
      <c r="D55" s="67" t="str">
        <f aca="false">IF($A55="","",IFERROR(IF(ISNUMBER(INDEX(GPU!$G$4:$G$64,MATCH(Varian!$K15,GPU!$A$4:$A$64,0))),INDEX(GPU!$G$4:$G$64,MATCH(Varian!$K15,GPU!$A$4:$A$64,0)),""),""))</f>
        <v/>
      </c>
      <c r="E55" s="67" t="str">
        <f aca="false">IF($A55="","",IF(ISNUMBER(Varian!$M15),Varian!$M15,""))</f>
        <v/>
      </c>
      <c r="F55" s="67" t="str">
        <f aca="false">IF($A55="","",IF(ISNUMBER(Varian!$V15),Varian!$V15,""))</f>
        <v/>
      </c>
      <c r="G55" s="67" t="str">
        <f aca="false">IF($A55="","",IFERROR(INDEX(Aturan!$B$63:$B$66,MATCH(Varian!$AG15,Aturan!$A$63:$A$66,0)),""))</f>
        <v/>
      </c>
      <c r="H55" s="67" t="str">
        <f aca="false">IF($A55="","",IF(ISNUMBER(Varian!$AI15),Varian!$AI15,""))</f>
        <v/>
      </c>
      <c r="I55" s="66" t="str">
        <f aca="false">IF($A55="","",IF(Varian!$Q15="disolder","menempel di papan utama, tidak bisa ditambah",IF(OR(Varian!$Q15="slot",Varian!$Q15="setengah_disolder"),IF(Varian!$Q15="setengah_disolder","sebagian menempel, ","")&amp;IF(ISNUMBER(Varian!$U15),IF(AND(ISNUMBER(Varian!$M15),Varian!$U15&gt;Varian!$M15),"bisa dinaikkan lewat slot sampai "&amp;Varian!$U15&amp;" GB","sudah di batas maksimal "&amp;Varian!$U15&amp;" GB"),"ada slot, batas maksimalnya belum diketahui"),"belum diketahui apakah bisa ditambah")))</f>
        <v/>
      </c>
      <c r="J55" s="66" t="str">
        <f aca="false">IF($A55="","",IF(Varian!$Z15="ya","bisa diganti dengan yang lebih besar",IF(Varian!$Z15="tidak","menempel, tidak bisa diganti","belum diketahui apakah bisa diganti")))</f>
        <v/>
      </c>
      <c r="K55" s="68" t="str">
        <f aca="false">IF($A55="","",IF(AND(Aturan!$C$30="",Aturan!$D$30=""),"Tidak dinilai",IF(C55="","Belum ada data",IF(C55&lt;IF(Aturan!$C$30="",0,Aturan!$C$30),"Kurang",IF(C55&gt;=IF(Aturan!$D$30="",Aturan!$C$30,Aturan!$D$30),"Nyaman","Cukup")))))</f>
        <v/>
      </c>
      <c r="L55" s="68" t="str">
        <f aca="false">IF($A55="","",IF(AND(Aturan!$C$31="",Aturan!$D$31=""),"Tidak dinilai",IF(D55="","Belum ada data",IF(D55&lt;IF(Aturan!$C$31="",0,Aturan!$C$31),"Kurang",IF(D55&gt;=IF(Aturan!$D$31="",Aturan!$C$31,Aturan!$D$31),"Nyaman","Cukup")))))</f>
        <v/>
      </c>
      <c r="M55" s="68" t="str">
        <f aca="false">IF($A55="","",IF(AND(Aturan!$C$32="",Aturan!$D$32=""),"Tidak dinilai",IF(E55="","Belum ada data",IF(E55&lt;IF(Aturan!$C$32="",0,Aturan!$C$32),"Kurang",IF(E55&gt;=IF(Aturan!$D$32="",Aturan!$C$32,Aturan!$D$32),"Nyaman","Cukup")))))</f>
        <v/>
      </c>
      <c r="N55" s="68" t="str">
        <f aca="false">IF($A55="","",IF(AND(Aturan!$C$33="",Aturan!$D$33=""),"Tidak dinilai",IF(F55="","Belum ada data",IF(F55&lt;IF(Aturan!$C$33="",0,Aturan!$C$33),"Kurang",IF(F55&gt;=IF(Aturan!$D$33="",Aturan!$C$33,Aturan!$D$33),"Nyaman","Cukup")))))</f>
        <v/>
      </c>
      <c r="O55" s="68" t="str">
        <f aca="false">IF($A55="","",IF(AND(Aturan!$C$34="",Aturan!$D$34=""),"Tidak dinilai",IF(G55="","Belum ada data",IF(G55&lt;IF(Aturan!$C$34="",0,Aturan!$C$34),"Kurang",IF(G55&gt;=IF(Aturan!$D$34="",Aturan!$C$34,Aturan!$D$34),"Nyaman","Cukup")))))</f>
        <v/>
      </c>
      <c r="P55" s="68" t="str">
        <f aca="false">IF($A55="","",IF(AND(Aturan!$C$35="",Aturan!$D$35=""),"Tidak dinilai",IF(H55="","Belum ada data",IF(H55&lt;IF(Aturan!$C$35="",0,Aturan!$C$35),"Kurang",IF(H55&gt;=IF(Aturan!$D$35="",Aturan!$C$35,Aturan!$D$35),"Nyaman","Cukup")))))</f>
        <v/>
      </c>
      <c r="Q55" s="68" t="str">
        <f aca="false">IF($A55="","",IF(COUNTIF(K55:P55,"Tidak dinilai")=6,"Tidak dinilai",IF(COUNTIF(K55:P55,"Kurang")&gt;0,"Kurang cocok",IF(COUNTIF(K55:P55,"Belum ada data")&gt;0,"Data belum lengkap",IF(COUNTIF(K55:P55,"Cukup")&gt;0,"Bisa, dengan catatan","Cocok")))))</f>
        <v/>
      </c>
      <c r="R55" s="66" t="str">
        <f aca="false">IF($A55="","",IF(K55="Kurang","prosesor tingkat "&amp;C55&amp;" dari 5, di bawah batas minimal (tingkat "&amp;Aturan!$C$30&amp;")",IF(K55="Cukup","prosesor tingkat "&amp;C55&amp;" dari 5 cukup, nyamannya mulai tingkat "&amp;Aturan!$D$30,IF(K55="Belum ada data","tingkat prosesor belum diisi",""))))</f>
        <v/>
      </c>
      <c r="S55" s="66" t="str">
        <f aca="false">IF($A55="","",IF(L55="Kurang","grafis tingkat "&amp;D55&amp;" dari 5, di bawah batas minimal (tingkat "&amp;Aturan!$C$31&amp;")",IF(L55="Cukup","grafis tingkat "&amp;D55&amp;" dari 5 cukup, nyamannya mulai tingkat "&amp;Aturan!$D$31,IF(L55="Belum ada data","tingkat grafis belum diisi",""))))</f>
        <v/>
      </c>
      <c r="T55" s="66" t="str">
        <f aca="false">IF($A55="","",IF(M55="Kurang","RAM "&amp;E55&amp;" GB, di bawah batas minimal "&amp;Aturan!$C$32&amp;" GB ("&amp;I55&amp;")",IF(M55="Cukup","RAM "&amp;E55&amp;" GB cukup, nyamannya "&amp;Aturan!$D$32&amp;" GB atau lebih ("&amp;I55&amp;")",IF(M55="Belum ada data","ukuran RAM belum diisi",""))))</f>
        <v/>
      </c>
      <c r="U55" s="66" t="str">
        <f aca="false">IF($A55="","",IF(N55="Kurang","penyimpanan "&amp;F55&amp;" GB, di bawah batas minimal "&amp;Aturan!$C$33&amp;" GB ("&amp;J55&amp;")",IF(N55="Cukup","penyimpanan "&amp;F55&amp;" GB cukup, nyamannya "&amp;Aturan!$D$33&amp;" GB atau lebih ("&amp;J55&amp;")",IF(N55="Belum ada data","ukuran penyimpanan belum diisi",""))))</f>
        <v/>
      </c>
      <c r="V55" s="66" t="str">
        <f aca="false">IF($A55="","",IF(O55="Kurang","layar "&amp;Varian!$AG15&amp;", di bawah batas minimal ("&amp;IFERROR(INDEX(Aturan!$A$63:$A$66,MATCH(Aturan!$C$34,Aturan!$B$63:$B$66,0)),"peringkat "&amp;Aturan!$C$34)&amp;")",IF(O55="Cukup","layar "&amp;Varian!$AG15&amp;" cukup, nyamannya "&amp;IFERROR(INDEX(Aturan!$A$63:$A$66,MATCH(Aturan!$D$34,Aturan!$B$63:$B$66,0)),"peringkat "&amp;Aturan!$D$34),IF(O55="Belum ada data","jenis layar belum diketahui",""))))</f>
        <v/>
      </c>
      <c r="W55" s="66" t="str">
        <f aca="false">IF($A55="","",IF(P55="Kurang","layar "&amp;H55&amp;" Hz, di bawah batas minimal "&amp;Aturan!$C$35&amp;" Hz",IF(P55="Cukup","layar "&amp;H55&amp;" Hz cukup, nyamannya "&amp;Aturan!$D$35&amp;" Hz atau lebih",IF(P55="Belum ada data","refresh rate belum diketahui",""))))</f>
        <v/>
      </c>
      <c r="X55" s="66" t="str">
        <f aca="false">IF($A55="","",IF(K55="Kurang",R55&amp;"; ","")&amp;IF(L55="Kurang",S55&amp;"; ","")&amp;IF(M55="Kurang",T55&amp;"; ","")&amp;IF(N55="Kurang",U55&amp;"; ","")&amp;IF(O55="Kurang",V55&amp;"; ","")&amp;IF(P55="Kurang",W55&amp;"; ","")&amp;IF(K55="Belum ada data",R55&amp;"; ","")&amp;IF(L55="Belum ada data",S55&amp;"; ","")&amp;IF(M55="Belum ada data",T55&amp;"; ","")&amp;IF(N55="Belum ada data",U55&amp;"; ","")&amp;IF(O55="Belum ada data",V55&amp;"; ","")&amp;IF(P55="Belum ada data",W55&amp;"; ","")&amp;IF(K55="Cukup",R55&amp;"; ","")&amp;IF(L55="Cukup",S55&amp;"; ","")&amp;IF(M55="Cukup",T55&amp;"; ","")&amp;IF(N55="Cukup",U55&amp;"; ","")&amp;IF(O55="Cukup",V55&amp;"; ","")&amp;IF(P55="Cukup",W55&amp;"; ",""))</f>
        <v/>
      </c>
      <c r="Y55" s="66" t="str">
        <f aca="false">IF($A55="","",IF(K55="Nyaman","prosesor, ","")&amp;IF(L55="Nyaman","grafis, ","")&amp;IF(M55="Nyaman","RAM, ","")&amp;IF(N55="Nyaman","penyimpanan, ","")&amp;IF(O55="Nyaman","layar, ","")&amp;IF(P55="Nyaman","refresh rate, ",""))</f>
        <v/>
      </c>
      <c r="Z55" s="66" t="str">
        <f aca="false">IF($A55="","",IF(Q55="Tidak dinilai","Belum ada kriteria yang dinilai untuk kebutuhan ini.",IF(Q55="Cocok","Semua kriteria yang dinilai sudah nyaman: "&amp;LEFT(Y55,LEN(Y55)-2)&amp;".",UPPER(LEFT(X55,1))&amp;MID(X55,2,LEN(X55)-3)&amp;"."&amp;IF(Y55="",""," Sudah nyaman: "&amp;LEFT(Y55,LEN(Y55)-2)&amp;"."))))</f>
        <v/>
      </c>
      <c r="AA55" s="66" t="str">
        <f aca="false">IF($A55="","",IF(Varian!$AR15="Windows 10","• "&amp;Aturan!$E$71&amp;CHAR(10),"")&amp;IF(Varian!$BB15="tidak","• "&amp;Aturan!$E$72&amp;CHAR(10),"")&amp;IF(OR(Varian!$AD15="belum terverifikasi",Varian!$AD15="tidak diketahui"),"• "&amp;Aturan!$E$73&amp;CHAR(10),"")&amp;IF(Varian!$AH15="1366x768","• "&amp;Aturan!$E$74&amp;CHAR(10),"")&amp;IF(Varian!$AG15="TN","• "&amp;Aturan!$E$75&amp;CHAR(10),"")&amp;IF(AND(Varian!$Q15="disolder",ISNUMBER(Varian!$M15),Varian!$M15&lt;=8),"• "&amp;Aturan!$E$76&amp;CHAR(10),""))</f>
        <v/>
      </c>
      <c r="AB55" s="66" t="str">
        <f aca="false">IF($A55="","",IF(AA55="","",LEFT(AA55,LEN(AA55)-1)))</f>
        <v/>
      </c>
      <c r="AC55" s="67" t="str">
        <f aca="false">IF($A55="","",IF(AA55="",0,LEN(AA55)-LEN(SUBSTITUTE(AA55,CHAR(10),""))))</f>
        <v/>
      </c>
    </row>
    <row r="56" customFormat="false" ht="15" hidden="false" customHeight="true" outlineLevel="0" collapsed="false">
      <c r="A56" s="33" t="str">
        <f aca="false">IF(Varian!$A15="","",Varian!$A15)</f>
        <v/>
      </c>
      <c r="B56" s="33" t="str">
        <f aca="false">IF($A56="","",Aturan!$A$22)</f>
        <v/>
      </c>
      <c r="C56" s="69" t="str">
        <f aca="false">IF($A56="","",IFERROR(IF(ISNUMBER(INDEX(CPU!$J$4:$J$64,MATCH(Varian!$J15,CPU!$A$4:$A$64,0))),INDEX(CPU!$J$4:$J$64,MATCH(Varian!$J15,CPU!$A$4:$A$64,0)),""),""))</f>
        <v/>
      </c>
      <c r="D56" s="69" t="str">
        <f aca="false">IF($A56="","",IFERROR(IF(ISNUMBER(INDEX(GPU!$G$4:$G$64,MATCH(Varian!$K15,GPU!$A$4:$A$64,0))),INDEX(GPU!$G$4:$G$64,MATCH(Varian!$K15,GPU!$A$4:$A$64,0)),""),""))</f>
        <v/>
      </c>
      <c r="E56" s="69" t="str">
        <f aca="false">IF($A56="","",IF(ISNUMBER(Varian!$M15),Varian!$M15,""))</f>
        <v/>
      </c>
      <c r="F56" s="69" t="str">
        <f aca="false">IF($A56="","",IF(ISNUMBER(Varian!$V15),Varian!$V15,""))</f>
        <v/>
      </c>
      <c r="G56" s="69" t="str">
        <f aca="false">IF($A56="","",IFERROR(INDEX(Aturan!$B$63:$B$66,MATCH(Varian!$AG15,Aturan!$A$63:$A$66,0)),""))</f>
        <v/>
      </c>
      <c r="H56" s="69" t="str">
        <f aca="false">IF($A56="","",IF(ISNUMBER(Varian!$AI15),Varian!$AI15,""))</f>
        <v/>
      </c>
      <c r="I56" s="33" t="str">
        <f aca="false">IF($A56="","",IF(Varian!$Q15="disolder","menempel di papan utama, tidak bisa ditambah",IF(OR(Varian!$Q15="slot",Varian!$Q15="setengah_disolder"),IF(Varian!$Q15="setengah_disolder","sebagian menempel, ","")&amp;IF(ISNUMBER(Varian!$U15),IF(AND(ISNUMBER(Varian!$M15),Varian!$U15&gt;Varian!$M15),"bisa dinaikkan lewat slot sampai "&amp;Varian!$U15&amp;" GB","sudah di batas maksimal "&amp;Varian!$U15&amp;" GB"),"ada slot, batas maksimalnya belum diketahui"),"belum diketahui apakah bisa ditambah")))</f>
        <v/>
      </c>
      <c r="J56" s="33" t="str">
        <f aca="false">IF($A56="","",IF(Varian!$Z15="ya","bisa diganti dengan yang lebih besar",IF(Varian!$Z15="tidak","menempel, tidak bisa diganti","belum diketahui apakah bisa diganti")))</f>
        <v/>
      </c>
      <c r="K56" s="70" t="str">
        <f aca="false">IF($A56="","",IF(AND(Aturan!$C$36="",Aturan!$D$36=""),"Tidak dinilai",IF(C56="","Belum ada data",IF(C56&lt;IF(Aturan!$C$36="",0,Aturan!$C$36),"Kurang",IF(C56&gt;=IF(Aturan!$D$36="",Aturan!$C$36,Aturan!$D$36),"Nyaman","Cukup")))))</f>
        <v/>
      </c>
      <c r="L56" s="70" t="str">
        <f aca="false">IF($A56="","",IF(AND(Aturan!$C$37="",Aturan!$D$37=""),"Tidak dinilai",IF(D56="","Belum ada data",IF(D56&lt;IF(Aturan!$C$37="",0,Aturan!$C$37),"Kurang",IF(D56&gt;=IF(Aturan!$D$37="",Aturan!$C$37,Aturan!$D$37),"Nyaman","Cukup")))))</f>
        <v/>
      </c>
      <c r="M56" s="70" t="str">
        <f aca="false">IF($A56="","",IF(AND(Aturan!$C$38="",Aturan!$D$38=""),"Tidak dinilai",IF(E56="","Belum ada data",IF(E56&lt;IF(Aturan!$C$38="",0,Aturan!$C$38),"Kurang",IF(E56&gt;=IF(Aturan!$D$38="",Aturan!$C$38,Aturan!$D$38),"Nyaman","Cukup")))))</f>
        <v/>
      </c>
      <c r="N56" s="70" t="str">
        <f aca="false">IF($A56="","",IF(AND(Aturan!$C$39="",Aturan!$D$39=""),"Tidak dinilai",IF(F56="","Belum ada data",IF(F56&lt;IF(Aturan!$C$39="",0,Aturan!$C$39),"Kurang",IF(F56&gt;=IF(Aturan!$D$39="",Aturan!$C$39,Aturan!$D$39),"Nyaman","Cukup")))))</f>
        <v/>
      </c>
      <c r="O56" s="70" t="str">
        <f aca="false">IF($A56="","",IF(AND(Aturan!$C$40="",Aturan!$D$40=""),"Tidak dinilai",IF(G56="","Belum ada data",IF(G56&lt;IF(Aturan!$C$40="",0,Aturan!$C$40),"Kurang",IF(G56&gt;=IF(Aturan!$D$40="",Aturan!$C$40,Aturan!$D$40),"Nyaman","Cukup")))))</f>
        <v/>
      </c>
      <c r="P56" s="70" t="str">
        <f aca="false">IF($A56="","",IF(AND(Aturan!$C$41="",Aturan!$D$41=""),"Tidak dinilai",IF(H56="","Belum ada data",IF(H56&lt;IF(Aturan!$C$41="",0,Aturan!$C$41),"Kurang",IF(H56&gt;=IF(Aturan!$D$41="",Aturan!$C$41,Aturan!$D$41),"Nyaman","Cukup")))))</f>
        <v/>
      </c>
      <c r="Q56" s="70" t="str">
        <f aca="false">IF($A56="","",IF(COUNTIF(K56:P56,"Tidak dinilai")=6,"Tidak dinilai",IF(COUNTIF(K56:P56,"Kurang")&gt;0,"Kurang cocok",IF(COUNTIF(K56:P56,"Belum ada data")&gt;0,"Data belum lengkap",IF(COUNTIF(K56:P56,"Cukup")&gt;0,"Bisa, dengan catatan","Cocok")))))</f>
        <v/>
      </c>
      <c r="R56" s="33" t="str">
        <f aca="false">IF($A56="","",IF(K56="Kurang","prosesor tingkat "&amp;C56&amp;" dari 5, di bawah batas minimal (tingkat "&amp;Aturan!$C$36&amp;")",IF(K56="Cukup","prosesor tingkat "&amp;C56&amp;" dari 5 cukup, nyamannya mulai tingkat "&amp;Aturan!$D$36,IF(K56="Belum ada data","tingkat prosesor belum diisi",""))))</f>
        <v/>
      </c>
      <c r="S56" s="33" t="str">
        <f aca="false">IF($A56="","",IF(L56="Kurang","grafis tingkat "&amp;D56&amp;" dari 5, di bawah batas minimal (tingkat "&amp;Aturan!$C$37&amp;")",IF(L56="Cukup","grafis tingkat "&amp;D56&amp;" dari 5 cukup, nyamannya mulai tingkat "&amp;Aturan!$D$37,IF(L56="Belum ada data","tingkat grafis belum diisi",""))))</f>
        <v/>
      </c>
      <c r="T56" s="33" t="str">
        <f aca="false">IF($A56="","",IF(M56="Kurang","RAM "&amp;E56&amp;" GB, di bawah batas minimal "&amp;Aturan!$C$38&amp;" GB ("&amp;I56&amp;")",IF(M56="Cukup","RAM "&amp;E56&amp;" GB cukup, nyamannya "&amp;Aturan!$D$38&amp;" GB atau lebih ("&amp;I56&amp;")",IF(M56="Belum ada data","ukuran RAM belum diisi",""))))</f>
        <v/>
      </c>
      <c r="U56" s="33" t="str">
        <f aca="false">IF($A56="","",IF(N56="Kurang","penyimpanan "&amp;F56&amp;" GB, di bawah batas minimal "&amp;Aturan!$C$39&amp;" GB ("&amp;J56&amp;")",IF(N56="Cukup","penyimpanan "&amp;F56&amp;" GB cukup, nyamannya "&amp;Aturan!$D$39&amp;" GB atau lebih ("&amp;J56&amp;")",IF(N56="Belum ada data","ukuran penyimpanan belum diisi",""))))</f>
        <v/>
      </c>
      <c r="V56" s="33" t="str">
        <f aca="false">IF($A56="","",IF(O56="Kurang","layar "&amp;Varian!$AG15&amp;", di bawah batas minimal ("&amp;IFERROR(INDEX(Aturan!$A$63:$A$66,MATCH(Aturan!$C$40,Aturan!$B$63:$B$66,0)),"peringkat "&amp;Aturan!$C$40)&amp;")",IF(O56="Cukup","layar "&amp;Varian!$AG15&amp;" cukup, nyamannya "&amp;IFERROR(INDEX(Aturan!$A$63:$A$66,MATCH(Aturan!$D$40,Aturan!$B$63:$B$66,0)),"peringkat "&amp;Aturan!$D$40),IF(O56="Belum ada data","jenis layar belum diketahui",""))))</f>
        <v/>
      </c>
      <c r="W56" s="33" t="str">
        <f aca="false">IF($A56="","",IF(P56="Kurang","layar "&amp;H56&amp;" Hz, di bawah batas minimal "&amp;Aturan!$C$41&amp;" Hz",IF(P56="Cukup","layar "&amp;H56&amp;" Hz cukup, nyamannya "&amp;Aturan!$D$41&amp;" Hz atau lebih",IF(P56="Belum ada data","refresh rate belum diketahui",""))))</f>
        <v/>
      </c>
      <c r="X56" s="33" t="str">
        <f aca="false">IF($A56="","",IF(K56="Kurang",R56&amp;"; ","")&amp;IF(L56="Kurang",S56&amp;"; ","")&amp;IF(M56="Kurang",T56&amp;"; ","")&amp;IF(N56="Kurang",U56&amp;"; ","")&amp;IF(O56="Kurang",V56&amp;"; ","")&amp;IF(P56="Kurang",W56&amp;"; ","")&amp;IF(K56="Belum ada data",R56&amp;"; ","")&amp;IF(L56="Belum ada data",S56&amp;"; ","")&amp;IF(M56="Belum ada data",T56&amp;"; ","")&amp;IF(N56="Belum ada data",U56&amp;"; ","")&amp;IF(O56="Belum ada data",V56&amp;"; ","")&amp;IF(P56="Belum ada data",W56&amp;"; ","")&amp;IF(K56="Cukup",R56&amp;"; ","")&amp;IF(L56="Cukup",S56&amp;"; ","")&amp;IF(M56="Cukup",T56&amp;"; ","")&amp;IF(N56="Cukup",U56&amp;"; ","")&amp;IF(O56="Cukup",V56&amp;"; ","")&amp;IF(P56="Cukup",W56&amp;"; ",""))</f>
        <v/>
      </c>
      <c r="Y56" s="33" t="str">
        <f aca="false">IF($A56="","",IF(K56="Nyaman","prosesor, ","")&amp;IF(L56="Nyaman","grafis, ","")&amp;IF(M56="Nyaman","RAM, ","")&amp;IF(N56="Nyaman","penyimpanan, ","")&amp;IF(O56="Nyaman","layar, ","")&amp;IF(P56="Nyaman","refresh rate, ",""))</f>
        <v/>
      </c>
      <c r="Z56" s="33" t="str">
        <f aca="false">IF($A56="","",IF(Q56="Tidak dinilai","Belum ada kriteria yang dinilai untuk kebutuhan ini.",IF(Q56="Cocok","Semua kriteria yang dinilai sudah nyaman: "&amp;LEFT(Y56,LEN(Y56)-2)&amp;".",UPPER(LEFT(X56,1))&amp;MID(X56,2,LEN(X56)-3)&amp;"."&amp;IF(Y56="",""," Sudah nyaman: "&amp;LEFT(Y56,LEN(Y56)-2)&amp;"."))))</f>
        <v/>
      </c>
      <c r="AA56" s="33"/>
      <c r="AB56" s="33"/>
      <c r="AC56" s="69"/>
    </row>
    <row r="57" customFormat="false" ht="15" hidden="false" customHeight="true" outlineLevel="0" collapsed="false">
      <c r="A57" s="33" t="str">
        <f aca="false">IF(Varian!$A15="","",Varian!$A15)</f>
        <v/>
      </c>
      <c r="B57" s="33" t="str">
        <f aca="false">IF($A57="","",Aturan!$A$23)</f>
        <v/>
      </c>
      <c r="C57" s="69" t="str">
        <f aca="false">IF($A57="","",IFERROR(IF(ISNUMBER(INDEX(CPU!$J$4:$J$64,MATCH(Varian!$J15,CPU!$A$4:$A$64,0))),INDEX(CPU!$J$4:$J$64,MATCH(Varian!$J15,CPU!$A$4:$A$64,0)),""),""))</f>
        <v/>
      </c>
      <c r="D57" s="69" t="str">
        <f aca="false">IF($A57="","",IFERROR(IF(ISNUMBER(INDEX(GPU!$G$4:$G$64,MATCH(Varian!$K15,GPU!$A$4:$A$64,0))),INDEX(GPU!$G$4:$G$64,MATCH(Varian!$K15,GPU!$A$4:$A$64,0)),""),""))</f>
        <v/>
      </c>
      <c r="E57" s="69" t="str">
        <f aca="false">IF($A57="","",IF(ISNUMBER(Varian!$M15),Varian!$M15,""))</f>
        <v/>
      </c>
      <c r="F57" s="69" t="str">
        <f aca="false">IF($A57="","",IF(ISNUMBER(Varian!$V15),Varian!$V15,""))</f>
        <v/>
      </c>
      <c r="G57" s="69" t="str">
        <f aca="false">IF($A57="","",IFERROR(INDEX(Aturan!$B$63:$B$66,MATCH(Varian!$AG15,Aturan!$A$63:$A$66,0)),""))</f>
        <v/>
      </c>
      <c r="H57" s="69" t="str">
        <f aca="false">IF($A57="","",IF(ISNUMBER(Varian!$AI15),Varian!$AI15,""))</f>
        <v/>
      </c>
      <c r="I57" s="33" t="str">
        <f aca="false">IF($A57="","",IF(Varian!$Q15="disolder","menempel di papan utama, tidak bisa ditambah",IF(OR(Varian!$Q15="slot",Varian!$Q15="setengah_disolder"),IF(Varian!$Q15="setengah_disolder","sebagian menempel, ","")&amp;IF(ISNUMBER(Varian!$U15),IF(AND(ISNUMBER(Varian!$M15),Varian!$U15&gt;Varian!$M15),"bisa dinaikkan lewat slot sampai "&amp;Varian!$U15&amp;" GB","sudah di batas maksimal "&amp;Varian!$U15&amp;" GB"),"ada slot, batas maksimalnya belum diketahui"),"belum diketahui apakah bisa ditambah")))</f>
        <v/>
      </c>
      <c r="J57" s="33" t="str">
        <f aca="false">IF($A57="","",IF(Varian!$Z15="ya","bisa diganti dengan yang lebih besar",IF(Varian!$Z15="tidak","menempel, tidak bisa diganti","belum diketahui apakah bisa diganti")))</f>
        <v/>
      </c>
      <c r="K57" s="70" t="str">
        <f aca="false">IF($A57="","",IF(AND(Aturan!$C$42="",Aturan!$D$42=""),"Tidak dinilai",IF(C57="","Belum ada data",IF(C57&lt;IF(Aturan!$C$42="",0,Aturan!$C$42),"Kurang",IF(C57&gt;=IF(Aturan!$D$42="",Aturan!$C$42,Aturan!$D$42),"Nyaman","Cukup")))))</f>
        <v/>
      </c>
      <c r="L57" s="70" t="str">
        <f aca="false">IF($A57="","",IF(AND(Aturan!$C$43="",Aturan!$D$43=""),"Tidak dinilai",IF(D57="","Belum ada data",IF(D57&lt;IF(Aturan!$C$43="",0,Aturan!$C$43),"Kurang",IF(D57&gt;=IF(Aturan!$D$43="",Aturan!$C$43,Aturan!$D$43),"Nyaman","Cukup")))))</f>
        <v/>
      </c>
      <c r="M57" s="70" t="str">
        <f aca="false">IF($A57="","",IF(AND(Aturan!$C$44="",Aturan!$D$44=""),"Tidak dinilai",IF(E57="","Belum ada data",IF(E57&lt;IF(Aturan!$C$44="",0,Aturan!$C$44),"Kurang",IF(E57&gt;=IF(Aturan!$D$44="",Aturan!$C$44,Aturan!$D$44),"Nyaman","Cukup")))))</f>
        <v/>
      </c>
      <c r="N57" s="70" t="str">
        <f aca="false">IF($A57="","",IF(AND(Aturan!$C$45="",Aturan!$D$45=""),"Tidak dinilai",IF(F57="","Belum ada data",IF(F57&lt;IF(Aturan!$C$45="",0,Aturan!$C$45),"Kurang",IF(F57&gt;=IF(Aturan!$D$45="",Aturan!$C$45,Aturan!$D$45),"Nyaman","Cukup")))))</f>
        <v/>
      </c>
      <c r="O57" s="70" t="str">
        <f aca="false">IF($A57="","",IF(AND(Aturan!$C$46="",Aturan!$D$46=""),"Tidak dinilai",IF(G57="","Belum ada data",IF(G57&lt;IF(Aturan!$C$46="",0,Aturan!$C$46),"Kurang",IF(G57&gt;=IF(Aturan!$D$46="",Aturan!$C$46,Aturan!$D$46),"Nyaman","Cukup")))))</f>
        <v/>
      </c>
      <c r="P57" s="70" t="str">
        <f aca="false">IF($A57="","",IF(AND(Aturan!$C$47="",Aturan!$D$47=""),"Tidak dinilai",IF(H57="","Belum ada data",IF(H57&lt;IF(Aturan!$C$47="",0,Aturan!$C$47),"Kurang",IF(H57&gt;=IF(Aturan!$D$47="",Aturan!$C$47,Aturan!$D$47),"Nyaman","Cukup")))))</f>
        <v/>
      </c>
      <c r="Q57" s="70" t="str">
        <f aca="false">IF($A57="","",IF(COUNTIF(K57:P57,"Tidak dinilai")=6,"Tidak dinilai",IF(COUNTIF(K57:P57,"Kurang")&gt;0,"Kurang cocok",IF(COUNTIF(K57:P57,"Belum ada data")&gt;0,"Data belum lengkap",IF(COUNTIF(K57:P57,"Cukup")&gt;0,"Bisa, dengan catatan","Cocok")))))</f>
        <v/>
      </c>
      <c r="R57" s="33" t="str">
        <f aca="false">IF($A57="","",IF(K57="Kurang","prosesor tingkat "&amp;C57&amp;" dari 5, di bawah batas minimal (tingkat "&amp;Aturan!$C$42&amp;")",IF(K57="Cukup","prosesor tingkat "&amp;C57&amp;" dari 5 cukup, nyamannya mulai tingkat "&amp;Aturan!$D$42,IF(K57="Belum ada data","tingkat prosesor belum diisi",""))))</f>
        <v/>
      </c>
      <c r="S57" s="33" t="str">
        <f aca="false">IF($A57="","",IF(L57="Kurang","grafis tingkat "&amp;D57&amp;" dari 5, di bawah batas minimal (tingkat "&amp;Aturan!$C$43&amp;")",IF(L57="Cukup","grafis tingkat "&amp;D57&amp;" dari 5 cukup, nyamannya mulai tingkat "&amp;Aturan!$D$43,IF(L57="Belum ada data","tingkat grafis belum diisi",""))))</f>
        <v/>
      </c>
      <c r="T57" s="33" t="str">
        <f aca="false">IF($A57="","",IF(M57="Kurang","RAM "&amp;E57&amp;" GB, di bawah batas minimal "&amp;Aturan!$C$44&amp;" GB ("&amp;I57&amp;")",IF(M57="Cukup","RAM "&amp;E57&amp;" GB cukup, nyamannya "&amp;Aturan!$D$44&amp;" GB atau lebih ("&amp;I57&amp;")",IF(M57="Belum ada data","ukuran RAM belum diisi",""))))</f>
        <v/>
      </c>
      <c r="U57" s="33" t="str">
        <f aca="false">IF($A57="","",IF(N57="Kurang","penyimpanan "&amp;F57&amp;" GB, di bawah batas minimal "&amp;Aturan!$C$45&amp;" GB ("&amp;J57&amp;")",IF(N57="Cukup","penyimpanan "&amp;F57&amp;" GB cukup, nyamannya "&amp;Aturan!$D$45&amp;" GB atau lebih ("&amp;J57&amp;")",IF(N57="Belum ada data","ukuran penyimpanan belum diisi",""))))</f>
        <v/>
      </c>
      <c r="V57" s="33" t="str">
        <f aca="false">IF($A57="","",IF(O57="Kurang","layar "&amp;Varian!$AG15&amp;", di bawah batas minimal ("&amp;IFERROR(INDEX(Aturan!$A$63:$A$66,MATCH(Aturan!$C$46,Aturan!$B$63:$B$66,0)),"peringkat "&amp;Aturan!$C$46)&amp;")",IF(O57="Cukup","layar "&amp;Varian!$AG15&amp;" cukup, nyamannya "&amp;IFERROR(INDEX(Aturan!$A$63:$A$66,MATCH(Aturan!$D$46,Aturan!$B$63:$B$66,0)),"peringkat "&amp;Aturan!$D$46),IF(O57="Belum ada data","jenis layar belum diketahui",""))))</f>
        <v/>
      </c>
      <c r="W57" s="33" t="str">
        <f aca="false">IF($A57="","",IF(P57="Kurang","layar "&amp;H57&amp;" Hz, di bawah batas minimal "&amp;Aturan!$C$47&amp;" Hz",IF(P57="Cukup","layar "&amp;H57&amp;" Hz cukup, nyamannya "&amp;Aturan!$D$47&amp;" Hz atau lebih",IF(P57="Belum ada data","refresh rate belum diketahui",""))))</f>
        <v/>
      </c>
      <c r="X57" s="33" t="str">
        <f aca="false">IF($A57="","",IF(K57="Kurang",R57&amp;"; ","")&amp;IF(L57="Kurang",S57&amp;"; ","")&amp;IF(M57="Kurang",T57&amp;"; ","")&amp;IF(N57="Kurang",U57&amp;"; ","")&amp;IF(O57="Kurang",V57&amp;"; ","")&amp;IF(P57="Kurang",W57&amp;"; ","")&amp;IF(K57="Belum ada data",R57&amp;"; ","")&amp;IF(L57="Belum ada data",S57&amp;"; ","")&amp;IF(M57="Belum ada data",T57&amp;"; ","")&amp;IF(N57="Belum ada data",U57&amp;"; ","")&amp;IF(O57="Belum ada data",V57&amp;"; ","")&amp;IF(P57="Belum ada data",W57&amp;"; ","")&amp;IF(K57="Cukup",R57&amp;"; ","")&amp;IF(L57="Cukup",S57&amp;"; ","")&amp;IF(M57="Cukup",T57&amp;"; ","")&amp;IF(N57="Cukup",U57&amp;"; ","")&amp;IF(O57="Cukup",V57&amp;"; ","")&amp;IF(P57="Cukup",W57&amp;"; ",""))</f>
        <v/>
      </c>
      <c r="Y57" s="33" t="str">
        <f aca="false">IF($A57="","",IF(K57="Nyaman","prosesor, ","")&amp;IF(L57="Nyaman","grafis, ","")&amp;IF(M57="Nyaman","RAM, ","")&amp;IF(N57="Nyaman","penyimpanan, ","")&amp;IF(O57="Nyaman","layar, ","")&amp;IF(P57="Nyaman","refresh rate, ",""))</f>
        <v/>
      </c>
      <c r="Z57" s="33" t="str">
        <f aca="false">IF($A57="","",IF(Q57="Tidak dinilai","Belum ada kriteria yang dinilai untuk kebutuhan ini.",IF(Q57="Cocok","Semua kriteria yang dinilai sudah nyaman: "&amp;LEFT(Y57,LEN(Y57)-2)&amp;".",UPPER(LEFT(X57,1))&amp;MID(X57,2,LEN(X57)-3)&amp;"."&amp;IF(Y57="",""," Sudah nyaman: "&amp;LEFT(Y57,LEN(Y57)-2)&amp;"."))))</f>
        <v/>
      </c>
      <c r="AA57" s="33"/>
      <c r="AB57" s="33"/>
      <c r="AC57" s="69"/>
    </row>
    <row r="58" customFormat="false" ht="15" hidden="false" customHeight="true" outlineLevel="0" collapsed="false">
      <c r="A58" s="33" t="str">
        <f aca="false">IF(Varian!$A15="","",Varian!$A15)</f>
        <v/>
      </c>
      <c r="B58" s="33" t="str">
        <f aca="false">IF($A58="","",Aturan!$A$24)</f>
        <v/>
      </c>
      <c r="C58" s="69" t="str">
        <f aca="false">IF($A58="","",IFERROR(IF(ISNUMBER(INDEX(CPU!$J$4:$J$64,MATCH(Varian!$J15,CPU!$A$4:$A$64,0))),INDEX(CPU!$J$4:$J$64,MATCH(Varian!$J15,CPU!$A$4:$A$64,0)),""),""))</f>
        <v/>
      </c>
      <c r="D58" s="69" t="str">
        <f aca="false">IF($A58="","",IFERROR(IF(ISNUMBER(INDEX(GPU!$G$4:$G$64,MATCH(Varian!$K15,GPU!$A$4:$A$64,0))),INDEX(GPU!$G$4:$G$64,MATCH(Varian!$K15,GPU!$A$4:$A$64,0)),""),""))</f>
        <v/>
      </c>
      <c r="E58" s="69" t="str">
        <f aca="false">IF($A58="","",IF(ISNUMBER(Varian!$M15),Varian!$M15,""))</f>
        <v/>
      </c>
      <c r="F58" s="69" t="str">
        <f aca="false">IF($A58="","",IF(ISNUMBER(Varian!$V15),Varian!$V15,""))</f>
        <v/>
      </c>
      <c r="G58" s="69" t="str">
        <f aca="false">IF($A58="","",IFERROR(INDEX(Aturan!$B$63:$B$66,MATCH(Varian!$AG15,Aturan!$A$63:$A$66,0)),""))</f>
        <v/>
      </c>
      <c r="H58" s="69" t="str">
        <f aca="false">IF($A58="","",IF(ISNUMBER(Varian!$AI15),Varian!$AI15,""))</f>
        <v/>
      </c>
      <c r="I58" s="33" t="str">
        <f aca="false">IF($A58="","",IF(Varian!$Q15="disolder","menempel di papan utama, tidak bisa ditambah",IF(OR(Varian!$Q15="slot",Varian!$Q15="setengah_disolder"),IF(Varian!$Q15="setengah_disolder","sebagian menempel, ","")&amp;IF(ISNUMBER(Varian!$U15),IF(AND(ISNUMBER(Varian!$M15),Varian!$U15&gt;Varian!$M15),"bisa dinaikkan lewat slot sampai "&amp;Varian!$U15&amp;" GB","sudah di batas maksimal "&amp;Varian!$U15&amp;" GB"),"ada slot, batas maksimalnya belum diketahui"),"belum diketahui apakah bisa ditambah")))</f>
        <v/>
      </c>
      <c r="J58" s="33" t="str">
        <f aca="false">IF($A58="","",IF(Varian!$Z15="ya","bisa diganti dengan yang lebih besar",IF(Varian!$Z15="tidak","menempel, tidak bisa diganti","belum diketahui apakah bisa diganti")))</f>
        <v/>
      </c>
      <c r="K58" s="70" t="str">
        <f aca="false">IF($A58="","",IF(AND(Aturan!$C$48="",Aturan!$D$48=""),"Tidak dinilai",IF(C58="","Belum ada data",IF(C58&lt;IF(Aturan!$C$48="",0,Aturan!$C$48),"Kurang",IF(C58&gt;=IF(Aturan!$D$48="",Aturan!$C$48,Aturan!$D$48),"Nyaman","Cukup")))))</f>
        <v/>
      </c>
      <c r="L58" s="70" t="str">
        <f aca="false">IF($A58="","",IF(AND(Aturan!$C$49="",Aturan!$D$49=""),"Tidak dinilai",IF(D58="","Belum ada data",IF(D58&lt;IF(Aturan!$C$49="",0,Aturan!$C$49),"Kurang",IF(D58&gt;=IF(Aturan!$D$49="",Aturan!$C$49,Aturan!$D$49),"Nyaman","Cukup")))))</f>
        <v/>
      </c>
      <c r="M58" s="70" t="str">
        <f aca="false">IF($A58="","",IF(AND(Aturan!$C$50="",Aturan!$D$50=""),"Tidak dinilai",IF(E58="","Belum ada data",IF(E58&lt;IF(Aturan!$C$50="",0,Aturan!$C$50),"Kurang",IF(E58&gt;=IF(Aturan!$D$50="",Aturan!$C$50,Aturan!$D$50),"Nyaman","Cukup")))))</f>
        <v/>
      </c>
      <c r="N58" s="70" t="str">
        <f aca="false">IF($A58="","",IF(AND(Aturan!$C$51="",Aturan!$D$51=""),"Tidak dinilai",IF(F58="","Belum ada data",IF(F58&lt;IF(Aturan!$C$51="",0,Aturan!$C$51),"Kurang",IF(F58&gt;=IF(Aturan!$D$51="",Aturan!$C$51,Aturan!$D$51),"Nyaman","Cukup")))))</f>
        <v/>
      </c>
      <c r="O58" s="70" t="str">
        <f aca="false">IF($A58="","",IF(AND(Aturan!$C$52="",Aturan!$D$52=""),"Tidak dinilai",IF(G58="","Belum ada data",IF(G58&lt;IF(Aturan!$C$52="",0,Aturan!$C$52),"Kurang",IF(G58&gt;=IF(Aturan!$D$52="",Aturan!$C$52,Aturan!$D$52),"Nyaman","Cukup")))))</f>
        <v/>
      </c>
      <c r="P58" s="70" t="str">
        <f aca="false">IF($A58="","",IF(AND(Aturan!$C$53="",Aturan!$D$53=""),"Tidak dinilai",IF(H58="","Belum ada data",IF(H58&lt;IF(Aturan!$C$53="",0,Aturan!$C$53),"Kurang",IF(H58&gt;=IF(Aturan!$D$53="",Aturan!$C$53,Aturan!$D$53),"Nyaman","Cukup")))))</f>
        <v/>
      </c>
      <c r="Q58" s="70" t="str">
        <f aca="false">IF($A58="","",IF(COUNTIF(K58:P58,"Tidak dinilai")=6,"Tidak dinilai",IF(COUNTIF(K58:P58,"Kurang")&gt;0,"Kurang cocok",IF(COUNTIF(K58:P58,"Belum ada data")&gt;0,"Data belum lengkap",IF(COUNTIF(K58:P58,"Cukup")&gt;0,"Bisa, dengan catatan","Cocok")))))</f>
        <v/>
      </c>
      <c r="R58" s="33" t="str">
        <f aca="false">IF($A58="","",IF(K58="Kurang","prosesor tingkat "&amp;C58&amp;" dari 5, di bawah batas minimal (tingkat "&amp;Aturan!$C$48&amp;")",IF(K58="Cukup","prosesor tingkat "&amp;C58&amp;" dari 5 cukup, nyamannya mulai tingkat "&amp;Aturan!$D$48,IF(K58="Belum ada data","tingkat prosesor belum diisi",""))))</f>
        <v/>
      </c>
      <c r="S58" s="33" t="str">
        <f aca="false">IF($A58="","",IF(L58="Kurang","grafis tingkat "&amp;D58&amp;" dari 5, di bawah batas minimal (tingkat "&amp;Aturan!$C$49&amp;")",IF(L58="Cukup","grafis tingkat "&amp;D58&amp;" dari 5 cukup, nyamannya mulai tingkat "&amp;Aturan!$D$49,IF(L58="Belum ada data","tingkat grafis belum diisi",""))))</f>
        <v/>
      </c>
      <c r="T58" s="33" t="str">
        <f aca="false">IF($A58="","",IF(M58="Kurang","RAM "&amp;E58&amp;" GB, di bawah batas minimal "&amp;Aturan!$C$50&amp;" GB ("&amp;I58&amp;")",IF(M58="Cukup","RAM "&amp;E58&amp;" GB cukup, nyamannya "&amp;Aturan!$D$50&amp;" GB atau lebih ("&amp;I58&amp;")",IF(M58="Belum ada data","ukuran RAM belum diisi",""))))</f>
        <v/>
      </c>
      <c r="U58" s="33" t="str">
        <f aca="false">IF($A58="","",IF(N58="Kurang","penyimpanan "&amp;F58&amp;" GB, di bawah batas minimal "&amp;Aturan!$C$51&amp;" GB ("&amp;J58&amp;")",IF(N58="Cukup","penyimpanan "&amp;F58&amp;" GB cukup, nyamannya "&amp;Aturan!$D$51&amp;" GB atau lebih ("&amp;J58&amp;")",IF(N58="Belum ada data","ukuran penyimpanan belum diisi",""))))</f>
        <v/>
      </c>
      <c r="V58" s="33" t="str">
        <f aca="false">IF($A58="","",IF(O58="Kurang","layar "&amp;Varian!$AG15&amp;", di bawah batas minimal ("&amp;IFERROR(INDEX(Aturan!$A$63:$A$66,MATCH(Aturan!$C$52,Aturan!$B$63:$B$66,0)),"peringkat "&amp;Aturan!$C$52)&amp;")",IF(O58="Cukup","layar "&amp;Varian!$AG15&amp;" cukup, nyamannya "&amp;IFERROR(INDEX(Aturan!$A$63:$A$66,MATCH(Aturan!$D$52,Aturan!$B$63:$B$66,0)),"peringkat "&amp;Aturan!$D$52),IF(O58="Belum ada data","jenis layar belum diketahui",""))))</f>
        <v/>
      </c>
      <c r="W58" s="33" t="str">
        <f aca="false">IF($A58="","",IF(P58="Kurang","layar "&amp;H58&amp;" Hz, di bawah batas minimal "&amp;Aturan!$C$53&amp;" Hz",IF(P58="Cukup","layar "&amp;H58&amp;" Hz cukup, nyamannya "&amp;Aturan!$D$53&amp;" Hz atau lebih",IF(P58="Belum ada data","refresh rate belum diketahui",""))))</f>
        <v/>
      </c>
      <c r="X58" s="33" t="str">
        <f aca="false">IF($A58="","",IF(K58="Kurang",R58&amp;"; ","")&amp;IF(L58="Kurang",S58&amp;"; ","")&amp;IF(M58="Kurang",T58&amp;"; ","")&amp;IF(N58="Kurang",U58&amp;"; ","")&amp;IF(O58="Kurang",V58&amp;"; ","")&amp;IF(P58="Kurang",W58&amp;"; ","")&amp;IF(K58="Belum ada data",R58&amp;"; ","")&amp;IF(L58="Belum ada data",S58&amp;"; ","")&amp;IF(M58="Belum ada data",T58&amp;"; ","")&amp;IF(N58="Belum ada data",U58&amp;"; ","")&amp;IF(O58="Belum ada data",V58&amp;"; ","")&amp;IF(P58="Belum ada data",W58&amp;"; ","")&amp;IF(K58="Cukup",R58&amp;"; ","")&amp;IF(L58="Cukup",S58&amp;"; ","")&amp;IF(M58="Cukup",T58&amp;"; ","")&amp;IF(N58="Cukup",U58&amp;"; ","")&amp;IF(O58="Cukup",V58&amp;"; ","")&amp;IF(P58="Cukup",W58&amp;"; ",""))</f>
        <v/>
      </c>
      <c r="Y58" s="33" t="str">
        <f aca="false">IF($A58="","",IF(K58="Nyaman","prosesor, ","")&amp;IF(L58="Nyaman","grafis, ","")&amp;IF(M58="Nyaman","RAM, ","")&amp;IF(N58="Nyaman","penyimpanan, ","")&amp;IF(O58="Nyaman","layar, ","")&amp;IF(P58="Nyaman","refresh rate, ",""))</f>
        <v/>
      </c>
      <c r="Z58" s="33" t="str">
        <f aca="false">IF($A58="","",IF(Q58="Tidak dinilai","Belum ada kriteria yang dinilai untuk kebutuhan ini.",IF(Q58="Cocok","Semua kriteria yang dinilai sudah nyaman: "&amp;LEFT(Y58,LEN(Y58)-2)&amp;".",UPPER(LEFT(X58,1))&amp;MID(X58,2,LEN(X58)-3)&amp;"."&amp;IF(Y58="",""," Sudah nyaman: "&amp;LEFT(Y58,LEN(Y58)-2)&amp;"."))))</f>
        <v/>
      </c>
      <c r="AA58" s="33"/>
      <c r="AB58" s="33"/>
      <c r="AC58" s="69"/>
    </row>
    <row r="59" customFormat="false" ht="15" hidden="false" customHeight="true" outlineLevel="0" collapsed="false">
      <c r="A59" s="33" t="str">
        <f aca="false">IF(Varian!$A15="","",Varian!$A15)</f>
        <v/>
      </c>
      <c r="B59" s="33" t="str">
        <f aca="false">IF($A59="","",Aturan!$A$25)</f>
        <v/>
      </c>
      <c r="C59" s="69" t="str">
        <f aca="false">IF($A59="","",IFERROR(IF(ISNUMBER(INDEX(CPU!$J$4:$J$64,MATCH(Varian!$J15,CPU!$A$4:$A$64,0))),INDEX(CPU!$J$4:$J$64,MATCH(Varian!$J15,CPU!$A$4:$A$64,0)),""),""))</f>
        <v/>
      </c>
      <c r="D59" s="69" t="str">
        <f aca="false">IF($A59="","",IFERROR(IF(ISNUMBER(INDEX(GPU!$G$4:$G$64,MATCH(Varian!$K15,GPU!$A$4:$A$64,0))),INDEX(GPU!$G$4:$G$64,MATCH(Varian!$K15,GPU!$A$4:$A$64,0)),""),""))</f>
        <v/>
      </c>
      <c r="E59" s="69" t="str">
        <f aca="false">IF($A59="","",IF(ISNUMBER(Varian!$M15),Varian!$M15,""))</f>
        <v/>
      </c>
      <c r="F59" s="69" t="str">
        <f aca="false">IF($A59="","",IF(ISNUMBER(Varian!$V15),Varian!$V15,""))</f>
        <v/>
      </c>
      <c r="G59" s="69" t="str">
        <f aca="false">IF($A59="","",IFERROR(INDEX(Aturan!$B$63:$B$66,MATCH(Varian!$AG15,Aturan!$A$63:$A$66,0)),""))</f>
        <v/>
      </c>
      <c r="H59" s="69" t="str">
        <f aca="false">IF($A59="","",IF(ISNUMBER(Varian!$AI15),Varian!$AI15,""))</f>
        <v/>
      </c>
      <c r="I59" s="33" t="str">
        <f aca="false">IF($A59="","",IF(Varian!$Q15="disolder","menempel di papan utama, tidak bisa ditambah",IF(OR(Varian!$Q15="slot",Varian!$Q15="setengah_disolder"),IF(Varian!$Q15="setengah_disolder","sebagian menempel, ","")&amp;IF(ISNUMBER(Varian!$U15),IF(AND(ISNUMBER(Varian!$M15),Varian!$U15&gt;Varian!$M15),"bisa dinaikkan lewat slot sampai "&amp;Varian!$U15&amp;" GB","sudah di batas maksimal "&amp;Varian!$U15&amp;" GB"),"ada slot, batas maksimalnya belum diketahui"),"belum diketahui apakah bisa ditambah")))</f>
        <v/>
      </c>
      <c r="J59" s="33" t="str">
        <f aca="false">IF($A59="","",IF(Varian!$Z15="ya","bisa diganti dengan yang lebih besar",IF(Varian!$Z15="tidak","menempel, tidak bisa diganti","belum diketahui apakah bisa diganti")))</f>
        <v/>
      </c>
      <c r="K59" s="70" t="str">
        <f aca="false">IF($A59="","",IF(AND(Aturan!$C$54="",Aturan!$D$54=""),"Tidak dinilai",IF(C59="","Belum ada data",IF(C59&lt;IF(Aturan!$C$54="",0,Aturan!$C$54),"Kurang",IF(C59&gt;=IF(Aturan!$D$54="",Aturan!$C$54,Aturan!$D$54),"Nyaman","Cukup")))))</f>
        <v/>
      </c>
      <c r="L59" s="70" t="str">
        <f aca="false">IF($A59="","",IF(AND(Aturan!$C$55="",Aturan!$D$55=""),"Tidak dinilai",IF(D59="","Belum ada data",IF(D59&lt;IF(Aturan!$C$55="",0,Aturan!$C$55),"Kurang",IF(D59&gt;=IF(Aturan!$D$55="",Aturan!$C$55,Aturan!$D$55),"Nyaman","Cukup")))))</f>
        <v/>
      </c>
      <c r="M59" s="70" t="str">
        <f aca="false">IF($A59="","",IF(AND(Aturan!$C$56="",Aturan!$D$56=""),"Tidak dinilai",IF(E59="","Belum ada data",IF(E59&lt;IF(Aturan!$C$56="",0,Aturan!$C$56),"Kurang",IF(E59&gt;=IF(Aturan!$D$56="",Aturan!$C$56,Aturan!$D$56),"Nyaman","Cukup")))))</f>
        <v/>
      </c>
      <c r="N59" s="70" t="str">
        <f aca="false">IF($A59="","",IF(AND(Aturan!$C$57="",Aturan!$D$57=""),"Tidak dinilai",IF(F59="","Belum ada data",IF(F59&lt;IF(Aturan!$C$57="",0,Aturan!$C$57),"Kurang",IF(F59&gt;=IF(Aturan!$D$57="",Aturan!$C$57,Aturan!$D$57),"Nyaman","Cukup")))))</f>
        <v/>
      </c>
      <c r="O59" s="70" t="str">
        <f aca="false">IF($A59="","",IF(AND(Aturan!$C$58="",Aturan!$D$58=""),"Tidak dinilai",IF(G59="","Belum ada data",IF(G59&lt;IF(Aturan!$C$58="",0,Aturan!$C$58),"Kurang",IF(G59&gt;=IF(Aturan!$D$58="",Aturan!$C$58,Aturan!$D$58),"Nyaman","Cukup")))))</f>
        <v/>
      </c>
      <c r="P59" s="70" t="str">
        <f aca="false">IF($A59="","",IF(AND(Aturan!$C$59="",Aturan!$D$59=""),"Tidak dinilai",IF(H59="","Belum ada data",IF(H59&lt;IF(Aturan!$C$59="",0,Aturan!$C$59),"Kurang",IF(H59&gt;=IF(Aturan!$D$59="",Aturan!$C$59,Aturan!$D$59),"Nyaman","Cukup")))))</f>
        <v/>
      </c>
      <c r="Q59" s="70" t="str">
        <f aca="false">IF($A59="","",IF(COUNTIF(K59:P59,"Tidak dinilai")=6,"Tidak dinilai",IF(COUNTIF(K59:P59,"Kurang")&gt;0,"Kurang cocok",IF(COUNTIF(K59:P59,"Belum ada data")&gt;0,"Data belum lengkap",IF(COUNTIF(K59:P59,"Cukup")&gt;0,"Bisa, dengan catatan","Cocok")))))</f>
        <v/>
      </c>
      <c r="R59" s="33" t="str">
        <f aca="false">IF($A59="","",IF(K59="Kurang","prosesor tingkat "&amp;C59&amp;" dari 5, di bawah batas minimal (tingkat "&amp;Aturan!$C$54&amp;")",IF(K59="Cukup","prosesor tingkat "&amp;C59&amp;" dari 5 cukup, nyamannya mulai tingkat "&amp;Aturan!$D$54,IF(K59="Belum ada data","tingkat prosesor belum diisi",""))))</f>
        <v/>
      </c>
      <c r="S59" s="33" t="str">
        <f aca="false">IF($A59="","",IF(L59="Kurang","grafis tingkat "&amp;D59&amp;" dari 5, di bawah batas minimal (tingkat "&amp;Aturan!$C$55&amp;")",IF(L59="Cukup","grafis tingkat "&amp;D59&amp;" dari 5 cukup, nyamannya mulai tingkat "&amp;Aturan!$D$55,IF(L59="Belum ada data","tingkat grafis belum diisi",""))))</f>
        <v/>
      </c>
      <c r="T59" s="33" t="str">
        <f aca="false">IF($A59="","",IF(M59="Kurang","RAM "&amp;E59&amp;" GB, di bawah batas minimal "&amp;Aturan!$C$56&amp;" GB ("&amp;I59&amp;")",IF(M59="Cukup","RAM "&amp;E59&amp;" GB cukup, nyamannya "&amp;Aturan!$D$56&amp;" GB atau lebih ("&amp;I59&amp;")",IF(M59="Belum ada data","ukuran RAM belum diisi",""))))</f>
        <v/>
      </c>
      <c r="U59" s="33" t="str">
        <f aca="false">IF($A59="","",IF(N59="Kurang","penyimpanan "&amp;F59&amp;" GB, di bawah batas minimal "&amp;Aturan!$C$57&amp;" GB ("&amp;J59&amp;")",IF(N59="Cukup","penyimpanan "&amp;F59&amp;" GB cukup, nyamannya "&amp;Aturan!$D$57&amp;" GB atau lebih ("&amp;J59&amp;")",IF(N59="Belum ada data","ukuran penyimpanan belum diisi",""))))</f>
        <v/>
      </c>
      <c r="V59" s="33" t="str">
        <f aca="false">IF($A59="","",IF(O59="Kurang","layar "&amp;Varian!$AG15&amp;", di bawah batas minimal ("&amp;IFERROR(INDEX(Aturan!$A$63:$A$66,MATCH(Aturan!$C$58,Aturan!$B$63:$B$66,0)),"peringkat "&amp;Aturan!$C$58)&amp;")",IF(O59="Cukup","layar "&amp;Varian!$AG15&amp;" cukup, nyamannya "&amp;IFERROR(INDEX(Aturan!$A$63:$A$66,MATCH(Aturan!$D$58,Aturan!$B$63:$B$66,0)),"peringkat "&amp;Aturan!$D$58),IF(O59="Belum ada data","jenis layar belum diketahui",""))))</f>
        <v/>
      </c>
      <c r="W59" s="33" t="str">
        <f aca="false">IF($A59="","",IF(P59="Kurang","layar "&amp;H59&amp;" Hz, di bawah batas minimal "&amp;Aturan!$C$59&amp;" Hz",IF(P59="Cukup","layar "&amp;H59&amp;" Hz cukup, nyamannya "&amp;Aturan!$D$59&amp;" Hz atau lebih",IF(P59="Belum ada data","refresh rate belum diketahui",""))))</f>
        <v/>
      </c>
      <c r="X59" s="33" t="str">
        <f aca="false">IF($A59="","",IF(K59="Kurang",R59&amp;"; ","")&amp;IF(L59="Kurang",S59&amp;"; ","")&amp;IF(M59="Kurang",T59&amp;"; ","")&amp;IF(N59="Kurang",U59&amp;"; ","")&amp;IF(O59="Kurang",V59&amp;"; ","")&amp;IF(P59="Kurang",W59&amp;"; ","")&amp;IF(K59="Belum ada data",R59&amp;"; ","")&amp;IF(L59="Belum ada data",S59&amp;"; ","")&amp;IF(M59="Belum ada data",T59&amp;"; ","")&amp;IF(N59="Belum ada data",U59&amp;"; ","")&amp;IF(O59="Belum ada data",V59&amp;"; ","")&amp;IF(P59="Belum ada data",W59&amp;"; ","")&amp;IF(K59="Cukup",R59&amp;"; ","")&amp;IF(L59="Cukup",S59&amp;"; ","")&amp;IF(M59="Cukup",T59&amp;"; ","")&amp;IF(N59="Cukup",U59&amp;"; ","")&amp;IF(O59="Cukup",V59&amp;"; ","")&amp;IF(P59="Cukup",W59&amp;"; ",""))</f>
        <v/>
      </c>
      <c r="Y59" s="33" t="str">
        <f aca="false">IF($A59="","",IF(K59="Nyaman","prosesor, ","")&amp;IF(L59="Nyaman","grafis, ","")&amp;IF(M59="Nyaman","RAM, ","")&amp;IF(N59="Nyaman","penyimpanan, ","")&amp;IF(O59="Nyaman","layar, ","")&amp;IF(P59="Nyaman","refresh rate, ",""))</f>
        <v/>
      </c>
      <c r="Z59" s="33" t="str">
        <f aca="false">IF($A59="","",IF(Q59="Tidak dinilai","Belum ada kriteria yang dinilai untuk kebutuhan ini.",IF(Q59="Cocok","Semua kriteria yang dinilai sudah nyaman: "&amp;LEFT(Y59,LEN(Y59)-2)&amp;".",UPPER(LEFT(X59,1))&amp;MID(X59,2,LEN(X59)-3)&amp;"."&amp;IF(Y59="",""," Sudah nyaman: "&amp;LEFT(Y59,LEN(Y59)-2)&amp;"."))))</f>
        <v/>
      </c>
      <c r="AA59" s="33"/>
      <c r="AB59" s="33"/>
      <c r="AC59" s="69"/>
    </row>
    <row r="60" customFormat="false" ht="15" hidden="false" customHeight="true" outlineLevel="0" collapsed="false">
      <c r="A60" s="66" t="str">
        <f aca="false">IF(Varian!$A16="","",Varian!$A16)</f>
        <v/>
      </c>
      <c r="B60" s="66" t="str">
        <f aca="false">IF($A60="","",Aturan!$A$21)</f>
        <v/>
      </c>
      <c r="C60" s="67" t="str">
        <f aca="false">IF($A60="","",IFERROR(IF(ISNUMBER(INDEX(CPU!$J$4:$J$64,MATCH(Varian!$J16,CPU!$A$4:$A$64,0))),INDEX(CPU!$J$4:$J$64,MATCH(Varian!$J16,CPU!$A$4:$A$64,0)),""),""))</f>
        <v/>
      </c>
      <c r="D60" s="67" t="str">
        <f aca="false">IF($A60="","",IFERROR(IF(ISNUMBER(INDEX(GPU!$G$4:$G$64,MATCH(Varian!$K16,GPU!$A$4:$A$64,0))),INDEX(GPU!$G$4:$G$64,MATCH(Varian!$K16,GPU!$A$4:$A$64,0)),""),""))</f>
        <v/>
      </c>
      <c r="E60" s="67" t="str">
        <f aca="false">IF($A60="","",IF(ISNUMBER(Varian!$M16),Varian!$M16,""))</f>
        <v/>
      </c>
      <c r="F60" s="67" t="str">
        <f aca="false">IF($A60="","",IF(ISNUMBER(Varian!$V16),Varian!$V16,""))</f>
        <v/>
      </c>
      <c r="G60" s="67" t="str">
        <f aca="false">IF($A60="","",IFERROR(INDEX(Aturan!$B$63:$B$66,MATCH(Varian!$AG16,Aturan!$A$63:$A$66,0)),""))</f>
        <v/>
      </c>
      <c r="H60" s="67" t="str">
        <f aca="false">IF($A60="","",IF(ISNUMBER(Varian!$AI16),Varian!$AI16,""))</f>
        <v/>
      </c>
      <c r="I60" s="66" t="str">
        <f aca="false">IF($A60="","",IF(Varian!$Q16="disolder","menempel di papan utama, tidak bisa ditambah",IF(OR(Varian!$Q16="slot",Varian!$Q16="setengah_disolder"),IF(Varian!$Q16="setengah_disolder","sebagian menempel, ","")&amp;IF(ISNUMBER(Varian!$U16),IF(AND(ISNUMBER(Varian!$M16),Varian!$U16&gt;Varian!$M16),"bisa dinaikkan lewat slot sampai "&amp;Varian!$U16&amp;" GB","sudah di batas maksimal "&amp;Varian!$U16&amp;" GB"),"ada slot, batas maksimalnya belum diketahui"),"belum diketahui apakah bisa ditambah")))</f>
        <v/>
      </c>
      <c r="J60" s="66" t="str">
        <f aca="false">IF($A60="","",IF(Varian!$Z16="ya","bisa diganti dengan yang lebih besar",IF(Varian!$Z16="tidak","menempel, tidak bisa diganti","belum diketahui apakah bisa diganti")))</f>
        <v/>
      </c>
      <c r="K60" s="68" t="str">
        <f aca="false">IF($A60="","",IF(AND(Aturan!$C$30="",Aturan!$D$30=""),"Tidak dinilai",IF(C60="","Belum ada data",IF(C60&lt;IF(Aturan!$C$30="",0,Aturan!$C$30),"Kurang",IF(C60&gt;=IF(Aturan!$D$30="",Aturan!$C$30,Aturan!$D$30),"Nyaman","Cukup")))))</f>
        <v/>
      </c>
      <c r="L60" s="68" t="str">
        <f aca="false">IF($A60="","",IF(AND(Aturan!$C$31="",Aturan!$D$31=""),"Tidak dinilai",IF(D60="","Belum ada data",IF(D60&lt;IF(Aturan!$C$31="",0,Aturan!$C$31),"Kurang",IF(D60&gt;=IF(Aturan!$D$31="",Aturan!$C$31,Aturan!$D$31),"Nyaman","Cukup")))))</f>
        <v/>
      </c>
      <c r="M60" s="68" t="str">
        <f aca="false">IF($A60="","",IF(AND(Aturan!$C$32="",Aturan!$D$32=""),"Tidak dinilai",IF(E60="","Belum ada data",IF(E60&lt;IF(Aturan!$C$32="",0,Aturan!$C$32),"Kurang",IF(E60&gt;=IF(Aturan!$D$32="",Aturan!$C$32,Aturan!$D$32),"Nyaman","Cukup")))))</f>
        <v/>
      </c>
      <c r="N60" s="68" t="str">
        <f aca="false">IF($A60="","",IF(AND(Aturan!$C$33="",Aturan!$D$33=""),"Tidak dinilai",IF(F60="","Belum ada data",IF(F60&lt;IF(Aturan!$C$33="",0,Aturan!$C$33),"Kurang",IF(F60&gt;=IF(Aturan!$D$33="",Aturan!$C$33,Aturan!$D$33),"Nyaman","Cukup")))))</f>
        <v/>
      </c>
      <c r="O60" s="68" t="str">
        <f aca="false">IF($A60="","",IF(AND(Aturan!$C$34="",Aturan!$D$34=""),"Tidak dinilai",IF(G60="","Belum ada data",IF(G60&lt;IF(Aturan!$C$34="",0,Aturan!$C$34),"Kurang",IF(G60&gt;=IF(Aturan!$D$34="",Aturan!$C$34,Aturan!$D$34),"Nyaman","Cukup")))))</f>
        <v/>
      </c>
      <c r="P60" s="68" t="str">
        <f aca="false">IF($A60="","",IF(AND(Aturan!$C$35="",Aturan!$D$35=""),"Tidak dinilai",IF(H60="","Belum ada data",IF(H60&lt;IF(Aturan!$C$35="",0,Aturan!$C$35),"Kurang",IF(H60&gt;=IF(Aturan!$D$35="",Aturan!$C$35,Aturan!$D$35),"Nyaman","Cukup")))))</f>
        <v/>
      </c>
      <c r="Q60" s="68" t="str">
        <f aca="false">IF($A60="","",IF(COUNTIF(K60:P60,"Tidak dinilai")=6,"Tidak dinilai",IF(COUNTIF(K60:P60,"Kurang")&gt;0,"Kurang cocok",IF(COUNTIF(K60:P60,"Belum ada data")&gt;0,"Data belum lengkap",IF(COUNTIF(K60:P60,"Cukup")&gt;0,"Bisa, dengan catatan","Cocok")))))</f>
        <v/>
      </c>
      <c r="R60" s="66" t="str">
        <f aca="false">IF($A60="","",IF(K60="Kurang","prosesor tingkat "&amp;C60&amp;" dari 5, di bawah batas minimal (tingkat "&amp;Aturan!$C$30&amp;")",IF(K60="Cukup","prosesor tingkat "&amp;C60&amp;" dari 5 cukup, nyamannya mulai tingkat "&amp;Aturan!$D$30,IF(K60="Belum ada data","tingkat prosesor belum diisi",""))))</f>
        <v/>
      </c>
      <c r="S60" s="66" t="str">
        <f aca="false">IF($A60="","",IF(L60="Kurang","grafis tingkat "&amp;D60&amp;" dari 5, di bawah batas minimal (tingkat "&amp;Aturan!$C$31&amp;")",IF(L60="Cukup","grafis tingkat "&amp;D60&amp;" dari 5 cukup, nyamannya mulai tingkat "&amp;Aturan!$D$31,IF(L60="Belum ada data","tingkat grafis belum diisi",""))))</f>
        <v/>
      </c>
      <c r="T60" s="66" t="str">
        <f aca="false">IF($A60="","",IF(M60="Kurang","RAM "&amp;E60&amp;" GB, di bawah batas minimal "&amp;Aturan!$C$32&amp;" GB ("&amp;I60&amp;")",IF(M60="Cukup","RAM "&amp;E60&amp;" GB cukup, nyamannya "&amp;Aturan!$D$32&amp;" GB atau lebih ("&amp;I60&amp;")",IF(M60="Belum ada data","ukuran RAM belum diisi",""))))</f>
        <v/>
      </c>
      <c r="U60" s="66" t="str">
        <f aca="false">IF($A60="","",IF(N60="Kurang","penyimpanan "&amp;F60&amp;" GB, di bawah batas minimal "&amp;Aturan!$C$33&amp;" GB ("&amp;J60&amp;")",IF(N60="Cukup","penyimpanan "&amp;F60&amp;" GB cukup, nyamannya "&amp;Aturan!$D$33&amp;" GB atau lebih ("&amp;J60&amp;")",IF(N60="Belum ada data","ukuran penyimpanan belum diisi",""))))</f>
        <v/>
      </c>
      <c r="V60" s="66" t="str">
        <f aca="false">IF($A60="","",IF(O60="Kurang","layar "&amp;Varian!$AG16&amp;", di bawah batas minimal ("&amp;IFERROR(INDEX(Aturan!$A$63:$A$66,MATCH(Aturan!$C$34,Aturan!$B$63:$B$66,0)),"peringkat "&amp;Aturan!$C$34)&amp;")",IF(O60="Cukup","layar "&amp;Varian!$AG16&amp;" cukup, nyamannya "&amp;IFERROR(INDEX(Aturan!$A$63:$A$66,MATCH(Aturan!$D$34,Aturan!$B$63:$B$66,0)),"peringkat "&amp;Aturan!$D$34),IF(O60="Belum ada data","jenis layar belum diketahui",""))))</f>
        <v/>
      </c>
      <c r="W60" s="66" t="str">
        <f aca="false">IF($A60="","",IF(P60="Kurang","layar "&amp;H60&amp;" Hz, di bawah batas minimal "&amp;Aturan!$C$35&amp;" Hz",IF(P60="Cukup","layar "&amp;H60&amp;" Hz cukup, nyamannya "&amp;Aturan!$D$35&amp;" Hz atau lebih",IF(P60="Belum ada data","refresh rate belum diketahui",""))))</f>
        <v/>
      </c>
      <c r="X60" s="66" t="str">
        <f aca="false">IF($A60="","",IF(K60="Kurang",R60&amp;"; ","")&amp;IF(L60="Kurang",S60&amp;"; ","")&amp;IF(M60="Kurang",T60&amp;"; ","")&amp;IF(N60="Kurang",U60&amp;"; ","")&amp;IF(O60="Kurang",V60&amp;"; ","")&amp;IF(P60="Kurang",W60&amp;"; ","")&amp;IF(K60="Belum ada data",R60&amp;"; ","")&amp;IF(L60="Belum ada data",S60&amp;"; ","")&amp;IF(M60="Belum ada data",T60&amp;"; ","")&amp;IF(N60="Belum ada data",U60&amp;"; ","")&amp;IF(O60="Belum ada data",V60&amp;"; ","")&amp;IF(P60="Belum ada data",W60&amp;"; ","")&amp;IF(K60="Cukup",R60&amp;"; ","")&amp;IF(L60="Cukup",S60&amp;"; ","")&amp;IF(M60="Cukup",T60&amp;"; ","")&amp;IF(N60="Cukup",U60&amp;"; ","")&amp;IF(O60="Cukup",V60&amp;"; ","")&amp;IF(P60="Cukup",W60&amp;"; ",""))</f>
        <v/>
      </c>
      <c r="Y60" s="66" t="str">
        <f aca="false">IF($A60="","",IF(K60="Nyaman","prosesor, ","")&amp;IF(L60="Nyaman","grafis, ","")&amp;IF(M60="Nyaman","RAM, ","")&amp;IF(N60="Nyaman","penyimpanan, ","")&amp;IF(O60="Nyaman","layar, ","")&amp;IF(P60="Nyaman","refresh rate, ",""))</f>
        <v/>
      </c>
      <c r="Z60" s="66" t="str">
        <f aca="false">IF($A60="","",IF(Q60="Tidak dinilai","Belum ada kriteria yang dinilai untuk kebutuhan ini.",IF(Q60="Cocok","Semua kriteria yang dinilai sudah nyaman: "&amp;LEFT(Y60,LEN(Y60)-2)&amp;".",UPPER(LEFT(X60,1))&amp;MID(X60,2,LEN(X60)-3)&amp;"."&amp;IF(Y60="",""," Sudah nyaman: "&amp;LEFT(Y60,LEN(Y60)-2)&amp;"."))))</f>
        <v/>
      </c>
      <c r="AA60" s="66" t="str">
        <f aca="false">IF($A60="","",IF(Varian!$AR16="Windows 10","• "&amp;Aturan!$E$71&amp;CHAR(10),"")&amp;IF(Varian!$BB16="tidak","• "&amp;Aturan!$E$72&amp;CHAR(10),"")&amp;IF(OR(Varian!$AD16="belum terverifikasi",Varian!$AD16="tidak diketahui"),"• "&amp;Aturan!$E$73&amp;CHAR(10),"")&amp;IF(Varian!$AH16="1366x768","• "&amp;Aturan!$E$74&amp;CHAR(10),"")&amp;IF(Varian!$AG16="TN","• "&amp;Aturan!$E$75&amp;CHAR(10),"")&amp;IF(AND(Varian!$Q16="disolder",ISNUMBER(Varian!$M16),Varian!$M16&lt;=8),"• "&amp;Aturan!$E$76&amp;CHAR(10),""))</f>
        <v/>
      </c>
      <c r="AB60" s="66" t="str">
        <f aca="false">IF($A60="","",IF(AA60="","",LEFT(AA60,LEN(AA60)-1)))</f>
        <v/>
      </c>
      <c r="AC60" s="67" t="str">
        <f aca="false">IF($A60="","",IF(AA60="",0,LEN(AA60)-LEN(SUBSTITUTE(AA60,CHAR(10),""))))</f>
        <v/>
      </c>
    </row>
    <row r="61" customFormat="false" ht="15" hidden="false" customHeight="true" outlineLevel="0" collapsed="false">
      <c r="A61" s="33" t="str">
        <f aca="false">IF(Varian!$A16="","",Varian!$A16)</f>
        <v/>
      </c>
      <c r="B61" s="33" t="str">
        <f aca="false">IF($A61="","",Aturan!$A$22)</f>
        <v/>
      </c>
      <c r="C61" s="69" t="str">
        <f aca="false">IF($A61="","",IFERROR(IF(ISNUMBER(INDEX(CPU!$J$4:$J$64,MATCH(Varian!$J16,CPU!$A$4:$A$64,0))),INDEX(CPU!$J$4:$J$64,MATCH(Varian!$J16,CPU!$A$4:$A$64,0)),""),""))</f>
        <v/>
      </c>
      <c r="D61" s="69" t="str">
        <f aca="false">IF($A61="","",IFERROR(IF(ISNUMBER(INDEX(GPU!$G$4:$G$64,MATCH(Varian!$K16,GPU!$A$4:$A$64,0))),INDEX(GPU!$G$4:$G$64,MATCH(Varian!$K16,GPU!$A$4:$A$64,0)),""),""))</f>
        <v/>
      </c>
      <c r="E61" s="69" t="str">
        <f aca="false">IF($A61="","",IF(ISNUMBER(Varian!$M16),Varian!$M16,""))</f>
        <v/>
      </c>
      <c r="F61" s="69" t="str">
        <f aca="false">IF($A61="","",IF(ISNUMBER(Varian!$V16),Varian!$V16,""))</f>
        <v/>
      </c>
      <c r="G61" s="69" t="str">
        <f aca="false">IF($A61="","",IFERROR(INDEX(Aturan!$B$63:$B$66,MATCH(Varian!$AG16,Aturan!$A$63:$A$66,0)),""))</f>
        <v/>
      </c>
      <c r="H61" s="69" t="str">
        <f aca="false">IF($A61="","",IF(ISNUMBER(Varian!$AI16),Varian!$AI16,""))</f>
        <v/>
      </c>
      <c r="I61" s="33" t="str">
        <f aca="false">IF($A61="","",IF(Varian!$Q16="disolder","menempel di papan utama, tidak bisa ditambah",IF(OR(Varian!$Q16="slot",Varian!$Q16="setengah_disolder"),IF(Varian!$Q16="setengah_disolder","sebagian menempel, ","")&amp;IF(ISNUMBER(Varian!$U16),IF(AND(ISNUMBER(Varian!$M16),Varian!$U16&gt;Varian!$M16),"bisa dinaikkan lewat slot sampai "&amp;Varian!$U16&amp;" GB","sudah di batas maksimal "&amp;Varian!$U16&amp;" GB"),"ada slot, batas maksimalnya belum diketahui"),"belum diketahui apakah bisa ditambah")))</f>
        <v/>
      </c>
      <c r="J61" s="33" t="str">
        <f aca="false">IF($A61="","",IF(Varian!$Z16="ya","bisa diganti dengan yang lebih besar",IF(Varian!$Z16="tidak","menempel, tidak bisa diganti","belum diketahui apakah bisa diganti")))</f>
        <v/>
      </c>
      <c r="K61" s="70" t="str">
        <f aca="false">IF($A61="","",IF(AND(Aturan!$C$36="",Aturan!$D$36=""),"Tidak dinilai",IF(C61="","Belum ada data",IF(C61&lt;IF(Aturan!$C$36="",0,Aturan!$C$36),"Kurang",IF(C61&gt;=IF(Aturan!$D$36="",Aturan!$C$36,Aturan!$D$36),"Nyaman","Cukup")))))</f>
        <v/>
      </c>
      <c r="L61" s="70" t="str">
        <f aca="false">IF($A61="","",IF(AND(Aturan!$C$37="",Aturan!$D$37=""),"Tidak dinilai",IF(D61="","Belum ada data",IF(D61&lt;IF(Aturan!$C$37="",0,Aturan!$C$37),"Kurang",IF(D61&gt;=IF(Aturan!$D$37="",Aturan!$C$37,Aturan!$D$37),"Nyaman","Cukup")))))</f>
        <v/>
      </c>
      <c r="M61" s="70" t="str">
        <f aca="false">IF($A61="","",IF(AND(Aturan!$C$38="",Aturan!$D$38=""),"Tidak dinilai",IF(E61="","Belum ada data",IF(E61&lt;IF(Aturan!$C$38="",0,Aturan!$C$38),"Kurang",IF(E61&gt;=IF(Aturan!$D$38="",Aturan!$C$38,Aturan!$D$38),"Nyaman","Cukup")))))</f>
        <v/>
      </c>
      <c r="N61" s="70" t="str">
        <f aca="false">IF($A61="","",IF(AND(Aturan!$C$39="",Aturan!$D$39=""),"Tidak dinilai",IF(F61="","Belum ada data",IF(F61&lt;IF(Aturan!$C$39="",0,Aturan!$C$39),"Kurang",IF(F61&gt;=IF(Aturan!$D$39="",Aturan!$C$39,Aturan!$D$39),"Nyaman","Cukup")))))</f>
        <v/>
      </c>
      <c r="O61" s="70" t="str">
        <f aca="false">IF($A61="","",IF(AND(Aturan!$C$40="",Aturan!$D$40=""),"Tidak dinilai",IF(G61="","Belum ada data",IF(G61&lt;IF(Aturan!$C$40="",0,Aturan!$C$40),"Kurang",IF(G61&gt;=IF(Aturan!$D$40="",Aturan!$C$40,Aturan!$D$40),"Nyaman","Cukup")))))</f>
        <v/>
      </c>
      <c r="P61" s="70" t="str">
        <f aca="false">IF($A61="","",IF(AND(Aturan!$C$41="",Aturan!$D$41=""),"Tidak dinilai",IF(H61="","Belum ada data",IF(H61&lt;IF(Aturan!$C$41="",0,Aturan!$C$41),"Kurang",IF(H61&gt;=IF(Aturan!$D$41="",Aturan!$C$41,Aturan!$D$41),"Nyaman","Cukup")))))</f>
        <v/>
      </c>
      <c r="Q61" s="70" t="str">
        <f aca="false">IF($A61="","",IF(COUNTIF(K61:P61,"Tidak dinilai")=6,"Tidak dinilai",IF(COUNTIF(K61:P61,"Kurang")&gt;0,"Kurang cocok",IF(COUNTIF(K61:P61,"Belum ada data")&gt;0,"Data belum lengkap",IF(COUNTIF(K61:P61,"Cukup")&gt;0,"Bisa, dengan catatan","Cocok")))))</f>
        <v/>
      </c>
      <c r="R61" s="33" t="str">
        <f aca="false">IF($A61="","",IF(K61="Kurang","prosesor tingkat "&amp;C61&amp;" dari 5, di bawah batas minimal (tingkat "&amp;Aturan!$C$36&amp;")",IF(K61="Cukup","prosesor tingkat "&amp;C61&amp;" dari 5 cukup, nyamannya mulai tingkat "&amp;Aturan!$D$36,IF(K61="Belum ada data","tingkat prosesor belum diisi",""))))</f>
        <v/>
      </c>
      <c r="S61" s="33" t="str">
        <f aca="false">IF($A61="","",IF(L61="Kurang","grafis tingkat "&amp;D61&amp;" dari 5, di bawah batas minimal (tingkat "&amp;Aturan!$C$37&amp;")",IF(L61="Cukup","grafis tingkat "&amp;D61&amp;" dari 5 cukup, nyamannya mulai tingkat "&amp;Aturan!$D$37,IF(L61="Belum ada data","tingkat grafis belum diisi",""))))</f>
        <v/>
      </c>
      <c r="T61" s="33" t="str">
        <f aca="false">IF($A61="","",IF(M61="Kurang","RAM "&amp;E61&amp;" GB, di bawah batas minimal "&amp;Aturan!$C$38&amp;" GB ("&amp;I61&amp;")",IF(M61="Cukup","RAM "&amp;E61&amp;" GB cukup, nyamannya "&amp;Aturan!$D$38&amp;" GB atau lebih ("&amp;I61&amp;")",IF(M61="Belum ada data","ukuran RAM belum diisi",""))))</f>
        <v/>
      </c>
      <c r="U61" s="33" t="str">
        <f aca="false">IF($A61="","",IF(N61="Kurang","penyimpanan "&amp;F61&amp;" GB, di bawah batas minimal "&amp;Aturan!$C$39&amp;" GB ("&amp;J61&amp;")",IF(N61="Cukup","penyimpanan "&amp;F61&amp;" GB cukup, nyamannya "&amp;Aturan!$D$39&amp;" GB atau lebih ("&amp;J61&amp;")",IF(N61="Belum ada data","ukuran penyimpanan belum diisi",""))))</f>
        <v/>
      </c>
      <c r="V61" s="33" t="str">
        <f aca="false">IF($A61="","",IF(O61="Kurang","layar "&amp;Varian!$AG16&amp;", di bawah batas minimal ("&amp;IFERROR(INDEX(Aturan!$A$63:$A$66,MATCH(Aturan!$C$40,Aturan!$B$63:$B$66,0)),"peringkat "&amp;Aturan!$C$40)&amp;")",IF(O61="Cukup","layar "&amp;Varian!$AG16&amp;" cukup, nyamannya "&amp;IFERROR(INDEX(Aturan!$A$63:$A$66,MATCH(Aturan!$D$40,Aturan!$B$63:$B$66,0)),"peringkat "&amp;Aturan!$D$40),IF(O61="Belum ada data","jenis layar belum diketahui",""))))</f>
        <v/>
      </c>
      <c r="W61" s="33" t="str">
        <f aca="false">IF($A61="","",IF(P61="Kurang","layar "&amp;H61&amp;" Hz, di bawah batas minimal "&amp;Aturan!$C$41&amp;" Hz",IF(P61="Cukup","layar "&amp;H61&amp;" Hz cukup, nyamannya "&amp;Aturan!$D$41&amp;" Hz atau lebih",IF(P61="Belum ada data","refresh rate belum diketahui",""))))</f>
        <v/>
      </c>
      <c r="X61" s="33" t="str">
        <f aca="false">IF($A61="","",IF(K61="Kurang",R61&amp;"; ","")&amp;IF(L61="Kurang",S61&amp;"; ","")&amp;IF(M61="Kurang",T61&amp;"; ","")&amp;IF(N61="Kurang",U61&amp;"; ","")&amp;IF(O61="Kurang",V61&amp;"; ","")&amp;IF(P61="Kurang",W61&amp;"; ","")&amp;IF(K61="Belum ada data",R61&amp;"; ","")&amp;IF(L61="Belum ada data",S61&amp;"; ","")&amp;IF(M61="Belum ada data",T61&amp;"; ","")&amp;IF(N61="Belum ada data",U61&amp;"; ","")&amp;IF(O61="Belum ada data",V61&amp;"; ","")&amp;IF(P61="Belum ada data",W61&amp;"; ","")&amp;IF(K61="Cukup",R61&amp;"; ","")&amp;IF(L61="Cukup",S61&amp;"; ","")&amp;IF(M61="Cukup",T61&amp;"; ","")&amp;IF(N61="Cukup",U61&amp;"; ","")&amp;IF(O61="Cukup",V61&amp;"; ","")&amp;IF(P61="Cukup",W61&amp;"; ",""))</f>
        <v/>
      </c>
      <c r="Y61" s="33" t="str">
        <f aca="false">IF($A61="","",IF(K61="Nyaman","prosesor, ","")&amp;IF(L61="Nyaman","grafis, ","")&amp;IF(M61="Nyaman","RAM, ","")&amp;IF(N61="Nyaman","penyimpanan, ","")&amp;IF(O61="Nyaman","layar, ","")&amp;IF(P61="Nyaman","refresh rate, ",""))</f>
        <v/>
      </c>
      <c r="Z61" s="33" t="str">
        <f aca="false">IF($A61="","",IF(Q61="Tidak dinilai","Belum ada kriteria yang dinilai untuk kebutuhan ini.",IF(Q61="Cocok","Semua kriteria yang dinilai sudah nyaman: "&amp;LEFT(Y61,LEN(Y61)-2)&amp;".",UPPER(LEFT(X61,1))&amp;MID(X61,2,LEN(X61)-3)&amp;"."&amp;IF(Y61="",""," Sudah nyaman: "&amp;LEFT(Y61,LEN(Y61)-2)&amp;"."))))</f>
        <v/>
      </c>
      <c r="AA61" s="33"/>
      <c r="AB61" s="33"/>
      <c r="AC61" s="69"/>
    </row>
    <row r="62" customFormat="false" ht="15" hidden="false" customHeight="true" outlineLevel="0" collapsed="false">
      <c r="A62" s="33" t="str">
        <f aca="false">IF(Varian!$A16="","",Varian!$A16)</f>
        <v/>
      </c>
      <c r="B62" s="33" t="str">
        <f aca="false">IF($A62="","",Aturan!$A$23)</f>
        <v/>
      </c>
      <c r="C62" s="69" t="str">
        <f aca="false">IF($A62="","",IFERROR(IF(ISNUMBER(INDEX(CPU!$J$4:$J$64,MATCH(Varian!$J16,CPU!$A$4:$A$64,0))),INDEX(CPU!$J$4:$J$64,MATCH(Varian!$J16,CPU!$A$4:$A$64,0)),""),""))</f>
        <v/>
      </c>
      <c r="D62" s="69" t="str">
        <f aca="false">IF($A62="","",IFERROR(IF(ISNUMBER(INDEX(GPU!$G$4:$G$64,MATCH(Varian!$K16,GPU!$A$4:$A$64,0))),INDEX(GPU!$G$4:$G$64,MATCH(Varian!$K16,GPU!$A$4:$A$64,0)),""),""))</f>
        <v/>
      </c>
      <c r="E62" s="69" t="str">
        <f aca="false">IF($A62="","",IF(ISNUMBER(Varian!$M16),Varian!$M16,""))</f>
        <v/>
      </c>
      <c r="F62" s="69" t="str">
        <f aca="false">IF($A62="","",IF(ISNUMBER(Varian!$V16),Varian!$V16,""))</f>
        <v/>
      </c>
      <c r="G62" s="69" t="str">
        <f aca="false">IF($A62="","",IFERROR(INDEX(Aturan!$B$63:$B$66,MATCH(Varian!$AG16,Aturan!$A$63:$A$66,0)),""))</f>
        <v/>
      </c>
      <c r="H62" s="69" t="str">
        <f aca="false">IF($A62="","",IF(ISNUMBER(Varian!$AI16),Varian!$AI16,""))</f>
        <v/>
      </c>
      <c r="I62" s="33" t="str">
        <f aca="false">IF($A62="","",IF(Varian!$Q16="disolder","menempel di papan utama, tidak bisa ditambah",IF(OR(Varian!$Q16="slot",Varian!$Q16="setengah_disolder"),IF(Varian!$Q16="setengah_disolder","sebagian menempel, ","")&amp;IF(ISNUMBER(Varian!$U16),IF(AND(ISNUMBER(Varian!$M16),Varian!$U16&gt;Varian!$M16),"bisa dinaikkan lewat slot sampai "&amp;Varian!$U16&amp;" GB","sudah di batas maksimal "&amp;Varian!$U16&amp;" GB"),"ada slot, batas maksimalnya belum diketahui"),"belum diketahui apakah bisa ditambah")))</f>
        <v/>
      </c>
      <c r="J62" s="33" t="str">
        <f aca="false">IF($A62="","",IF(Varian!$Z16="ya","bisa diganti dengan yang lebih besar",IF(Varian!$Z16="tidak","menempel, tidak bisa diganti","belum diketahui apakah bisa diganti")))</f>
        <v/>
      </c>
      <c r="K62" s="70" t="str">
        <f aca="false">IF($A62="","",IF(AND(Aturan!$C$42="",Aturan!$D$42=""),"Tidak dinilai",IF(C62="","Belum ada data",IF(C62&lt;IF(Aturan!$C$42="",0,Aturan!$C$42),"Kurang",IF(C62&gt;=IF(Aturan!$D$42="",Aturan!$C$42,Aturan!$D$42),"Nyaman","Cukup")))))</f>
        <v/>
      </c>
      <c r="L62" s="70" t="str">
        <f aca="false">IF($A62="","",IF(AND(Aturan!$C$43="",Aturan!$D$43=""),"Tidak dinilai",IF(D62="","Belum ada data",IF(D62&lt;IF(Aturan!$C$43="",0,Aturan!$C$43),"Kurang",IF(D62&gt;=IF(Aturan!$D$43="",Aturan!$C$43,Aturan!$D$43),"Nyaman","Cukup")))))</f>
        <v/>
      </c>
      <c r="M62" s="70" t="str">
        <f aca="false">IF($A62="","",IF(AND(Aturan!$C$44="",Aturan!$D$44=""),"Tidak dinilai",IF(E62="","Belum ada data",IF(E62&lt;IF(Aturan!$C$44="",0,Aturan!$C$44),"Kurang",IF(E62&gt;=IF(Aturan!$D$44="",Aturan!$C$44,Aturan!$D$44),"Nyaman","Cukup")))))</f>
        <v/>
      </c>
      <c r="N62" s="70" t="str">
        <f aca="false">IF($A62="","",IF(AND(Aturan!$C$45="",Aturan!$D$45=""),"Tidak dinilai",IF(F62="","Belum ada data",IF(F62&lt;IF(Aturan!$C$45="",0,Aturan!$C$45),"Kurang",IF(F62&gt;=IF(Aturan!$D$45="",Aturan!$C$45,Aturan!$D$45),"Nyaman","Cukup")))))</f>
        <v/>
      </c>
      <c r="O62" s="70" t="str">
        <f aca="false">IF($A62="","",IF(AND(Aturan!$C$46="",Aturan!$D$46=""),"Tidak dinilai",IF(G62="","Belum ada data",IF(G62&lt;IF(Aturan!$C$46="",0,Aturan!$C$46),"Kurang",IF(G62&gt;=IF(Aturan!$D$46="",Aturan!$C$46,Aturan!$D$46),"Nyaman","Cukup")))))</f>
        <v/>
      </c>
      <c r="P62" s="70" t="str">
        <f aca="false">IF($A62="","",IF(AND(Aturan!$C$47="",Aturan!$D$47=""),"Tidak dinilai",IF(H62="","Belum ada data",IF(H62&lt;IF(Aturan!$C$47="",0,Aturan!$C$47),"Kurang",IF(H62&gt;=IF(Aturan!$D$47="",Aturan!$C$47,Aturan!$D$47),"Nyaman","Cukup")))))</f>
        <v/>
      </c>
      <c r="Q62" s="70" t="str">
        <f aca="false">IF($A62="","",IF(COUNTIF(K62:P62,"Tidak dinilai")=6,"Tidak dinilai",IF(COUNTIF(K62:P62,"Kurang")&gt;0,"Kurang cocok",IF(COUNTIF(K62:P62,"Belum ada data")&gt;0,"Data belum lengkap",IF(COUNTIF(K62:P62,"Cukup")&gt;0,"Bisa, dengan catatan","Cocok")))))</f>
        <v/>
      </c>
      <c r="R62" s="33" t="str">
        <f aca="false">IF($A62="","",IF(K62="Kurang","prosesor tingkat "&amp;C62&amp;" dari 5, di bawah batas minimal (tingkat "&amp;Aturan!$C$42&amp;")",IF(K62="Cukup","prosesor tingkat "&amp;C62&amp;" dari 5 cukup, nyamannya mulai tingkat "&amp;Aturan!$D$42,IF(K62="Belum ada data","tingkat prosesor belum diisi",""))))</f>
        <v/>
      </c>
      <c r="S62" s="33" t="str">
        <f aca="false">IF($A62="","",IF(L62="Kurang","grafis tingkat "&amp;D62&amp;" dari 5, di bawah batas minimal (tingkat "&amp;Aturan!$C$43&amp;")",IF(L62="Cukup","grafis tingkat "&amp;D62&amp;" dari 5 cukup, nyamannya mulai tingkat "&amp;Aturan!$D$43,IF(L62="Belum ada data","tingkat grafis belum diisi",""))))</f>
        <v/>
      </c>
      <c r="T62" s="33" t="str">
        <f aca="false">IF($A62="","",IF(M62="Kurang","RAM "&amp;E62&amp;" GB, di bawah batas minimal "&amp;Aturan!$C$44&amp;" GB ("&amp;I62&amp;")",IF(M62="Cukup","RAM "&amp;E62&amp;" GB cukup, nyamannya "&amp;Aturan!$D$44&amp;" GB atau lebih ("&amp;I62&amp;")",IF(M62="Belum ada data","ukuran RAM belum diisi",""))))</f>
        <v/>
      </c>
      <c r="U62" s="33" t="str">
        <f aca="false">IF($A62="","",IF(N62="Kurang","penyimpanan "&amp;F62&amp;" GB, di bawah batas minimal "&amp;Aturan!$C$45&amp;" GB ("&amp;J62&amp;")",IF(N62="Cukup","penyimpanan "&amp;F62&amp;" GB cukup, nyamannya "&amp;Aturan!$D$45&amp;" GB atau lebih ("&amp;J62&amp;")",IF(N62="Belum ada data","ukuran penyimpanan belum diisi",""))))</f>
        <v/>
      </c>
      <c r="V62" s="33" t="str">
        <f aca="false">IF($A62="","",IF(O62="Kurang","layar "&amp;Varian!$AG16&amp;", di bawah batas minimal ("&amp;IFERROR(INDEX(Aturan!$A$63:$A$66,MATCH(Aturan!$C$46,Aturan!$B$63:$B$66,0)),"peringkat "&amp;Aturan!$C$46)&amp;")",IF(O62="Cukup","layar "&amp;Varian!$AG16&amp;" cukup, nyamannya "&amp;IFERROR(INDEX(Aturan!$A$63:$A$66,MATCH(Aturan!$D$46,Aturan!$B$63:$B$66,0)),"peringkat "&amp;Aturan!$D$46),IF(O62="Belum ada data","jenis layar belum diketahui",""))))</f>
        <v/>
      </c>
      <c r="W62" s="33" t="str">
        <f aca="false">IF($A62="","",IF(P62="Kurang","layar "&amp;H62&amp;" Hz, di bawah batas minimal "&amp;Aturan!$C$47&amp;" Hz",IF(P62="Cukup","layar "&amp;H62&amp;" Hz cukup, nyamannya "&amp;Aturan!$D$47&amp;" Hz atau lebih",IF(P62="Belum ada data","refresh rate belum diketahui",""))))</f>
        <v/>
      </c>
      <c r="X62" s="33" t="str">
        <f aca="false">IF($A62="","",IF(K62="Kurang",R62&amp;"; ","")&amp;IF(L62="Kurang",S62&amp;"; ","")&amp;IF(M62="Kurang",T62&amp;"; ","")&amp;IF(N62="Kurang",U62&amp;"; ","")&amp;IF(O62="Kurang",V62&amp;"; ","")&amp;IF(P62="Kurang",W62&amp;"; ","")&amp;IF(K62="Belum ada data",R62&amp;"; ","")&amp;IF(L62="Belum ada data",S62&amp;"; ","")&amp;IF(M62="Belum ada data",T62&amp;"; ","")&amp;IF(N62="Belum ada data",U62&amp;"; ","")&amp;IF(O62="Belum ada data",V62&amp;"; ","")&amp;IF(P62="Belum ada data",W62&amp;"; ","")&amp;IF(K62="Cukup",R62&amp;"; ","")&amp;IF(L62="Cukup",S62&amp;"; ","")&amp;IF(M62="Cukup",T62&amp;"; ","")&amp;IF(N62="Cukup",U62&amp;"; ","")&amp;IF(O62="Cukup",V62&amp;"; ","")&amp;IF(P62="Cukup",W62&amp;"; ",""))</f>
        <v/>
      </c>
      <c r="Y62" s="33" t="str">
        <f aca="false">IF($A62="","",IF(K62="Nyaman","prosesor, ","")&amp;IF(L62="Nyaman","grafis, ","")&amp;IF(M62="Nyaman","RAM, ","")&amp;IF(N62="Nyaman","penyimpanan, ","")&amp;IF(O62="Nyaman","layar, ","")&amp;IF(P62="Nyaman","refresh rate, ",""))</f>
        <v/>
      </c>
      <c r="Z62" s="33" t="str">
        <f aca="false">IF($A62="","",IF(Q62="Tidak dinilai","Belum ada kriteria yang dinilai untuk kebutuhan ini.",IF(Q62="Cocok","Semua kriteria yang dinilai sudah nyaman: "&amp;LEFT(Y62,LEN(Y62)-2)&amp;".",UPPER(LEFT(X62,1))&amp;MID(X62,2,LEN(X62)-3)&amp;"."&amp;IF(Y62="",""," Sudah nyaman: "&amp;LEFT(Y62,LEN(Y62)-2)&amp;"."))))</f>
        <v/>
      </c>
      <c r="AA62" s="33"/>
      <c r="AB62" s="33"/>
      <c r="AC62" s="69"/>
    </row>
    <row r="63" customFormat="false" ht="15" hidden="false" customHeight="true" outlineLevel="0" collapsed="false">
      <c r="A63" s="33" t="str">
        <f aca="false">IF(Varian!$A16="","",Varian!$A16)</f>
        <v/>
      </c>
      <c r="B63" s="33" t="str">
        <f aca="false">IF($A63="","",Aturan!$A$24)</f>
        <v/>
      </c>
      <c r="C63" s="69" t="str">
        <f aca="false">IF($A63="","",IFERROR(IF(ISNUMBER(INDEX(CPU!$J$4:$J$64,MATCH(Varian!$J16,CPU!$A$4:$A$64,0))),INDEX(CPU!$J$4:$J$64,MATCH(Varian!$J16,CPU!$A$4:$A$64,0)),""),""))</f>
        <v/>
      </c>
      <c r="D63" s="69" t="str">
        <f aca="false">IF($A63="","",IFERROR(IF(ISNUMBER(INDEX(GPU!$G$4:$G$64,MATCH(Varian!$K16,GPU!$A$4:$A$64,0))),INDEX(GPU!$G$4:$G$64,MATCH(Varian!$K16,GPU!$A$4:$A$64,0)),""),""))</f>
        <v/>
      </c>
      <c r="E63" s="69" t="str">
        <f aca="false">IF($A63="","",IF(ISNUMBER(Varian!$M16),Varian!$M16,""))</f>
        <v/>
      </c>
      <c r="F63" s="69" t="str">
        <f aca="false">IF($A63="","",IF(ISNUMBER(Varian!$V16),Varian!$V16,""))</f>
        <v/>
      </c>
      <c r="G63" s="69" t="str">
        <f aca="false">IF($A63="","",IFERROR(INDEX(Aturan!$B$63:$B$66,MATCH(Varian!$AG16,Aturan!$A$63:$A$66,0)),""))</f>
        <v/>
      </c>
      <c r="H63" s="69" t="str">
        <f aca="false">IF($A63="","",IF(ISNUMBER(Varian!$AI16),Varian!$AI16,""))</f>
        <v/>
      </c>
      <c r="I63" s="33" t="str">
        <f aca="false">IF($A63="","",IF(Varian!$Q16="disolder","menempel di papan utama, tidak bisa ditambah",IF(OR(Varian!$Q16="slot",Varian!$Q16="setengah_disolder"),IF(Varian!$Q16="setengah_disolder","sebagian menempel, ","")&amp;IF(ISNUMBER(Varian!$U16),IF(AND(ISNUMBER(Varian!$M16),Varian!$U16&gt;Varian!$M16),"bisa dinaikkan lewat slot sampai "&amp;Varian!$U16&amp;" GB","sudah di batas maksimal "&amp;Varian!$U16&amp;" GB"),"ada slot, batas maksimalnya belum diketahui"),"belum diketahui apakah bisa ditambah")))</f>
        <v/>
      </c>
      <c r="J63" s="33" t="str">
        <f aca="false">IF($A63="","",IF(Varian!$Z16="ya","bisa diganti dengan yang lebih besar",IF(Varian!$Z16="tidak","menempel, tidak bisa diganti","belum diketahui apakah bisa diganti")))</f>
        <v/>
      </c>
      <c r="K63" s="70" t="str">
        <f aca="false">IF($A63="","",IF(AND(Aturan!$C$48="",Aturan!$D$48=""),"Tidak dinilai",IF(C63="","Belum ada data",IF(C63&lt;IF(Aturan!$C$48="",0,Aturan!$C$48),"Kurang",IF(C63&gt;=IF(Aturan!$D$48="",Aturan!$C$48,Aturan!$D$48),"Nyaman","Cukup")))))</f>
        <v/>
      </c>
      <c r="L63" s="70" t="str">
        <f aca="false">IF($A63="","",IF(AND(Aturan!$C$49="",Aturan!$D$49=""),"Tidak dinilai",IF(D63="","Belum ada data",IF(D63&lt;IF(Aturan!$C$49="",0,Aturan!$C$49),"Kurang",IF(D63&gt;=IF(Aturan!$D$49="",Aturan!$C$49,Aturan!$D$49),"Nyaman","Cukup")))))</f>
        <v/>
      </c>
      <c r="M63" s="70" t="str">
        <f aca="false">IF($A63="","",IF(AND(Aturan!$C$50="",Aturan!$D$50=""),"Tidak dinilai",IF(E63="","Belum ada data",IF(E63&lt;IF(Aturan!$C$50="",0,Aturan!$C$50),"Kurang",IF(E63&gt;=IF(Aturan!$D$50="",Aturan!$C$50,Aturan!$D$50),"Nyaman","Cukup")))))</f>
        <v/>
      </c>
      <c r="N63" s="70" t="str">
        <f aca="false">IF($A63="","",IF(AND(Aturan!$C$51="",Aturan!$D$51=""),"Tidak dinilai",IF(F63="","Belum ada data",IF(F63&lt;IF(Aturan!$C$51="",0,Aturan!$C$51),"Kurang",IF(F63&gt;=IF(Aturan!$D$51="",Aturan!$C$51,Aturan!$D$51),"Nyaman","Cukup")))))</f>
        <v/>
      </c>
      <c r="O63" s="70" t="str">
        <f aca="false">IF($A63="","",IF(AND(Aturan!$C$52="",Aturan!$D$52=""),"Tidak dinilai",IF(G63="","Belum ada data",IF(G63&lt;IF(Aturan!$C$52="",0,Aturan!$C$52),"Kurang",IF(G63&gt;=IF(Aturan!$D$52="",Aturan!$C$52,Aturan!$D$52),"Nyaman","Cukup")))))</f>
        <v/>
      </c>
      <c r="P63" s="70" t="str">
        <f aca="false">IF($A63="","",IF(AND(Aturan!$C$53="",Aturan!$D$53=""),"Tidak dinilai",IF(H63="","Belum ada data",IF(H63&lt;IF(Aturan!$C$53="",0,Aturan!$C$53),"Kurang",IF(H63&gt;=IF(Aturan!$D$53="",Aturan!$C$53,Aturan!$D$53),"Nyaman","Cukup")))))</f>
        <v/>
      </c>
      <c r="Q63" s="70" t="str">
        <f aca="false">IF($A63="","",IF(COUNTIF(K63:P63,"Tidak dinilai")=6,"Tidak dinilai",IF(COUNTIF(K63:P63,"Kurang")&gt;0,"Kurang cocok",IF(COUNTIF(K63:P63,"Belum ada data")&gt;0,"Data belum lengkap",IF(COUNTIF(K63:P63,"Cukup")&gt;0,"Bisa, dengan catatan","Cocok")))))</f>
        <v/>
      </c>
      <c r="R63" s="33" t="str">
        <f aca="false">IF($A63="","",IF(K63="Kurang","prosesor tingkat "&amp;C63&amp;" dari 5, di bawah batas minimal (tingkat "&amp;Aturan!$C$48&amp;")",IF(K63="Cukup","prosesor tingkat "&amp;C63&amp;" dari 5 cukup, nyamannya mulai tingkat "&amp;Aturan!$D$48,IF(K63="Belum ada data","tingkat prosesor belum diisi",""))))</f>
        <v/>
      </c>
      <c r="S63" s="33" t="str">
        <f aca="false">IF($A63="","",IF(L63="Kurang","grafis tingkat "&amp;D63&amp;" dari 5, di bawah batas minimal (tingkat "&amp;Aturan!$C$49&amp;")",IF(L63="Cukup","grafis tingkat "&amp;D63&amp;" dari 5 cukup, nyamannya mulai tingkat "&amp;Aturan!$D$49,IF(L63="Belum ada data","tingkat grafis belum diisi",""))))</f>
        <v/>
      </c>
      <c r="T63" s="33" t="str">
        <f aca="false">IF($A63="","",IF(M63="Kurang","RAM "&amp;E63&amp;" GB, di bawah batas minimal "&amp;Aturan!$C$50&amp;" GB ("&amp;I63&amp;")",IF(M63="Cukup","RAM "&amp;E63&amp;" GB cukup, nyamannya "&amp;Aturan!$D$50&amp;" GB atau lebih ("&amp;I63&amp;")",IF(M63="Belum ada data","ukuran RAM belum diisi",""))))</f>
        <v/>
      </c>
      <c r="U63" s="33" t="str">
        <f aca="false">IF($A63="","",IF(N63="Kurang","penyimpanan "&amp;F63&amp;" GB, di bawah batas minimal "&amp;Aturan!$C$51&amp;" GB ("&amp;J63&amp;")",IF(N63="Cukup","penyimpanan "&amp;F63&amp;" GB cukup, nyamannya "&amp;Aturan!$D$51&amp;" GB atau lebih ("&amp;J63&amp;")",IF(N63="Belum ada data","ukuran penyimpanan belum diisi",""))))</f>
        <v/>
      </c>
      <c r="V63" s="33" t="str">
        <f aca="false">IF($A63="","",IF(O63="Kurang","layar "&amp;Varian!$AG16&amp;", di bawah batas minimal ("&amp;IFERROR(INDEX(Aturan!$A$63:$A$66,MATCH(Aturan!$C$52,Aturan!$B$63:$B$66,0)),"peringkat "&amp;Aturan!$C$52)&amp;")",IF(O63="Cukup","layar "&amp;Varian!$AG16&amp;" cukup, nyamannya "&amp;IFERROR(INDEX(Aturan!$A$63:$A$66,MATCH(Aturan!$D$52,Aturan!$B$63:$B$66,0)),"peringkat "&amp;Aturan!$D$52),IF(O63="Belum ada data","jenis layar belum diketahui",""))))</f>
        <v/>
      </c>
      <c r="W63" s="33" t="str">
        <f aca="false">IF($A63="","",IF(P63="Kurang","layar "&amp;H63&amp;" Hz, di bawah batas minimal "&amp;Aturan!$C$53&amp;" Hz",IF(P63="Cukup","layar "&amp;H63&amp;" Hz cukup, nyamannya "&amp;Aturan!$D$53&amp;" Hz atau lebih",IF(P63="Belum ada data","refresh rate belum diketahui",""))))</f>
        <v/>
      </c>
      <c r="X63" s="33" t="str">
        <f aca="false">IF($A63="","",IF(K63="Kurang",R63&amp;"; ","")&amp;IF(L63="Kurang",S63&amp;"; ","")&amp;IF(M63="Kurang",T63&amp;"; ","")&amp;IF(N63="Kurang",U63&amp;"; ","")&amp;IF(O63="Kurang",V63&amp;"; ","")&amp;IF(P63="Kurang",W63&amp;"; ","")&amp;IF(K63="Belum ada data",R63&amp;"; ","")&amp;IF(L63="Belum ada data",S63&amp;"; ","")&amp;IF(M63="Belum ada data",T63&amp;"; ","")&amp;IF(N63="Belum ada data",U63&amp;"; ","")&amp;IF(O63="Belum ada data",V63&amp;"; ","")&amp;IF(P63="Belum ada data",W63&amp;"; ","")&amp;IF(K63="Cukup",R63&amp;"; ","")&amp;IF(L63="Cukup",S63&amp;"; ","")&amp;IF(M63="Cukup",T63&amp;"; ","")&amp;IF(N63="Cukup",U63&amp;"; ","")&amp;IF(O63="Cukup",V63&amp;"; ","")&amp;IF(P63="Cukup",W63&amp;"; ",""))</f>
        <v/>
      </c>
      <c r="Y63" s="33" t="str">
        <f aca="false">IF($A63="","",IF(K63="Nyaman","prosesor, ","")&amp;IF(L63="Nyaman","grafis, ","")&amp;IF(M63="Nyaman","RAM, ","")&amp;IF(N63="Nyaman","penyimpanan, ","")&amp;IF(O63="Nyaman","layar, ","")&amp;IF(P63="Nyaman","refresh rate, ",""))</f>
        <v/>
      </c>
      <c r="Z63" s="33" t="str">
        <f aca="false">IF($A63="","",IF(Q63="Tidak dinilai","Belum ada kriteria yang dinilai untuk kebutuhan ini.",IF(Q63="Cocok","Semua kriteria yang dinilai sudah nyaman: "&amp;LEFT(Y63,LEN(Y63)-2)&amp;".",UPPER(LEFT(X63,1))&amp;MID(X63,2,LEN(X63)-3)&amp;"."&amp;IF(Y63="",""," Sudah nyaman: "&amp;LEFT(Y63,LEN(Y63)-2)&amp;"."))))</f>
        <v/>
      </c>
      <c r="AA63" s="33"/>
      <c r="AB63" s="33"/>
      <c r="AC63" s="69"/>
    </row>
    <row r="64" customFormat="false" ht="15" hidden="false" customHeight="true" outlineLevel="0" collapsed="false">
      <c r="A64" s="33" t="str">
        <f aca="false">IF(Varian!$A16="","",Varian!$A16)</f>
        <v/>
      </c>
      <c r="B64" s="33" t="str">
        <f aca="false">IF($A64="","",Aturan!$A$25)</f>
        <v/>
      </c>
      <c r="C64" s="69" t="str">
        <f aca="false">IF($A64="","",IFERROR(IF(ISNUMBER(INDEX(CPU!$J$4:$J$64,MATCH(Varian!$J16,CPU!$A$4:$A$64,0))),INDEX(CPU!$J$4:$J$64,MATCH(Varian!$J16,CPU!$A$4:$A$64,0)),""),""))</f>
        <v/>
      </c>
      <c r="D64" s="69" t="str">
        <f aca="false">IF($A64="","",IFERROR(IF(ISNUMBER(INDEX(GPU!$G$4:$G$64,MATCH(Varian!$K16,GPU!$A$4:$A$64,0))),INDEX(GPU!$G$4:$G$64,MATCH(Varian!$K16,GPU!$A$4:$A$64,0)),""),""))</f>
        <v/>
      </c>
      <c r="E64" s="69" t="str">
        <f aca="false">IF($A64="","",IF(ISNUMBER(Varian!$M16),Varian!$M16,""))</f>
        <v/>
      </c>
      <c r="F64" s="69" t="str">
        <f aca="false">IF($A64="","",IF(ISNUMBER(Varian!$V16),Varian!$V16,""))</f>
        <v/>
      </c>
      <c r="G64" s="69" t="str">
        <f aca="false">IF($A64="","",IFERROR(INDEX(Aturan!$B$63:$B$66,MATCH(Varian!$AG16,Aturan!$A$63:$A$66,0)),""))</f>
        <v/>
      </c>
      <c r="H64" s="69" t="str">
        <f aca="false">IF($A64="","",IF(ISNUMBER(Varian!$AI16),Varian!$AI16,""))</f>
        <v/>
      </c>
      <c r="I64" s="33" t="str">
        <f aca="false">IF($A64="","",IF(Varian!$Q16="disolder","menempel di papan utama, tidak bisa ditambah",IF(OR(Varian!$Q16="slot",Varian!$Q16="setengah_disolder"),IF(Varian!$Q16="setengah_disolder","sebagian menempel, ","")&amp;IF(ISNUMBER(Varian!$U16),IF(AND(ISNUMBER(Varian!$M16),Varian!$U16&gt;Varian!$M16),"bisa dinaikkan lewat slot sampai "&amp;Varian!$U16&amp;" GB","sudah di batas maksimal "&amp;Varian!$U16&amp;" GB"),"ada slot, batas maksimalnya belum diketahui"),"belum diketahui apakah bisa ditambah")))</f>
        <v/>
      </c>
      <c r="J64" s="33" t="str">
        <f aca="false">IF($A64="","",IF(Varian!$Z16="ya","bisa diganti dengan yang lebih besar",IF(Varian!$Z16="tidak","menempel, tidak bisa diganti","belum diketahui apakah bisa diganti")))</f>
        <v/>
      </c>
      <c r="K64" s="70" t="str">
        <f aca="false">IF($A64="","",IF(AND(Aturan!$C$54="",Aturan!$D$54=""),"Tidak dinilai",IF(C64="","Belum ada data",IF(C64&lt;IF(Aturan!$C$54="",0,Aturan!$C$54),"Kurang",IF(C64&gt;=IF(Aturan!$D$54="",Aturan!$C$54,Aturan!$D$54),"Nyaman","Cukup")))))</f>
        <v/>
      </c>
      <c r="L64" s="70" t="str">
        <f aca="false">IF($A64="","",IF(AND(Aturan!$C$55="",Aturan!$D$55=""),"Tidak dinilai",IF(D64="","Belum ada data",IF(D64&lt;IF(Aturan!$C$55="",0,Aturan!$C$55),"Kurang",IF(D64&gt;=IF(Aturan!$D$55="",Aturan!$C$55,Aturan!$D$55),"Nyaman","Cukup")))))</f>
        <v/>
      </c>
      <c r="M64" s="70" t="str">
        <f aca="false">IF($A64="","",IF(AND(Aturan!$C$56="",Aturan!$D$56=""),"Tidak dinilai",IF(E64="","Belum ada data",IF(E64&lt;IF(Aturan!$C$56="",0,Aturan!$C$56),"Kurang",IF(E64&gt;=IF(Aturan!$D$56="",Aturan!$C$56,Aturan!$D$56),"Nyaman","Cukup")))))</f>
        <v/>
      </c>
      <c r="N64" s="70" t="str">
        <f aca="false">IF($A64="","",IF(AND(Aturan!$C$57="",Aturan!$D$57=""),"Tidak dinilai",IF(F64="","Belum ada data",IF(F64&lt;IF(Aturan!$C$57="",0,Aturan!$C$57),"Kurang",IF(F64&gt;=IF(Aturan!$D$57="",Aturan!$C$57,Aturan!$D$57),"Nyaman","Cukup")))))</f>
        <v/>
      </c>
      <c r="O64" s="70" t="str">
        <f aca="false">IF($A64="","",IF(AND(Aturan!$C$58="",Aturan!$D$58=""),"Tidak dinilai",IF(G64="","Belum ada data",IF(G64&lt;IF(Aturan!$C$58="",0,Aturan!$C$58),"Kurang",IF(G64&gt;=IF(Aturan!$D$58="",Aturan!$C$58,Aturan!$D$58),"Nyaman","Cukup")))))</f>
        <v/>
      </c>
      <c r="P64" s="70" t="str">
        <f aca="false">IF($A64="","",IF(AND(Aturan!$C$59="",Aturan!$D$59=""),"Tidak dinilai",IF(H64="","Belum ada data",IF(H64&lt;IF(Aturan!$C$59="",0,Aturan!$C$59),"Kurang",IF(H64&gt;=IF(Aturan!$D$59="",Aturan!$C$59,Aturan!$D$59),"Nyaman","Cukup")))))</f>
        <v/>
      </c>
      <c r="Q64" s="70" t="str">
        <f aca="false">IF($A64="","",IF(COUNTIF(K64:P64,"Tidak dinilai")=6,"Tidak dinilai",IF(COUNTIF(K64:P64,"Kurang")&gt;0,"Kurang cocok",IF(COUNTIF(K64:P64,"Belum ada data")&gt;0,"Data belum lengkap",IF(COUNTIF(K64:P64,"Cukup")&gt;0,"Bisa, dengan catatan","Cocok")))))</f>
        <v/>
      </c>
      <c r="R64" s="33" t="str">
        <f aca="false">IF($A64="","",IF(K64="Kurang","prosesor tingkat "&amp;C64&amp;" dari 5, di bawah batas minimal (tingkat "&amp;Aturan!$C$54&amp;")",IF(K64="Cukup","prosesor tingkat "&amp;C64&amp;" dari 5 cukup, nyamannya mulai tingkat "&amp;Aturan!$D$54,IF(K64="Belum ada data","tingkat prosesor belum diisi",""))))</f>
        <v/>
      </c>
      <c r="S64" s="33" t="str">
        <f aca="false">IF($A64="","",IF(L64="Kurang","grafis tingkat "&amp;D64&amp;" dari 5, di bawah batas minimal (tingkat "&amp;Aturan!$C$55&amp;")",IF(L64="Cukup","grafis tingkat "&amp;D64&amp;" dari 5 cukup, nyamannya mulai tingkat "&amp;Aturan!$D$55,IF(L64="Belum ada data","tingkat grafis belum diisi",""))))</f>
        <v/>
      </c>
      <c r="T64" s="33" t="str">
        <f aca="false">IF($A64="","",IF(M64="Kurang","RAM "&amp;E64&amp;" GB, di bawah batas minimal "&amp;Aturan!$C$56&amp;" GB ("&amp;I64&amp;")",IF(M64="Cukup","RAM "&amp;E64&amp;" GB cukup, nyamannya "&amp;Aturan!$D$56&amp;" GB atau lebih ("&amp;I64&amp;")",IF(M64="Belum ada data","ukuran RAM belum diisi",""))))</f>
        <v/>
      </c>
      <c r="U64" s="33" t="str">
        <f aca="false">IF($A64="","",IF(N64="Kurang","penyimpanan "&amp;F64&amp;" GB, di bawah batas minimal "&amp;Aturan!$C$57&amp;" GB ("&amp;J64&amp;")",IF(N64="Cukup","penyimpanan "&amp;F64&amp;" GB cukup, nyamannya "&amp;Aturan!$D$57&amp;" GB atau lebih ("&amp;J64&amp;")",IF(N64="Belum ada data","ukuran penyimpanan belum diisi",""))))</f>
        <v/>
      </c>
      <c r="V64" s="33" t="str">
        <f aca="false">IF($A64="","",IF(O64="Kurang","layar "&amp;Varian!$AG16&amp;", di bawah batas minimal ("&amp;IFERROR(INDEX(Aturan!$A$63:$A$66,MATCH(Aturan!$C$58,Aturan!$B$63:$B$66,0)),"peringkat "&amp;Aturan!$C$58)&amp;")",IF(O64="Cukup","layar "&amp;Varian!$AG16&amp;" cukup, nyamannya "&amp;IFERROR(INDEX(Aturan!$A$63:$A$66,MATCH(Aturan!$D$58,Aturan!$B$63:$B$66,0)),"peringkat "&amp;Aturan!$D$58),IF(O64="Belum ada data","jenis layar belum diketahui",""))))</f>
        <v/>
      </c>
      <c r="W64" s="33" t="str">
        <f aca="false">IF($A64="","",IF(P64="Kurang","layar "&amp;H64&amp;" Hz, di bawah batas minimal "&amp;Aturan!$C$59&amp;" Hz",IF(P64="Cukup","layar "&amp;H64&amp;" Hz cukup, nyamannya "&amp;Aturan!$D$59&amp;" Hz atau lebih",IF(P64="Belum ada data","refresh rate belum diketahui",""))))</f>
        <v/>
      </c>
      <c r="X64" s="33" t="str">
        <f aca="false">IF($A64="","",IF(K64="Kurang",R64&amp;"; ","")&amp;IF(L64="Kurang",S64&amp;"; ","")&amp;IF(M64="Kurang",T64&amp;"; ","")&amp;IF(N64="Kurang",U64&amp;"; ","")&amp;IF(O64="Kurang",V64&amp;"; ","")&amp;IF(P64="Kurang",W64&amp;"; ","")&amp;IF(K64="Belum ada data",R64&amp;"; ","")&amp;IF(L64="Belum ada data",S64&amp;"; ","")&amp;IF(M64="Belum ada data",T64&amp;"; ","")&amp;IF(N64="Belum ada data",U64&amp;"; ","")&amp;IF(O64="Belum ada data",V64&amp;"; ","")&amp;IF(P64="Belum ada data",W64&amp;"; ","")&amp;IF(K64="Cukup",R64&amp;"; ","")&amp;IF(L64="Cukup",S64&amp;"; ","")&amp;IF(M64="Cukup",T64&amp;"; ","")&amp;IF(N64="Cukup",U64&amp;"; ","")&amp;IF(O64="Cukup",V64&amp;"; ","")&amp;IF(P64="Cukup",W64&amp;"; ",""))</f>
        <v/>
      </c>
      <c r="Y64" s="33" t="str">
        <f aca="false">IF($A64="","",IF(K64="Nyaman","prosesor, ","")&amp;IF(L64="Nyaman","grafis, ","")&amp;IF(M64="Nyaman","RAM, ","")&amp;IF(N64="Nyaman","penyimpanan, ","")&amp;IF(O64="Nyaman","layar, ","")&amp;IF(P64="Nyaman","refresh rate, ",""))</f>
        <v/>
      </c>
      <c r="Z64" s="33" t="str">
        <f aca="false">IF($A64="","",IF(Q64="Tidak dinilai","Belum ada kriteria yang dinilai untuk kebutuhan ini.",IF(Q64="Cocok","Semua kriteria yang dinilai sudah nyaman: "&amp;LEFT(Y64,LEN(Y64)-2)&amp;".",UPPER(LEFT(X64,1))&amp;MID(X64,2,LEN(X64)-3)&amp;"."&amp;IF(Y64="",""," Sudah nyaman: "&amp;LEFT(Y64,LEN(Y64)-2)&amp;"."))))</f>
        <v/>
      </c>
      <c r="AA64" s="33"/>
      <c r="AB64" s="33"/>
      <c r="AC64" s="69"/>
    </row>
    <row r="65" customFormat="false" ht="15" hidden="false" customHeight="true" outlineLevel="0" collapsed="false">
      <c r="A65" s="66" t="str">
        <f aca="false">IF(Varian!$A17="","",Varian!$A17)</f>
        <v/>
      </c>
      <c r="B65" s="66" t="str">
        <f aca="false">IF($A65="","",Aturan!$A$21)</f>
        <v/>
      </c>
      <c r="C65" s="67" t="str">
        <f aca="false">IF($A65="","",IFERROR(IF(ISNUMBER(INDEX(CPU!$J$4:$J$64,MATCH(Varian!$J17,CPU!$A$4:$A$64,0))),INDEX(CPU!$J$4:$J$64,MATCH(Varian!$J17,CPU!$A$4:$A$64,0)),""),""))</f>
        <v/>
      </c>
      <c r="D65" s="67" t="str">
        <f aca="false">IF($A65="","",IFERROR(IF(ISNUMBER(INDEX(GPU!$G$4:$G$64,MATCH(Varian!$K17,GPU!$A$4:$A$64,0))),INDEX(GPU!$G$4:$G$64,MATCH(Varian!$K17,GPU!$A$4:$A$64,0)),""),""))</f>
        <v/>
      </c>
      <c r="E65" s="67" t="str">
        <f aca="false">IF($A65="","",IF(ISNUMBER(Varian!$M17),Varian!$M17,""))</f>
        <v/>
      </c>
      <c r="F65" s="67" t="str">
        <f aca="false">IF($A65="","",IF(ISNUMBER(Varian!$V17),Varian!$V17,""))</f>
        <v/>
      </c>
      <c r="G65" s="67" t="str">
        <f aca="false">IF($A65="","",IFERROR(INDEX(Aturan!$B$63:$B$66,MATCH(Varian!$AG17,Aturan!$A$63:$A$66,0)),""))</f>
        <v/>
      </c>
      <c r="H65" s="67" t="str">
        <f aca="false">IF($A65="","",IF(ISNUMBER(Varian!$AI17),Varian!$AI17,""))</f>
        <v/>
      </c>
      <c r="I65" s="66" t="str">
        <f aca="false">IF($A65="","",IF(Varian!$Q17="disolder","menempel di papan utama, tidak bisa ditambah",IF(OR(Varian!$Q17="slot",Varian!$Q17="setengah_disolder"),IF(Varian!$Q17="setengah_disolder","sebagian menempel, ","")&amp;IF(ISNUMBER(Varian!$U17),IF(AND(ISNUMBER(Varian!$M17),Varian!$U17&gt;Varian!$M17),"bisa dinaikkan lewat slot sampai "&amp;Varian!$U17&amp;" GB","sudah di batas maksimal "&amp;Varian!$U17&amp;" GB"),"ada slot, batas maksimalnya belum diketahui"),"belum diketahui apakah bisa ditambah")))</f>
        <v/>
      </c>
      <c r="J65" s="66" t="str">
        <f aca="false">IF($A65="","",IF(Varian!$Z17="ya","bisa diganti dengan yang lebih besar",IF(Varian!$Z17="tidak","menempel, tidak bisa diganti","belum diketahui apakah bisa diganti")))</f>
        <v/>
      </c>
      <c r="K65" s="68" t="str">
        <f aca="false">IF($A65="","",IF(AND(Aturan!$C$30="",Aturan!$D$30=""),"Tidak dinilai",IF(C65="","Belum ada data",IF(C65&lt;IF(Aturan!$C$30="",0,Aturan!$C$30),"Kurang",IF(C65&gt;=IF(Aturan!$D$30="",Aturan!$C$30,Aturan!$D$30),"Nyaman","Cukup")))))</f>
        <v/>
      </c>
      <c r="L65" s="68" t="str">
        <f aca="false">IF($A65="","",IF(AND(Aturan!$C$31="",Aturan!$D$31=""),"Tidak dinilai",IF(D65="","Belum ada data",IF(D65&lt;IF(Aturan!$C$31="",0,Aturan!$C$31),"Kurang",IF(D65&gt;=IF(Aturan!$D$31="",Aturan!$C$31,Aturan!$D$31),"Nyaman","Cukup")))))</f>
        <v/>
      </c>
      <c r="M65" s="68" t="str">
        <f aca="false">IF($A65="","",IF(AND(Aturan!$C$32="",Aturan!$D$32=""),"Tidak dinilai",IF(E65="","Belum ada data",IF(E65&lt;IF(Aturan!$C$32="",0,Aturan!$C$32),"Kurang",IF(E65&gt;=IF(Aturan!$D$32="",Aturan!$C$32,Aturan!$D$32),"Nyaman","Cukup")))))</f>
        <v/>
      </c>
      <c r="N65" s="68" t="str">
        <f aca="false">IF($A65="","",IF(AND(Aturan!$C$33="",Aturan!$D$33=""),"Tidak dinilai",IF(F65="","Belum ada data",IF(F65&lt;IF(Aturan!$C$33="",0,Aturan!$C$33),"Kurang",IF(F65&gt;=IF(Aturan!$D$33="",Aturan!$C$33,Aturan!$D$33),"Nyaman","Cukup")))))</f>
        <v/>
      </c>
      <c r="O65" s="68" t="str">
        <f aca="false">IF($A65="","",IF(AND(Aturan!$C$34="",Aturan!$D$34=""),"Tidak dinilai",IF(G65="","Belum ada data",IF(G65&lt;IF(Aturan!$C$34="",0,Aturan!$C$34),"Kurang",IF(G65&gt;=IF(Aturan!$D$34="",Aturan!$C$34,Aturan!$D$34),"Nyaman","Cukup")))))</f>
        <v/>
      </c>
      <c r="P65" s="68" t="str">
        <f aca="false">IF($A65="","",IF(AND(Aturan!$C$35="",Aturan!$D$35=""),"Tidak dinilai",IF(H65="","Belum ada data",IF(H65&lt;IF(Aturan!$C$35="",0,Aturan!$C$35),"Kurang",IF(H65&gt;=IF(Aturan!$D$35="",Aturan!$C$35,Aturan!$D$35),"Nyaman","Cukup")))))</f>
        <v/>
      </c>
      <c r="Q65" s="68" t="str">
        <f aca="false">IF($A65="","",IF(COUNTIF(K65:P65,"Tidak dinilai")=6,"Tidak dinilai",IF(COUNTIF(K65:P65,"Kurang")&gt;0,"Kurang cocok",IF(COUNTIF(K65:P65,"Belum ada data")&gt;0,"Data belum lengkap",IF(COUNTIF(K65:P65,"Cukup")&gt;0,"Bisa, dengan catatan","Cocok")))))</f>
        <v/>
      </c>
      <c r="R65" s="66" t="str">
        <f aca="false">IF($A65="","",IF(K65="Kurang","prosesor tingkat "&amp;C65&amp;" dari 5, di bawah batas minimal (tingkat "&amp;Aturan!$C$30&amp;")",IF(K65="Cukup","prosesor tingkat "&amp;C65&amp;" dari 5 cukup, nyamannya mulai tingkat "&amp;Aturan!$D$30,IF(K65="Belum ada data","tingkat prosesor belum diisi",""))))</f>
        <v/>
      </c>
      <c r="S65" s="66" t="str">
        <f aca="false">IF($A65="","",IF(L65="Kurang","grafis tingkat "&amp;D65&amp;" dari 5, di bawah batas minimal (tingkat "&amp;Aturan!$C$31&amp;")",IF(L65="Cukup","grafis tingkat "&amp;D65&amp;" dari 5 cukup, nyamannya mulai tingkat "&amp;Aturan!$D$31,IF(L65="Belum ada data","tingkat grafis belum diisi",""))))</f>
        <v/>
      </c>
      <c r="T65" s="66" t="str">
        <f aca="false">IF($A65="","",IF(M65="Kurang","RAM "&amp;E65&amp;" GB, di bawah batas minimal "&amp;Aturan!$C$32&amp;" GB ("&amp;I65&amp;")",IF(M65="Cukup","RAM "&amp;E65&amp;" GB cukup, nyamannya "&amp;Aturan!$D$32&amp;" GB atau lebih ("&amp;I65&amp;")",IF(M65="Belum ada data","ukuran RAM belum diisi",""))))</f>
        <v/>
      </c>
      <c r="U65" s="66" t="str">
        <f aca="false">IF($A65="","",IF(N65="Kurang","penyimpanan "&amp;F65&amp;" GB, di bawah batas minimal "&amp;Aturan!$C$33&amp;" GB ("&amp;J65&amp;")",IF(N65="Cukup","penyimpanan "&amp;F65&amp;" GB cukup, nyamannya "&amp;Aturan!$D$33&amp;" GB atau lebih ("&amp;J65&amp;")",IF(N65="Belum ada data","ukuran penyimpanan belum diisi",""))))</f>
        <v/>
      </c>
      <c r="V65" s="66" t="str">
        <f aca="false">IF($A65="","",IF(O65="Kurang","layar "&amp;Varian!$AG17&amp;", di bawah batas minimal ("&amp;IFERROR(INDEX(Aturan!$A$63:$A$66,MATCH(Aturan!$C$34,Aturan!$B$63:$B$66,0)),"peringkat "&amp;Aturan!$C$34)&amp;")",IF(O65="Cukup","layar "&amp;Varian!$AG17&amp;" cukup, nyamannya "&amp;IFERROR(INDEX(Aturan!$A$63:$A$66,MATCH(Aturan!$D$34,Aturan!$B$63:$B$66,0)),"peringkat "&amp;Aturan!$D$34),IF(O65="Belum ada data","jenis layar belum diketahui",""))))</f>
        <v/>
      </c>
      <c r="W65" s="66" t="str">
        <f aca="false">IF($A65="","",IF(P65="Kurang","layar "&amp;H65&amp;" Hz, di bawah batas minimal "&amp;Aturan!$C$35&amp;" Hz",IF(P65="Cukup","layar "&amp;H65&amp;" Hz cukup, nyamannya "&amp;Aturan!$D$35&amp;" Hz atau lebih",IF(P65="Belum ada data","refresh rate belum diketahui",""))))</f>
        <v/>
      </c>
      <c r="X65" s="66" t="str">
        <f aca="false">IF($A65="","",IF(K65="Kurang",R65&amp;"; ","")&amp;IF(L65="Kurang",S65&amp;"; ","")&amp;IF(M65="Kurang",T65&amp;"; ","")&amp;IF(N65="Kurang",U65&amp;"; ","")&amp;IF(O65="Kurang",V65&amp;"; ","")&amp;IF(P65="Kurang",W65&amp;"; ","")&amp;IF(K65="Belum ada data",R65&amp;"; ","")&amp;IF(L65="Belum ada data",S65&amp;"; ","")&amp;IF(M65="Belum ada data",T65&amp;"; ","")&amp;IF(N65="Belum ada data",U65&amp;"; ","")&amp;IF(O65="Belum ada data",V65&amp;"; ","")&amp;IF(P65="Belum ada data",W65&amp;"; ","")&amp;IF(K65="Cukup",R65&amp;"; ","")&amp;IF(L65="Cukup",S65&amp;"; ","")&amp;IF(M65="Cukup",T65&amp;"; ","")&amp;IF(N65="Cukup",U65&amp;"; ","")&amp;IF(O65="Cukup",V65&amp;"; ","")&amp;IF(P65="Cukup",W65&amp;"; ",""))</f>
        <v/>
      </c>
      <c r="Y65" s="66" t="str">
        <f aca="false">IF($A65="","",IF(K65="Nyaman","prosesor, ","")&amp;IF(L65="Nyaman","grafis, ","")&amp;IF(M65="Nyaman","RAM, ","")&amp;IF(N65="Nyaman","penyimpanan, ","")&amp;IF(O65="Nyaman","layar, ","")&amp;IF(P65="Nyaman","refresh rate, ",""))</f>
        <v/>
      </c>
      <c r="Z65" s="66" t="str">
        <f aca="false">IF($A65="","",IF(Q65="Tidak dinilai","Belum ada kriteria yang dinilai untuk kebutuhan ini.",IF(Q65="Cocok","Semua kriteria yang dinilai sudah nyaman: "&amp;LEFT(Y65,LEN(Y65)-2)&amp;".",UPPER(LEFT(X65,1))&amp;MID(X65,2,LEN(X65)-3)&amp;"."&amp;IF(Y65="",""," Sudah nyaman: "&amp;LEFT(Y65,LEN(Y65)-2)&amp;"."))))</f>
        <v/>
      </c>
      <c r="AA65" s="66" t="str">
        <f aca="false">IF($A65="","",IF(Varian!$AR17="Windows 10","• "&amp;Aturan!$E$71&amp;CHAR(10),"")&amp;IF(Varian!$BB17="tidak","• "&amp;Aturan!$E$72&amp;CHAR(10),"")&amp;IF(OR(Varian!$AD17="belum terverifikasi",Varian!$AD17="tidak diketahui"),"• "&amp;Aturan!$E$73&amp;CHAR(10),"")&amp;IF(Varian!$AH17="1366x768","• "&amp;Aturan!$E$74&amp;CHAR(10),"")&amp;IF(Varian!$AG17="TN","• "&amp;Aturan!$E$75&amp;CHAR(10),"")&amp;IF(AND(Varian!$Q17="disolder",ISNUMBER(Varian!$M17),Varian!$M17&lt;=8),"• "&amp;Aturan!$E$76&amp;CHAR(10),""))</f>
        <v/>
      </c>
      <c r="AB65" s="66" t="str">
        <f aca="false">IF($A65="","",IF(AA65="","",LEFT(AA65,LEN(AA65)-1)))</f>
        <v/>
      </c>
      <c r="AC65" s="67" t="str">
        <f aca="false">IF($A65="","",IF(AA65="",0,LEN(AA65)-LEN(SUBSTITUTE(AA65,CHAR(10),""))))</f>
        <v/>
      </c>
    </row>
    <row r="66" customFormat="false" ht="15" hidden="false" customHeight="true" outlineLevel="0" collapsed="false">
      <c r="A66" s="33" t="str">
        <f aca="false">IF(Varian!$A17="","",Varian!$A17)</f>
        <v/>
      </c>
      <c r="B66" s="33" t="str">
        <f aca="false">IF($A66="","",Aturan!$A$22)</f>
        <v/>
      </c>
      <c r="C66" s="69" t="str">
        <f aca="false">IF($A66="","",IFERROR(IF(ISNUMBER(INDEX(CPU!$J$4:$J$64,MATCH(Varian!$J17,CPU!$A$4:$A$64,0))),INDEX(CPU!$J$4:$J$64,MATCH(Varian!$J17,CPU!$A$4:$A$64,0)),""),""))</f>
        <v/>
      </c>
      <c r="D66" s="69" t="str">
        <f aca="false">IF($A66="","",IFERROR(IF(ISNUMBER(INDEX(GPU!$G$4:$G$64,MATCH(Varian!$K17,GPU!$A$4:$A$64,0))),INDEX(GPU!$G$4:$G$64,MATCH(Varian!$K17,GPU!$A$4:$A$64,0)),""),""))</f>
        <v/>
      </c>
      <c r="E66" s="69" t="str">
        <f aca="false">IF($A66="","",IF(ISNUMBER(Varian!$M17),Varian!$M17,""))</f>
        <v/>
      </c>
      <c r="F66" s="69" t="str">
        <f aca="false">IF($A66="","",IF(ISNUMBER(Varian!$V17),Varian!$V17,""))</f>
        <v/>
      </c>
      <c r="G66" s="69" t="str">
        <f aca="false">IF($A66="","",IFERROR(INDEX(Aturan!$B$63:$B$66,MATCH(Varian!$AG17,Aturan!$A$63:$A$66,0)),""))</f>
        <v/>
      </c>
      <c r="H66" s="69" t="str">
        <f aca="false">IF($A66="","",IF(ISNUMBER(Varian!$AI17),Varian!$AI17,""))</f>
        <v/>
      </c>
      <c r="I66" s="33" t="str">
        <f aca="false">IF($A66="","",IF(Varian!$Q17="disolder","menempel di papan utama, tidak bisa ditambah",IF(OR(Varian!$Q17="slot",Varian!$Q17="setengah_disolder"),IF(Varian!$Q17="setengah_disolder","sebagian menempel, ","")&amp;IF(ISNUMBER(Varian!$U17),IF(AND(ISNUMBER(Varian!$M17),Varian!$U17&gt;Varian!$M17),"bisa dinaikkan lewat slot sampai "&amp;Varian!$U17&amp;" GB","sudah di batas maksimal "&amp;Varian!$U17&amp;" GB"),"ada slot, batas maksimalnya belum diketahui"),"belum diketahui apakah bisa ditambah")))</f>
        <v/>
      </c>
      <c r="J66" s="33" t="str">
        <f aca="false">IF($A66="","",IF(Varian!$Z17="ya","bisa diganti dengan yang lebih besar",IF(Varian!$Z17="tidak","menempel, tidak bisa diganti","belum diketahui apakah bisa diganti")))</f>
        <v/>
      </c>
      <c r="K66" s="70" t="str">
        <f aca="false">IF($A66="","",IF(AND(Aturan!$C$36="",Aturan!$D$36=""),"Tidak dinilai",IF(C66="","Belum ada data",IF(C66&lt;IF(Aturan!$C$36="",0,Aturan!$C$36),"Kurang",IF(C66&gt;=IF(Aturan!$D$36="",Aturan!$C$36,Aturan!$D$36),"Nyaman","Cukup")))))</f>
        <v/>
      </c>
      <c r="L66" s="70" t="str">
        <f aca="false">IF($A66="","",IF(AND(Aturan!$C$37="",Aturan!$D$37=""),"Tidak dinilai",IF(D66="","Belum ada data",IF(D66&lt;IF(Aturan!$C$37="",0,Aturan!$C$37),"Kurang",IF(D66&gt;=IF(Aturan!$D$37="",Aturan!$C$37,Aturan!$D$37),"Nyaman","Cukup")))))</f>
        <v/>
      </c>
      <c r="M66" s="70" t="str">
        <f aca="false">IF($A66="","",IF(AND(Aturan!$C$38="",Aturan!$D$38=""),"Tidak dinilai",IF(E66="","Belum ada data",IF(E66&lt;IF(Aturan!$C$38="",0,Aturan!$C$38),"Kurang",IF(E66&gt;=IF(Aturan!$D$38="",Aturan!$C$38,Aturan!$D$38),"Nyaman","Cukup")))))</f>
        <v/>
      </c>
      <c r="N66" s="70" t="str">
        <f aca="false">IF($A66="","",IF(AND(Aturan!$C$39="",Aturan!$D$39=""),"Tidak dinilai",IF(F66="","Belum ada data",IF(F66&lt;IF(Aturan!$C$39="",0,Aturan!$C$39),"Kurang",IF(F66&gt;=IF(Aturan!$D$39="",Aturan!$C$39,Aturan!$D$39),"Nyaman","Cukup")))))</f>
        <v/>
      </c>
      <c r="O66" s="70" t="str">
        <f aca="false">IF($A66="","",IF(AND(Aturan!$C$40="",Aturan!$D$40=""),"Tidak dinilai",IF(G66="","Belum ada data",IF(G66&lt;IF(Aturan!$C$40="",0,Aturan!$C$40),"Kurang",IF(G66&gt;=IF(Aturan!$D$40="",Aturan!$C$40,Aturan!$D$40),"Nyaman","Cukup")))))</f>
        <v/>
      </c>
      <c r="P66" s="70" t="str">
        <f aca="false">IF($A66="","",IF(AND(Aturan!$C$41="",Aturan!$D$41=""),"Tidak dinilai",IF(H66="","Belum ada data",IF(H66&lt;IF(Aturan!$C$41="",0,Aturan!$C$41),"Kurang",IF(H66&gt;=IF(Aturan!$D$41="",Aturan!$C$41,Aturan!$D$41),"Nyaman","Cukup")))))</f>
        <v/>
      </c>
      <c r="Q66" s="70" t="str">
        <f aca="false">IF($A66="","",IF(COUNTIF(K66:P66,"Tidak dinilai")=6,"Tidak dinilai",IF(COUNTIF(K66:P66,"Kurang")&gt;0,"Kurang cocok",IF(COUNTIF(K66:P66,"Belum ada data")&gt;0,"Data belum lengkap",IF(COUNTIF(K66:P66,"Cukup")&gt;0,"Bisa, dengan catatan","Cocok")))))</f>
        <v/>
      </c>
      <c r="R66" s="33" t="str">
        <f aca="false">IF($A66="","",IF(K66="Kurang","prosesor tingkat "&amp;C66&amp;" dari 5, di bawah batas minimal (tingkat "&amp;Aturan!$C$36&amp;")",IF(K66="Cukup","prosesor tingkat "&amp;C66&amp;" dari 5 cukup, nyamannya mulai tingkat "&amp;Aturan!$D$36,IF(K66="Belum ada data","tingkat prosesor belum diisi",""))))</f>
        <v/>
      </c>
      <c r="S66" s="33" t="str">
        <f aca="false">IF($A66="","",IF(L66="Kurang","grafis tingkat "&amp;D66&amp;" dari 5, di bawah batas minimal (tingkat "&amp;Aturan!$C$37&amp;")",IF(L66="Cukup","grafis tingkat "&amp;D66&amp;" dari 5 cukup, nyamannya mulai tingkat "&amp;Aturan!$D$37,IF(L66="Belum ada data","tingkat grafis belum diisi",""))))</f>
        <v/>
      </c>
      <c r="T66" s="33" t="str">
        <f aca="false">IF($A66="","",IF(M66="Kurang","RAM "&amp;E66&amp;" GB, di bawah batas minimal "&amp;Aturan!$C$38&amp;" GB ("&amp;I66&amp;")",IF(M66="Cukup","RAM "&amp;E66&amp;" GB cukup, nyamannya "&amp;Aturan!$D$38&amp;" GB atau lebih ("&amp;I66&amp;")",IF(M66="Belum ada data","ukuran RAM belum diisi",""))))</f>
        <v/>
      </c>
      <c r="U66" s="33" t="str">
        <f aca="false">IF($A66="","",IF(N66="Kurang","penyimpanan "&amp;F66&amp;" GB, di bawah batas minimal "&amp;Aturan!$C$39&amp;" GB ("&amp;J66&amp;")",IF(N66="Cukup","penyimpanan "&amp;F66&amp;" GB cukup, nyamannya "&amp;Aturan!$D$39&amp;" GB atau lebih ("&amp;J66&amp;")",IF(N66="Belum ada data","ukuran penyimpanan belum diisi",""))))</f>
        <v/>
      </c>
      <c r="V66" s="33" t="str">
        <f aca="false">IF($A66="","",IF(O66="Kurang","layar "&amp;Varian!$AG17&amp;", di bawah batas minimal ("&amp;IFERROR(INDEX(Aturan!$A$63:$A$66,MATCH(Aturan!$C$40,Aturan!$B$63:$B$66,0)),"peringkat "&amp;Aturan!$C$40)&amp;")",IF(O66="Cukup","layar "&amp;Varian!$AG17&amp;" cukup, nyamannya "&amp;IFERROR(INDEX(Aturan!$A$63:$A$66,MATCH(Aturan!$D$40,Aturan!$B$63:$B$66,0)),"peringkat "&amp;Aturan!$D$40),IF(O66="Belum ada data","jenis layar belum diketahui",""))))</f>
        <v/>
      </c>
      <c r="W66" s="33" t="str">
        <f aca="false">IF($A66="","",IF(P66="Kurang","layar "&amp;H66&amp;" Hz, di bawah batas minimal "&amp;Aturan!$C$41&amp;" Hz",IF(P66="Cukup","layar "&amp;H66&amp;" Hz cukup, nyamannya "&amp;Aturan!$D$41&amp;" Hz atau lebih",IF(P66="Belum ada data","refresh rate belum diketahui",""))))</f>
        <v/>
      </c>
      <c r="X66" s="33" t="str">
        <f aca="false">IF($A66="","",IF(K66="Kurang",R66&amp;"; ","")&amp;IF(L66="Kurang",S66&amp;"; ","")&amp;IF(M66="Kurang",T66&amp;"; ","")&amp;IF(N66="Kurang",U66&amp;"; ","")&amp;IF(O66="Kurang",V66&amp;"; ","")&amp;IF(P66="Kurang",W66&amp;"; ","")&amp;IF(K66="Belum ada data",R66&amp;"; ","")&amp;IF(L66="Belum ada data",S66&amp;"; ","")&amp;IF(M66="Belum ada data",T66&amp;"; ","")&amp;IF(N66="Belum ada data",U66&amp;"; ","")&amp;IF(O66="Belum ada data",V66&amp;"; ","")&amp;IF(P66="Belum ada data",W66&amp;"; ","")&amp;IF(K66="Cukup",R66&amp;"; ","")&amp;IF(L66="Cukup",S66&amp;"; ","")&amp;IF(M66="Cukup",T66&amp;"; ","")&amp;IF(N66="Cukup",U66&amp;"; ","")&amp;IF(O66="Cukup",V66&amp;"; ","")&amp;IF(P66="Cukup",W66&amp;"; ",""))</f>
        <v/>
      </c>
      <c r="Y66" s="33" t="str">
        <f aca="false">IF($A66="","",IF(K66="Nyaman","prosesor, ","")&amp;IF(L66="Nyaman","grafis, ","")&amp;IF(M66="Nyaman","RAM, ","")&amp;IF(N66="Nyaman","penyimpanan, ","")&amp;IF(O66="Nyaman","layar, ","")&amp;IF(P66="Nyaman","refresh rate, ",""))</f>
        <v/>
      </c>
      <c r="Z66" s="33" t="str">
        <f aca="false">IF($A66="","",IF(Q66="Tidak dinilai","Belum ada kriteria yang dinilai untuk kebutuhan ini.",IF(Q66="Cocok","Semua kriteria yang dinilai sudah nyaman: "&amp;LEFT(Y66,LEN(Y66)-2)&amp;".",UPPER(LEFT(X66,1))&amp;MID(X66,2,LEN(X66)-3)&amp;"."&amp;IF(Y66="",""," Sudah nyaman: "&amp;LEFT(Y66,LEN(Y66)-2)&amp;"."))))</f>
        <v/>
      </c>
      <c r="AA66" s="33"/>
      <c r="AB66" s="33"/>
      <c r="AC66" s="69"/>
    </row>
    <row r="67" customFormat="false" ht="15" hidden="false" customHeight="true" outlineLevel="0" collapsed="false">
      <c r="A67" s="33" t="str">
        <f aca="false">IF(Varian!$A17="","",Varian!$A17)</f>
        <v/>
      </c>
      <c r="B67" s="33" t="str">
        <f aca="false">IF($A67="","",Aturan!$A$23)</f>
        <v/>
      </c>
      <c r="C67" s="69" t="str">
        <f aca="false">IF($A67="","",IFERROR(IF(ISNUMBER(INDEX(CPU!$J$4:$J$64,MATCH(Varian!$J17,CPU!$A$4:$A$64,0))),INDEX(CPU!$J$4:$J$64,MATCH(Varian!$J17,CPU!$A$4:$A$64,0)),""),""))</f>
        <v/>
      </c>
      <c r="D67" s="69" t="str">
        <f aca="false">IF($A67="","",IFERROR(IF(ISNUMBER(INDEX(GPU!$G$4:$G$64,MATCH(Varian!$K17,GPU!$A$4:$A$64,0))),INDEX(GPU!$G$4:$G$64,MATCH(Varian!$K17,GPU!$A$4:$A$64,0)),""),""))</f>
        <v/>
      </c>
      <c r="E67" s="69" t="str">
        <f aca="false">IF($A67="","",IF(ISNUMBER(Varian!$M17),Varian!$M17,""))</f>
        <v/>
      </c>
      <c r="F67" s="69" t="str">
        <f aca="false">IF($A67="","",IF(ISNUMBER(Varian!$V17),Varian!$V17,""))</f>
        <v/>
      </c>
      <c r="G67" s="69" t="str">
        <f aca="false">IF($A67="","",IFERROR(INDEX(Aturan!$B$63:$B$66,MATCH(Varian!$AG17,Aturan!$A$63:$A$66,0)),""))</f>
        <v/>
      </c>
      <c r="H67" s="69" t="str">
        <f aca="false">IF($A67="","",IF(ISNUMBER(Varian!$AI17),Varian!$AI17,""))</f>
        <v/>
      </c>
      <c r="I67" s="33" t="str">
        <f aca="false">IF($A67="","",IF(Varian!$Q17="disolder","menempel di papan utama, tidak bisa ditambah",IF(OR(Varian!$Q17="slot",Varian!$Q17="setengah_disolder"),IF(Varian!$Q17="setengah_disolder","sebagian menempel, ","")&amp;IF(ISNUMBER(Varian!$U17),IF(AND(ISNUMBER(Varian!$M17),Varian!$U17&gt;Varian!$M17),"bisa dinaikkan lewat slot sampai "&amp;Varian!$U17&amp;" GB","sudah di batas maksimal "&amp;Varian!$U17&amp;" GB"),"ada slot, batas maksimalnya belum diketahui"),"belum diketahui apakah bisa ditambah")))</f>
        <v/>
      </c>
      <c r="J67" s="33" t="str">
        <f aca="false">IF($A67="","",IF(Varian!$Z17="ya","bisa diganti dengan yang lebih besar",IF(Varian!$Z17="tidak","menempel, tidak bisa diganti","belum diketahui apakah bisa diganti")))</f>
        <v/>
      </c>
      <c r="K67" s="70" t="str">
        <f aca="false">IF($A67="","",IF(AND(Aturan!$C$42="",Aturan!$D$42=""),"Tidak dinilai",IF(C67="","Belum ada data",IF(C67&lt;IF(Aturan!$C$42="",0,Aturan!$C$42),"Kurang",IF(C67&gt;=IF(Aturan!$D$42="",Aturan!$C$42,Aturan!$D$42),"Nyaman","Cukup")))))</f>
        <v/>
      </c>
      <c r="L67" s="70" t="str">
        <f aca="false">IF($A67="","",IF(AND(Aturan!$C$43="",Aturan!$D$43=""),"Tidak dinilai",IF(D67="","Belum ada data",IF(D67&lt;IF(Aturan!$C$43="",0,Aturan!$C$43),"Kurang",IF(D67&gt;=IF(Aturan!$D$43="",Aturan!$C$43,Aturan!$D$43),"Nyaman","Cukup")))))</f>
        <v/>
      </c>
      <c r="M67" s="70" t="str">
        <f aca="false">IF($A67="","",IF(AND(Aturan!$C$44="",Aturan!$D$44=""),"Tidak dinilai",IF(E67="","Belum ada data",IF(E67&lt;IF(Aturan!$C$44="",0,Aturan!$C$44),"Kurang",IF(E67&gt;=IF(Aturan!$D$44="",Aturan!$C$44,Aturan!$D$44),"Nyaman","Cukup")))))</f>
        <v/>
      </c>
      <c r="N67" s="70" t="str">
        <f aca="false">IF($A67="","",IF(AND(Aturan!$C$45="",Aturan!$D$45=""),"Tidak dinilai",IF(F67="","Belum ada data",IF(F67&lt;IF(Aturan!$C$45="",0,Aturan!$C$45),"Kurang",IF(F67&gt;=IF(Aturan!$D$45="",Aturan!$C$45,Aturan!$D$45),"Nyaman","Cukup")))))</f>
        <v/>
      </c>
      <c r="O67" s="70" t="str">
        <f aca="false">IF($A67="","",IF(AND(Aturan!$C$46="",Aturan!$D$46=""),"Tidak dinilai",IF(G67="","Belum ada data",IF(G67&lt;IF(Aturan!$C$46="",0,Aturan!$C$46),"Kurang",IF(G67&gt;=IF(Aturan!$D$46="",Aturan!$C$46,Aturan!$D$46),"Nyaman","Cukup")))))</f>
        <v/>
      </c>
      <c r="P67" s="70" t="str">
        <f aca="false">IF($A67="","",IF(AND(Aturan!$C$47="",Aturan!$D$47=""),"Tidak dinilai",IF(H67="","Belum ada data",IF(H67&lt;IF(Aturan!$C$47="",0,Aturan!$C$47),"Kurang",IF(H67&gt;=IF(Aturan!$D$47="",Aturan!$C$47,Aturan!$D$47),"Nyaman","Cukup")))))</f>
        <v/>
      </c>
      <c r="Q67" s="70" t="str">
        <f aca="false">IF($A67="","",IF(COUNTIF(K67:P67,"Tidak dinilai")=6,"Tidak dinilai",IF(COUNTIF(K67:P67,"Kurang")&gt;0,"Kurang cocok",IF(COUNTIF(K67:P67,"Belum ada data")&gt;0,"Data belum lengkap",IF(COUNTIF(K67:P67,"Cukup")&gt;0,"Bisa, dengan catatan","Cocok")))))</f>
        <v/>
      </c>
      <c r="R67" s="33" t="str">
        <f aca="false">IF($A67="","",IF(K67="Kurang","prosesor tingkat "&amp;C67&amp;" dari 5, di bawah batas minimal (tingkat "&amp;Aturan!$C$42&amp;")",IF(K67="Cukup","prosesor tingkat "&amp;C67&amp;" dari 5 cukup, nyamannya mulai tingkat "&amp;Aturan!$D$42,IF(K67="Belum ada data","tingkat prosesor belum diisi",""))))</f>
        <v/>
      </c>
      <c r="S67" s="33" t="str">
        <f aca="false">IF($A67="","",IF(L67="Kurang","grafis tingkat "&amp;D67&amp;" dari 5, di bawah batas minimal (tingkat "&amp;Aturan!$C$43&amp;")",IF(L67="Cukup","grafis tingkat "&amp;D67&amp;" dari 5 cukup, nyamannya mulai tingkat "&amp;Aturan!$D$43,IF(L67="Belum ada data","tingkat grafis belum diisi",""))))</f>
        <v/>
      </c>
      <c r="T67" s="33" t="str">
        <f aca="false">IF($A67="","",IF(M67="Kurang","RAM "&amp;E67&amp;" GB, di bawah batas minimal "&amp;Aturan!$C$44&amp;" GB ("&amp;I67&amp;")",IF(M67="Cukup","RAM "&amp;E67&amp;" GB cukup, nyamannya "&amp;Aturan!$D$44&amp;" GB atau lebih ("&amp;I67&amp;")",IF(M67="Belum ada data","ukuran RAM belum diisi",""))))</f>
        <v/>
      </c>
      <c r="U67" s="33" t="str">
        <f aca="false">IF($A67="","",IF(N67="Kurang","penyimpanan "&amp;F67&amp;" GB, di bawah batas minimal "&amp;Aturan!$C$45&amp;" GB ("&amp;J67&amp;")",IF(N67="Cukup","penyimpanan "&amp;F67&amp;" GB cukup, nyamannya "&amp;Aturan!$D$45&amp;" GB atau lebih ("&amp;J67&amp;")",IF(N67="Belum ada data","ukuran penyimpanan belum diisi",""))))</f>
        <v/>
      </c>
      <c r="V67" s="33" t="str">
        <f aca="false">IF($A67="","",IF(O67="Kurang","layar "&amp;Varian!$AG17&amp;", di bawah batas minimal ("&amp;IFERROR(INDEX(Aturan!$A$63:$A$66,MATCH(Aturan!$C$46,Aturan!$B$63:$B$66,0)),"peringkat "&amp;Aturan!$C$46)&amp;")",IF(O67="Cukup","layar "&amp;Varian!$AG17&amp;" cukup, nyamannya "&amp;IFERROR(INDEX(Aturan!$A$63:$A$66,MATCH(Aturan!$D$46,Aturan!$B$63:$B$66,0)),"peringkat "&amp;Aturan!$D$46),IF(O67="Belum ada data","jenis layar belum diketahui",""))))</f>
        <v/>
      </c>
      <c r="W67" s="33" t="str">
        <f aca="false">IF($A67="","",IF(P67="Kurang","layar "&amp;H67&amp;" Hz, di bawah batas minimal "&amp;Aturan!$C$47&amp;" Hz",IF(P67="Cukup","layar "&amp;H67&amp;" Hz cukup, nyamannya "&amp;Aturan!$D$47&amp;" Hz atau lebih",IF(P67="Belum ada data","refresh rate belum diketahui",""))))</f>
        <v/>
      </c>
      <c r="X67" s="33" t="str">
        <f aca="false">IF($A67="","",IF(K67="Kurang",R67&amp;"; ","")&amp;IF(L67="Kurang",S67&amp;"; ","")&amp;IF(M67="Kurang",T67&amp;"; ","")&amp;IF(N67="Kurang",U67&amp;"; ","")&amp;IF(O67="Kurang",V67&amp;"; ","")&amp;IF(P67="Kurang",W67&amp;"; ","")&amp;IF(K67="Belum ada data",R67&amp;"; ","")&amp;IF(L67="Belum ada data",S67&amp;"; ","")&amp;IF(M67="Belum ada data",T67&amp;"; ","")&amp;IF(N67="Belum ada data",U67&amp;"; ","")&amp;IF(O67="Belum ada data",V67&amp;"; ","")&amp;IF(P67="Belum ada data",W67&amp;"; ","")&amp;IF(K67="Cukup",R67&amp;"; ","")&amp;IF(L67="Cukup",S67&amp;"; ","")&amp;IF(M67="Cukup",T67&amp;"; ","")&amp;IF(N67="Cukup",U67&amp;"; ","")&amp;IF(O67="Cukup",V67&amp;"; ","")&amp;IF(P67="Cukup",W67&amp;"; ",""))</f>
        <v/>
      </c>
      <c r="Y67" s="33" t="str">
        <f aca="false">IF($A67="","",IF(K67="Nyaman","prosesor, ","")&amp;IF(L67="Nyaman","grafis, ","")&amp;IF(M67="Nyaman","RAM, ","")&amp;IF(N67="Nyaman","penyimpanan, ","")&amp;IF(O67="Nyaman","layar, ","")&amp;IF(P67="Nyaman","refresh rate, ",""))</f>
        <v/>
      </c>
      <c r="Z67" s="33" t="str">
        <f aca="false">IF($A67="","",IF(Q67="Tidak dinilai","Belum ada kriteria yang dinilai untuk kebutuhan ini.",IF(Q67="Cocok","Semua kriteria yang dinilai sudah nyaman: "&amp;LEFT(Y67,LEN(Y67)-2)&amp;".",UPPER(LEFT(X67,1))&amp;MID(X67,2,LEN(X67)-3)&amp;"."&amp;IF(Y67="",""," Sudah nyaman: "&amp;LEFT(Y67,LEN(Y67)-2)&amp;"."))))</f>
        <v/>
      </c>
      <c r="AA67" s="33"/>
      <c r="AB67" s="33"/>
      <c r="AC67" s="69"/>
    </row>
    <row r="68" customFormat="false" ht="15" hidden="false" customHeight="true" outlineLevel="0" collapsed="false">
      <c r="A68" s="33" t="str">
        <f aca="false">IF(Varian!$A17="","",Varian!$A17)</f>
        <v/>
      </c>
      <c r="B68" s="33" t="str">
        <f aca="false">IF($A68="","",Aturan!$A$24)</f>
        <v/>
      </c>
      <c r="C68" s="69" t="str">
        <f aca="false">IF($A68="","",IFERROR(IF(ISNUMBER(INDEX(CPU!$J$4:$J$64,MATCH(Varian!$J17,CPU!$A$4:$A$64,0))),INDEX(CPU!$J$4:$J$64,MATCH(Varian!$J17,CPU!$A$4:$A$64,0)),""),""))</f>
        <v/>
      </c>
      <c r="D68" s="69" t="str">
        <f aca="false">IF($A68="","",IFERROR(IF(ISNUMBER(INDEX(GPU!$G$4:$G$64,MATCH(Varian!$K17,GPU!$A$4:$A$64,0))),INDEX(GPU!$G$4:$G$64,MATCH(Varian!$K17,GPU!$A$4:$A$64,0)),""),""))</f>
        <v/>
      </c>
      <c r="E68" s="69" t="str">
        <f aca="false">IF($A68="","",IF(ISNUMBER(Varian!$M17),Varian!$M17,""))</f>
        <v/>
      </c>
      <c r="F68" s="69" t="str">
        <f aca="false">IF($A68="","",IF(ISNUMBER(Varian!$V17),Varian!$V17,""))</f>
        <v/>
      </c>
      <c r="G68" s="69" t="str">
        <f aca="false">IF($A68="","",IFERROR(INDEX(Aturan!$B$63:$B$66,MATCH(Varian!$AG17,Aturan!$A$63:$A$66,0)),""))</f>
        <v/>
      </c>
      <c r="H68" s="69" t="str">
        <f aca="false">IF($A68="","",IF(ISNUMBER(Varian!$AI17),Varian!$AI17,""))</f>
        <v/>
      </c>
      <c r="I68" s="33" t="str">
        <f aca="false">IF($A68="","",IF(Varian!$Q17="disolder","menempel di papan utama, tidak bisa ditambah",IF(OR(Varian!$Q17="slot",Varian!$Q17="setengah_disolder"),IF(Varian!$Q17="setengah_disolder","sebagian menempel, ","")&amp;IF(ISNUMBER(Varian!$U17),IF(AND(ISNUMBER(Varian!$M17),Varian!$U17&gt;Varian!$M17),"bisa dinaikkan lewat slot sampai "&amp;Varian!$U17&amp;" GB","sudah di batas maksimal "&amp;Varian!$U17&amp;" GB"),"ada slot, batas maksimalnya belum diketahui"),"belum diketahui apakah bisa ditambah")))</f>
        <v/>
      </c>
      <c r="J68" s="33" t="str">
        <f aca="false">IF($A68="","",IF(Varian!$Z17="ya","bisa diganti dengan yang lebih besar",IF(Varian!$Z17="tidak","menempel, tidak bisa diganti","belum diketahui apakah bisa diganti")))</f>
        <v/>
      </c>
      <c r="K68" s="70" t="str">
        <f aca="false">IF($A68="","",IF(AND(Aturan!$C$48="",Aturan!$D$48=""),"Tidak dinilai",IF(C68="","Belum ada data",IF(C68&lt;IF(Aturan!$C$48="",0,Aturan!$C$48),"Kurang",IF(C68&gt;=IF(Aturan!$D$48="",Aturan!$C$48,Aturan!$D$48),"Nyaman","Cukup")))))</f>
        <v/>
      </c>
      <c r="L68" s="70" t="str">
        <f aca="false">IF($A68="","",IF(AND(Aturan!$C$49="",Aturan!$D$49=""),"Tidak dinilai",IF(D68="","Belum ada data",IF(D68&lt;IF(Aturan!$C$49="",0,Aturan!$C$49),"Kurang",IF(D68&gt;=IF(Aturan!$D$49="",Aturan!$C$49,Aturan!$D$49),"Nyaman","Cukup")))))</f>
        <v/>
      </c>
      <c r="M68" s="70" t="str">
        <f aca="false">IF($A68="","",IF(AND(Aturan!$C$50="",Aturan!$D$50=""),"Tidak dinilai",IF(E68="","Belum ada data",IF(E68&lt;IF(Aturan!$C$50="",0,Aturan!$C$50),"Kurang",IF(E68&gt;=IF(Aturan!$D$50="",Aturan!$C$50,Aturan!$D$50),"Nyaman","Cukup")))))</f>
        <v/>
      </c>
      <c r="N68" s="70" t="str">
        <f aca="false">IF($A68="","",IF(AND(Aturan!$C$51="",Aturan!$D$51=""),"Tidak dinilai",IF(F68="","Belum ada data",IF(F68&lt;IF(Aturan!$C$51="",0,Aturan!$C$51),"Kurang",IF(F68&gt;=IF(Aturan!$D$51="",Aturan!$C$51,Aturan!$D$51),"Nyaman","Cukup")))))</f>
        <v/>
      </c>
      <c r="O68" s="70" t="str">
        <f aca="false">IF($A68="","",IF(AND(Aturan!$C$52="",Aturan!$D$52=""),"Tidak dinilai",IF(G68="","Belum ada data",IF(G68&lt;IF(Aturan!$C$52="",0,Aturan!$C$52),"Kurang",IF(G68&gt;=IF(Aturan!$D$52="",Aturan!$C$52,Aturan!$D$52),"Nyaman","Cukup")))))</f>
        <v/>
      </c>
      <c r="P68" s="70" t="str">
        <f aca="false">IF($A68="","",IF(AND(Aturan!$C$53="",Aturan!$D$53=""),"Tidak dinilai",IF(H68="","Belum ada data",IF(H68&lt;IF(Aturan!$C$53="",0,Aturan!$C$53),"Kurang",IF(H68&gt;=IF(Aturan!$D$53="",Aturan!$C$53,Aturan!$D$53),"Nyaman","Cukup")))))</f>
        <v/>
      </c>
      <c r="Q68" s="70" t="str">
        <f aca="false">IF($A68="","",IF(COUNTIF(K68:P68,"Tidak dinilai")=6,"Tidak dinilai",IF(COUNTIF(K68:P68,"Kurang")&gt;0,"Kurang cocok",IF(COUNTIF(K68:P68,"Belum ada data")&gt;0,"Data belum lengkap",IF(COUNTIF(K68:P68,"Cukup")&gt;0,"Bisa, dengan catatan","Cocok")))))</f>
        <v/>
      </c>
      <c r="R68" s="33" t="str">
        <f aca="false">IF($A68="","",IF(K68="Kurang","prosesor tingkat "&amp;C68&amp;" dari 5, di bawah batas minimal (tingkat "&amp;Aturan!$C$48&amp;")",IF(K68="Cukup","prosesor tingkat "&amp;C68&amp;" dari 5 cukup, nyamannya mulai tingkat "&amp;Aturan!$D$48,IF(K68="Belum ada data","tingkat prosesor belum diisi",""))))</f>
        <v/>
      </c>
      <c r="S68" s="33" t="str">
        <f aca="false">IF($A68="","",IF(L68="Kurang","grafis tingkat "&amp;D68&amp;" dari 5, di bawah batas minimal (tingkat "&amp;Aturan!$C$49&amp;")",IF(L68="Cukup","grafis tingkat "&amp;D68&amp;" dari 5 cukup, nyamannya mulai tingkat "&amp;Aturan!$D$49,IF(L68="Belum ada data","tingkat grafis belum diisi",""))))</f>
        <v/>
      </c>
      <c r="T68" s="33" t="str">
        <f aca="false">IF($A68="","",IF(M68="Kurang","RAM "&amp;E68&amp;" GB, di bawah batas minimal "&amp;Aturan!$C$50&amp;" GB ("&amp;I68&amp;")",IF(M68="Cukup","RAM "&amp;E68&amp;" GB cukup, nyamannya "&amp;Aturan!$D$50&amp;" GB atau lebih ("&amp;I68&amp;")",IF(M68="Belum ada data","ukuran RAM belum diisi",""))))</f>
        <v/>
      </c>
      <c r="U68" s="33" t="str">
        <f aca="false">IF($A68="","",IF(N68="Kurang","penyimpanan "&amp;F68&amp;" GB, di bawah batas minimal "&amp;Aturan!$C$51&amp;" GB ("&amp;J68&amp;")",IF(N68="Cukup","penyimpanan "&amp;F68&amp;" GB cukup, nyamannya "&amp;Aturan!$D$51&amp;" GB atau lebih ("&amp;J68&amp;")",IF(N68="Belum ada data","ukuran penyimpanan belum diisi",""))))</f>
        <v/>
      </c>
      <c r="V68" s="33" t="str">
        <f aca="false">IF($A68="","",IF(O68="Kurang","layar "&amp;Varian!$AG17&amp;", di bawah batas minimal ("&amp;IFERROR(INDEX(Aturan!$A$63:$A$66,MATCH(Aturan!$C$52,Aturan!$B$63:$B$66,0)),"peringkat "&amp;Aturan!$C$52)&amp;")",IF(O68="Cukup","layar "&amp;Varian!$AG17&amp;" cukup, nyamannya "&amp;IFERROR(INDEX(Aturan!$A$63:$A$66,MATCH(Aturan!$D$52,Aturan!$B$63:$B$66,0)),"peringkat "&amp;Aturan!$D$52),IF(O68="Belum ada data","jenis layar belum diketahui",""))))</f>
        <v/>
      </c>
      <c r="W68" s="33" t="str">
        <f aca="false">IF($A68="","",IF(P68="Kurang","layar "&amp;H68&amp;" Hz, di bawah batas minimal "&amp;Aturan!$C$53&amp;" Hz",IF(P68="Cukup","layar "&amp;H68&amp;" Hz cukup, nyamannya "&amp;Aturan!$D$53&amp;" Hz atau lebih",IF(P68="Belum ada data","refresh rate belum diketahui",""))))</f>
        <v/>
      </c>
      <c r="X68" s="33" t="str">
        <f aca="false">IF($A68="","",IF(K68="Kurang",R68&amp;"; ","")&amp;IF(L68="Kurang",S68&amp;"; ","")&amp;IF(M68="Kurang",T68&amp;"; ","")&amp;IF(N68="Kurang",U68&amp;"; ","")&amp;IF(O68="Kurang",V68&amp;"; ","")&amp;IF(P68="Kurang",W68&amp;"; ","")&amp;IF(K68="Belum ada data",R68&amp;"; ","")&amp;IF(L68="Belum ada data",S68&amp;"; ","")&amp;IF(M68="Belum ada data",T68&amp;"; ","")&amp;IF(N68="Belum ada data",U68&amp;"; ","")&amp;IF(O68="Belum ada data",V68&amp;"; ","")&amp;IF(P68="Belum ada data",W68&amp;"; ","")&amp;IF(K68="Cukup",R68&amp;"; ","")&amp;IF(L68="Cukup",S68&amp;"; ","")&amp;IF(M68="Cukup",T68&amp;"; ","")&amp;IF(N68="Cukup",U68&amp;"; ","")&amp;IF(O68="Cukup",V68&amp;"; ","")&amp;IF(P68="Cukup",W68&amp;"; ",""))</f>
        <v/>
      </c>
      <c r="Y68" s="33" t="str">
        <f aca="false">IF($A68="","",IF(K68="Nyaman","prosesor, ","")&amp;IF(L68="Nyaman","grafis, ","")&amp;IF(M68="Nyaman","RAM, ","")&amp;IF(N68="Nyaman","penyimpanan, ","")&amp;IF(O68="Nyaman","layar, ","")&amp;IF(P68="Nyaman","refresh rate, ",""))</f>
        <v/>
      </c>
      <c r="Z68" s="33" t="str">
        <f aca="false">IF($A68="","",IF(Q68="Tidak dinilai","Belum ada kriteria yang dinilai untuk kebutuhan ini.",IF(Q68="Cocok","Semua kriteria yang dinilai sudah nyaman: "&amp;LEFT(Y68,LEN(Y68)-2)&amp;".",UPPER(LEFT(X68,1))&amp;MID(X68,2,LEN(X68)-3)&amp;"."&amp;IF(Y68="",""," Sudah nyaman: "&amp;LEFT(Y68,LEN(Y68)-2)&amp;"."))))</f>
        <v/>
      </c>
      <c r="AA68" s="33"/>
      <c r="AB68" s="33"/>
      <c r="AC68" s="69"/>
    </row>
    <row r="69" customFormat="false" ht="15" hidden="false" customHeight="true" outlineLevel="0" collapsed="false">
      <c r="A69" s="33" t="str">
        <f aca="false">IF(Varian!$A17="","",Varian!$A17)</f>
        <v/>
      </c>
      <c r="B69" s="33" t="str">
        <f aca="false">IF($A69="","",Aturan!$A$25)</f>
        <v/>
      </c>
      <c r="C69" s="69" t="str">
        <f aca="false">IF($A69="","",IFERROR(IF(ISNUMBER(INDEX(CPU!$J$4:$J$64,MATCH(Varian!$J17,CPU!$A$4:$A$64,0))),INDEX(CPU!$J$4:$J$64,MATCH(Varian!$J17,CPU!$A$4:$A$64,0)),""),""))</f>
        <v/>
      </c>
      <c r="D69" s="69" t="str">
        <f aca="false">IF($A69="","",IFERROR(IF(ISNUMBER(INDEX(GPU!$G$4:$G$64,MATCH(Varian!$K17,GPU!$A$4:$A$64,0))),INDEX(GPU!$G$4:$G$64,MATCH(Varian!$K17,GPU!$A$4:$A$64,0)),""),""))</f>
        <v/>
      </c>
      <c r="E69" s="69" t="str">
        <f aca="false">IF($A69="","",IF(ISNUMBER(Varian!$M17),Varian!$M17,""))</f>
        <v/>
      </c>
      <c r="F69" s="69" t="str">
        <f aca="false">IF($A69="","",IF(ISNUMBER(Varian!$V17),Varian!$V17,""))</f>
        <v/>
      </c>
      <c r="G69" s="69" t="str">
        <f aca="false">IF($A69="","",IFERROR(INDEX(Aturan!$B$63:$B$66,MATCH(Varian!$AG17,Aturan!$A$63:$A$66,0)),""))</f>
        <v/>
      </c>
      <c r="H69" s="69" t="str">
        <f aca="false">IF($A69="","",IF(ISNUMBER(Varian!$AI17),Varian!$AI17,""))</f>
        <v/>
      </c>
      <c r="I69" s="33" t="str">
        <f aca="false">IF($A69="","",IF(Varian!$Q17="disolder","menempel di papan utama, tidak bisa ditambah",IF(OR(Varian!$Q17="slot",Varian!$Q17="setengah_disolder"),IF(Varian!$Q17="setengah_disolder","sebagian menempel, ","")&amp;IF(ISNUMBER(Varian!$U17),IF(AND(ISNUMBER(Varian!$M17),Varian!$U17&gt;Varian!$M17),"bisa dinaikkan lewat slot sampai "&amp;Varian!$U17&amp;" GB","sudah di batas maksimal "&amp;Varian!$U17&amp;" GB"),"ada slot, batas maksimalnya belum diketahui"),"belum diketahui apakah bisa ditambah")))</f>
        <v/>
      </c>
      <c r="J69" s="33" t="str">
        <f aca="false">IF($A69="","",IF(Varian!$Z17="ya","bisa diganti dengan yang lebih besar",IF(Varian!$Z17="tidak","menempel, tidak bisa diganti","belum diketahui apakah bisa diganti")))</f>
        <v/>
      </c>
      <c r="K69" s="70" t="str">
        <f aca="false">IF($A69="","",IF(AND(Aturan!$C$54="",Aturan!$D$54=""),"Tidak dinilai",IF(C69="","Belum ada data",IF(C69&lt;IF(Aturan!$C$54="",0,Aturan!$C$54),"Kurang",IF(C69&gt;=IF(Aturan!$D$54="",Aturan!$C$54,Aturan!$D$54),"Nyaman","Cukup")))))</f>
        <v/>
      </c>
      <c r="L69" s="70" t="str">
        <f aca="false">IF($A69="","",IF(AND(Aturan!$C$55="",Aturan!$D$55=""),"Tidak dinilai",IF(D69="","Belum ada data",IF(D69&lt;IF(Aturan!$C$55="",0,Aturan!$C$55),"Kurang",IF(D69&gt;=IF(Aturan!$D$55="",Aturan!$C$55,Aturan!$D$55),"Nyaman","Cukup")))))</f>
        <v/>
      </c>
      <c r="M69" s="70" t="str">
        <f aca="false">IF($A69="","",IF(AND(Aturan!$C$56="",Aturan!$D$56=""),"Tidak dinilai",IF(E69="","Belum ada data",IF(E69&lt;IF(Aturan!$C$56="",0,Aturan!$C$56),"Kurang",IF(E69&gt;=IF(Aturan!$D$56="",Aturan!$C$56,Aturan!$D$56),"Nyaman","Cukup")))))</f>
        <v/>
      </c>
      <c r="N69" s="70" t="str">
        <f aca="false">IF($A69="","",IF(AND(Aturan!$C$57="",Aturan!$D$57=""),"Tidak dinilai",IF(F69="","Belum ada data",IF(F69&lt;IF(Aturan!$C$57="",0,Aturan!$C$57),"Kurang",IF(F69&gt;=IF(Aturan!$D$57="",Aturan!$C$57,Aturan!$D$57),"Nyaman","Cukup")))))</f>
        <v/>
      </c>
      <c r="O69" s="70" t="str">
        <f aca="false">IF($A69="","",IF(AND(Aturan!$C$58="",Aturan!$D$58=""),"Tidak dinilai",IF(G69="","Belum ada data",IF(G69&lt;IF(Aturan!$C$58="",0,Aturan!$C$58),"Kurang",IF(G69&gt;=IF(Aturan!$D$58="",Aturan!$C$58,Aturan!$D$58),"Nyaman","Cukup")))))</f>
        <v/>
      </c>
      <c r="P69" s="70" t="str">
        <f aca="false">IF($A69="","",IF(AND(Aturan!$C$59="",Aturan!$D$59=""),"Tidak dinilai",IF(H69="","Belum ada data",IF(H69&lt;IF(Aturan!$C$59="",0,Aturan!$C$59),"Kurang",IF(H69&gt;=IF(Aturan!$D$59="",Aturan!$C$59,Aturan!$D$59),"Nyaman","Cukup")))))</f>
        <v/>
      </c>
      <c r="Q69" s="70" t="str">
        <f aca="false">IF($A69="","",IF(COUNTIF(K69:P69,"Tidak dinilai")=6,"Tidak dinilai",IF(COUNTIF(K69:P69,"Kurang")&gt;0,"Kurang cocok",IF(COUNTIF(K69:P69,"Belum ada data")&gt;0,"Data belum lengkap",IF(COUNTIF(K69:P69,"Cukup")&gt;0,"Bisa, dengan catatan","Cocok")))))</f>
        <v/>
      </c>
      <c r="R69" s="33" t="str">
        <f aca="false">IF($A69="","",IF(K69="Kurang","prosesor tingkat "&amp;C69&amp;" dari 5, di bawah batas minimal (tingkat "&amp;Aturan!$C$54&amp;")",IF(K69="Cukup","prosesor tingkat "&amp;C69&amp;" dari 5 cukup, nyamannya mulai tingkat "&amp;Aturan!$D$54,IF(K69="Belum ada data","tingkat prosesor belum diisi",""))))</f>
        <v/>
      </c>
      <c r="S69" s="33" t="str">
        <f aca="false">IF($A69="","",IF(L69="Kurang","grafis tingkat "&amp;D69&amp;" dari 5, di bawah batas minimal (tingkat "&amp;Aturan!$C$55&amp;")",IF(L69="Cukup","grafis tingkat "&amp;D69&amp;" dari 5 cukup, nyamannya mulai tingkat "&amp;Aturan!$D$55,IF(L69="Belum ada data","tingkat grafis belum diisi",""))))</f>
        <v/>
      </c>
      <c r="T69" s="33" t="str">
        <f aca="false">IF($A69="","",IF(M69="Kurang","RAM "&amp;E69&amp;" GB, di bawah batas minimal "&amp;Aturan!$C$56&amp;" GB ("&amp;I69&amp;")",IF(M69="Cukup","RAM "&amp;E69&amp;" GB cukup, nyamannya "&amp;Aturan!$D$56&amp;" GB atau lebih ("&amp;I69&amp;")",IF(M69="Belum ada data","ukuran RAM belum diisi",""))))</f>
        <v/>
      </c>
      <c r="U69" s="33" t="str">
        <f aca="false">IF($A69="","",IF(N69="Kurang","penyimpanan "&amp;F69&amp;" GB, di bawah batas minimal "&amp;Aturan!$C$57&amp;" GB ("&amp;J69&amp;")",IF(N69="Cukup","penyimpanan "&amp;F69&amp;" GB cukup, nyamannya "&amp;Aturan!$D$57&amp;" GB atau lebih ("&amp;J69&amp;")",IF(N69="Belum ada data","ukuran penyimpanan belum diisi",""))))</f>
        <v/>
      </c>
      <c r="V69" s="33" t="str">
        <f aca="false">IF($A69="","",IF(O69="Kurang","layar "&amp;Varian!$AG17&amp;", di bawah batas minimal ("&amp;IFERROR(INDEX(Aturan!$A$63:$A$66,MATCH(Aturan!$C$58,Aturan!$B$63:$B$66,0)),"peringkat "&amp;Aturan!$C$58)&amp;")",IF(O69="Cukup","layar "&amp;Varian!$AG17&amp;" cukup, nyamannya "&amp;IFERROR(INDEX(Aturan!$A$63:$A$66,MATCH(Aturan!$D$58,Aturan!$B$63:$B$66,0)),"peringkat "&amp;Aturan!$D$58),IF(O69="Belum ada data","jenis layar belum diketahui",""))))</f>
        <v/>
      </c>
      <c r="W69" s="33" t="str">
        <f aca="false">IF($A69="","",IF(P69="Kurang","layar "&amp;H69&amp;" Hz, di bawah batas minimal "&amp;Aturan!$C$59&amp;" Hz",IF(P69="Cukup","layar "&amp;H69&amp;" Hz cukup, nyamannya "&amp;Aturan!$D$59&amp;" Hz atau lebih",IF(P69="Belum ada data","refresh rate belum diketahui",""))))</f>
        <v/>
      </c>
      <c r="X69" s="33" t="str">
        <f aca="false">IF($A69="","",IF(K69="Kurang",R69&amp;"; ","")&amp;IF(L69="Kurang",S69&amp;"; ","")&amp;IF(M69="Kurang",T69&amp;"; ","")&amp;IF(N69="Kurang",U69&amp;"; ","")&amp;IF(O69="Kurang",V69&amp;"; ","")&amp;IF(P69="Kurang",W69&amp;"; ","")&amp;IF(K69="Belum ada data",R69&amp;"; ","")&amp;IF(L69="Belum ada data",S69&amp;"; ","")&amp;IF(M69="Belum ada data",T69&amp;"; ","")&amp;IF(N69="Belum ada data",U69&amp;"; ","")&amp;IF(O69="Belum ada data",V69&amp;"; ","")&amp;IF(P69="Belum ada data",W69&amp;"; ","")&amp;IF(K69="Cukup",R69&amp;"; ","")&amp;IF(L69="Cukup",S69&amp;"; ","")&amp;IF(M69="Cukup",T69&amp;"; ","")&amp;IF(N69="Cukup",U69&amp;"; ","")&amp;IF(O69="Cukup",V69&amp;"; ","")&amp;IF(P69="Cukup",W69&amp;"; ",""))</f>
        <v/>
      </c>
      <c r="Y69" s="33" t="str">
        <f aca="false">IF($A69="","",IF(K69="Nyaman","prosesor, ","")&amp;IF(L69="Nyaman","grafis, ","")&amp;IF(M69="Nyaman","RAM, ","")&amp;IF(N69="Nyaman","penyimpanan, ","")&amp;IF(O69="Nyaman","layar, ","")&amp;IF(P69="Nyaman","refresh rate, ",""))</f>
        <v/>
      </c>
      <c r="Z69" s="33" t="str">
        <f aca="false">IF($A69="","",IF(Q69="Tidak dinilai","Belum ada kriteria yang dinilai untuk kebutuhan ini.",IF(Q69="Cocok","Semua kriteria yang dinilai sudah nyaman: "&amp;LEFT(Y69,LEN(Y69)-2)&amp;".",UPPER(LEFT(X69,1))&amp;MID(X69,2,LEN(X69)-3)&amp;"."&amp;IF(Y69="",""," Sudah nyaman: "&amp;LEFT(Y69,LEN(Y69)-2)&amp;"."))))</f>
        <v/>
      </c>
      <c r="AA69" s="33"/>
      <c r="AB69" s="33"/>
      <c r="AC69" s="69"/>
    </row>
    <row r="70" customFormat="false" ht="15" hidden="false" customHeight="true" outlineLevel="0" collapsed="false">
      <c r="A70" s="66" t="str">
        <f aca="false">IF(Varian!$A18="","",Varian!$A18)</f>
        <v/>
      </c>
      <c r="B70" s="66" t="str">
        <f aca="false">IF($A70="","",Aturan!$A$21)</f>
        <v/>
      </c>
      <c r="C70" s="67" t="str">
        <f aca="false">IF($A70="","",IFERROR(IF(ISNUMBER(INDEX(CPU!$J$4:$J$64,MATCH(Varian!$J18,CPU!$A$4:$A$64,0))),INDEX(CPU!$J$4:$J$64,MATCH(Varian!$J18,CPU!$A$4:$A$64,0)),""),""))</f>
        <v/>
      </c>
      <c r="D70" s="67" t="str">
        <f aca="false">IF($A70="","",IFERROR(IF(ISNUMBER(INDEX(GPU!$G$4:$G$64,MATCH(Varian!$K18,GPU!$A$4:$A$64,0))),INDEX(GPU!$G$4:$G$64,MATCH(Varian!$K18,GPU!$A$4:$A$64,0)),""),""))</f>
        <v/>
      </c>
      <c r="E70" s="67" t="str">
        <f aca="false">IF($A70="","",IF(ISNUMBER(Varian!$M18),Varian!$M18,""))</f>
        <v/>
      </c>
      <c r="F70" s="67" t="str">
        <f aca="false">IF($A70="","",IF(ISNUMBER(Varian!$V18),Varian!$V18,""))</f>
        <v/>
      </c>
      <c r="G70" s="67" t="str">
        <f aca="false">IF($A70="","",IFERROR(INDEX(Aturan!$B$63:$B$66,MATCH(Varian!$AG18,Aturan!$A$63:$A$66,0)),""))</f>
        <v/>
      </c>
      <c r="H70" s="67" t="str">
        <f aca="false">IF($A70="","",IF(ISNUMBER(Varian!$AI18),Varian!$AI18,""))</f>
        <v/>
      </c>
      <c r="I70" s="66" t="str">
        <f aca="false">IF($A70="","",IF(Varian!$Q18="disolder","menempel di papan utama, tidak bisa ditambah",IF(OR(Varian!$Q18="slot",Varian!$Q18="setengah_disolder"),IF(Varian!$Q18="setengah_disolder","sebagian menempel, ","")&amp;IF(ISNUMBER(Varian!$U18),IF(AND(ISNUMBER(Varian!$M18),Varian!$U18&gt;Varian!$M18),"bisa dinaikkan lewat slot sampai "&amp;Varian!$U18&amp;" GB","sudah di batas maksimal "&amp;Varian!$U18&amp;" GB"),"ada slot, batas maksimalnya belum diketahui"),"belum diketahui apakah bisa ditambah")))</f>
        <v/>
      </c>
      <c r="J70" s="66" t="str">
        <f aca="false">IF($A70="","",IF(Varian!$Z18="ya","bisa diganti dengan yang lebih besar",IF(Varian!$Z18="tidak","menempel, tidak bisa diganti","belum diketahui apakah bisa diganti")))</f>
        <v/>
      </c>
      <c r="K70" s="68" t="str">
        <f aca="false">IF($A70="","",IF(AND(Aturan!$C$30="",Aturan!$D$30=""),"Tidak dinilai",IF(C70="","Belum ada data",IF(C70&lt;IF(Aturan!$C$30="",0,Aturan!$C$30),"Kurang",IF(C70&gt;=IF(Aturan!$D$30="",Aturan!$C$30,Aturan!$D$30),"Nyaman","Cukup")))))</f>
        <v/>
      </c>
      <c r="L70" s="68" t="str">
        <f aca="false">IF($A70="","",IF(AND(Aturan!$C$31="",Aturan!$D$31=""),"Tidak dinilai",IF(D70="","Belum ada data",IF(D70&lt;IF(Aturan!$C$31="",0,Aturan!$C$31),"Kurang",IF(D70&gt;=IF(Aturan!$D$31="",Aturan!$C$31,Aturan!$D$31),"Nyaman","Cukup")))))</f>
        <v/>
      </c>
      <c r="M70" s="68" t="str">
        <f aca="false">IF($A70="","",IF(AND(Aturan!$C$32="",Aturan!$D$32=""),"Tidak dinilai",IF(E70="","Belum ada data",IF(E70&lt;IF(Aturan!$C$32="",0,Aturan!$C$32),"Kurang",IF(E70&gt;=IF(Aturan!$D$32="",Aturan!$C$32,Aturan!$D$32),"Nyaman","Cukup")))))</f>
        <v/>
      </c>
      <c r="N70" s="68" t="str">
        <f aca="false">IF($A70="","",IF(AND(Aturan!$C$33="",Aturan!$D$33=""),"Tidak dinilai",IF(F70="","Belum ada data",IF(F70&lt;IF(Aturan!$C$33="",0,Aturan!$C$33),"Kurang",IF(F70&gt;=IF(Aturan!$D$33="",Aturan!$C$33,Aturan!$D$33),"Nyaman","Cukup")))))</f>
        <v/>
      </c>
      <c r="O70" s="68" t="str">
        <f aca="false">IF($A70="","",IF(AND(Aturan!$C$34="",Aturan!$D$34=""),"Tidak dinilai",IF(G70="","Belum ada data",IF(G70&lt;IF(Aturan!$C$34="",0,Aturan!$C$34),"Kurang",IF(G70&gt;=IF(Aturan!$D$34="",Aturan!$C$34,Aturan!$D$34),"Nyaman","Cukup")))))</f>
        <v/>
      </c>
      <c r="P70" s="68" t="str">
        <f aca="false">IF($A70="","",IF(AND(Aturan!$C$35="",Aturan!$D$35=""),"Tidak dinilai",IF(H70="","Belum ada data",IF(H70&lt;IF(Aturan!$C$35="",0,Aturan!$C$35),"Kurang",IF(H70&gt;=IF(Aturan!$D$35="",Aturan!$C$35,Aturan!$D$35),"Nyaman","Cukup")))))</f>
        <v/>
      </c>
      <c r="Q70" s="68" t="str">
        <f aca="false">IF($A70="","",IF(COUNTIF(K70:P70,"Tidak dinilai")=6,"Tidak dinilai",IF(COUNTIF(K70:P70,"Kurang")&gt;0,"Kurang cocok",IF(COUNTIF(K70:P70,"Belum ada data")&gt;0,"Data belum lengkap",IF(COUNTIF(K70:P70,"Cukup")&gt;0,"Bisa, dengan catatan","Cocok")))))</f>
        <v/>
      </c>
      <c r="R70" s="66" t="str">
        <f aca="false">IF($A70="","",IF(K70="Kurang","prosesor tingkat "&amp;C70&amp;" dari 5, di bawah batas minimal (tingkat "&amp;Aturan!$C$30&amp;")",IF(K70="Cukup","prosesor tingkat "&amp;C70&amp;" dari 5 cukup, nyamannya mulai tingkat "&amp;Aturan!$D$30,IF(K70="Belum ada data","tingkat prosesor belum diisi",""))))</f>
        <v/>
      </c>
      <c r="S70" s="66" t="str">
        <f aca="false">IF($A70="","",IF(L70="Kurang","grafis tingkat "&amp;D70&amp;" dari 5, di bawah batas minimal (tingkat "&amp;Aturan!$C$31&amp;")",IF(L70="Cukup","grafis tingkat "&amp;D70&amp;" dari 5 cukup, nyamannya mulai tingkat "&amp;Aturan!$D$31,IF(L70="Belum ada data","tingkat grafis belum diisi",""))))</f>
        <v/>
      </c>
      <c r="T70" s="66" t="str">
        <f aca="false">IF($A70="","",IF(M70="Kurang","RAM "&amp;E70&amp;" GB, di bawah batas minimal "&amp;Aturan!$C$32&amp;" GB ("&amp;I70&amp;")",IF(M70="Cukup","RAM "&amp;E70&amp;" GB cukup, nyamannya "&amp;Aturan!$D$32&amp;" GB atau lebih ("&amp;I70&amp;")",IF(M70="Belum ada data","ukuran RAM belum diisi",""))))</f>
        <v/>
      </c>
      <c r="U70" s="66" t="str">
        <f aca="false">IF($A70="","",IF(N70="Kurang","penyimpanan "&amp;F70&amp;" GB, di bawah batas minimal "&amp;Aturan!$C$33&amp;" GB ("&amp;J70&amp;")",IF(N70="Cukup","penyimpanan "&amp;F70&amp;" GB cukup, nyamannya "&amp;Aturan!$D$33&amp;" GB atau lebih ("&amp;J70&amp;")",IF(N70="Belum ada data","ukuran penyimpanan belum diisi",""))))</f>
        <v/>
      </c>
      <c r="V70" s="66" t="str">
        <f aca="false">IF($A70="","",IF(O70="Kurang","layar "&amp;Varian!$AG18&amp;", di bawah batas minimal ("&amp;IFERROR(INDEX(Aturan!$A$63:$A$66,MATCH(Aturan!$C$34,Aturan!$B$63:$B$66,0)),"peringkat "&amp;Aturan!$C$34)&amp;")",IF(O70="Cukup","layar "&amp;Varian!$AG18&amp;" cukup, nyamannya "&amp;IFERROR(INDEX(Aturan!$A$63:$A$66,MATCH(Aturan!$D$34,Aturan!$B$63:$B$66,0)),"peringkat "&amp;Aturan!$D$34),IF(O70="Belum ada data","jenis layar belum diketahui",""))))</f>
        <v/>
      </c>
      <c r="W70" s="66" t="str">
        <f aca="false">IF($A70="","",IF(P70="Kurang","layar "&amp;H70&amp;" Hz, di bawah batas minimal "&amp;Aturan!$C$35&amp;" Hz",IF(P70="Cukup","layar "&amp;H70&amp;" Hz cukup, nyamannya "&amp;Aturan!$D$35&amp;" Hz atau lebih",IF(P70="Belum ada data","refresh rate belum diketahui",""))))</f>
        <v/>
      </c>
      <c r="X70" s="66" t="str">
        <f aca="false">IF($A70="","",IF(K70="Kurang",R70&amp;"; ","")&amp;IF(L70="Kurang",S70&amp;"; ","")&amp;IF(M70="Kurang",T70&amp;"; ","")&amp;IF(N70="Kurang",U70&amp;"; ","")&amp;IF(O70="Kurang",V70&amp;"; ","")&amp;IF(P70="Kurang",W70&amp;"; ","")&amp;IF(K70="Belum ada data",R70&amp;"; ","")&amp;IF(L70="Belum ada data",S70&amp;"; ","")&amp;IF(M70="Belum ada data",T70&amp;"; ","")&amp;IF(N70="Belum ada data",U70&amp;"; ","")&amp;IF(O70="Belum ada data",V70&amp;"; ","")&amp;IF(P70="Belum ada data",W70&amp;"; ","")&amp;IF(K70="Cukup",R70&amp;"; ","")&amp;IF(L70="Cukup",S70&amp;"; ","")&amp;IF(M70="Cukup",T70&amp;"; ","")&amp;IF(N70="Cukup",U70&amp;"; ","")&amp;IF(O70="Cukup",V70&amp;"; ","")&amp;IF(P70="Cukup",W70&amp;"; ",""))</f>
        <v/>
      </c>
      <c r="Y70" s="66" t="str">
        <f aca="false">IF($A70="","",IF(K70="Nyaman","prosesor, ","")&amp;IF(L70="Nyaman","grafis, ","")&amp;IF(M70="Nyaman","RAM, ","")&amp;IF(N70="Nyaman","penyimpanan, ","")&amp;IF(O70="Nyaman","layar, ","")&amp;IF(P70="Nyaman","refresh rate, ",""))</f>
        <v/>
      </c>
      <c r="Z70" s="66" t="str">
        <f aca="false">IF($A70="","",IF(Q70="Tidak dinilai","Belum ada kriteria yang dinilai untuk kebutuhan ini.",IF(Q70="Cocok","Semua kriteria yang dinilai sudah nyaman: "&amp;LEFT(Y70,LEN(Y70)-2)&amp;".",UPPER(LEFT(X70,1))&amp;MID(X70,2,LEN(X70)-3)&amp;"."&amp;IF(Y70="",""," Sudah nyaman: "&amp;LEFT(Y70,LEN(Y70)-2)&amp;"."))))</f>
        <v/>
      </c>
      <c r="AA70" s="66" t="str">
        <f aca="false">IF($A70="","",IF(Varian!$AR18="Windows 10","• "&amp;Aturan!$E$71&amp;CHAR(10),"")&amp;IF(Varian!$BB18="tidak","• "&amp;Aturan!$E$72&amp;CHAR(10),"")&amp;IF(OR(Varian!$AD18="belum terverifikasi",Varian!$AD18="tidak diketahui"),"• "&amp;Aturan!$E$73&amp;CHAR(10),"")&amp;IF(Varian!$AH18="1366x768","• "&amp;Aturan!$E$74&amp;CHAR(10),"")&amp;IF(Varian!$AG18="TN","• "&amp;Aturan!$E$75&amp;CHAR(10),"")&amp;IF(AND(Varian!$Q18="disolder",ISNUMBER(Varian!$M18),Varian!$M18&lt;=8),"• "&amp;Aturan!$E$76&amp;CHAR(10),""))</f>
        <v/>
      </c>
      <c r="AB70" s="66" t="str">
        <f aca="false">IF($A70="","",IF(AA70="","",LEFT(AA70,LEN(AA70)-1)))</f>
        <v/>
      </c>
      <c r="AC70" s="67" t="str">
        <f aca="false">IF($A70="","",IF(AA70="",0,LEN(AA70)-LEN(SUBSTITUTE(AA70,CHAR(10),""))))</f>
        <v/>
      </c>
    </row>
    <row r="71" customFormat="false" ht="15" hidden="false" customHeight="true" outlineLevel="0" collapsed="false">
      <c r="A71" s="33" t="str">
        <f aca="false">IF(Varian!$A18="","",Varian!$A18)</f>
        <v/>
      </c>
      <c r="B71" s="33" t="str">
        <f aca="false">IF($A71="","",Aturan!$A$22)</f>
        <v/>
      </c>
      <c r="C71" s="69" t="str">
        <f aca="false">IF($A71="","",IFERROR(IF(ISNUMBER(INDEX(CPU!$J$4:$J$64,MATCH(Varian!$J18,CPU!$A$4:$A$64,0))),INDEX(CPU!$J$4:$J$64,MATCH(Varian!$J18,CPU!$A$4:$A$64,0)),""),""))</f>
        <v/>
      </c>
      <c r="D71" s="69" t="str">
        <f aca="false">IF($A71="","",IFERROR(IF(ISNUMBER(INDEX(GPU!$G$4:$G$64,MATCH(Varian!$K18,GPU!$A$4:$A$64,0))),INDEX(GPU!$G$4:$G$64,MATCH(Varian!$K18,GPU!$A$4:$A$64,0)),""),""))</f>
        <v/>
      </c>
      <c r="E71" s="69" t="str">
        <f aca="false">IF($A71="","",IF(ISNUMBER(Varian!$M18),Varian!$M18,""))</f>
        <v/>
      </c>
      <c r="F71" s="69" t="str">
        <f aca="false">IF($A71="","",IF(ISNUMBER(Varian!$V18),Varian!$V18,""))</f>
        <v/>
      </c>
      <c r="G71" s="69" t="str">
        <f aca="false">IF($A71="","",IFERROR(INDEX(Aturan!$B$63:$B$66,MATCH(Varian!$AG18,Aturan!$A$63:$A$66,0)),""))</f>
        <v/>
      </c>
      <c r="H71" s="69" t="str">
        <f aca="false">IF($A71="","",IF(ISNUMBER(Varian!$AI18),Varian!$AI18,""))</f>
        <v/>
      </c>
      <c r="I71" s="33" t="str">
        <f aca="false">IF($A71="","",IF(Varian!$Q18="disolder","menempel di papan utama, tidak bisa ditambah",IF(OR(Varian!$Q18="slot",Varian!$Q18="setengah_disolder"),IF(Varian!$Q18="setengah_disolder","sebagian menempel, ","")&amp;IF(ISNUMBER(Varian!$U18),IF(AND(ISNUMBER(Varian!$M18),Varian!$U18&gt;Varian!$M18),"bisa dinaikkan lewat slot sampai "&amp;Varian!$U18&amp;" GB","sudah di batas maksimal "&amp;Varian!$U18&amp;" GB"),"ada slot, batas maksimalnya belum diketahui"),"belum diketahui apakah bisa ditambah")))</f>
        <v/>
      </c>
      <c r="J71" s="33" t="str">
        <f aca="false">IF($A71="","",IF(Varian!$Z18="ya","bisa diganti dengan yang lebih besar",IF(Varian!$Z18="tidak","menempel, tidak bisa diganti","belum diketahui apakah bisa diganti")))</f>
        <v/>
      </c>
      <c r="K71" s="70" t="str">
        <f aca="false">IF($A71="","",IF(AND(Aturan!$C$36="",Aturan!$D$36=""),"Tidak dinilai",IF(C71="","Belum ada data",IF(C71&lt;IF(Aturan!$C$36="",0,Aturan!$C$36),"Kurang",IF(C71&gt;=IF(Aturan!$D$36="",Aturan!$C$36,Aturan!$D$36),"Nyaman","Cukup")))))</f>
        <v/>
      </c>
      <c r="L71" s="70" t="str">
        <f aca="false">IF($A71="","",IF(AND(Aturan!$C$37="",Aturan!$D$37=""),"Tidak dinilai",IF(D71="","Belum ada data",IF(D71&lt;IF(Aturan!$C$37="",0,Aturan!$C$37),"Kurang",IF(D71&gt;=IF(Aturan!$D$37="",Aturan!$C$37,Aturan!$D$37),"Nyaman","Cukup")))))</f>
        <v/>
      </c>
      <c r="M71" s="70" t="str">
        <f aca="false">IF($A71="","",IF(AND(Aturan!$C$38="",Aturan!$D$38=""),"Tidak dinilai",IF(E71="","Belum ada data",IF(E71&lt;IF(Aturan!$C$38="",0,Aturan!$C$38),"Kurang",IF(E71&gt;=IF(Aturan!$D$38="",Aturan!$C$38,Aturan!$D$38),"Nyaman","Cukup")))))</f>
        <v/>
      </c>
      <c r="N71" s="70" t="str">
        <f aca="false">IF($A71="","",IF(AND(Aturan!$C$39="",Aturan!$D$39=""),"Tidak dinilai",IF(F71="","Belum ada data",IF(F71&lt;IF(Aturan!$C$39="",0,Aturan!$C$39),"Kurang",IF(F71&gt;=IF(Aturan!$D$39="",Aturan!$C$39,Aturan!$D$39),"Nyaman","Cukup")))))</f>
        <v/>
      </c>
      <c r="O71" s="70" t="str">
        <f aca="false">IF($A71="","",IF(AND(Aturan!$C$40="",Aturan!$D$40=""),"Tidak dinilai",IF(G71="","Belum ada data",IF(G71&lt;IF(Aturan!$C$40="",0,Aturan!$C$40),"Kurang",IF(G71&gt;=IF(Aturan!$D$40="",Aturan!$C$40,Aturan!$D$40),"Nyaman","Cukup")))))</f>
        <v/>
      </c>
      <c r="P71" s="70" t="str">
        <f aca="false">IF($A71="","",IF(AND(Aturan!$C$41="",Aturan!$D$41=""),"Tidak dinilai",IF(H71="","Belum ada data",IF(H71&lt;IF(Aturan!$C$41="",0,Aturan!$C$41),"Kurang",IF(H71&gt;=IF(Aturan!$D$41="",Aturan!$C$41,Aturan!$D$41),"Nyaman","Cukup")))))</f>
        <v/>
      </c>
      <c r="Q71" s="70" t="str">
        <f aca="false">IF($A71="","",IF(COUNTIF(K71:P71,"Tidak dinilai")=6,"Tidak dinilai",IF(COUNTIF(K71:P71,"Kurang")&gt;0,"Kurang cocok",IF(COUNTIF(K71:P71,"Belum ada data")&gt;0,"Data belum lengkap",IF(COUNTIF(K71:P71,"Cukup")&gt;0,"Bisa, dengan catatan","Cocok")))))</f>
        <v/>
      </c>
      <c r="R71" s="33" t="str">
        <f aca="false">IF($A71="","",IF(K71="Kurang","prosesor tingkat "&amp;C71&amp;" dari 5, di bawah batas minimal (tingkat "&amp;Aturan!$C$36&amp;")",IF(K71="Cukup","prosesor tingkat "&amp;C71&amp;" dari 5 cukup, nyamannya mulai tingkat "&amp;Aturan!$D$36,IF(K71="Belum ada data","tingkat prosesor belum diisi",""))))</f>
        <v/>
      </c>
      <c r="S71" s="33" t="str">
        <f aca="false">IF($A71="","",IF(L71="Kurang","grafis tingkat "&amp;D71&amp;" dari 5, di bawah batas minimal (tingkat "&amp;Aturan!$C$37&amp;")",IF(L71="Cukup","grafis tingkat "&amp;D71&amp;" dari 5 cukup, nyamannya mulai tingkat "&amp;Aturan!$D$37,IF(L71="Belum ada data","tingkat grafis belum diisi",""))))</f>
        <v/>
      </c>
      <c r="T71" s="33" t="str">
        <f aca="false">IF($A71="","",IF(M71="Kurang","RAM "&amp;E71&amp;" GB, di bawah batas minimal "&amp;Aturan!$C$38&amp;" GB ("&amp;I71&amp;")",IF(M71="Cukup","RAM "&amp;E71&amp;" GB cukup, nyamannya "&amp;Aturan!$D$38&amp;" GB atau lebih ("&amp;I71&amp;")",IF(M71="Belum ada data","ukuran RAM belum diisi",""))))</f>
        <v/>
      </c>
      <c r="U71" s="33" t="str">
        <f aca="false">IF($A71="","",IF(N71="Kurang","penyimpanan "&amp;F71&amp;" GB, di bawah batas minimal "&amp;Aturan!$C$39&amp;" GB ("&amp;J71&amp;")",IF(N71="Cukup","penyimpanan "&amp;F71&amp;" GB cukup, nyamannya "&amp;Aturan!$D$39&amp;" GB atau lebih ("&amp;J71&amp;")",IF(N71="Belum ada data","ukuran penyimpanan belum diisi",""))))</f>
        <v/>
      </c>
      <c r="V71" s="33" t="str">
        <f aca="false">IF($A71="","",IF(O71="Kurang","layar "&amp;Varian!$AG18&amp;", di bawah batas minimal ("&amp;IFERROR(INDEX(Aturan!$A$63:$A$66,MATCH(Aturan!$C$40,Aturan!$B$63:$B$66,0)),"peringkat "&amp;Aturan!$C$40)&amp;")",IF(O71="Cukup","layar "&amp;Varian!$AG18&amp;" cukup, nyamannya "&amp;IFERROR(INDEX(Aturan!$A$63:$A$66,MATCH(Aturan!$D$40,Aturan!$B$63:$B$66,0)),"peringkat "&amp;Aturan!$D$40),IF(O71="Belum ada data","jenis layar belum diketahui",""))))</f>
        <v/>
      </c>
      <c r="W71" s="33" t="str">
        <f aca="false">IF($A71="","",IF(P71="Kurang","layar "&amp;H71&amp;" Hz, di bawah batas minimal "&amp;Aturan!$C$41&amp;" Hz",IF(P71="Cukup","layar "&amp;H71&amp;" Hz cukup, nyamannya "&amp;Aturan!$D$41&amp;" Hz atau lebih",IF(P71="Belum ada data","refresh rate belum diketahui",""))))</f>
        <v/>
      </c>
      <c r="X71" s="33" t="str">
        <f aca="false">IF($A71="","",IF(K71="Kurang",R71&amp;"; ","")&amp;IF(L71="Kurang",S71&amp;"; ","")&amp;IF(M71="Kurang",T71&amp;"; ","")&amp;IF(N71="Kurang",U71&amp;"; ","")&amp;IF(O71="Kurang",V71&amp;"; ","")&amp;IF(P71="Kurang",W71&amp;"; ","")&amp;IF(K71="Belum ada data",R71&amp;"; ","")&amp;IF(L71="Belum ada data",S71&amp;"; ","")&amp;IF(M71="Belum ada data",T71&amp;"; ","")&amp;IF(N71="Belum ada data",U71&amp;"; ","")&amp;IF(O71="Belum ada data",V71&amp;"; ","")&amp;IF(P71="Belum ada data",W71&amp;"; ","")&amp;IF(K71="Cukup",R71&amp;"; ","")&amp;IF(L71="Cukup",S71&amp;"; ","")&amp;IF(M71="Cukup",T71&amp;"; ","")&amp;IF(N71="Cukup",U71&amp;"; ","")&amp;IF(O71="Cukup",V71&amp;"; ","")&amp;IF(P71="Cukup",W71&amp;"; ",""))</f>
        <v/>
      </c>
      <c r="Y71" s="33" t="str">
        <f aca="false">IF($A71="","",IF(K71="Nyaman","prosesor, ","")&amp;IF(L71="Nyaman","grafis, ","")&amp;IF(M71="Nyaman","RAM, ","")&amp;IF(N71="Nyaman","penyimpanan, ","")&amp;IF(O71="Nyaman","layar, ","")&amp;IF(P71="Nyaman","refresh rate, ",""))</f>
        <v/>
      </c>
      <c r="Z71" s="33" t="str">
        <f aca="false">IF($A71="","",IF(Q71="Tidak dinilai","Belum ada kriteria yang dinilai untuk kebutuhan ini.",IF(Q71="Cocok","Semua kriteria yang dinilai sudah nyaman: "&amp;LEFT(Y71,LEN(Y71)-2)&amp;".",UPPER(LEFT(X71,1))&amp;MID(X71,2,LEN(X71)-3)&amp;"."&amp;IF(Y71="",""," Sudah nyaman: "&amp;LEFT(Y71,LEN(Y71)-2)&amp;"."))))</f>
        <v/>
      </c>
      <c r="AA71" s="33"/>
      <c r="AB71" s="33"/>
      <c r="AC71" s="69"/>
    </row>
    <row r="72" customFormat="false" ht="15" hidden="false" customHeight="true" outlineLevel="0" collapsed="false">
      <c r="A72" s="33" t="str">
        <f aca="false">IF(Varian!$A18="","",Varian!$A18)</f>
        <v/>
      </c>
      <c r="B72" s="33" t="str">
        <f aca="false">IF($A72="","",Aturan!$A$23)</f>
        <v/>
      </c>
      <c r="C72" s="69" t="str">
        <f aca="false">IF($A72="","",IFERROR(IF(ISNUMBER(INDEX(CPU!$J$4:$J$64,MATCH(Varian!$J18,CPU!$A$4:$A$64,0))),INDEX(CPU!$J$4:$J$64,MATCH(Varian!$J18,CPU!$A$4:$A$64,0)),""),""))</f>
        <v/>
      </c>
      <c r="D72" s="69" t="str">
        <f aca="false">IF($A72="","",IFERROR(IF(ISNUMBER(INDEX(GPU!$G$4:$G$64,MATCH(Varian!$K18,GPU!$A$4:$A$64,0))),INDEX(GPU!$G$4:$G$64,MATCH(Varian!$K18,GPU!$A$4:$A$64,0)),""),""))</f>
        <v/>
      </c>
      <c r="E72" s="69" t="str">
        <f aca="false">IF($A72="","",IF(ISNUMBER(Varian!$M18),Varian!$M18,""))</f>
        <v/>
      </c>
      <c r="F72" s="69" t="str">
        <f aca="false">IF($A72="","",IF(ISNUMBER(Varian!$V18),Varian!$V18,""))</f>
        <v/>
      </c>
      <c r="G72" s="69" t="str">
        <f aca="false">IF($A72="","",IFERROR(INDEX(Aturan!$B$63:$B$66,MATCH(Varian!$AG18,Aturan!$A$63:$A$66,0)),""))</f>
        <v/>
      </c>
      <c r="H72" s="69" t="str">
        <f aca="false">IF($A72="","",IF(ISNUMBER(Varian!$AI18),Varian!$AI18,""))</f>
        <v/>
      </c>
      <c r="I72" s="33" t="str">
        <f aca="false">IF($A72="","",IF(Varian!$Q18="disolder","menempel di papan utama, tidak bisa ditambah",IF(OR(Varian!$Q18="slot",Varian!$Q18="setengah_disolder"),IF(Varian!$Q18="setengah_disolder","sebagian menempel, ","")&amp;IF(ISNUMBER(Varian!$U18),IF(AND(ISNUMBER(Varian!$M18),Varian!$U18&gt;Varian!$M18),"bisa dinaikkan lewat slot sampai "&amp;Varian!$U18&amp;" GB","sudah di batas maksimal "&amp;Varian!$U18&amp;" GB"),"ada slot, batas maksimalnya belum diketahui"),"belum diketahui apakah bisa ditambah")))</f>
        <v/>
      </c>
      <c r="J72" s="33" t="str">
        <f aca="false">IF($A72="","",IF(Varian!$Z18="ya","bisa diganti dengan yang lebih besar",IF(Varian!$Z18="tidak","menempel, tidak bisa diganti","belum diketahui apakah bisa diganti")))</f>
        <v/>
      </c>
      <c r="K72" s="70" t="str">
        <f aca="false">IF($A72="","",IF(AND(Aturan!$C$42="",Aturan!$D$42=""),"Tidak dinilai",IF(C72="","Belum ada data",IF(C72&lt;IF(Aturan!$C$42="",0,Aturan!$C$42),"Kurang",IF(C72&gt;=IF(Aturan!$D$42="",Aturan!$C$42,Aturan!$D$42),"Nyaman","Cukup")))))</f>
        <v/>
      </c>
      <c r="L72" s="70" t="str">
        <f aca="false">IF($A72="","",IF(AND(Aturan!$C$43="",Aturan!$D$43=""),"Tidak dinilai",IF(D72="","Belum ada data",IF(D72&lt;IF(Aturan!$C$43="",0,Aturan!$C$43),"Kurang",IF(D72&gt;=IF(Aturan!$D$43="",Aturan!$C$43,Aturan!$D$43),"Nyaman","Cukup")))))</f>
        <v/>
      </c>
      <c r="M72" s="70" t="str">
        <f aca="false">IF($A72="","",IF(AND(Aturan!$C$44="",Aturan!$D$44=""),"Tidak dinilai",IF(E72="","Belum ada data",IF(E72&lt;IF(Aturan!$C$44="",0,Aturan!$C$44),"Kurang",IF(E72&gt;=IF(Aturan!$D$44="",Aturan!$C$44,Aturan!$D$44),"Nyaman","Cukup")))))</f>
        <v/>
      </c>
      <c r="N72" s="70" t="str">
        <f aca="false">IF($A72="","",IF(AND(Aturan!$C$45="",Aturan!$D$45=""),"Tidak dinilai",IF(F72="","Belum ada data",IF(F72&lt;IF(Aturan!$C$45="",0,Aturan!$C$45),"Kurang",IF(F72&gt;=IF(Aturan!$D$45="",Aturan!$C$45,Aturan!$D$45),"Nyaman","Cukup")))))</f>
        <v/>
      </c>
      <c r="O72" s="70" t="str">
        <f aca="false">IF($A72="","",IF(AND(Aturan!$C$46="",Aturan!$D$46=""),"Tidak dinilai",IF(G72="","Belum ada data",IF(G72&lt;IF(Aturan!$C$46="",0,Aturan!$C$46),"Kurang",IF(G72&gt;=IF(Aturan!$D$46="",Aturan!$C$46,Aturan!$D$46),"Nyaman","Cukup")))))</f>
        <v/>
      </c>
      <c r="P72" s="70" t="str">
        <f aca="false">IF($A72="","",IF(AND(Aturan!$C$47="",Aturan!$D$47=""),"Tidak dinilai",IF(H72="","Belum ada data",IF(H72&lt;IF(Aturan!$C$47="",0,Aturan!$C$47),"Kurang",IF(H72&gt;=IF(Aturan!$D$47="",Aturan!$C$47,Aturan!$D$47),"Nyaman","Cukup")))))</f>
        <v/>
      </c>
      <c r="Q72" s="70" t="str">
        <f aca="false">IF($A72="","",IF(COUNTIF(K72:P72,"Tidak dinilai")=6,"Tidak dinilai",IF(COUNTIF(K72:P72,"Kurang")&gt;0,"Kurang cocok",IF(COUNTIF(K72:P72,"Belum ada data")&gt;0,"Data belum lengkap",IF(COUNTIF(K72:P72,"Cukup")&gt;0,"Bisa, dengan catatan","Cocok")))))</f>
        <v/>
      </c>
      <c r="R72" s="33" t="str">
        <f aca="false">IF($A72="","",IF(K72="Kurang","prosesor tingkat "&amp;C72&amp;" dari 5, di bawah batas minimal (tingkat "&amp;Aturan!$C$42&amp;")",IF(K72="Cukup","prosesor tingkat "&amp;C72&amp;" dari 5 cukup, nyamannya mulai tingkat "&amp;Aturan!$D$42,IF(K72="Belum ada data","tingkat prosesor belum diisi",""))))</f>
        <v/>
      </c>
      <c r="S72" s="33" t="str">
        <f aca="false">IF($A72="","",IF(L72="Kurang","grafis tingkat "&amp;D72&amp;" dari 5, di bawah batas minimal (tingkat "&amp;Aturan!$C$43&amp;")",IF(L72="Cukup","grafis tingkat "&amp;D72&amp;" dari 5 cukup, nyamannya mulai tingkat "&amp;Aturan!$D$43,IF(L72="Belum ada data","tingkat grafis belum diisi",""))))</f>
        <v/>
      </c>
      <c r="T72" s="33" t="str">
        <f aca="false">IF($A72="","",IF(M72="Kurang","RAM "&amp;E72&amp;" GB, di bawah batas minimal "&amp;Aturan!$C$44&amp;" GB ("&amp;I72&amp;")",IF(M72="Cukup","RAM "&amp;E72&amp;" GB cukup, nyamannya "&amp;Aturan!$D$44&amp;" GB atau lebih ("&amp;I72&amp;")",IF(M72="Belum ada data","ukuran RAM belum diisi",""))))</f>
        <v/>
      </c>
      <c r="U72" s="33" t="str">
        <f aca="false">IF($A72="","",IF(N72="Kurang","penyimpanan "&amp;F72&amp;" GB, di bawah batas minimal "&amp;Aturan!$C$45&amp;" GB ("&amp;J72&amp;")",IF(N72="Cukup","penyimpanan "&amp;F72&amp;" GB cukup, nyamannya "&amp;Aturan!$D$45&amp;" GB atau lebih ("&amp;J72&amp;")",IF(N72="Belum ada data","ukuran penyimpanan belum diisi",""))))</f>
        <v/>
      </c>
      <c r="V72" s="33" t="str">
        <f aca="false">IF($A72="","",IF(O72="Kurang","layar "&amp;Varian!$AG18&amp;", di bawah batas minimal ("&amp;IFERROR(INDEX(Aturan!$A$63:$A$66,MATCH(Aturan!$C$46,Aturan!$B$63:$B$66,0)),"peringkat "&amp;Aturan!$C$46)&amp;")",IF(O72="Cukup","layar "&amp;Varian!$AG18&amp;" cukup, nyamannya "&amp;IFERROR(INDEX(Aturan!$A$63:$A$66,MATCH(Aturan!$D$46,Aturan!$B$63:$B$66,0)),"peringkat "&amp;Aturan!$D$46),IF(O72="Belum ada data","jenis layar belum diketahui",""))))</f>
        <v/>
      </c>
      <c r="W72" s="33" t="str">
        <f aca="false">IF($A72="","",IF(P72="Kurang","layar "&amp;H72&amp;" Hz, di bawah batas minimal "&amp;Aturan!$C$47&amp;" Hz",IF(P72="Cukup","layar "&amp;H72&amp;" Hz cukup, nyamannya "&amp;Aturan!$D$47&amp;" Hz atau lebih",IF(P72="Belum ada data","refresh rate belum diketahui",""))))</f>
        <v/>
      </c>
      <c r="X72" s="33" t="str">
        <f aca="false">IF($A72="","",IF(K72="Kurang",R72&amp;"; ","")&amp;IF(L72="Kurang",S72&amp;"; ","")&amp;IF(M72="Kurang",T72&amp;"; ","")&amp;IF(N72="Kurang",U72&amp;"; ","")&amp;IF(O72="Kurang",V72&amp;"; ","")&amp;IF(P72="Kurang",W72&amp;"; ","")&amp;IF(K72="Belum ada data",R72&amp;"; ","")&amp;IF(L72="Belum ada data",S72&amp;"; ","")&amp;IF(M72="Belum ada data",T72&amp;"; ","")&amp;IF(N72="Belum ada data",U72&amp;"; ","")&amp;IF(O72="Belum ada data",V72&amp;"; ","")&amp;IF(P72="Belum ada data",W72&amp;"; ","")&amp;IF(K72="Cukup",R72&amp;"; ","")&amp;IF(L72="Cukup",S72&amp;"; ","")&amp;IF(M72="Cukup",T72&amp;"; ","")&amp;IF(N72="Cukup",U72&amp;"; ","")&amp;IF(O72="Cukup",V72&amp;"; ","")&amp;IF(P72="Cukup",W72&amp;"; ",""))</f>
        <v/>
      </c>
      <c r="Y72" s="33" t="str">
        <f aca="false">IF($A72="","",IF(K72="Nyaman","prosesor, ","")&amp;IF(L72="Nyaman","grafis, ","")&amp;IF(M72="Nyaman","RAM, ","")&amp;IF(N72="Nyaman","penyimpanan, ","")&amp;IF(O72="Nyaman","layar, ","")&amp;IF(P72="Nyaman","refresh rate, ",""))</f>
        <v/>
      </c>
      <c r="Z72" s="33" t="str">
        <f aca="false">IF($A72="","",IF(Q72="Tidak dinilai","Belum ada kriteria yang dinilai untuk kebutuhan ini.",IF(Q72="Cocok","Semua kriteria yang dinilai sudah nyaman: "&amp;LEFT(Y72,LEN(Y72)-2)&amp;".",UPPER(LEFT(X72,1))&amp;MID(X72,2,LEN(X72)-3)&amp;"."&amp;IF(Y72="",""," Sudah nyaman: "&amp;LEFT(Y72,LEN(Y72)-2)&amp;"."))))</f>
        <v/>
      </c>
      <c r="AA72" s="33"/>
      <c r="AB72" s="33"/>
      <c r="AC72" s="69"/>
    </row>
    <row r="73" customFormat="false" ht="15" hidden="false" customHeight="true" outlineLevel="0" collapsed="false">
      <c r="A73" s="33" t="str">
        <f aca="false">IF(Varian!$A18="","",Varian!$A18)</f>
        <v/>
      </c>
      <c r="B73" s="33" t="str">
        <f aca="false">IF($A73="","",Aturan!$A$24)</f>
        <v/>
      </c>
      <c r="C73" s="69" t="str">
        <f aca="false">IF($A73="","",IFERROR(IF(ISNUMBER(INDEX(CPU!$J$4:$J$64,MATCH(Varian!$J18,CPU!$A$4:$A$64,0))),INDEX(CPU!$J$4:$J$64,MATCH(Varian!$J18,CPU!$A$4:$A$64,0)),""),""))</f>
        <v/>
      </c>
      <c r="D73" s="69" t="str">
        <f aca="false">IF($A73="","",IFERROR(IF(ISNUMBER(INDEX(GPU!$G$4:$G$64,MATCH(Varian!$K18,GPU!$A$4:$A$64,0))),INDEX(GPU!$G$4:$G$64,MATCH(Varian!$K18,GPU!$A$4:$A$64,0)),""),""))</f>
        <v/>
      </c>
      <c r="E73" s="69" t="str">
        <f aca="false">IF($A73="","",IF(ISNUMBER(Varian!$M18),Varian!$M18,""))</f>
        <v/>
      </c>
      <c r="F73" s="69" t="str">
        <f aca="false">IF($A73="","",IF(ISNUMBER(Varian!$V18),Varian!$V18,""))</f>
        <v/>
      </c>
      <c r="G73" s="69" t="str">
        <f aca="false">IF($A73="","",IFERROR(INDEX(Aturan!$B$63:$B$66,MATCH(Varian!$AG18,Aturan!$A$63:$A$66,0)),""))</f>
        <v/>
      </c>
      <c r="H73" s="69" t="str">
        <f aca="false">IF($A73="","",IF(ISNUMBER(Varian!$AI18),Varian!$AI18,""))</f>
        <v/>
      </c>
      <c r="I73" s="33" t="str">
        <f aca="false">IF($A73="","",IF(Varian!$Q18="disolder","menempel di papan utama, tidak bisa ditambah",IF(OR(Varian!$Q18="slot",Varian!$Q18="setengah_disolder"),IF(Varian!$Q18="setengah_disolder","sebagian menempel, ","")&amp;IF(ISNUMBER(Varian!$U18),IF(AND(ISNUMBER(Varian!$M18),Varian!$U18&gt;Varian!$M18),"bisa dinaikkan lewat slot sampai "&amp;Varian!$U18&amp;" GB","sudah di batas maksimal "&amp;Varian!$U18&amp;" GB"),"ada slot, batas maksimalnya belum diketahui"),"belum diketahui apakah bisa ditambah")))</f>
        <v/>
      </c>
      <c r="J73" s="33" t="str">
        <f aca="false">IF($A73="","",IF(Varian!$Z18="ya","bisa diganti dengan yang lebih besar",IF(Varian!$Z18="tidak","menempel, tidak bisa diganti","belum diketahui apakah bisa diganti")))</f>
        <v/>
      </c>
      <c r="K73" s="70" t="str">
        <f aca="false">IF($A73="","",IF(AND(Aturan!$C$48="",Aturan!$D$48=""),"Tidak dinilai",IF(C73="","Belum ada data",IF(C73&lt;IF(Aturan!$C$48="",0,Aturan!$C$48),"Kurang",IF(C73&gt;=IF(Aturan!$D$48="",Aturan!$C$48,Aturan!$D$48),"Nyaman","Cukup")))))</f>
        <v/>
      </c>
      <c r="L73" s="70" t="str">
        <f aca="false">IF($A73="","",IF(AND(Aturan!$C$49="",Aturan!$D$49=""),"Tidak dinilai",IF(D73="","Belum ada data",IF(D73&lt;IF(Aturan!$C$49="",0,Aturan!$C$49),"Kurang",IF(D73&gt;=IF(Aturan!$D$49="",Aturan!$C$49,Aturan!$D$49),"Nyaman","Cukup")))))</f>
        <v/>
      </c>
      <c r="M73" s="70" t="str">
        <f aca="false">IF($A73="","",IF(AND(Aturan!$C$50="",Aturan!$D$50=""),"Tidak dinilai",IF(E73="","Belum ada data",IF(E73&lt;IF(Aturan!$C$50="",0,Aturan!$C$50),"Kurang",IF(E73&gt;=IF(Aturan!$D$50="",Aturan!$C$50,Aturan!$D$50),"Nyaman","Cukup")))))</f>
        <v/>
      </c>
      <c r="N73" s="70" t="str">
        <f aca="false">IF($A73="","",IF(AND(Aturan!$C$51="",Aturan!$D$51=""),"Tidak dinilai",IF(F73="","Belum ada data",IF(F73&lt;IF(Aturan!$C$51="",0,Aturan!$C$51),"Kurang",IF(F73&gt;=IF(Aturan!$D$51="",Aturan!$C$51,Aturan!$D$51),"Nyaman","Cukup")))))</f>
        <v/>
      </c>
      <c r="O73" s="70" t="str">
        <f aca="false">IF($A73="","",IF(AND(Aturan!$C$52="",Aturan!$D$52=""),"Tidak dinilai",IF(G73="","Belum ada data",IF(G73&lt;IF(Aturan!$C$52="",0,Aturan!$C$52),"Kurang",IF(G73&gt;=IF(Aturan!$D$52="",Aturan!$C$52,Aturan!$D$52),"Nyaman","Cukup")))))</f>
        <v/>
      </c>
      <c r="P73" s="70" t="str">
        <f aca="false">IF($A73="","",IF(AND(Aturan!$C$53="",Aturan!$D$53=""),"Tidak dinilai",IF(H73="","Belum ada data",IF(H73&lt;IF(Aturan!$C$53="",0,Aturan!$C$53),"Kurang",IF(H73&gt;=IF(Aturan!$D$53="",Aturan!$C$53,Aturan!$D$53),"Nyaman","Cukup")))))</f>
        <v/>
      </c>
      <c r="Q73" s="70" t="str">
        <f aca="false">IF($A73="","",IF(COUNTIF(K73:P73,"Tidak dinilai")=6,"Tidak dinilai",IF(COUNTIF(K73:P73,"Kurang")&gt;0,"Kurang cocok",IF(COUNTIF(K73:P73,"Belum ada data")&gt;0,"Data belum lengkap",IF(COUNTIF(K73:P73,"Cukup")&gt;0,"Bisa, dengan catatan","Cocok")))))</f>
        <v/>
      </c>
      <c r="R73" s="33" t="str">
        <f aca="false">IF($A73="","",IF(K73="Kurang","prosesor tingkat "&amp;C73&amp;" dari 5, di bawah batas minimal (tingkat "&amp;Aturan!$C$48&amp;")",IF(K73="Cukup","prosesor tingkat "&amp;C73&amp;" dari 5 cukup, nyamannya mulai tingkat "&amp;Aturan!$D$48,IF(K73="Belum ada data","tingkat prosesor belum diisi",""))))</f>
        <v/>
      </c>
      <c r="S73" s="33" t="str">
        <f aca="false">IF($A73="","",IF(L73="Kurang","grafis tingkat "&amp;D73&amp;" dari 5, di bawah batas minimal (tingkat "&amp;Aturan!$C$49&amp;")",IF(L73="Cukup","grafis tingkat "&amp;D73&amp;" dari 5 cukup, nyamannya mulai tingkat "&amp;Aturan!$D$49,IF(L73="Belum ada data","tingkat grafis belum diisi",""))))</f>
        <v/>
      </c>
      <c r="T73" s="33" t="str">
        <f aca="false">IF($A73="","",IF(M73="Kurang","RAM "&amp;E73&amp;" GB, di bawah batas minimal "&amp;Aturan!$C$50&amp;" GB ("&amp;I73&amp;")",IF(M73="Cukup","RAM "&amp;E73&amp;" GB cukup, nyamannya "&amp;Aturan!$D$50&amp;" GB atau lebih ("&amp;I73&amp;")",IF(M73="Belum ada data","ukuran RAM belum diisi",""))))</f>
        <v/>
      </c>
      <c r="U73" s="33" t="str">
        <f aca="false">IF($A73="","",IF(N73="Kurang","penyimpanan "&amp;F73&amp;" GB, di bawah batas minimal "&amp;Aturan!$C$51&amp;" GB ("&amp;J73&amp;")",IF(N73="Cukup","penyimpanan "&amp;F73&amp;" GB cukup, nyamannya "&amp;Aturan!$D$51&amp;" GB atau lebih ("&amp;J73&amp;")",IF(N73="Belum ada data","ukuran penyimpanan belum diisi",""))))</f>
        <v/>
      </c>
      <c r="V73" s="33" t="str">
        <f aca="false">IF($A73="","",IF(O73="Kurang","layar "&amp;Varian!$AG18&amp;", di bawah batas minimal ("&amp;IFERROR(INDEX(Aturan!$A$63:$A$66,MATCH(Aturan!$C$52,Aturan!$B$63:$B$66,0)),"peringkat "&amp;Aturan!$C$52)&amp;")",IF(O73="Cukup","layar "&amp;Varian!$AG18&amp;" cukup, nyamannya "&amp;IFERROR(INDEX(Aturan!$A$63:$A$66,MATCH(Aturan!$D$52,Aturan!$B$63:$B$66,0)),"peringkat "&amp;Aturan!$D$52),IF(O73="Belum ada data","jenis layar belum diketahui",""))))</f>
        <v/>
      </c>
      <c r="W73" s="33" t="str">
        <f aca="false">IF($A73="","",IF(P73="Kurang","layar "&amp;H73&amp;" Hz, di bawah batas minimal "&amp;Aturan!$C$53&amp;" Hz",IF(P73="Cukup","layar "&amp;H73&amp;" Hz cukup, nyamannya "&amp;Aturan!$D$53&amp;" Hz atau lebih",IF(P73="Belum ada data","refresh rate belum diketahui",""))))</f>
        <v/>
      </c>
      <c r="X73" s="33" t="str">
        <f aca="false">IF($A73="","",IF(K73="Kurang",R73&amp;"; ","")&amp;IF(L73="Kurang",S73&amp;"; ","")&amp;IF(M73="Kurang",T73&amp;"; ","")&amp;IF(N73="Kurang",U73&amp;"; ","")&amp;IF(O73="Kurang",V73&amp;"; ","")&amp;IF(P73="Kurang",W73&amp;"; ","")&amp;IF(K73="Belum ada data",R73&amp;"; ","")&amp;IF(L73="Belum ada data",S73&amp;"; ","")&amp;IF(M73="Belum ada data",T73&amp;"; ","")&amp;IF(N73="Belum ada data",U73&amp;"; ","")&amp;IF(O73="Belum ada data",V73&amp;"; ","")&amp;IF(P73="Belum ada data",W73&amp;"; ","")&amp;IF(K73="Cukup",R73&amp;"; ","")&amp;IF(L73="Cukup",S73&amp;"; ","")&amp;IF(M73="Cukup",T73&amp;"; ","")&amp;IF(N73="Cukup",U73&amp;"; ","")&amp;IF(O73="Cukup",V73&amp;"; ","")&amp;IF(P73="Cukup",W73&amp;"; ",""))</f>
        <v/>
      </c>
      <c r="Y73" s="33" t="str">
        <f aca="false">IF($A73="","",IF(K73="Nyaman","prosesor, ","")&amp;IF(L73="Nyaman","grafis, ","")&amp;IF(M73="Nyaman","RAM, ","")&amp;IF(N73="Nyaman","penyimpanan, ","")&amp;IF(O73="Nyaman","layar, ","")&amp;IF(P73="Nyaman","refresh rate, ",""))</f>
        <v/>
      </c>
      <c r="Z73" s="33" t="str">
        <f aca="false">IF($A73="","",IF(Q73="Tidak dinilai","Belum ada kriteria yang dinilai untuk kebutuhan ini.",IF(Q73="Cocok","Semua kriteria yang dinilai sudah nyaman: "&amp;LEFT(Y73,LEN(Y73)-2)&amp;".",UPPER(LEFT(X73,1))&amp;MID(X73,2,LEN(X73)-3)&amp;"."&amp;IF(Y73="",""," Sudah nyaman: "&amp;LEFT(Y73,LEN(Y73)-2)&amp;"."))))</f>
        <v/>
      </c>
      <c r="AA73" s="33"/>
      <c r="AB73" s="33"/>
      <c r="AC73" s="69"/>
    </row>
    <row r="74" customFormat="false" ht="15" hidden="false" customHeight="true" outlineLevel="0" collapsed="false">
      <c r="A74" s="33" t="str">
        <f aca="false">IF(Varian!$A18="","",Varian!$A18)</f>
        <v/>
      </c>
      <c r="B74" s="33" t="str">
        <f aca="false">IF($A74="","",Aturan!$A$25)</f>
        <v/>
      </c>
      <c r="C74" s="69" t="str">
        <f aca="false">IF($A74="","",IFERROR(IF(ISNUMBER(INDEX(CPU!$J$4:$J$64,MATCH(Varian!$J18,CPU!$A$4:$A$64,0))),INDEX(CPU!$J$4:$J$64,MATCH(Varian!$J18,CPU!$A$4:$A$64,0)),""),""))</f>
        <v/>
      </c>
      <c r="D74" s="69" t="str">
        <f aca="false">IF($A74="","",IFERROR(IF(ISNUMBER(INDEX(GPU!$G$4:$G$64,MATCH(Varian!$K18,GPU!$A$4:$A$64,0))),INDEX(GPU!$G$4:$G$64,MATCH(Varian!$K18,GPU!$A$4:$A$64,0)),""),""))</f>
        <v/>
      </c>
      <c r="E74" s="69" t="str">
        <f aca="false">IF($A74="","",IF(ISNUMBER(Varian!$M18),Varian!$M18,""))</f>
        <v/>
      </c>
      <c r="F74" s="69" t="str">
        <f aca="false">IF($A74="","",IF(ISNUMBER(Varian!$V18),Varian!$V18,""))</f>
        <v/>
      </c>
      <c r="G74" s="69" t="str">
        <f aca="false">IF($A74="","",IFERROR(INDEX(Aturan!$B$63:$B$66,MATCH(Varian!$AG18,Aturan!$A$63:$A$66,0)),""))</f>
        <v/>
      </c>
      <c r="H74" s="69" t="str">
        <f aca="false">IF($A74="","",IF(ISNUMBER(Varian!$AI18),Varian!$AI18,""))</f>
        <v/>
      </c>
      <c r="I74" s="33" t="str">
        <f aca="false">IF($A74="","",IF(Varian!$Q18="disolder","menempel di papan utama, tidak bisa ditambah",IF(OR(Varian!$Q18="slot",Varian!$Q18="setengah_disolder"),IF(Varian!$Q18="setengah_disolder","sebagian menempel, ","")&amp;IF(ISNUMBER(Varian!$U18),IF(AND(ISNUMBER(Varian!$M18),Varian!$U18&gt;Varian!$M18),"bisa dinaikkan lewat slot sampai "&amp;Varian!$U18&amp;" GB","sudah di batas maksimal "&amp;Varian!$U18&amp;" GB"),"ada slot, batas maksimalnya belum diketahui"),"belum diketahui apakah bisa ditambah")))</f>
        <v/>
      </c>
      <c r="J74" s="33" t="str">
        <f aca="false">IF($A74="","",IF(Varian!$Z18="ya","bisa diganti dengan yang lebih besar",IF(Varian!$Z18="tidak","menempel, tidak bisa diganti","belum diketahui apakah bisa diganti")))</f>
        <v/>
      </c>
      <c r="K74" s="70" t="str">
        <f aca="false">IF($A74="","",IF(AND(Aturan!$C$54="",Aturan!$D$54=""),"Tidak dinilai",IF(C74="","Belum ada data",IF(C74&lt;IF(Aturan!$C$54="",0,Aturan!$C$54),"Kurang",IF(C74&gt;=IF(Aturan!$D$54="",Aturan!$C$54,Aturan!$D$54),"Nyaman","Cukup")))))</f>
        <v/>
      </c>
      <c r="L74" s="70" t="str">
        <f aca="false">IF($A74="","",IF(AND(Aturan!$C$55="",Aturan!$D$55=""),"Tidak dinilai",IF(D74="","Belum ada data",IF(D74&lt;IF(Aturan!$C$55="",0,Aturan!$C$55),"Kurang",IF(D74&gt;=IF(Aturan!$D$55="",Aturan!$C$55,Aturan!$D$55),"Nyaman","Cukup")))))</f>
        <v/>
      </c>
      <c r="M74" s="70" t="str">
        <f aca="false">IF($A74="","",IF(AND(Aturan!$C$56="",Aturan!$D$56=""),"Tidak dinilai",IF(E74="","Belum ada data",IF(E74&lt;IF(Aturan!$C$56="",0,Aturan!$C$56),"Kurang",IF(E74&gt;=IF(Aturan!$D$56="",Aturan!$C$56,Aturan!$D$56),"Nyaman","Cukup")))))</f>
        <v/>
      </c>
      <c r="N74" s="70" t="str">
        <f aca="false">IF($A74="","",IF(AND(Aturan!$C$57="",Aturan!$D$57=""),"Tidak dinilai",IF(F74="","Belum ada data",IF(F74&lt;IF(Aturan!$C$57="",0,Aturan!$C$57),"Kurang",IF(F74&gt;=IF(Aturan!$D$57="",Aturan!$C$57,Aturan!$D$57),"Nyaman","Cukup")))))</f>
        <v/>
      </c>
      <c r="O74" s="70" t="str">
        <f aca="false">IF($A74="","",IF(AND(Aturan!$C$58="",Aturan!$D$58=""),"Tidak dinilai",IF(G74="","Belum ada data",IF(G74&lt;IF(Aturan!$C$58="",0,Aturan!$C$58),"Kurang",IF(G74&gt;=IF(Aturan!$D$58="",Aturan!$C$58,Aturan!$D$58),"Nyaman","Cukup")))))</f>
        <v/>
      </c>
      <c r="P74" s="70" t="str">
        <f aca="false">IF($A74="","",IF(AND(Aturan!$C$59="",Aturan!$D$59=""),"Tidak dinilai",IF(H74="","Belum ada data",IF(H74&lt;IF(Aturan!$C$59="",0,Aturan!$C$59),"Kurang",IF(H74&gt;=IF(Aturan!$D$59="",Aturan!$C$59,Aturan!$D$59),"Nyaman","Cukup")))))</f>
        <v/>
      </c>
      <c r="Q74" s="70" t="str">
        <f aca="false">IF($A74="","",IF(COUNTIF(K74:P74,"Tidak dinilai")=6,"Tidak dinilai",IF(COUNTIF(K74:P74,"Kurang")&gt;0,"Kurang cocok",IF(COUNTIF(K74:P74,"Belum ada data")&gt;0,"Data belum lengkap",IF(COUNTIF(K74:P74,"Cukup")&gt;0,"Bisa, dengan catatan","Cocok")))))</f>
        <v/>
      </c>
      <c r="R74" s="33" t="str">
        <f aca="false">IF($A74="","",IF(K74="Kurang","prosesor tingkat "&amp;C74&amp;" dari 5, di bawah batas minimal (tingkat "&amp;Aturan!$C$54&amp;")",IF(K74="Cukup","prosesor tingkat "&amp;C74&amp;" dari 5 cukup, nyamannya mulai tingkat "&amp;Aturan!$D$54,IF(K74="Belum ada data","tingkat prosesor belum diisi",""))))</f>
        <v/>
      </c>
      <c r="S74" s="33" t="str">
        <f aca="false">IF($A74="","",IF(L74="Kurang","grafis tingkat "&amp;D74&amp;" dari 5, di bawah batas minimal (tingkat "&amp;Aturan!$C$55&amp;")",IF(L74="Cukup","grafis tingkat "&amp;D74&amp;" dari 5 cukup, nyamannya mulai tingkat "&amp;Aturan!$D$55,IF(L74="Belum ada data","tingkat grafis belum diisi",""))))</f>
        <v/>
      </c>
      <c r="T74" s="33" t="str">
        <f aca="false">IF($A74="","",IF(M74="Kurang","RAM "&amp;E74&amp;" GB, di bawah batas minimal "&amp;Aturan!$C$56&amp;" GB ("&amp;I74&amp;")",IF(M74="Cukup","RAM "&amp;E74&amp;" GB cukup, nyamannya "&amp;Aturan!$D$56&amp;" GB atau lebih ("&amp;I74&amp;")",IF(M74="Belum ada data","ukuran RAM belum diisi",""))))</f>
        <v/>
      </c>
      <c r="U74" s="33" t="str">
        <f aca="false">IF($A74="","",IF(N74="Kurang","penyimpanan "&amp;F74&amp;" GB, di bawah batas minimal "&amp;Aturan!$C$57&amp;" GB ("&amp;J74&amp;")",IF(N74="Cukup","penyimpanan "&amp;F74&amp;" GB cukup, nyamannya "&amp;Aturan!$D$57&amp;" GB atau lebih ("&amp;J74&amp;")",IF(N74="Belum ada data","ukuran penyimpanan belum diisi",""))))</f>
        <v/>
      </c>
      <c r="V74" s="33" t="str">
        <f aca="false">IF($A74="","",IF(O74="Kurang","layar "&amp;Varian!$AG18&amp;", di bawah batas minimal ("&amp;IFERROR(INDEX(Aturan!$A$63:$A$66,MATCH(Aturan!$C$58,Aturan!$B$63:$B$66,0)),"peringkat "&amp;Aturan!$C$58)&amp;")",IF(O74="Cukup","layar "&amp;Varian!$AG18&amp;" cukup, nyamannya "&amp;IFERROR(INDEX(Aturan!$A$63:$A$66,MATCH(Aturan!$D$58,Aturan!$B$63:$B$66,0)),"peringkat "&amp;Aturan!$D$58),IF(O74="Belum ada data","jenis layar belum diketahui",""))))</f>
        <v/>
      </c>
      <c r="W74" s="33" t="str">
        <f aca="false">IF($A74="","",IF(P74="Kurang","layar "&amp;H74&amp;" Hz, di bawah batas minimal "&amp;Aturan!$C$59&amp;" Hz",IF(P74="Cukup","layar "&amp;H74&amp;" Hz cukup, nyamannya "&amp;Aturan!$D$59&amp;" Hz atau lebih",IF(P74="Belum ada data","refresh rate belum diketahui",""))))</f>
        <v/>
      </c>
      <c r="X74" s="33" t="str">
        <f aca="false">IF($A74="","",IF(K74="Kurang",R74&amp;"; ","")&amp;IF(L74="Kurang",S74&amp;"; ","")&amp;IF(M74="Kurang",T74&amp;"; ","")&amp;IF(N74="Kurang",U74&amp;"; ","")&amp;IF(O74="Kurang",V74&amp;"; ","")&amp;IF(P74="Kurang",W74&amp;"; ","")&amp;IF(K74="Belum ada data",R74&amp;"; ","")&amp;IF(L74="Belum ada data",S74&amp;"; ","")&amp;IF(M74="Belum ada data",T74&amp;"; ","")&amp;IF(N74="Belum ada data",U74&amp;"; ","")&amp;IF(O74="Belum ada data",V74&amp;"; ","")&amp;IF(P74="Belum ada data",W74&amp;"; ","")&amp;IF(K74="Cukup",R74&amp;"; ","")&amp;IF(L74="Cukup",S74&amp;"; ","")&amp;IF(M74="Cukup",T74&amp;"; ","")&amp;IF(N74="Cukup",U74&amp;"; ","")&amp;IF(O74="Cukup",V74&amp;"; ","")&amp;IF(P74="Cukup",W74&amp;"; ",""))</f>
        <v/>
      </c>
      <c r="Y74" s="33" t="str">
        <f aca="false">IF($A74="","",IF(K74="Nyaman","prosesor, ","")&amp;IF(L74="Nyaman","grafis, ","")&amp;IF(M74="Nyaman","RAM, ","")&amp;IF(N74="Nyaman","penyimpanan, ","")&amp;IF(O74="Nyaman","layar, ","")&amp;IF(P74="Nyaman","refresh rate, ",""))</f>
        <v/>
      </c>
      <c r="Z74" s="33" t="str">
        <f aca="false">IF($A74="","",IF(Q74="Tidak dinilai","Belum ada kriteria yang dinilai untuk kebutuhan ini.",IF(Q74="Cocok","Semua kriteria yang dinilai sudah nyaman: "&amp;LEFT(Y74,LEN(Y74)-2)&amp;".",UPPER(LEFT(X74,1))&amp;MID(X74,2,LEN(X74)-3)&amp;"."&amp;IF(Y74="",""," Sudah nyaman: "&amp;LEFT(Y74,LEN(Y74)-2)&amp;"."))))</f>
        <v/>
      </c>
      <c r="AA74" s="33"/>
      <c r="AB74" s="33"/>
      <c r="AC74" s="69"/>
    </row>
    <row r="75" customFormat="false" ht="15" hidden="false" customHeight="true" outlineLevel="0" collapsed="false">
      <c r="A75" s="66" t="str">
        <f aca="false">IF(Varian!$A19="","",Varian!$A19)</f>
        <v/>
      </c>
      <c r="B75" s="66" t="str">
        <f aca="false">IF($A75="","",Aturan!$A$21)</f>
        <v/>
      </c>
      <c r="C75" s="67" t="str">
        <f aca="false">IF($A75="","",IFERROR(IF(ISNUMBER(INDEX(CPU!$J$4:$J$64,MATCH(Varian!$J19,CPU!$A$4:$A$64,0))),INDEX(CPU!$J$4:$J$64,MATCH(Varian!$J19,CPU!$A$4:$A$64,0)),""),""))</f>
        <v/>
      </c>
      <c r="D75" s="67" t="str">
        <f aca="false">IF($A75="","",IFERROR(IF(ISNUMBER(INDEX(GPU!$G$4:$G$64,MATCH(Varian!$K19,GPU!$A$4:$A$64,0))),INDEX(GPU!$G$4:$G$64,MATCH(Varian!$K19,GPU!$A$4:$A$64,0)),""),""))</f>
        <v/>
      </c>
      <c r="E75" s="67" t="str">
        <f aca="false">IF($A75="","",IF(ISNUMBER(Varian!$M19),Varian!$M19,""))</f>
        <v/>
      </c>
      <c r="F75" s="67" t="str">
        <f aca="false">IF($A75="","",IF(ISNUMBER(Varian!$V19),Varian!$V19,""))</f>
        <v/>
      </c>
      <c r="G75" s="67" t="str">
        <f aca="false">IF($A75="","",IFERROR(INDEX(Aturan!$B$63:$B$66,MATCH(Varian!$AG19,Aturan!$A$63:$A$66,0)),""))</f>
        <v/>
      </c>
      <c r="H75" s="67" t="str">
        <f aca="false">IF($A75="","",IF(ISNUMBER(Varian!$AI19),Varian!$AI19,""))</f>
        <v/>
      </c>
      <c r="I75" s="66" t="str">
        <f aca="false">IF($A75="","",IF(Varian!$Q19="disolder","menempel di papan utama, tidak bisa ditambah",IF(OR(Varian!$Q19="slot",Varian!$Q19="setengah_disolder"),IF(Varian!$Q19="setengah_disolder","sebagian menempel, ","")&amp;IF(ISNUMBER(Varian!$U19),IF(AND(ISNUMBER(Varian!$M19),Varian!$U19&gt;Varian!$M19),"bisa dinaikkan lewat slot sampai "&amp;Varian!$U19&amp;" GB","sudah di batas maksimal "&amp;Varian!$U19&amp;" GB"),"ada slot, batas maksimalnya belum diketahui"),"belum diketahui apakah bisa ditambah")))</f>
        <v/>
      </c>
      <c r="J75" s="66" t="str">
        <f aca="false">IF($A75="","",IF(Varian!$Z19="ya","bisa diganti dengan yang lebih besar",IF(Varian!$Z19="tidak","menempel, tidak bisa diganti","belum diketahui apakah bisa diganti")))</f>
        <v/>
      </c>
      <c r="K75" s="68" t="str">
        <f aca="false">IF($A75="","",IF(AND(Aturan!$C$30="",Aturan!$D$30=""),"Tidak dinilai",IF(C75="","Belum ada data",IF(C75&lt;IF(Aturan!$C$30="",0,Aturan!$C$30),"Kurang",IF(C75&gt;=IF(Aturan!$D$30="",Aturan!$C$30,Aturan!$D$30),"Nyaman","Cukup")))))</f>
        <v/>
      </c>
      <c r="L75" s="68" t="str">
        <f aca="false">IF($A75="","",IF(AND(Aturan!$C$31="",Aturan!$D$31=""),"Tidak dinilai",IF(D75="","Belum ada data",IF(D75&lt;IF(Aturan!$C$31="",0,Aturan!$C$31),"Kurang",IF(D75&gt;=IF(Aturan!$D$31="",Aturan!$C$31,Aturan!$D$31),"Nyaman","Cukup")))))</f>
        <v/>
      </c>
      <c r="M75" s="68" t="str">
        <f aca="false">IF($A75="","",IF(AND(Aturan!$C$32="",Aturan!$D$32=""),"Tidak dinilai",IF(E75="","Belum ada data",IF(E75&lt;IF(Aturan!$C$32="",0,Aturan!$C$32),"Kurang",IF(E75&gt;=IF(Aturan!$D$32="",Aturan!$C$32,Aturan!$D$32),"Nyaman","Cukup")))))</f>
        <v/>
      </c>
      <c r="N75" s="68" t="str">
        <f aca="false">IF($A75="","",IF(AND(Aturan!$C$33="",Aturan!$D$33=""),"Tidak dinilai",IF(F75="","Belum ada data",IF(F75&lt;IF(Aturan!$C$33="",0,Aturan!$C$33),"Kurang",IF(F75&gt;=IF(Aturan!$D$33="",Aturan!$C$33,Aturan!$D$33),"Nyaman","Cukup")))))</f>
        <v/>
      </c>
      <c r="O75" s="68" t="str">
        <f aca="false">IF($A75="","",IF(AND(Aturan!$C$34="",Aturan!$D$34=""),"Tidak dinilai",IF(G75="","Belum ada data",IF(G75&lt;IF(Aturan!$C$34="",0,Aturan!$C$34),"Kurang",IF(G75&gt;=IF(Aturan!$D$34="",Aturan!$C$34,Aturan!$D$34),"Nyaman","Cukup")))))</f>
        <v/>
      </c>
      <c r="P75" s="68" t="str">
        <f aca="false">IF($A75="","",IF(AND(Aturan!$C$35="",Aturan!$D$35=""),"Tidak dinilai",IF(H75="","Belum ada data",IF(H75&lt;IF(Aturan!$C$35="",0,Aturan!$C$35),"Kurang",IF(H75&gt;=IF(Aturan!$D$35="",Aturan!$C$35,Aturan!$D$35),"Nyaman","Cukup")))))</f>
        <v/>
      </c>
      <c r="Q75" s="68" t="str">
        <f aca="false">IF($A75="","",IF(COUNTIF(K75:P75,"Tidak dinilai")=6,"Tidak dinilai",IF(COUNTIF(K75:P75,"Kurang")&gt;0,"Kurang cocok",IF(COUNTIF(K75:P75,"Belum ada data")&gt;0,"Data belum lengkap",IF(COUNTIF(K75:P75,"Cukup")&gt;0,"Bisa, dengan catatan","Cocok")))))</f>
        <v/>
      </c>
      <c r="R75" s="66" t="str">
        <f aca="false">IF($A75="","",IF(K75="Kurang","prosesor tingkat "&amp;C75&amp;" dari 5, di bawah batas minimal (tingkat "&amp;Aturan!$C$30&amp;")",IF(K75="Cukup","prosesor tingkat "&amp;C75&amp;" dari 5 cukup, nyamannya mulai tingkat "&amp;Aturan!$D$30,IF(K75="Belum ada data","tingkat prosesor belum diisi",""))))</f>
        <v/>
      </c>
      <c r="S75" s="66" t="str">
        <f aca="false">IF($A75="","",IF(L75="Kurang","grafis tingkat "&amp;D75&amp;" dari 5, di bawah batas minimal (tingkat "&amp;Aturan!$C$31&amp;")",IF(L75="Cukup","grafis tingkat "&amp;D75&amp;" dari 5 cukup, nyamannya mulai tingkat "&amp;Aturan!$D$31,IF(L75="Belum ada data","tingkat grafis belum diisi",""))))</f>
        <v/>
      </c>
      <c r="T75" s="66" t="str">
        <f aca="false">IF($A75="","",IF(M75="Kurang","RAM "&amp;E75&amp;" GB, di bawah batas minimal "&amp;Aturan!$C$32&amp;" GB ("&amp;I75&amp;")",IF(M75="Cukup","RAM "&amp;E75&amp;" GB cukup, nyamannya "&amp;Aturan!$D$32&amp;" GB atau lebih ("&amp;I75&amp;")",IF(M75="Belum ada data","ukuran RAM belum diisi",""))))</f>
        <v/>
      </c>
      <c r="U75" s="66" t="str">
        <f aca="false">IF($A75="","",IF(N75="Kurang","penyimpanan "&amp;F75&amp;" GB, di bawah batas minimal "&amp;Aturan!$C$33&amp;" GB ("&amp;J75&amp;")",IF(N75="Cukup","penyimpanan "&amp;F75&amp;" GB cukup, nyamannya "&amp;Aturan!$D$33&amp;" GB atau lebih ("&amp;J75&amp;")",IF(N75="Belum ada data","ukuran penyimpanan belum diisi",""))))</f>
        <v/>
      </c>
      <c r="V75" s="66" t="str">
        <f aca="false">IF($A75="","",IF(O75="Kurang","layar "&amp;Varian!$AG19&amp;", di bawah batas minimal ("&amp;IFERROR(INDEX(Aturan!$A$63:$A$66,MATCH(Aturan!$C$34,Aturan!$B$63:$B$66,0)),"peringkat "&amp;Aturan!$C$34)&amp;")",IF(O75="Cukup","layar "&amp;Varian!$AG19&amp;" cukup, nyamannya "&amp;IFERROR(INDEX(Aturan!$A$63:$A$66,MATCH(Aturan!$D$34,Aturan!$B$63:$B$66,0)),"peringkat "&amp;Aturan!$D$34),IF(O75="Belum ada data","jenis layar belum diketahui",""))))</f>
        <v/>
      </c>
      <c r="W75" s="66" t="str">
        <f aca="false">IF($A75="","",IF(P75="Kurang","layar "&amp;H75&amp;" Hz, di bawah batas minimal "&amp;Aturan!$C$35&amp;" Hz",IF(P75="Cukup","layar "&amp;H75&amp;" Hz cukup, nyamannya "&amp;Aturan!$D$35&amp;" Hz atau lebih",IF(P75="Belum ada data","refresh rate belum diketahui",""))))</f>
        <v/>
      </c>
      <c r="X75" s="66" t="str">
        <f aca="false">IF($A75="","",IF(K75="Kurang",R75&amp;"; ","")&amp;IF(L75="Kurang",S75&amp;"; ","")&amp;IF(M75="Kurang",T75&amp;"; ","")&amp;IF(N75="Kurang",U75&amp;"; ","")&amp;IF(O75="Kurang",V75&amp;"; ","")&amp;IF(P75="Kurang",W75&amp;"; ","")&amp;IF(K75="Belum ada data",R75&amp;"; ","")&amp;IF(L75="Belum ada data",S75&amp;"; ","")&amp;IF(M75="Belum ada data",T75&amp;"; ","")&amp;IF(N75="Belum ada data",U75&amp;"; ","")&amp;IF(O75="Belum ada data",V75&amp;"; ","")&amp;IF(P75="Belum ada data",W75&amp;"; ","")&amp;IF(K75="Cukup",R75&amp;"; ","")&amp;IF(L75="Cukup",S75&amp;"; ","")&amp;IF(M75="Cukup",T75&amp;"; ","")&amp;IF(N75="Cukup",U75&amp;"; ","")&amp;IF(O75="Cukup",V75&amp;"; ","")&amp;IF(P75="Cukup",W75&amp;"; ",""))</f>
        <v/>
      </c>
      <c r="Y75" s="66" t="str">
        <f aca="false">IF($A75="","",IF(K75="Nyaman","prosesor, ","")&amp;IF(L75="Nyaman","grafis, ","")&amp;IF(M75="Nyaman","RAM, ","")&amp;IF(N75="Nyaman","penyimpanan, ","")&amp;IF(O75="Nyaman","layar, ","")&amp;IF(P75="Nyaman","refresh rate, ",""))</f>
        <v/>
      </c>
      <c r="Z75" s="66" t="str">
        <f aca="false">IF($A75="","",IF(Q75="Tidak dinilai","Belum ada kriteria yang dinilai untuk kebutuhan ini.",IF(Q75="Cocok","Semua kriteria yang dinilai sudah nyaman: "&amp;LEFT(Y75,LEN(Y75)-2)&amp;".",UPPER(LEFT(X75,1))&amp;MID(X75,2,LEN(X75)-3)&amp;"."&amp;IF(Y75="",""," Sudah nyaman: "&amp;LEFT(Y75,LEN(Y75)-2)&amp;"."))))</f>
        <v/>
      </c>
      <c r="AA75" s="66" t="str">
        <f aca="false">IF($A75="","",IF(Varian!$AR19="Windows 10","• "&amp;Aturan!$E$71&amp;CHAR(10),"")&amp;IF(Varian!$BB19="tidak","• "&amp;Aturan!$E$72&amp;CHAR(10),"")&amp;IF(OR(Varian!$AD19="belum terverifikasi",Varian!$AD19="tidak diketahui"),"• "&amp;Aturan!$E$73&amp;CHAR(10),"")&amp;IF(Varian!$AH19="1366x768","• "&amp;Aturan!$E$74&amp;CHAR(10),"")&amp;IF(Varian!$AG19="TN","• "&amp;Aturan!$E$75&amp;CHAR(10),"")&amp;IF(AND(Varian!$Q19="disolder",ISNUMBER(Varian!$M19),Varian!$M19&lt;=8),"• "&amp;Aturan!$E$76&amp;CHAR(10),""))</f>
        <v/>
      </c>
      <c r="AB75" s="66" t="str">
        <f aca="false">IF($A75="","",IF(AA75="","",LEFT(AA75,LEN(AA75)-1)))</f>
        <v/>
      </c>
      <c r="AC75" s="67" t="str">
        <f aca="false">IF($A75="","",IF(AA75="",0,LEN(AA75)-LEN(SUBSTITUTE(AA75,CHAR(10),""))))</f>
        <v/>
      </c>
    </row>
    <row r="76" customFormat="false" ht="15" hidden="false" customHeight="true" outlineLevel="0" collapsed="false">
      <c r="A76" s="33" t="str">
        <f aca="false">IF(Varian!$A19="","",Varian!$A19)</f>
        <v/>
      </c>
      <c r="B76" s="33" t="str">
        <f aca="false">IF($A76="","",Aturan!$A$22)</f>
        <v/>
      </c>
      <c r="C76" s="69" t="str">
        <f aca="false">IF($A76="","",IFERROR(IF(ISNUMBER(INDEX(CPU!$J$4:$J$64,MATCH(Varian!$J19,CPU!$A$4:$A$64,0))),INDEX(CPU!$J$4:$J$64,MATCH(Varian!$J19,CPU!$A$4:$A$64,0)),""),""))</f>
        <v/>
      </c>
      <c r="D76" s="69" t="str">
        <f aca="false">IF($A76="","",IFERROR(IF(ISNUMBER(INDEX(GPU!$G$4:$G$64,MATCH(Varian!$K19,GPU!$A$4:$A$64,0))),INDEX(GPU!$G$4:$G$64,MATCH(Varian!$K19,GPU!$A$4:$A$64,0)),""),""))</f>
        <v/>
      </c>
      <c r="E76" s="69" t="str">
        <f aca="false">IF($A76="","",IF(ISNUMBER(Varian!$M19),Varian!$M19,""))</f>
        <v/>
      </c>
      <c r="F76" s="69" t="str">
        <f aca="false">IF($A76="","",IF(ISNUMBER(Varian!$V19),Varian!$V19,""))</f>
        <v/>
      </c>
      <c r="G76" s="69" t="str">
        <f aca="false">IF($A76="","",IFERROR(INDEX(Aturan!$B$63:$B$66,MATCH(Varian!$AG19,Aturan!$A$63:$A$66,0)),""))</f>
        <v/>
      </c>
      <c r="H76" s="69" t="str">
        <f aca="false">IF($A76="","",IF(ISNUMBER(Varian!$AI19),Varian!$AI19,""))</f>
        <v/>
      </c>
      <c r="I76" s="33" t="str">
        <f aca="false">IF($A76="","",IF(Varian!$Q19="disolder","menempel di papan utama, tidak bisa ditambah",IF(OR(Varian!$Q19="slot",Varian!$Q19="setengah_disolder"),IF(Varian!$Q19="setengah_disolder","sebagian menempel, ","")&amp;IF(ISNUMBER(Varian!$U19),IF(AND(ISNUMBER(Varian!$M19),Varian!$U19&gt;Varian!$M19),"bisa dinaikkan lewat slot sampai "&amp;Varian!$U19&amp;" GB","sudah di batas maksimal "&amp;Varian!$U19&amp;" GB"),"ada slot, batas maksimalnya belum diketahui"),"belum diketahui apakah bisa ditambah")))</f>
        <v/>
      </c>
      <c r="J76" s="33" t="str">
        <f aca="false">IF($A76="","",IF(Varian!$Z19="ya","bisa diganti dengan yang lebih besar",IF(Varian!$Z19="tidak","menempel, tidak bisa diganti","belum diketahui apakah bisa diganti")))</f>
        <v/>
      </c>
      <c r="K76" s="70" t="str">
        <f aca="false">IF($A76="","",IF(AND(Aturan!$C$36="",Aturan!$D$36=""),"Tidak dinilai",IF(C76="","Belum ada data",IF(C76&lt;IF(Aturan!$C$36="",0,Aturan!$C$36),"Kurang",IF(C76&gt;=IF(Aturan!$D$36="",Aturan!$C$36,Aturan!$D$36),"Nyaman","Cukup")))))</f>
        <v/>
      </c>
      <c r="L76" s="70" t="str">
        <f aca="false">IF($A76="","",IF(AND(Aturan!$C$37="",Aturan!$D$37=""),"Tidak dinilai",IF(D76="","Belum ada data",IF(D76&lt;IF(Aturan!$C$37="",0,Aturan!$C$37),"Kurang",IF(D76&gt;=IF(Aturan!$D$37="",Aturan!$C$37,Aturan!$D$37),"Nyaman","Cukup")))))</f>
        <v/>
      </c>
      <c r="M76" s="70" t="str">
        <f aca="false">IF($A76="","",IF(AND(Aturan!$C$38="",Aturan!$D$38=""),"Tidak dinilai",IF(E76="","Belum ada data",IF(E76&lt;IF(Aturan!$C$38="",0,Aturan!$C$38),"Kurang",IF(E76&gt;=IF(Aturan!$D$38="",Aturan!$C$38,Aturan!$D$38),"Nyaman","Cukup")))))</f>
        <v/>
      </c>
      <c r="N76" s="70" t="str">
        <f aca="false">IF($A76="","",IF(AND(Aturan!$C$39="",Aturan!$D$39=""),"Tidak dinilai",IF(F76="","Belum ada data",IF(F76&lt;IF(Aturan!$C$39="",0,Aturan!$C$39),"Kurang",IF(F76&gt;=IF(Aturan!$D$39="",Aturan!$C$39,Aturan!$D$39),"Nyaman","Cukup")))))</f>
        <v/>
      </c>
      <c r="O76" s="70" t="str">
        <f aca="false">IF($A76="","",IF(AND(Aturan!$C$40="",Aturan!$D$40=""),"Tidak dinilai",IF(G76="","Belum ada data",IF(G76&lt;IF(Aturan!$C$40="",0,Aturan!$C$40),"Kurang",IF(G76&gt;=IF(Aturan!$D$40="",Aturan!$C$40,Aturan!$D$40),"Nyaman","Cukup")))))</f>
        <v/>
      </c>
      <c r="P76" s="70" t="str">
        <f aca="false">IF($A76="","",IF(AND(Aturan!$C$41="",Aturan!$D$41=""),"Tidak dinilai",IF(H76="","Belum ada data",IF(H76&lt;IF(Aturan!$C$41="",0,Aturan!$C$41),"Kurang",IF(H76&gt;=IF(Aturan!$D$41="",Aturan!$C$41,Aturan!$D$41),"Nyaman","Cukup")))))</f>
        <v/>
      </c>
      <c r="Q76" s="70" t="str">
        <f aca="false">IF($A76="","",IF(COUNTIF(K76:P76,"Tidak dinilai")=6,"Tidak dinilai",IF(COUNTIF(K76:P76,"Kurang")&gt;0,"Kurang cocok",IF(COUNTIF(K76:P76,"Belum ada data")&gt;0,"Data belum lengkap",IF(COUNTIF(K76:P76,"Cukup")&gt;0,"Bisa, dengan catatan","Cocok")))))</f>
        <v/>
      </c>
      <c r="R76" s="33" t="str">
        <f aca="false">IF($A76="","",IF(K76="Kurang","prosesor tingkat "&amp;C76&amp;" dari 5, di bawah batas minimal (tingkat "&amp;Aturan!$C$36&amp;")",IF(K76="Cukup","prosesor tingkat "&amp;C76&amp;" dari 5 cukup, nyamannya mulai tingkat "&amp;Aturan!$D$36,IF(K76="Belum ada data","tingkat prosesor belum diisi",""))))</f>
        <v/>
      </c>
      <c r="S76" s="33" t="str">
        <f aca="false">IF($A76="","",IF(L76="Kurang","grafis tingkat "&amp;D76&amp;" dari 5, di bawah batas minimal (tingkat "&amp;Aturan!$C$37&amp;")",IF(L76="Cukup","grafis tingkat "&amp;D76&amp;" dari 5 cukup, nyamannya mulai tingkat "&amp;Aturan!$D$37,IF(L76="Belum ada data","tingkat grafis belum diisi",""))))</f>
        <v/>
      </c>
      <c r="T76" s="33" t="str">
        <f aca="false">IF($A76="","",IF(M76="Kurang","RAM "&amp;E76&amp;" GB, di bawah batas minimal "&amp;Aturan!$C$38&amp;" GB ("&amp;I76&amp;")",IF(M76="Cukup","RAM "&amp;E76&amp;" GB cukup, nyamannya "&amp;Aturan!$D$38&amp;" GB atau lebih ("&amp;I76&amp;")",IF(M76="Belum ada data","ukuran RAM belum diisi",""))))</f>
        <v/>
      </c>
      <c r="U76" s="33" t="str">
        <f aca="false">IF($A76="","",IF(N76="Kurang","penyimpanan "&amp;F76&amp;" GB, di bawah batas minimal "&amp;Aturan!$C$39&amp;" GB ("&amp;J76&amp;")",IF(N76="Cukup","penyimpanan "&amp;F76&amp;" GB cukup, nyamannya "&amp;Aturan!$D$39&amp;" GB atau lebih ("&amp;J76&amp;")",IF(N76="Belum ada data","ukuran penyimpanan belum diisi",""))))</f>
        <v/>
      </c>
      <c r="V76" s="33" t="str">
        <f aca="false">IF($A76="","",IF(O76="Kurang","layar "&amp;Varian!$AG19&amp;", di bawah batas minimal ("&amp;IFERROR(INDEX(Aturan!$A$63:$A$66,MATCH(Aturan!$C$40,Aturan!$B$63:$B$66,0)),"peringkat "&amp;Aturan!$C$40)&amp;")",IF(O76="Cukup","layar "&amp;Varian!$AG19&amp;" cukup, nyamannya "&amp;IFERROR(INDEX(Aturan!$A$63:$A$66,MATCH(Aturan!$D$40,Aturan!$B$63:$B$66,0)),"peringkat "&amp;Aturan!$D$40),IF(O76="Belum ada data","jenis layar belum diketahui",""))))</f>
        <v/>
      </c>
      <c r="W76" s="33" t="str">
        <f aca="false">IF($A76="","",IF(P76="Kurang","layar "&amp;H76&amp;" Hz, di bawah batas minimal "&amp;Aturan!$C$41&amp;" Hz",IF(P76="Cukup","layar "&amp;H76&amp;" Hz cukup, nyamannya "&amp;Aturan!$D$41&amp;" Hz atau lebih",IF(P76="Belum ada data","refresh rate belum diketahui",""))))</f>
        <v/>
      </c>
      <c r="X76" s="33" t="str">
        <f aca="false">IF($A76="","",IF(K76="Kurang",R76&amp;"; ","")&amp;IF(L76="Kurang",S76&amp;"; ","")&amp;IF(M76="Kurang",T76&amp;"; ","")&amp;IF(N76="Kurang",U76&amp;"; ","")&amp;IF(O76="Kurang",V76&amp;"; ","")&amp;IF(P76="Kurang",W76&amp;"; ","")&amp;IF(K76="Belum ada data",R76&amp;"; ","")&amp;IF(L76="Belum ada data",S76&amp;"; ","")&amp;IF(M76="Belum ada data",T76&amp;"; ","")&amp;IF(N76="Belum ada data",U76&amp;"; ","")&amp;IF(O76="Belum ada data",V76&amp;"; ","")&amp;IF(P76="Belum ada data",W76&amp;"; ","")&amp;IF(K76="Cukup",R76&amp;"; ","")&amp;IF(L76="Cukup",S76&amp;"; ","")&amp;IF(M76="Cukup",T76&amp;"; ","")&amp;IF(N76="Cukup",U76&amp;"; ","")&amp;IF(O76="Cukup",V76&amp;"; ","")&amp;IF(P76="Cukup",W76&amp;"; ",""))</f>
        <v/>
      </c>
      <c r="Y76" s="33" t="str">
        <f aca="false">IF($A76="","",IF(K76="Nyaman","prosesor, ","")&amp;IF(L76="Nyaman","grafis, ","")&amp;IF(M76="Nyaman","RAM, ","")&amp;IF(N76="Nyaman","penyimpanan, ","")&amp;IF(O76="Nyaman","layar, ","")&amp;IF(P76="Nyaman","refresh rate, ",""))</f>
        <v/>
      </c>
      <c r="Z76" s="33" t="str">
        <f aca="false">IF($A76="","",IF(Q76="Tidak dinilai","Belum ada kriteria yang dinilai untuk kebutuhan ini.",IF(Q76="Cocok","Semua kriteria yang dinilai sudah nyaman: "&amp;LEFT(Y76,LEN(Y76)-2)&amp;".",UPPER(LEFT(X76,1))&amp;MID(X76,2,LEN(X76)-3)&amp;"."&amp;IF(Y76="",""," Sudah nyaman: "&amp;LEFT(Y76,LEN(Y76)-2)&amp;"."))))</f>
        <v/>
      </c>
      <c r="AA76" s="33"/>
      <c r="AB76" s="33"/>
      <c r="AC76" s="69"/>
    </row>
    <row r="77" customFormat="false" ht="15" hidden="false" customHeight="true" outlineLevel="0" collapsed="false">
      <c r="A77" s="33" t="str">
        <f aca="false">IF(Varian!$A19="","",Varian!$A19)</f>
        <v/>
      </c>
      <c r="B77" s="33" t="str">
        <f aca="false">IF($A77="","",Aturan!$A$23)</f>
        <v/>
      </c>
      <c r="C77" s="69" t="str">
        <f aca="false">IF($A77="","",IFERROR(IF(ISNUMBER(INDEX(CPU!$J$4:$J$64,MATCH(Varian!$J19,CPU!$A$4:$A$64,0))),INDEX(CPU!$J$4:$J$64,MATCH(Varian!$J19,CPU!$A$4:$A$64,0)),""),""))</f>
        <v/>
      </c>
      <c r="D77" s="69" t="str">
        <f aca="false">IF($A77="","",IFERROR(IF(ISNUMBER(INDEX(GPU!$G$4:$G$64,MATCH(Varian!$K19,GPU!$A$4:$A$64,0))),INDEX(GPU!$G$4:$G$64,MATCH(Varian!$K19,GPU!$A$4:$A$64,0)),""),""))</f>
        <v/>
      </c>
      <c r="E77" s="69" t="str">
        <f aca="false">IF($A77="","",IF(ISNUMBER(Varian!$M19),Varian!$M19,""))</f>
        <v/>
      </c>
      <c r="F77" s="69" t="str">
        <f aca="false">IF($A77="","",IF(ISNUMBER(Varian!$V19),Varian!$V19,""))</f>
        <v/>
      </c>
      <c r="G77" s="69" t="str">
        <f aca="false">IF($A77="","",IFERROR(INDEX(Aturan!$B$63:$B$66,MATCH(Varian!$AG19,Aturan!$A$63:$A$66,0)),""))</f>
        <v/>
      </c>
      <c r="H77" s="69" t="str">
        <f aca="false">IF($A77="","",IF(ISNUMBER(Varian!$AI19),Varian!$AI19,""))</f>
        <v/>
      </c>
      <c r="I77" s="33" t="str">
        <f aca="false">IF($A77="","",IF(Varian!$Q19="disolder","menempel di papan utama, tidak bisa ditambah",IF(OR(Varian!$Q19="slot",Varian!$Q19="setengah_disolder"),IF(Varian!$Q19="setengah_disolder","sebagian menempel, ","")&amp;IF(ISNUMBER(Varian!$U19),IF(AND(ISNUMBER(Varian!$M19),Varian!$U19&gt;Varian!$M19),"bisa dinaikkan lewat slot sampai "&amp;Varian!$U19&amp;" GB","sudah di batas maksimal "&amp;Varian!$U19&amp;" GB"),"ada slot, batas maksimalnya belum diketahui"),"belum diketahui apakah bisa ditambah")))</f>
        <v/>
      </c>
      <c r="J77" s="33" t="str">
        <f aca="false">IF($A77="","",IF(Varian!$Z19="ya","bisa diganti dengan yang lebih besar",IF(Varian!$Z19="tidak","menempel, tidak bisa diganti","belum diketahui apakah bisa diganti")))</f>
        <v/>
      </c>
      <c r="K77" s="70" t="str">
        <f aca="false">IF($A77="","",IF(AND(Aturan!$C$42="",Aturan!$D$42=""),"Tidak dinilai",IF(C77="","Belum ada data",IF(C77&lt;IF(Aturan!$C$42="",0,Aturan!$C$42),"Kurang",IF(C77&gt;=IF(Aturan!$D$42="",Aturan!$C$42,Aturan!$D$42),"Nyaman","Cukup")))))</f>
        <v/>
      </c>
      <c r="L77" s="70" t="str">
        <f aca="false">IF($A77="","",IF(AND(Aturan!$C$43="",Aturan!$D$43=""),"Tidak dinilai",IF(D77="","Belum ada data",IF(D77&lt;IF(Aturan!$C$43="",0,Aturan!$C$43),"Kurang",IF(D77&gt;=IF(Aturan!$D$43="",Aturan!$C$43,Aturan!$D$43),"Nyaman","Cukup")))))</f>
        <v/>
      </c>
      <c r="M77" s="70" t="str">
        <f aca="false">IF($A77="","",IF(AND(Aturan!$C$44="",Aturan!$D$44=""),"Tidak dinilai",IF(E77="","Belum ada data",IF(E77&lt;IF(Aturan!$C$44="",0,Aturan!$C$44),"Kurang",IF(E77&gt;=IF(Aturan!$D$44="",Aturan!$C$44,Aturan!$D$44),"Nyaman","Cukup")))))</f>
        <v/>
      </c>
      <c r="N77" s="70" t="str">
        <f aca="false">IF($A77="","",IF(AND(Aturan!$C$45="",Aturan!$D$45=""),"Tidak dinilai",IF(F77="","Belum ada data",IF(F77&lt;IF(Aturan!$C$45="",0,Aturan!$C$45),"Kurang",IF(F77&gt;=IF(Aturan!$D$45="",Aturan!$C$45,Aturan!$D$45),"Nyaman","Cukup")))))</f>
        <v/>
      </c>
      <c r="O77" s="70" t="str">
        <f aca="false">IF($A77="","",IF(AND(Aturan!$C$46="",Aturan!$D$46=""),"Tidak dinilai",IF(G77="","Belum ada data",IF(G77&lt;IF(Aturan!$C$46="",0,Aturan!$C$46),"Kurang",IF(G77&gt;=IF(Aturan!$D$46="",Aturan!$C$46,Aturan!$D$46),"Nyaman","Cukup")))))</f>
        <v/>
      </c>
      <c r="P77" s="70" t="str">
        <f aca="false">IF($A77="","",IF(AND(Aturan!$C$47="",Aturan!$D$47=""),"Tidak dinilai",IF(H77="","Belum ada data",IF(H77&lt;IF(Aturan!$C$47="",0,Aturan!$C$47),"Kurang",IF(H77&gt;=IF(Aturan!$D$47="",Aturan!$C$47,Aturan!$D$47),"Nyaman","Cukup")))))</f>
        <v/>
      </c>
      <c r="Q77" s="70" t="str">
        <f aca="false">IF($A77="","",IF(COUNTIF(K77:P77,"Tidak dinilai")=6,"Tidak dinilai",IF(COUNTIF(K77:P77,"Kurang")&gt;0,"Kurang cocok",IF(COUNTIF(K77:P77,"Belum ada data")&gt;0,"Data belum lengkap",IF(COUNTIF(K77:P77,"Cukup")&gt;0,"Bisa, dengan catatan","Cocok")))))</f>
        <v/>
      </c>
      <c r="R77" s="33" t="str">
        <f aca="false">IF($A77="","",IF(K77="Kurang","prosesor tingkat "&amp;C77&amp;" dari 5, di bawah batas minimal (tingkat "&amp;Aturan!$C$42&amp;")",IF(K77="Cukup","prosesor tingkat "&amp;C77&amp;" dari 5 cukup, nyamannya mulai tingkat "&amp;Aturan!$D$42,IF(K77="Belum ada data","tingkat prosesor belum diisi",""))))</f>
        <v/>
      </c>
      <c r="S77" s="33" t="str">
        <f aca="false">IF($A77="","",IF(L77="Kurang","grafis tingkat "&amp;D77&amp;" dari 5, di bawah batas minimal (tingkat "&amp;Aturan!$C$43&amp;")",IF(L77="Cukup","grafis tingkat "&amp;D77&amp;" dari 5 cukup, nyamannya mulai tingkat "&amp;Aturan!$D$43,IF(L77="Belum ada data","tingkat grafis belum diisi",""))))</f>
        <v/>
      </c>
      <c r="T77" s="33" t="str">
        <f aca="false">IF($A77="","",IF(M77="Kurang","RAM "&amp;E77&amp;" GB, di bawah batas minimal "&amp;Aturan!$C$44&amp;" GB ("&amp;I77&amp;")",IF(M77="Cukup","RAM "&amp;E77&amp;" GB cukup, nyamannya "&amp;Aturan!$D$44&amp;" GB atau lebih ("&amp;I77&amp;")",IF(M77="Belum ada data","ukuran RAM belum diisi",""))))</f>
        <v/>
      </c>
      <c r="U77" s="33" t="str">
        <f aca="false">IF($A77="","",IF(N77="Kurang","penyimpanan "&amp;F77&amp;" GB, di bawah batas minimal "&amp;Aturan!$C$45&amp;" GB ("&amp;J77&amp;")",IF(N77="Cukup","penyimpanan "&amp;F77&amp;" GB cukup, nyamannya "&amp;Aturan!$D$45&amp;" GB atau lebih ("&amp;J77&amp;")",IF(N77="Belum ada data","ukuran penyimpanan belum diisi",""))))</f>
        <v/>
      </c>
      <c r="V77" s="33" t="str">
        <f aca="false">IF($A77="","",IF(O77="Kurang","layar "&amp;Varian!$AG19&amp;", di bawah batas minimal ("&amp;IFERROR(INDEX(Aturan!$A$63:$A$66,MATCH(Aturan!$C$46,Aturan!$B$63:$B$66,0)),"peringkat "&amp;Aturan!$C$46)&amp;")",IF(O77="Cukup","layar "&amp;Varian!$AG19&amp;" cukup, nyamannya "&amp;IFERROR(INDEX(Aturan!$A$63:$A$66,MATCH(Aturan!$D$46,Aturan!$B$63:$B$66,0)),"peringkat "&amp;Aturan!$D$46),IF(O77="Belum ada data","jenis layar belum diketahui",""))))</f>
        <v/>
      </c>
      <c r="W77" s="33" t="str">
        <f aca="false">IF($A77="","",IF(P77="Kurang","layar "&amp;H77&amp;" Hz, di bawah batas minimal "&amp;Aturan!$C$47&amp;" Hz",IF(P77="Cukup","layar "&amp;H77&amp;" Hz cukup, nyamannya "&amp;Aturan!$D$47&amp;" Hz atau lebih",IF(P77="Belum ada data","refresh rate belum diketahui",""))))</f>
        <v/>
      </c>
      <c r="X77" s="33" t="str">
        <f aca="false">IF($A77="","",IF(K77="Kurang",R77&amp;"; ","")&amp;IF(L77="Kurang",S77&amp;"; ","")&amp;IF(M77="Kurang",T77&amp;"; ","")&amp;IF(N77="Kurang",U77&amp;"; ","")&amp;IF(O77="Kurang",V77&amp;"; ","")&amp;IF(P77="Kurang",W77&amp;"; ","")&amp;IF(K77="Belum ada data",R77&amp;"; ","")&amp;IF(L77="Belum ada data",S77&amp;"; ","")&amp;IF(M77="Belum ada data",T77&amp;"; ","")&amp;IF(N77="Belum ada data",U77&amp;"; ","")&amp;IF(O77="Belum ada data",V77&amp;"; ","")&amp;IF(P77="Belum ada data",W77&amp;"; ","")&amp;IF(K77="Cukup",R77&amp;"; ","")&amp;IF(L77="Cukup",S77&amp;"; ","")&amp;IF(M77="Cukup",T77&amp;"; ","")&amp;IF(N77="Cukup",U77&amp;"; ","")&amp;IF(O77="Cukup",V77&amp;"; ","")&amp;IF(P77="Cukup",W77&amp;"; ",""))</f>
        <v/>
      </c>
      <c r="Y77" s="33" t="str">
        <f aca="false">IF($A77="","",IF(K77="Nyaman","prosesor, ","")&amp;IF(L77="Nyaman","grafis, ","")&amp;IF(M77="Nyaman","RAM, ","")&amp;IF(N77="Nyaman","penyimpanan, ","")&amp;IF(O77="Nyaman","layar, ","")&amp;IF(P77="Nyaman","refresh rate, ",""))</f>
        <v/>
      </c>
      <c r="Z77" s="33" t="str">
        <f aca="false">IF($A77="","",IF(Q77="Tidak dinilai","Belum ada kriteria yang dinilai untuk kebutuhan ini.",IF(Q77="Cocok","Semua kriteria yang dinilai sudah nyaman: "&amp;LEFT(Y77,LEN(Y77)-2)&amp;".",UPPER(LEFT(X77,1))&amp;MID(X77,2,LEN(X77)-3)&amp;"."&amp;IF(Y77="",""," Sudah nyaman: "&amp;LEFT(Y77,LEN(Y77)-2)&amp;"."))))</f>
        <v/>
      </c>
      <c r="AA77" s="33"/>
      <c r="AB77" s="33"/>
      <c r="AC77" s="69"/>
    </row>
    <row r="78" customFormat="false" ht="15" hidden="false" customHeight="true" outlineLevel="0" collapsed="false">
      <c r="A78" s="33" t="str">
        <f aca="false">IF(Varian!$A19="","",Varian!$A19)</f>
        <v/>
      </c>
      <c r="B78" s="33" t="str">
        <f aca="false">IF($A78="","",Aturan!$A$24)</f>
        <v/>
      </c>
      <c r="C78" s="69" t="str">
        <f aca="false">IF($A78="","",IFERROR(IF(ISNUMBER(INDEX(CPU!$J$4:$J$64,MATCH(Varian!$J19,CPU!$A$4:$A$64,0))),INDEX(CPU!$J$4:$J$64,MATCH(Varian!$J19,CPU!$A$4:$A$64,0)),""),""))</f>
        <v/>
      </c>
      <c r="D78" s="69" t="str">
        <f aca="false">IF($A78="","",IFERROR(IF(ISNUMBER(INDEX(GPU!$G$4:$G$64,MATCH(Varian!$K19,GPU!$A$4:$A$64,0))),INDEX(GPU!$G$4:$G$64,MATCH(Varian!$K19,GPU!$A$4:$A$64,0)),""),""))</f>
        <v/>
      </c>
      <c r="E78" s="69" t="str">
        <f aca="false">IF($A78="","",IF(ISNUMBER(Varian!$M19),Varian!$M19,""))</f>
        <v/>
      </c>
      <c r="F78" s="69" t="str">
        <f aca="false">IF($A78="","",IF(ISNUMBER(Varian!$V19),Varian!$V19,""))</f>
        <v/>
      </c>
      <c r="G78" s="69" t="str">
        <f aca="false">IF($A78="","",IFERROR(INDEX(Aturan!$B$63:$B$66,MATCH(Varian!$AG19,Aturan!$A$63:$A$66,0)),""))</f>
        <v/>
      </c>
      <c r="H78" s="69" t="str">
        <f aca="false">IF($A78="","",IF(ISNUMBER(Varian!$AI19),Varian!$AI19,""))</f>
        <v/>
      </c>
      <c r="I78" s="33" t="str">
        <f aca="false">IF($A78="","",IF(Varian!$Q19="disolder","menempel di papan utama, tidak bisa ditambah",IF(OR(Varian!$Q19="slot",Varian!$Q19="setengah_disolder"),IF(Varian!$Q19="setengah_disolder","sebagian menempel, ","")&amp;IF(ISNUMBER(Varian!$U19),IF(AND(ISNUMBER(Varian!$M19),Varian!$U19&gt;Varian!$M19),"bisa dinaikkan lewat slot sampai "&amp;Varian!$U19&amp;" GB","sudah di batas maksimal "&amp;Varian!$U19&amp;" GB"),"ada slot, batas maksimalnya belum diketahui"),"belum diketahui apakah bisa ditambah")))</f>
        <v/>
      </c>
      <c r="J78" s="33" t="str">
        <f aca="false">IF($A78="","",IF(Varian!$Z19="ya","bisa diganti dengan yang lebih besar",IF(Varian!$Z19="tidak","menempel, tidak bisa diganti","belum diketahui apakah bisa diganti")))</f>
        <v/>
      </c>
      <c r="K78" s="70" t="str">
        <f aca="false">IF($A78="","",IF(AND(Aturan!$C$48="",Aturan!$D$48=""),"Tidak dinilai",IF(C78="","Belum ada data",IF(C78&lt;IF(Aturan!$C$48="",0,Aturan!$C$48),"Kurang",IF(C78&gt;=IF(Aturan!$D$48="",Aturan!$C$48,Aturan!$D$48),"Nyaman","Cukup")))))</f>
        <v/>
      </c>
      <c r="L78" s="70" t="str">
        <f aca="false">IF($A78="","",IF(AND(Aturan!$C$49="",Aturan!$D$49=""),"Tidak dinilai",IF(D78="","Belum ada data",IF(D78&lt;IF(Aturan!$C$49="",0,Aturan!$C$49),"Kurang",IF(D78&gt;=IF(Aturan!$D$49="",Aturan!$C$49,Aturan!$D$49),"Nyaman","Cukup")))))</f>
        <v/>
      </c>
      <c r="M78" s="70" t="str">
        <f aca="false">IF($A78="","",IF(AND(Aturan!$C$50="",Aturan!$D$50=""),"Tidak dinilai",IF(E78="","Belum ada data",IF(E78&lt;IF(Aturan!$C$50="",0,Aturan!$C$50),"Kurang",IF(E78&gt;=IF(Aturan!$D$50="",Aturan!$C$50,Aturan!$D$50),"Nyaman","Cukup")))))</f>
        <v/>
      </c>
      <c r="N78" s="70" t="str">
        <f aca="false">IF($A78="","",IF(AND(Aturan!$C$51="",Aturan!$D$51=""),"Tidak dinilai",IF(F78="","Belum ada data",IF(F78&lt;IF(Aturan!$C$51="",0,Aturan!$C$51),"Kurang",IF(F78&gt;=IF(Aturan!$D$51="",Aturan!$C$51,Aturan!$D$51),"Nyaman","Cukup")))))</f>
        <v/>
      </c>
      <c r="O78" s="70" t="str">
        <f aca="false">IF($A78="","",IF(AND(Aturan!$C$52="",Aturan!$D$52=""),"Tidak dinilai",IF(G78="","Belum ada data",IF(G78&lt;IF(Aturan!$C$52="",0,Aturan!$C$52),"Kurang",IF(G78&gt;=IF(Aturan!$D$52="",Aturan!$C$52,Aturan!$D$52),"Nyaman","Cukup")))))</f>
        <v/>
      </c>
      <c r="P78" s="70" t="str">
        <f aca="false">IF($A78="","",IF(AND(Aturan!$C$53="",Aturan!$D$53=""),"Tidak dinilai",IF(H78="","Belum ada data",IF(H78&lt;IF(Aturan!$C$53="",0,Aturan!$C$53),"Kurang",IF(H78&gt;=IF(Aturan!$D$53="",Aturan!$C$53,Aturan!$D$53),"Nyaman","Cukup")))))</f>
        <v/>
      </c>
      <c r="Q78" s="70" t="str">
        <f aca="false">IF($A78="","",IF(COUNTIF(K78:P78,"Tidak dinilai")=6,"Tidak dinilai",IF(COUNTIF(K78:P78,"Kurang")&gt;0,"Kurang cocok",IF(COUNTIF(K78:P78,"Belum ada data")&gt;0,"Data belum lengkap",IF(COUNTIF(K78:P78,"Cukup")&gt;0,"Bisa, dengan catatan","Cocok")))))</f>
        <v/>
      </c>
      <c r="R78" s="33" t="str">
        <f aca="false">IF($A78="","",IF(K78="Kurang","prosesor tingkat "&amp;C78&amp;" dari 5, di bawah batas minimal (tingkat "&amp;Aturan!$C$48&amp;")",IF(K78="Cukup","prosesor tingkat "&amp;C78&amp;" dari 5 cukup, nyamannya mulai tingkat "&amp;Aturan!$D$48,IF(K78="Belum ada data","tingkat prosesor belum diisi",""))))</f>
        <v/>
      </c>
      <c r="S78" s="33" t="str">
        <f aca="false">IF($A78="","",IF(L78="Kurang","grafis tingkat "&amp;D78&amp;" dari 5, di bawah batas minimal (tingkat "&amp;Aturan!$C$49&amp;")",IF(L78="Cukup","grafis tingkat "&amp;D78&amp;" dari 5 cukup, nyamannya mulai tingkat "&amp;Aturan!$D$49,IF(L78="Belum ada data","tingkat grafis belum diisi",""))))</f>
        <v/>
      </c>
      <c r="T78" s="33" t="str">
        <f aca="false">IF($A78="","",IF(M78="Kurang","RAM "&amp;E78&amp;" GB, di bawah batas minimal "&amp;Aturan!$C$50&amp;" GB ("&amp;I78&amp;")",IF(M78="Cukup","RAM "&amp;E78&amp;" GB cukup, nyamannya "&amp;Aturan!$D$50&amp;" GB atau lebih ("&amp;I78&amp;")",IF(M78="Belum ada data","ukuran RAM belum diisi",""))))</f>
        <v/>
      </c>
      <c r="U78" s="33" t="str">
        <f aca="false">IF($A78="","",IF(N78="Kurang","penyimpanan "&amp;F78&amp;" GB, di bawah batas minimal "&amp;Aturan!$C$51&amp;" GB ("&amp;J78&amp;")",IF(N78="Cukup","penyimpanan "&amp;F78&amp;" GB cukup, nyamannya "&amp;Aturan!$D$51&amp;" GB atau lebih ("&amp;J78&amp;")",IF(N78="Belum ada data","ukuran penyimpanan belum diisi",""))))</f>
        <v/>
      </c>
      <c r="V78" s="33" t="str">
        <f aca="false">IF($A78="","",IF(O78="Kurang","layar "&amp;Varian!$AG19&amp;", di bawah batas minimal ("&amp;IFERROR(INDEX(Aturan!$A$63:$A$66,MATCH(Aturan!$C$52,Aturan!$B$63:$B$66,0)),"peringkat "&amp;Aturan!$C$52)&amp;")",IF(O78="Cukup","layar "&amp;Varian!$AG19&amp;" cukup, nyamannya "&amp;IFERROR(INDEX(Aturan!$A$63:$A$66,MATCH(Aturan!$D$52,Aturan!$B$63:$B$66,0)),"peringkat "&amp;Aturan!$D$52),IF(O78="Belum ada data","jenis layar belum diketahui",""))))</f>
        <v/>
      </c>
      <c r="W78" s="33" t="str">
        <f aca="false">IF($A78="","",IF(P78="Kurang","layar "&amp;H78&amp;" Hz, di bawah batas minimal "&amp;Aturan!$C$53&amp;" Hz",IF(P78="Cukup","layar "&amp;H78&amp;" Hz cukup, nyamannya "&amp;Aturan!$D$53&amp;" Hz atau lebih",IF(P78="Belum ada data","refresh rate belum diketahui",""))))</f>
        <v/>
      </c>
      <c r="X78" s="33" t="str">
        <f aca="false">IF($A78="","",IF(K78="Kurang",R78&amp;"; ","")&amp;IF(L78="Kurang",S78&amp;"; ","")&amp;IF(M78="Kurang",T78&amp;"; ","")&amp;IF(N78="Kurang",U78&amp;"; ","")&amp;IF(O78="Kurang",V78&amp;"; ","")&amp;IF(P78="Kurang",W78&amp;"; ","")&amp;IF(K78="Belum ada data",R78&amp;"; ","")&amp;IF(L78="Belum ada data",S78&amp;"; ","")&amp;IF(M78="Belum ada data",T78&amp;"; ","")&amp;IF(N78="Belum ada data",U78&amp;"; ","")&amp;IF(O78="Belum ada data",V78&amp;"; ","")&amp;IF(P78="Belum ada data",W78&amp;"; ","")&amp;IF(K78="Cukup",R78&amp;"; ","")&amp;IF(L78="Cukup",S78&amp;"; ","")&amp;IF(M78="Cukup",T78&amp;"; ","")&amp;IF(N78="Cukup",U78&amp;"; ","")&amp;IF(O78="Cukup",V78&amp;"; ","")&amp;IF(P78="Cukup",W78&amp;"; ",""))</f>
        <v/>
      </c>
      <c r="Y78" s="33" t="str">
        <f aca="false">IF($A78="","",IF(K78="Nyaman","prosesor, ","")&amp;IF(L78="Nyaman","grafis, ","")&amp;IF(M78="Nyaman","RAM, ","")&amp;IF(N78="Nyaman","penyimpanan, ","")&amp;IF(O78="Nyaman","layar, ","")&amp;IF(P78="Nyaman","refresh rate, ",""))</f>
        <v/>
      </c>
      <c r="Z78" s="33" t="str">
        <f aca="false">IF($A78="","",IF(Q78="Tidak dinilai","Belum ada kriteria yang dinilai untuk kebutuhan ini.",IF(Q78="Cocok","Semua kriteria yang dinilai sudah nyaman: "&amp;LEFT(Y78,LEN(Y78)-2)&amp;".",UPPER(LEFT(X78,1))&amp;MID(X78,2,LEN(X78)-3)&amp;"."&amp;IF(Y78="",""," Sudah nyaman: "&amp;LEFT(Y78,LEN(Y78)-2)&amp;"."))))</f>
        <v/>
      </c>
      <c r="AA78" s="33"/>
      <c r="AB78" s="33"/>
      <c r="AC78" s="69"/>
    </row>
    <row r="79" customFormat="false" ht="15" hidden="false" customHeight="true" outlineLevel="0" collapsed="false">
      <c r="A79" s="33" t="str">
        <f aca="false">IF(Varian!$A19="","",Varian!$A19)</f>
        <v/>
      </c>
      <c r="B79" s="33" t="str">
        <f aca="false">IF($A79="","",Aturan!$A$25)</f>
        <v/>
      </c>
      <c r="C79" s="69" t="str">
        <f aca="false">IF($A79="","",IFERROR(IF(ISNUMBER(INDEX(CPU!$J$4:$J$64,MATCH(Varian!$J19,CPU!$A$4:$A$64,0))),INDEX(CPU!$J$4:$J$64,MATCH(Varian!$J19,CPU!$A$4:$A$64,0)),""),""))</f>
        <v/>
      </c>
      <c r="D79" s="69" t="str">
        <f aca="false">IF($A79="","",IFERROR(IF(ISNUMBER(INDEX(GPU!$G$4:$G$64,MATCH(Varian!$K19,GPU!$A$4:$A$64,0))),INDEX(GPU!$G$4:$G$64,MATCH(Varian!$K19,GPU!$A$4:$A$64,0)),""),""))</f>
        <v/>
      </c>
      <c r="E79" s="69" t="str">
        <f aca="false">IF($A79="","",IF(ISNUMBER(Varian!$M19),Varian!$M19,""))</f>
        <v/>
      </c>
      <c r="F79" s="69" t="str">
        <f aca="false">IF($A79="","",IF(ISNUMBER(Varian!$V19),Varian!$V19,""))</f>
        <v/>
      </c>
      <c r="G79" s="69" t="str">
        <f aca="false">IF($A79="","",IFERROR(INDEX(Aturan!$B$63:$B$66,MATCH(Varian!$AG19,Aturan!$A$63:$A$66,0)),""))</f>
        <v/>
      </c>
      <c r="H79" s="69" t="str">
        <f aca="false">IF($A79="","",IF(ISNUMBER(Varian!$AI19),Varian!$AI19,""))</f>
        <v/>
      </c>
      <c r="I79" s="33" t="str">
        <f aca="false">IF($A79="","",IF(Varian!$Q19="disolder","menempel di papan utama, tidak bisa ditambah",IF(OR(Varian!$Q19="slot",Varian!$Q19="setengah_disolder"),IF(Varian!$Q19="setengah_disolder","sebagian menempel, ","")&amp;IF(ISNUMBER(Varian!$U19),IF(AND(ISNUMBER(Varian!$M19),Varian!$U19&gt;Varian!$M19),"bisa dinaikkan lewat slot sampai "&amp;Varian!$U19&amp;" GB","sudah di batas maksimal "&amp;Varian!$U19&amp;" GB"),"ada slot, batas maksimalnya belum diketahui"),"belum diketahui apakah bisa ditambah")))</f>
        <v/>
      </c>
      <c r="J79" s="33" t="str">
        <f aca="false">IF($A79="","",IF(Varian!$Z19="ya","bisa diganti dengan yang lebih besar",IF(Varian!$Z19="tidak","menempel, tidak bisa diganti","belum diketahui apakah bisa diganti")))</f>
        <v/>
      </c>
      <c r="K79" s="70" t="str">
        <f aca="false">IF($A79="","",IF(AND(Aturan!$C$54="",Aturan!$D$54=""),"Tidak dinilai",IF(C79="","Belum ada data",IF(C79&lt;IF(Aturan!$C$54="",0,Aturan!$C$54),"Kurang",IF(C79&gt;=IF(Aturan!$D$54="",Aturan!$C$54,Aturan!$D$54),"Nyaman","Cukup")))))</f>
        <v/>
      </c>
      <c r="L79" s="70" t="str">
        <f aca="false">IF($A79="","",IF(AND(Aturan!$C$55="",Aturan!$D$55=""),"Tidak dinilai",IF(D79="","Belum ada data",IF(D79&lt;IF(Aturan!$C$55="",0,Aturan!$C$55),"Kurang",IF(D79&gt;=IF(Aturan!$D$55="",Aturan!$C$55,Aturan!$D$55),"Nyaman","Cukup")))))</f>
        <v/>
      </c>
      <c r="M79" s="70" t="str">
        <f aca="false">IF($A79="","",IF(AND(Aturan!$C$56="",Aturan!$D$56=""),"Tidak dinilai",IF(E79="","Belum ada data",IF(E79&lt;IF(Aturan!$C$56="",0,Aturan!$C$56),"Kurang",IF(E79&gt;=IF(Aturan!$D$56="",Aturan!$C$56,Aturan!$D$56),"Nyaman","Cukup")))))</f>
        <v/>
      </c>
      <c r="N79" s="70" t="str">
        <f aca="false">IF($A79="","",IF(AND(Aturan!$C$57="",Aturan!$D$57=""),"Tidak dinilai",IF(F79="","Belum ada data",IF(F79&lt;IF(Aturan!$C$57="",0,Aturan!$C$57),"Kurang",IF(F79&gt;=IF(Aturan!$D$57="",Aturan!$C$57,Aturan!$D$57),"Nyaman","Cukup")))))</f>
        <v/>
      </c>
      <c r="O79" s="70" t="str">
        <f aca="false">IF($A79="","",IF(AND(Aturan!$C$58="",Aturan!$D$58=""),"Tidak dinilai",IF(G79="","Belum ada data",IF(G79&lt;IF(Aturan!$C$58="",0,Aturan!$C$58),"Kurang",IF(G79&gt;=IF(Aturan!$D$58="",Aturan!$C$58,Aturan!$D$58),"Nyaman","Cukup")))))</f>
        <v/>
      </c>
      <c r="P79" s="70" t="str">
        <f aca="false">IF($A79="","",IF(AND(Aturan!$C$59="",Aturan!$D$59=""),"Tidak dinilai",IF(H79="","Belum ada data",IF(H79&lt;IF(Aturan!$C$59="",0,Aturan!$C$59),"Kurang",IF(H79&gt;=IF(Aturan!$D$59="",Aturan!$C$59,Aturan!$D$59),"Nyaman","Cukup")))))</f>
        <v/>
      </c>
      <c r="Q79" s="70" t="str">
        <f aca="false">IF($A79="","",IF(COUNTIF(K79:P79,"Tidak dinilai")=6,"Tidak dinilai",IF(COUNTIF(K79:P79,"Kurang")&gt;0,"Kurang cocok",IF(COUNTIF(K79:P79,"Belum ada data")&gt;0,"Data belum lengkap",IF(COUNTIF(K79:P79,"Cukup")&gt;0,"Bisa, dengan catatan","Cocok")))))</f>
        <v/>
      </c>
      <c r="R79" s="33" t="str">
        <f aca="false">IF($A79="","",IF(K79="Kurang","prosesor tingkat "&amp;C79&amp;" dari 5, di bawah batas minimal (tingkat "&amp;Aturan!$C$54&amp;")",IF(K79="Cukup","prosesor tingkat "&amp;C79&amp;" dari 5 cukup, nyamannya mulai tingkat "&amp;Aturan!$D$54,IF(K79="Belum ada data","tingkat prosesor belum diisi",""))))</f>
        <v/>
      </c>
      <c r="S79" s="33" t="str">
        <f aca="false">IF($A79="","",IF(L79="Kurang","grafis tingkat "&amp;D79&amp;" dari 5, di bawah batas minimal (tingkat "&amp;Aturan!$C$55&amp;")",IF(L79="Cukup","grafis tingkat "&amp;D79&amp;" dari 5 cukup, nyamannya mulai tingkat "&amp;Aturan!$D$55,IF(L79="Belum ada data","tingkat grafis belum diisi",""))))</f>
        <v/>
      </c>
      <c r="T79" s="33" t="str">
        <f aca="false">IF($A79="","",IF(M79="Kurang","RAM "&amp;E79&amp;" GB, di bawah batas minimal "&amp;Aturan!$C$56&amp;" GB ("&amp;I79&amp;")",IF(M79="Cukup","RAM "&amp;E79&amp;" GB cukup, nyamannya "&amp;Aturan!$D$56&amp;" GB atau lebih ("&amp;I79&amp;")",IF(M79="Belum ada data","ukuran RAM belum diisi",""))))</f>
        <v/>
      </c>
      <c r="U79" s="33" t="str">
        <f aca="false">IF($A79="","",IF(N79="Kurang","penyimpanan "&amp;F79&amp;" GB, di bawah batas minimal "&amp;Aturan!$C$57&amp;" GB ("&amp;J79&amp;")",IF(N79="Cukup","penyimpanan "&amp;F79&amp;" GB cukup, nyamannya "&amp;Aturan!$D$57&amp;" GB atau lebih ("&amp;J79&amp;")",IF(N79="Belum ada data","ukuran penyimpanan belum diisi",""))))</f>
        <v/>
      </c>
      <c r="V79" s="33" t="str">
        <f aca="false">IF($A79="","",IF(O79="Kurang","layar "&amp;Varian!$AG19&amp;", di bawah batas minimal ("&amp;IFERROR(INDEX(Aturan!$A$63:$A$66,MATCH(Aturan!$C$58,Aturan!$B$63:$B$66,0)),"peringkat "&amp;Aturan!$C$58)&amp;")",IF(O79="Cukup","layar "&amp;Varian!$AG19&amp;" cukup, nyamannya "&amp;IFERROR(INDEX(Aturan!$A$63:$A$66,MATCH(Aturan!$D$58,Aturan!$B$63:$B$66,0)),"peringkat "&amp;Aturan!$D$58),IF(O79="Belum ada data","jenis layar belum diketahui",""))))</f>
        <v/>
      </c>
      <c r="W79" s="33" t="str">
        <f aca="false">IF($A79="","",IF(P79="Kurang","layar "&amp;H79&amp;" Hz, di bawah batas minimal "&amp;Aturan!$C$59&amp;" Hz",IF(P79="Cukup","layar "&amp;H79&amp;" Hz cukup, nyamannya "&amp;Aturan!$D$59&amp;" Hz atau lebih",IF(P79="Belum ada data","refresh rate belum diketahui",""))))</f>
        <v/>
      </c>
      <c r="X79" s="33" t="str">
        <f aca="false">IF($A79="","",IF(K79="Kurang",R79&amp;"; ","")&amp;IF(L79="Kurang",S79&amp;"; ","")&amp;IF(M79="Kurang",T79&amp;"; ","")&amp;IF(N79="Kurang",U79&amp;"; ","")&amp;IF(O79="Kurang",V79&amp;"; ","")&amp;IF(P79="Kurang",W79&amp;"; ","")&amp;IF(K79="Belum ada data",R79&amp;"; ","")&amp;IF(L79="Belum ada data",S79&amp;"; ","")&amp;IF(M79="Belum ada data",T79&amp;"; ","")&amp;IF(N79="Belum ada data",U79&amp;"; ","")&amp;IF(O79="Belum ada data",V79&amp;"; ","")&amp;IF(P79="Belum ada data",W79&amp;"; ","")&amp;IF(K79="Cukup",R79&amp;"; ","")&amp;IF(L79="Cukup",S79&amp;"; ","")&amp;IF(M79="Cukup",T79&amp;"; ","")&amp;IF(N79="Cukup",U79&amp;"; ","")&amp;IF(O79="Cukup",V79&amp;"; ","")&amp;IF(P79="Cukup",W79&amp;"; ",""))</f>
        <v/>
      </c>
      <c r="Y79" s="33" t="str">
        <f aca="false">IF($A79="","",IF(K79="Nyaman","prosesor, ","")&amp;IF(L79="Nyaman","grafis, ","")&amp;IF(M79="Nyaman","RAM, ","")&amp;IF(N79="Nyaman","penyimpanan, ","")&amp;IF(O79="Nyaman","layar, ","")&amp;IF(P79="Nyaman","refresh rate, ",""))</f>
        <v/>
      </c>
      <c r="Z79" s="33" t="str">
        <f aca="false">IF($A79="","",IF(Q79="Tidak dinilai","Belum ada kriteria yang dinilai untuk kebutuhan ini.",IF(Q79="Cocok","Semua kriteria yang dinilai sudah nyaman: "&amp;LEFT(Y79,LEN(Y79)-2)&amp;".",UPPER(LEFT(X79,1))&amp;MID(X79,2,LEN(X79)-3)&amp;"."&amp;IF(Y79="",""," Sudah nyaman: "&amp;LEFT(Y79,LEN(Y79)-2)&amp;"."))))</f>
        <v/>
      </c>
      <c r="AA79" s="33"/>
      <c r="AB79" s="33"/>
      <c r="AC79" s="69"/>
    </row>
    <row r="80" customFormat="false" ht="15" hidden="false" customHeight="true" outlineLevel="0" collapsed="false">
      <c r="A80" s="66" t="str">
        <f aca="false">IF(Varian!$A20="","",Varian!$A20)</f>
        <v/>
      </c>
      <c r="B80" s="66" t="str">
        <f aca="false">IF($A80="","",Aturan!$A$21)</f>
        <v/>
      </c>
      <c r="C80" s="67" t="str">
        <f aca="false">IF($A80="","",IFERROR(IF(ISNUMBER(INDEX(CPU!$J$4:$J$64,MATCH(Varian!$J20,CPU!$A$4:$A$64,0))),INDEX(CPU!$J$4:$J$64,MATCH(Varian!$J20,CPU!$A$4:$A$64,0)),""),""))</f>
        <v/>
      </c>
      <c r="D80" s="67" t="str">
        <f aca="false">IF($A80="","",IFERROR(IF(ISNUMBER(INDEX(GPU!$G$4:$G$64,MATCH(Varian!$K20,GPU!$A$4:$A$64,0))),INDEX(GPU!$G$4:$G$64,MATCH(Varian!$K20,GPU!$A$4:$A$64,0)),""),""))</f>
        <v/>
      </c>
      <c r="E80" s="67" t="str">
        <f aca="false">IF($A80="","",IF(ISNUMBER(Varian!$M20),Varian!$M20,""))</f>
        <v/>
      </c>
      <c r="F80" s="67" t="str">
        <f aca="false">IF($A80="","",IF(ISNUMBER(Varian!$V20),Varian!$V20,""))</f>
        <v/>
      </c>
      <c r="G80" s="67" t="str">
        <f aca="false">IF($A80="","",IFERROR(INDEX(Aturan!$B$63:$B$66,MATCH(Varian!$AG20,Aturan!$A$63:$A$66,0)),""))</f>
        <v/>
      </c>
      <c r="H80" s="67" t="str">
        <f aca="false">IF($A80="","",IF(ISNUMBER(Varian!$AI20),Varian!$AI20,""))</f>
        <v/>
      </c>
      <c r="I80" s="66" t="str">
        <f aca="false">IF($A80="","",IF(Varian!$Q20="disolder","menempel di papan utama, tidak bisa ditambah",IF(OR(Varian!$Q20="slot",Varian!$Q20="setengah_disolder"),IF(Varian!$Q20="setengah_disolder","sebagian menempel, ","")&amp;IF(ISNUMBER(Varian!$U20),IF(AND(ISNUMBER(Varian!$M20),Varian!$U20&gt;Varian!$M20),"bisa dinaikkan lewat slot sampai "&amp;Varian!$U20&amp;" GB","sudah di batas maksimal "&amp;Varian!$U20&amp;" GB"),"ada slot, batas maksimalnya belum diketahui"),"belum diketahui apakah bisa ditambah")))</f>
        <v/>
      </c>
      <c r="J80" s="66" t="str">
        <f aca="false">IF($A80="","",IF(Varian!$Z20="ya","bisa diganti dengan yang lebih besar",IF(Varian!$Z20="tidak","menempel, tidak bisa diganti","belum diketahui apakah bisa diganti")))</f>
        <v/>
      </c>
      <c r="K80" s="68" t="str">
        <f aca="false">IF($A80="","",IF(AND(Aturan!$C$30="",Aturan!$D$30=""),"Tidak dinilai",IF(C80="","Belum ada data",IF(C80&lt;IF(Aturan!$C$30="",0,Aturan!$C$30),"Kurang",IF(C80&gt;=IF(Aturan!$D$30="",Aturan!$C$30,Aturan!$D$30),"Nyaman","Cukup")))))</f>
        <v/>
      </c>
      <c r="L80" s="68" t="str">
        <f aca="false">IF($A80="","",IF(AND(Aturan!$C$31="",Aturan!$D$31=""),"Tidak dinilai",IF(D80="","Belum ada data",IF(D80&lt;IF(Aturan!$C$31="",0,Aturan!$C$31),"Kurang",IF(D80&gt;=IF(Aturan!$D$31="",Aturan!$C$31,Aturan!$D$31),"Nyaman","Cukup")))))</f>
        <v/>
      </c>
      <c r="M80" s="68" t="str">
        <f aca="false">IF($A80="","",IF(AND(Aturan!$C$32="",Aturan!$D$32=""),"Tidak dinilai",IF(E80="","Belum ada data",IF(E80&lt;IF(Aturan!$C$32="",0,Aturan!$C$32),"Kurang",IF(E80&gt;=IF(Aturan!$D$32="",Aturan!$C$32,Aturan!$D$32),"Nyaman","Cukup")))))</f>
        <v/>
      </c>
      <c r="N80" s="68" t="str">
        <f aca="false">IF($A80="","",IF(AND(Aturan!$C$33="",Aturan!$D$33=""),"Tidak dinilai",IF(F80="","Belum ada data",IF(F80&lt;IF(Aturan!$C$33="",0,Aturan!$C$33),"Kurang",IF(F80&gt;=IF(Aturan!$D$33="",Aturan!$C$33,Aturan!$D$33),"Nyaman","Cukup")))))</f>
        <v/>
      </c>
      <c r="O80" s="68" t="str">
        <f aca="false">IF($A80="","",IF(AND(Aturan!$C$34="",Aturan!$D$34=""),"Tidak dinilai",IF(G80="","Belum ada data",IF(G80&lt;IF(Aturan!$C$34="",0,Aturan!$C$34),"Kurang",IF(G80&gt;=IF(Aturan!$D$34="",Aturan!$C$34,Aturan!$D$34),"Nyaman","Cukup")))))</f>
        <v/>
      </c>
      <c r="P80" s="68" t="str">
        <f aca="false">IF($A80="","",IF(AND(Aturan!$C$35="",Aturan!$D$35=""),"Tidak dinilai",IF(H80="","Belum ada data",IF(H80&lt;IF(Aturan!$C$35="",0,Aturan!$C$35),"Kurang",IF(H80&gt;=IF(Aturan!$D$35="",Aturan!$C$35,Aturan!$D$35),"Nyaman","Cukup")))))</f>
        <v/>
      </c>
      <c r="Q80" s="68" t="str">
        <f aca="false">IF($A80="","",IF(COUNTIF(K80:P80,"Tidak dinilai")=6,"Tidak dinilai",IF(COUNTIF(K80:P80,"Kurang")&gt;0,"Kurang cocok",IF(COUNTIF(K80:P80,"Belum ada data")&gt;0,"Data belum lengkap",IF(COUNTIF(K80:P80,"Cukup")&gt;0,"Bisa, dengan catatan","Cocok")))))</f>
        <v/>
      </c>
      <c r="R80" s="66" t="str">
        <f aca="false">IF($A80="","",IF(K80="Kurang","prosesor tingkat "&amp;C80&amp;" dari 5, di bawah batas minimal (tingkat "&amp;Aturan!$C$30&amp;")",IF(K80="Cukup","prosesor tingkat "&amp;C80&amp;" dari 5 cukup, nyamannya mulai tingkat "&amp;Aturan!$D$30,IF(K80="Belum ada data","tingkat prosesor belum diisi",""))))</f>
        <v/>
      </c>
      <c r="S80" s="66" t="str">
        <f aca="false">IF($A80="","",IF(L80="Kurang","grafis tingkat "&amp;D80&amp;" dari 5, di bawah batas minimal (tingkat "&amp;Aturan!$C$31&amp;")",IF(L80="Cukup","grafis tingkat "&amp;D80&amp;" dari 5 cukup, nyamannya mulai tingkat "&amp;Aturan!$D$31,IF(L80="Belum ada data","tingkat grafis belum diisi",""))))</f>
        <v/>
      </c>
      <c r="T80" s="66" t="str">
        <f aca="false">IF($A80="","",IF(M80="Kurang","RAM "&amp;E80&amp;" GB, di bawah batas minimal "&amp;Aturan!$C$32&amp;" GB ("&amp;I80&amp;")",IF(M80="Cukup","RAM "&amp;E80&amp;" GB cukup, nyamannya "&amp;Aturan!$D$32&amp;" GB atau lebih ("&amp;I80&amp;")",IF(M80="Belum ada data","ukuran RAM belum diisi",""))))</f>
        <v/>
      </c>
      <c r="U80" s="66" t="str">
        <f aca="false">IF($A80="","",IF(N80="Kurang","penyimpanan "&amp;F80&amp;" GB, di bawah batas minimal "&amp;Aturan!$C$33&amp;" GB ("&amp;J80&amp;")",IF(N80="Cukup","penyimpanan "&amp;F80&amp;" GB cukup, nyamannya "&amp;Aturan!$D$33&amp;" GB atau lebih ("&amp;J80&amp;")",IF(N80="Belum ada data","ukuran penyimpanan belum diisi",""))))</f>
        <v/>
      </c>
      <c r="V80" s="66" t="str">
        <f aca="false">IF($A80="","",IF(O80="Kurang","layar "&amp;Varian!$AG20&amp;", di bawah batas minimal ("&amp;IFERROR(INDEX(Aturan!$A$63:$A$66,MATCH(Aturan!$C$34,Aturan!$B$63:$B$66,0)),"peringkat "&amp;Aturan!$C$34)&amp;")",IF(O80="Cukup","layar "&amp;Varian!$AG20&amp;" cukup, nyamannya "&amp;IFERROR(INDEX(Aturan!$A$63:$A$66,MATCH(Aturan!$D$34,Aturan!$B$63:$B$66,0)),"peringkat "&amp;Aturan!$D$34),IF(O80="Belum ada data","jenis layar belum diketahui",""))))</f>
        <v/>
      </c>
      <c r="W80" s="66" t="str">
        <f aca="false">IF($A80="","",IF(P80="Kurang","layar "&amp;H80&amp;" Hz, di bawah batas minimal "&amp;Aturan!$C$35&amp;" Hz",IF(P80="Cukup","layar "&amp;H80&amp;" Hz cukup, nyamannya "&amp;Aturan!$D$35&amp;" Hz atau lebih",IF(P80="Belum ada data","refresh rate belum diketahui",""))))</f>
        <v/>
      </c>
      <c r="X80" s="66" t="str">
        <f aca="false">IF($A80="","",IF(K80="Kurang",R80&amp;"; ","")&amp;IF(L80="Kurang",S80&amp;"; ","")&amp;IF(M80="Kurang",T80&amp;"; ","")&amp;IF(N80="Kurang",U80&amp;"; ","")&amp;IF(O80="Kurang",V80&amp;"; ","")&amp;IF(P80="Kurang",W80&amp;"; ","")&amp;IF(K80="Belum ada data",R80&amp;"; ","")&amp;IF(L80="Belum ada data",S80&amp;"; ","")&amp;IF(M80="Belum ada data",T80&amp;"; ","")&amp;IF(N80="Belum ada data",U80&amp;"; ","")&amp;IF(O80="Belum ada data",V80&amp;"; ","")&amp;IF(P80="Belum ada data",W80&amp;"; ","")&amp;IF(K80="Cukup",R80&amp;"; ","")&amp;IF(L80="Cukup",S80&amp;"; ","")&amp;IF(M80="Cukup",T80&amp;"; ","")&amp;IF(N80="Cukup",U80&amp;"; ","")&amp;IF(O80="Cukup",V80&amp;"; ","")&amp;IF(P80="Cukup",W80&amp;"; ",""))</f>
        <v/>
      </c>
      <c r="Y80" s="66" t="str">
        <f aca="false">IF($A80="","",IF(K80="Nyaman","prosesor, ","")&amp;IF(L80="Nyaman","grafis, ","")&amp;IF(M80="Nyaman","RAM, ","")&amp;IF(N80="Nyaman","penyimpanan, ","")&amp;IF(O80="Nyaman","layar, ","")&amp;IF(P80="Nyaman","refresh rate, ",""))</f>
        <v/>
      </c>
      <c r="Z80" s="66" t="str">
        <f aca="false">IF($A80="","",IF(Q80="Tidak dinilai","Belum ada kriteria yang dinilai untuk kebutuhan ini.",IF(Q80="Cocok","Semua kriteria yang dinilai sudah nyaman: "&amp;LEFT(Y80,LEN(Y80)-2)&amp;".",UPPER(LEFT(X80,1))&amp;MID(X80,2,LEN(X80)-3)&amp;"."&amp;IF(Y80="",""," Sudah nyaman: "&amp;LEFT(Y80,LEN(Y80)-2)&amp;"."))))</f>
        <v/>
      </c>
      <c r="AA80" s="66" t="str">
        <f aca="false">IF($A80="","",IF(Varian!$AR20="Windows 10","• "&amp;Aturan!$E$71&amp;CHAR(10),"")&amp;IF(Varian!$BB20="tidak","• "&amp;Aturan!$E$72&amp;CHAR(10),"")&amp;IF(OR(Varian!$AD20="belum terverifikasi",Varian!$AD20="tidak diketahui"),"• "&amp;Aturan!$E$73&amp;CHAR(10),"")&amp;IF(Varian!$AH20="1366x768","• "&amp;Aturan!$E$74&amp;CHAR(10),"")&amp;IF(Varian!$AG20="TN","• "&amp;Aturan!$E$75&amp;CHAR(10),"")&amp;IF(AND(Varian!$Q20="disolder",ISNUMBER(Varian!$M20),Varian!$M20&lt;=8),"• "&amp;Aturan!$E$76&amp;CHAR(10),""))</f>
        <v/>
      </c>
      <c r="AB80" s="66" t="str">
        <f aca="false">IF($A80="","",IF(AA80="","",LEFT(AA80,LEN(AA80)-1)))</f>
        <v/>
      </c>
      <c r="AC80" s="67" t="str">
        <f aca="false">IF($A80="","",IF(AA80="",0,LEN(AA80)-LEN(SUBSTITUTE(AA80,CHAR(10),""))))</f>
        <v/>
      </c>
    </row>
    <row r="81" customFormat="false" ht="15" hidden="false" customHeight="true" outlineLevel="0" collapsed="false">
      <c r="A81" s="33" t="str">
        <f aca="false">IF(Varian!$A20="","",Varian!$A20)</f>
        <v/>
      </c>
      <c r="B81" s="33" t="str">
        <f aca="false">IF($A81="","",Aturan!$A$22)</f>
        <v/>
      </c>
      <c r="C81" s="69" t="str">
        <f aca="false">IF($A81="","",IFERROR(IF(ISNUMBER(INDEX(CPU!$J$4:$J$64,MATCH(Varian!$J20,CPU!$A$4:$A$64,0))),INDEX(CPU!$J$4:$J$64,MATCH(Varian!$J20,CPU!$A$4:$A$64,0)),""),""))</f>
        <v/>
      </c>
      <c r="D81" s="69" t="str">
        <f aca="false">IF($A81="","",IFERROR(IF(ISNUMBER(INDEX(GPU!$G$4:$G$64,MATCH(Varian!$K20,GPU!$A$4:$A$64,0))),INDEX(GPU!$G$4:$G$64,MATCH(Varian!$K20,GPU!$A$4:$A$64,0)),""),""))</f>
        <v/>
      </c>
      <c r="E81" s="69" t="str">
        <f aca="false">IF($A81="","",IF(ISNUMBER(Varian!$M20),Varian!$M20,""))</f>
        <v/>
      </c>
      <c r="F81" s="69" t="str">
        <f aca="false">IF($A81="","",IF(ISNUMBER(Varian!$V20),Varian!$V20,""))</f>
        <v/>
      </c>
      <c r="G81" s="69" t="str">
        <f aca="false">IF($A81="","",IFERROR(INDEX(Aturan!$B$63:$B$66,MATCH(Varian!$AG20,Aturan!$A$63:$A$66,0)),""))</f>
        <v/>
      </c>
      <c r="H81" s="69" t="str">
        <f aca="false">IF($A81="","",IF(ISNUMBER(Varian!$AI20),Varian!$AI20,""))</f>
        <v/>
      </c>
      <c r="I81" s="33" t="str">
        <f aca="false">IF($A81="","",IF(Varian!$Q20="disolder","menempel di papan utama, tidak bisa ditambah",IF(OR(Varian!$Q20="slot",Varian!$Q20="setengah_disolder"),IF(Varian!$Q20="setengah_disolder","sebagian menempel, ","")&amp;IF(ISNUMBER(Varian!$U20),IF(AND(ISNUMBER(Varian!$M20),Varian!$U20&gt;Varian!$M20),"bisa dinaikkan lewat slot sampai "&amp;Varian!$U20&amp;" GB","sudah di batas maksimal "&amp;Varian!$U20&amp;" GB"),"ada slot, batas maksimalnya belum diketahui"),"belum diketahui apakah bisa ditambah")))</f>
        <v/>
      </c>
      <c r="J81" s="33" t="str">
        <f aca="false">IF($A81="","",IF(Varian!$Z20="ya","bisa diganti dengan yang lebih besar",IF(Varian!$Z20="tidak","menempel, tidak bisa diganti","belum diketahui apakah bisa diganti")))</f>
        <v/>
      </c>
      <c r="K81" s="70" t="str">
        <f aca="false">IF($A81="","",IF(AND(Aturan!$C$36="",Aturan!$D$36=""),"Tidak dinilai",IF(C81="","Belum ada data",IF(C81&lt;IF(Aturan!$C$36="",0,Aturan!$C$36),"Kurang",IF(C81&gt;=IF(Aturan!$D$36="",Aturan!$C$36,Aturan!$D$36),"Nyaman","Cukup")))))</f>
        <v/>
      </c>
      <c r="L81" s="70" t="str">
        <f aca="false">IF($A81="","",IF(AND(Aturan!$C$37="",Aturan!$D$37=""),"Tidak dinilai",IF(D81="","Belum ada data",IF(D81&lt;IF(Aturan!$C$37="",0,Aturan!$C$37),"Kurang",IF(D81&gt;=IF(Aturan!$D$37="",Aturan!$C$37,Aturan!$D$37),"Nyaman","Cukup")))))</f>
        <v/>
      </c>
      <c r="M81" s="70" t="str">
        <f aca="false">IF($A81="","",IF(AND(Aturan!$C$38="",Aturan!$D$38=""),"Tidak dinilai",IF(E81="","Belum ada data",IF(E81&lt;IF(Aturan!$C$38="",0,Aturan!$C$38),"Kurang",IF(E81&gt;=IF(Aturan!$D$38="",Aturan!$C$38,Aturan!$D$38),"Nyaman","Cukup")))))</f>
        <v/>
      </c>
      <c r="N81" s="70" t="str">
        <f aca="false">IF($A81="","",IF(AND(Aturan!$C$39="",Aturan!$D$39=""),"Tidak dinilai",IF(F81="","Belum ada data",IF(F81&lt;IF(Aturan!$C$39="",0,Aturan!$C$39),"Kurang",IF(F81&gt;=IF(Aturan!$D$39="",Aturan!$C$39,Aturan!$D$39),"Nyaman","Cukup")))))</f>
        <v/>
      </c>
      <c r="O81" s="70" t="str">
        <f aca="false">IF($A81="","",IF(AND(Aturan!$C$40="",Aturan!$D$40=""),"Tidak dinilai",IF(G81="","Belum ada data",IF(G81&lt;IF(Aturan!$C$40="",0,Aturan!$C$40),"Kurang",IF(G81&gt;=IF(Aturan!$D$40="",Aturan!$C$40,Aturan!$D$40),"Nyaman","Cukup")))))</f>
        <v/>
      </c>
      <c r="P81" s="70" t="str">
        <f aca="false">IF($A81="","",IF(AND(Aturan!$C$41="",Aturan!$D$41=""),"Tidak dinilai",IF(H81="","Belum ada data",IF(H81&lt;IF(Aturan!$C$41="",0,Aturan!$C$41),"Kurang",IF(H81&gt;=IF(Aturan!$D$41="",Aturan!$C$41,Aturan!$D$41),"Nyaman","Cukup")))))</f>
        <v/>
      </c>
      <c r="Q81" s="70" t="str">
        <f aca="false">IF($A81="","",IF(COUNTIF(K81:P81,"Tidak dinilai")=6,"Tidak dinilai",IF(COUNTIF(K81:P81,"Kurang")&gt;0,"Kurang cocok",IF(COUNTIF(K81:P81,"Belum ada data")&gt;0,"Data belum lengkap",IF(COUNTIF(K81:P81,"Cukup")&gt;0,"Bisa, dengan catatan","Cocok")))))</f>
        <v/>
      </c>
      <c r="R81" s="33" t="str">
        <f aca="false">IF($A81="","",IF(K81="Kurang","prosesor tingkat "&amp;C81&amp;" dari 5, di bawah batas minimal (tingkat "&amp;Aturan!$C$36&amp;")",IF(K81="Cukup","prosesor tingkat "&amp;C81&amp;" dari 5 cukup, nyamannya mulai tingkat "&amp;Aturan!$D$36,IF(K81="Belum ada data","tingkat prosesor belum diisi",""))))</f>
        <v/>
      </c>
      <c r="S81" s="33" t="str">
        <f aca="false">IF($A81="","",IF(L81="Kurang","grafis tingkat "&amp;D81&amp;" dari 5, di bawah batas minimal (tingkat "&amp;Aturan!$C$37&amp;")",IF(L81="Cukup","grafis tingkat "&amp;D81&amp;" dari 5 cukup, nyamannya mulai tingkat "&amp;Aturan!$D$37,IF(L81="Belum ada data","tingkat grafis belum diisi",""))))</f>
        <v/>
      </c>
      <c r="T81" s="33" t="str">
        <f aca="false">IF($A81="","",IF(M81="Kurang","RAM "&amp;E81&amp;" GB, di bawah batas minimal "&amp;Aturan!$C$38&amp;" GB ("&amp;I81&amp;")",IF(M81="Cukup","RAM "&amp;E81&amp;" GB cukup, nyamannya "&amp;Aturan!$D$38&amp;" GB atau lebih ("&amp;I81&amp;")",IF(M81="Belum ada data","ukuran RAM belum diisi",""))))</f>
        <v/>
      </c>
      <c r="U81" s="33" t="str">
        <f aca="false">IF($A81="","",IF(N81="Kurang","penyimpanan "&amp;F81&amp;" GB, di bawah batas minimal "&amp;Aturan!$C$39&amp;" GB ("&amp;J81&amp;")",IF(N81="Cukup","penyimpanan "&amp;F81&amp;" GB cukup, nyamannya "&amp;Aturan!$D$39&amp;" GB atau lebih ("&amp;J81&amp;")",IF(N81="Belum ada data","ukuran penyimpanan belum diisi",""))))</f>
        <v/>
      </c>
      <c r="V81" s="33" t="str">
        <f aca="false">IF($A81="","",IF(O81="Kurang","layar "&amp;Varian!$AG20&amp;", di bawah batas minimal ("&amp;IFERROR(INDEX(Aturan!$A$63:$A$66,MATCH(Aturan!$C$40,Aturan!$B$63:$B$66,0)),"peringkat "&amp;Aturan!$C$40)&amp;")",IF(O81="Cukup","layar "&amp;Varian!$AG20&amp;" cukup, nyamannya "&amp;IFERROR(INDEX(Aturan!$A$63:$A$66,MATCH(Aturan!$D$40,Aturan!$B$63:$B$66,0)),"peringkat "&amp;Aturan!$D$40),IF(O81="Belum ada data","jenis layar belum diketahui",""))))</f>
        <v/>
      </c>
      <c r="W81" s="33" t="str">
        <f aca="false">IF($A81="","",IF(P81="Kurang","layar "&amp;H81&amp;" Hz, di bawah batas minimal "&amp;Aturan!$C$41&amp;" Hz",IF(P81="Cukup","layar "&amp;H81&amp;" Hz cukup, nyamannya "&amp;Aturan!$D$41&amp;" Hz atau lebih",IF(P81="Belum ada data","refresh rate belum diketahui",""))))</f>
        <v/>
      </c>
      <c r="X81" s="33" t="str">
        <f aca="false">IF($A81="","",IF(K81="Kurang",R81&amp;"; ","")&amp;IF(L81="Kurang",S81&amp;"; ","")&amp;IF(M81="Kurang",T81&amp;"; ","")&amp;IF(N81="Kurang",U81&amp;"; ","")&amp;IF(O81="Kurang",V81&amp;"; ","")&amp;IF(P81="Kurang",W81&amp;"; ","")&amp;IF(K81="Belum ada data",R81&amp;"; ","")&amp;IF(L81="Belum ada data",S81&amp;"; ","")&amp;IF(M81="Belum ada data",T81&amp;"; ","")&amp;IF(N81="Belum ada data",U81&amp;"; ","")&amp;IF(O81="Belum ada data",V81&amp;"; ","")&amp;IF(P81="Belum ada data",W81&amp;"; ","")&amp;IF(K81="Cukup",R81&amp;"; ","")&amp;IF(L81="Cukup",S81&amp;"; ","")&amp;IF(M81="Cukup",T81&amp;"; ","")&amp;IF(N81="Cukup",U81&amp;"; ","")&amp;IF(O81="Cukup",V81&amp;"; ","")&amp;IF(P81="Cukup",W81&amp;"; ",""))</f>
        <v/>
      </c>
      <c r="Y81" s="33" t="str">
        <f aca="false">IF($A81="","",IF(K81="Nyaman","prosesor, ","")&amp;IF(L81="Nyaman","grafis, ","")&amp;IF(M81="Nyaman","RAM, ","")&amp;IF(N81="Nyaman","penyimpanan, ","")&amp;IF(O81="Nyaman","layar, ","")&amp;IF(P81="Nyaman","refresh rate, ",""))</f>
        <v/>
      </c>
      <c r="Z81" s="33" t="str">
        <f aca="false">IF($A81="","",IF(Q81="Tidak dinilai","Belum ada kriteria yang dinilai untuk kebutuhan ini.",IF(Q81="Cocok","Semua kriteria yang dinilai sudah nyaman: "&amp;LEFT(Y81,LEN(Y81)-2)&amp;".",UPPER(LEFT(X81,1))&amp;MID(X81,2,LEN(X81)-3)&amp;"."&amp;IF(Y81="",""," Sudah nyaman: "&amp;LEFT(Y81,LEN(Y81)-2)&amp;"."))))</f>
        <v/>
      </c>
      <c r="AA81" s="33"/>
      <c r="AB81" s="33"/>
      <c r="AC81" s="69"/>
    </row>
    <row r="82" customFormat="false" ht="15" hidden="false" customHeight="true" outlineLevel="0" collapsed="false">
      <c r="A82" s="33" t="str">
        <f aca="false">IF(Varian!$A20="","",Varian!$A20)</f>
        <v/>
      </c>
      <c r="B82" s="33" t="str">
        <f aca="false">IF($A82="","",Aturan!$A$23)</f>
        <v/>
      </c>
      <c r="C82" s="69" t="str">
        <f aca="false">IF($A82="","",IFERROR(IF(ISNUMBER(INDEX(CPU!$J$4:$J$64,MATCH(Varian!$J20,CPU!$A$4:$A$64,0))),INDEX(CPU!$J$4:$J$64,MATCH(Varian!$J20,CPU!$A$4:$A$64,0)),""),""))</f>
        <v/>
      </c>
      <c r="D82" s="69" t="str">
        <f aca="false">IF($A82="","",IFERROR(IF(ISNUMBER(INDEX(GPU!$G$4:$G$64,MATCH(Varian!$K20,GPU!$A$4:$A$64,0))),INDEX(GPU!$G$4:$G$64,MATCH(Varian!$K20,GPU!$A$4:$A$64,0)),""),""))</f>
        <v/>
      </c>
      <c r="E82" s="69" t="str">
        <f aca="false">IF($A82="","",IF(ISNUMBER(Varian!$M20),Varian!$M20,""))</f>
        <v/>
      </c>
      <c r="F82" s="69" t="str">
        <f aca="false">IF($A82="","",IF(ISNUMBER(Varian!$V20),Varian!$V20,""))</f>
        <v/>
      </c>
      <c r="G82" s="69" t="str">
        <f aca="false">IF($A82="","",IFERROR(INDEX(Aturan!$B$63:$B$66,MATCH(Varian!$AG20,Aturan!$A$63:$A$66,0)),""))</f>
        <v/>
      </c>
      <c r="H82" s="69" t="str">
        <f aca="false">IF($A82="","",IF(ISNUMBER(Varian!$AI20),Varian!$AI20,""))</f>
        <v/>
      </c>
      <c r="I82" s="33" t="str">
        <f aca="false">IF($A82="","",IF(Varian!$Q20="disolder","menempel di papan utama, tidak bisa ditambah",IF(OR(Varian!$Q20="slot",Varian!$Q20="setengah_disolder"),IF(Varian!$Q20="setengah_disolder","sebagian menempel, ","")&amp;IF(ISNUMBER(Varian!$U20),IF(AND(ISNUMBER(Varian!$M20),Varian!$U20&gt;Varian!$M20),"bisa dinaikkan lewat slot sampai "&amp;Varian!$U20&amp;" GB","sudah di batas maksimal "&amp;Varian!$U20&amp;" GB"),"ada slot, batas maksimalnya belum diketahui"),"belum diketahui apakah bisa ditambah")))</f>
        <v/>
      </c>
      <c r="J82" s="33" t="str">
        <f aca="false">IF($A82="","",IF(Varian!$Z20="ya","bisa diganti dengan yang lebih besar",IF(Varian!$Z20="tidak","menempel, tidak bisa diganti","belum diketahui apakah bisa diganti")))</f>
        <v/>
      </c>
      <c r="K82" s="70" t="str">
        <f aca="false">IF($A82="","",IF(AND(Aturan!$C$42="",Aturan!$D$42=""),"Tidak dinilai",IF(C82="","Belum ada data",IF(C82&lt;IF(Aturan!$C$42="",0,Aturan!$C$42),"Kurang",IF(C82&gt;=IF(Aturan!$D$42="",Aturan!$C$42,Aturan!$D$42),"Nyaman","Cukup")))))</f>
        <v/>
      </c>
      <c r="L82" s="70" t="str">
        <f aca="false">IF($A82="","",IF(AND(Aturan!$C$43="",Aturan!$D$43=""),"Tidak dinilai",IF(D82="","Belum ada data",IF(D82&lt;IF(Aturan!$C$43="",0,Aturan!$C$43),"Kurang",IF(D82&gt;=IF(Aturan!$D$43="",Aturan!$C$43,Aturan!$D$43),"Nyaman","Cukup")))))</f>
        <v/>
      </c>
      <c r="M82" s="70" t="str">
        <f aca="false">IF($A82="","",IF(AND(Aturan!$C$44="",Aturan!$D$44=""),"Tidak dinilai",IF(E82="","Belum ada data",IF(E82&lt;IF(Aturan!$C$44="",0,Aturan!$C$44),"Kurang",IF(E82&gt;=IF(Aturan!$D$44="",Aturan!$C$44,Aturan!$D$44),"Nyaman","Cukup")))))</f>
        <v/>
      </c>
      <c r="N82" s="70" t="str">
        <f aca="false">IF($A82="","",IF(AND(Aturan!$C$45="",Aturan!$D$45=""),"Tidak dinilai",IF(F82="","Belum ada data",IF(F82&lt;IF(Aturan!$C$45="",0,Aturan!$C$45),"Kurang",IF(F82&gt;=IF(Aturan!$D$45="",Aturan!$C$45,Aturan!$D$45),"Nyaman","Cukup")))))</f>
        <v/>
      </c>
      <c r="O82" s="70" t="str">
        <f aca="false">IF($A82="","",IF(AND(Aturan!$C$46="",Aturan!$D$46=""),"Tidak dinilai",IF(G82="","Belum ada data",IF(G82&lt;IF(Aturan!$C$46="",0,Aturan!$C$46),"Kurang",IF(G82&gt;=IF(Aturan!$D$46="",Aturan!$C$46,Aturan!$D$46),"Nyaman","Cukup")))))</f>
        <v/>
      </c>
      <c r="P82" s="70" t="str">
        <f aca="false">IF($A82="","",IF(AND(Aturan!$C$47="",Aturan!$D$47=""),"Tidak dinilai",IF(H82="","Belum ada data",IF(H82&lt;IF(Aturan!$C$47="",0,Aturan!$C$47),"Kurang",IF(H82&gt;=IF(Aturan!$D$47="",Aturan!$C$47,Aturan!$D$47),"Nyaman","Cukup")))))</f>
        <v/>
      </c>
      <c r="Q82" s="70" t="str">
        <f aca="false">IF($A82="","",IF(COUNTIF(K82:P82,"Tidak dinilai")=6,"Tidak dinilai",IF(COUNTIF(K82:P82,"Kurang")&gt;0,"Kurang cocok",IF(COUNTIF(K82:P82,"Belum ada data")&gt;0,"Data belum lengkap",IF(COUNTIF(K82:P82,"Cukup")&gt;0,"Bisa, dengan catatan","Cocok")))))</f>
        <v/>
      </c>
      <c r="R82" s="33" t="str">
        <f aca="false">IF($A82="","",IF(K82="Kurang","prosesor tingkat "&amp;C82&amp;" dari 5, di bawah batas minimal (tingkat "&amp;Aturan!$C$42&amp;")",IF(K82="Cukup","prosesor tingkat "&amp;C82&amp;" dari 5 cukup, nyamannya mulai tingkat "&amp;Aturan!$D$42,IF(K82="Belum ada data","tingkat prosesor belum diisi",""))))</f>
        <v/>
      </c>
      <c r="S82" s="33" t="str">
        <f aca="false">IF($A82="","",IF(L82="Kurang","grafis tingkat "&amp;D82&amp;" dari 5, di bawah batas minimal (tingkat "&amp;Aturan!$C$43&amp;")",IF(L82="Cukup","grafis tingkat "&amp;D82&amp;" dari 5 cukup, nyamannya mulai tingkat "&amp;Aturan!$D$43,IF(L82="Belum ada data","tingkat grafis belum diisi",""))))</f>
        <v/>
      </c>
      <c r="T82" s="33" t="str">
        <f aca="false">IF($A82="","",IF(M82="Kurang","RAM "&amp;E82&amp;" GB, di bawah batas minimal "&amp;Aturan!$C$44&amp;" GB ("&amp;I82&amp;")",IF(M82="Cukup","RAM "&amp;E82&amp;" GB cukup, nyamannya "&amp;Aturan!$D$44&amp;" GB atau lebih ("&amp;I82&amp;")",IF(M82="Belum ada data","ukuran RAM belum diisi",""))))</f>
        <v/>
      </c>
      <c r="U82" s="33" t="str">
        <f aca="false">IF($A82="","",IF(N82="Kurang","penyimpanan "&amp;F82&amp;" GB, di bawah batas minimal "&amp;Aturan!$C$45&amp;" GB ("&amp;J82&amp;")",IF(N82="Cukup","penyimpanan "&amp;F82&amp;" GB cukup, nyamannya "&amp;Aturan!$D$45&amp;" GB atau lebih ("&amp;J82&amp;")",IF(N82="Belum ada data","ukuran penyimpanan belum diisi",""))))</f>
        <v/>
      </c>
      <c r="V82" s="33" t="str">
        <f aca="false">IF($A82="","",IF(O82="Kurang","layar "&amp;Varian!$AG20&amp;", di bawah batas minimal ("&amp;IFERROR(INDEX(Aturan!$A$63:$A$66,MATCH(Aturan!$C$46,Aturan!$B$63:$B$66,0)),"peringkat "&amp;Aturan!$C$46)&amp;")",IF(O82="Cukup","layar "&amp;Varian!$AG20&amp;" cukup, nyamannya "&amp;IFERROR(INDEX(Aturan!$A$63:$A$66,MATCH(Aturan!$D$46,Aturan!$B$63:$B$66,0)),"peringkat "&amp;Aturan!$D$46),IF(O82="Belum ada data","jenis layar belum diketahui",""))))</f>
        <v/>
      </c>
      <c r="W82" s="33" t="str">
        <f aca="false">IF($A82="","",IF(P82="Kurang","layar "&amp;H82&amp;" Hz, di bawah batas minimal "&amp;Aturan!$C$47&amp;" Hz",IF(P82="Cukup","layar "&amp;H82&amp;" Hz cukup, nyamannya "&amp;Aturan!$D$47&amp;" Hz atau lebih",IF(P82="Belum ada data","refresh rate belum diketahui",""))))</f>
        <v/>
      </c>
      <c r="X82" s="33" t="str">
        <f aca="false">IF($A82="","",IF(K82="Kurang",R82&amp;"; ","")&amp;IF(L82="Kurang",S82&amp;"; ","")&amp;IF(M82="Kurang",T82&amp;"; ","")&amp;IF(N82="Kurang",U82&amp;"; ","")&amp;IF(O82="Kurang",V82&amp;"; ","")&amp;IF(P82="Kurang",W82&amp;"; ","")&amp;IF(K82="Belum ada data",R82&amp;"; ","")&amp;IF(L82="Belum ada data",S82&amp;"; ","")&amp;IF(M82="Belum ada data",T82&amp;"; ","")&amp;IF(N82="Belum ada data",U82&amp;"; ","")&amp;IF(O82="Belum ada data",V82&amp;"; ","")&amp;IF(P82="Belum ada data",W82&amp;"; ","")&amp;IF(K82="Cukup",R82&amp;"; ","")&amp;IF(L82="Cukup",S82&amp;"; ","")&amp;IF(M82="Cukup",T82&amp;"; ","")&amp;IF(N82="Cukup",U82&amp;"; ","")&amp;IF(O82="Cukup",V82&amp;"; ","")&amp;IF(P82="Cukup",W82&amp;"; ",""))</f>
        <v/>
      </c>
      <c r="Y82" s="33" t="str">
        <f aca="false">IF($A82="","",IF(K82="Nyaman","prosesor, ","")&amp;IF(L82="Nyaman","grafis, ","")&amp;IF(M82="Nyaman","RAM, ","")&amp;IF(N82="Nyaman","penyimpanan, ","")&amp;IF(O82="Nyaman","layar, ","")&amp;IF(P82="Nyaman","refresh rate, ",""))</f>
        <v/>
      </c>
      <c r="Z82" s="33" t="str">
        <f aca="false">IF($A82="","",IF(Q82="Tidak dinilai","Belum ada kriteria yang dinilai untuk kebutuhan ini.",IF(Q82="Cocok","Semua kriteria yang dinilai sudah nyaman: "&amp;LEFT(Y82,LEN(Y82)-2)&amp;".",UPPER(LEFT(X82,1))&amp;MID(X82,2,LEN(X82)-3)&amp;"."&amp;IF(Y82="",""," Sudah nyaman: "&amp;LEFT(Y82,LEN(Y82)-2)&amp;"."))))</f>
        <v/>
      </c>
      <c r="AA82" s="33"/>
      <c r="AB82" s="33"/>
      <c r="AC82" s="69"/>
    </row>
    <row r="83" customFormat="false" ht="15" hidden="false" customHeight="true" outlineLevel="0" collapsed="false">
      <c r="A83" s="33" t="str">
        <f aca="false">IF(Varian!$A20="","",Varian!$A20)</f>
        <v/>
      </c>
      <c r="B83" s="33" t="str">
        <f aca="false">IF($A83="","",Aturan!$A$24)</f>
        <v/>
      </c>
      <c r="C83" s="69" t="str">
        <f aca="false">IF($A83="","",IFERROR(IF(ISNUMBER(INDEX(CPU!$J$4:$J$64,MATCH(Varian!$J20,CPU!$A$4:$A$64,0))),INDEX(CPU!$J$4:$J$64,MATCH(Varian!$J20,CPU!$A$4:$A$64,0)),""),""))</f>
        <v/>
      </c>
      <c r="D83" s="69" t="str">
        <f aca="false">IF($A83="","",IFERROR(IF(ISNUMBER(INDEX(GPU!$G$4:$G$64,MATCH(Varian!$K20,GPU!$A$4:$A$64,0))),INDEX(GPU!$G$4:$G$64,MATCH(Varian!$K20,GPU!$A$4:$A$64,0)),""),""))</f>
        <v/>
      </c>
      <c r="E83" s="69" t="str">
        <f aca="false">IF($A83="","",IF(ISNUMBER(Varian!$M20),Varian!$M20,""))</f>
        <v/>
      </c>
      <c r="F83" s="69" t="str">
        <f aca="false">IF($A83="","",IF(ISNUMBER(Varian!$V20),Varian!$V20,""))</f>
        <v/>
      </c>
      <c r="G83" s="69" t="str">
        <f aca="false">IF($A83="","",IFERROR(INDEX(Aturan!$B$63:$B$66,MATCH(Varian!$AG20,Aturan!$A$63:$A$66,0)),""))</f>
        <v/>
      </c>
      <c r="H83" s="69" t="str">
        <f aca="false">IF($A83="","",IF(ISNUMBER(Varian!$AI20),Varian!$AI20,""))</f>
        <v/>
      </c>
      <c r="I83" s="33" t="str">
        <f aca="false">IF($A83="","",IF(Varian!$Q20="disolder","menempel di papan utama, tidak bisa ditambah",IF(OR(Varian!$Q20="slot",Varian!$Q20="setengah_disolder"),IF(Varian!$Q20="setengah_disolder","sebagian menempel, ","")&amp;IF(ISNUMBER(Varian!$U20),IF(AND(ISNUMBER(Varian!$M20),Varian!$U20&gt;Varian!$M20),"bisa dinaikkan lewat slot sampai "&amp;Varian!$U20&amp;" GB","sudah di batas maksimal "&amp;Varian!$U20&amp;" GB"),"ada slot, batas maksimalnya belum diketahui"),"belum diketahui apakah bisa ditambah")))</f>
        <v/>
      </c>
      <c r="J83" s="33" t="str">
        <f aca="false">IF($A83="","",IF(Varian!$Z20="ya","bisa diganti dengan yang lebih besar",IF(Varian!$Z20="tidak","menempel, tidak bisa diganti","belum diketahui apakah bisa diganti")))</f>
        <v/>
      </c>
      <c r="K83" s="70" t="str">
        <f aca="false">IF($A83="","",IF(AND(Aturan!$C$48="",Aturan!$D$48=""),"Tidak dinilai",IF(C83="","Belum ada data",IF(C83&lt;IF(Aturan!$C$48="",0,Aturan!$C$48),"Kurang",IF(C83&gt;=IF(Aturan!$D$48="",Aturan!$C$48,Aturan!$D$48),"Nyaman","Cukup")))))</f>
        <v/>
      </c>
      <c r="L83" s="70" t="str">
        <f aca="false">IF($A83="","",IF(AND(Aturan!$C$49="",Aturan!$D$49=""),"Tidak dinilai",IF(D83="","Belum ada data",IF(D83&lt;IF(Aturan!$C$49="",0,Aturan!$C$49),"Kurang",IF(D83&gt;=IF(Aturan!$D$49="",Aturan!$C$49,Aturan!$D$49),"Nyaman","Cukup")))))</f>
        <v/>
      </c>
      <c r="M83" s="70" t="str">
        <f aca="false">IF($A83="","",IF(AND(Aturan!$C$50="",Aturan!$D$50=""),"Tidak dinilai",IF(E83="","Belum ada data",IF(E83&lt;IF(Aturan!$C$50="",0,Aturan!$C$50),"Kurang",IF(E83&gt;=IF(Aturan!$D$50="",Aturan!$C$50,Aturan!$D$50),"Nyaman","Cukup")))))</f>
        <v/>
      </c>
      <c r="N83" s="70" t="str">
        <f aca="false">IF($A83="","",IF(AND(Aturan!$C$51="",Aturan!$D$51=""),"Tidak dinilai",IF(F83="","Belum ada data",IF(F83&lt;IF(Aturan!$C$51="",0,Aturan!$C$51),"Kurang",IF(F83&gt;=IF(Aturan!$D$51="",Aturan!$C$51,Aturan!$D$51),"Nyaman","Cukup")))))</f>
        <v/>
      </c>
      <c r="O83" s="70" t="str">
        <f aca="false">IF($A83="","",IF(AND(Aturan!$C$52="",Aturan!$D$52=""),"Tidak dinilai",IF(G83="","Belum ada data",IF(G83&lt;IF(Aturan!$C$52="",0,Aturan!$C$52),"Kurang",IF(G83&gt;=IF(Aturan!$D$52="",Aturan!$C$52,Aturan!$D$52),"Nyaman","Cukup")))))</f>
        <v/>
      </c>
      <c r="P83" s="70" t="str">
        <f aca="false">IF($A83="","",IF(AND(Aturan!$C$53="",Aturan!$D$53=""),"Tidak dinilai",IF(H83="","Belum ada data",IF(H83&lt;IF(Aturan!$C$53="",0,Aturan!$C$53),"Kurang",IF(H83&gt;=IF(Aturan!$D$53="",Aturan!$C$53,Aturan!$D$53),"Nyaman","Cukup")))))</f>
        <v/>
      </c>
      <c r="Q83" s="70" t="str">
        <f aca="false">IF($A83="","",IF(COUNTIF(K83:P83,"Tidak dinilai")=6,"Tidak dinilai",IF(COUNTIF(K83:P83,"Kurang")&gt;0,"Kurang cocok",IF(COUNTIF(K83:P83,"Belum ada data")&gt;0,"Data belum lengkap",IF(COUNTIF(K83:P83,"Cukup")&gt;0,"Bisa, dengan catatan","Cocok")))))</f>
        <v/>
      </c>
      <c r="R83" s="33" t="str">
        <f aca="false">IF($A83="","",IF(K83="Kurang","prosesor tingkat "&amp;C83&amp;" dari 5, di bawah batas minimal (tingkat "&amp;Aturan!$C$48&amp;")",IF(K83="Cukup","prosesor tingkat "&amp;C83&amp;" dari 5 cukup, nyamannya mulai tingkat "&amp;Aturan!$D$48,IF(K83="Belum ada data","tingkat prosesor belum diisi",""))))</f>
        <v/>
      </c>
      <c r="S83" s="33" t="str">
        <f aca="false">IF($A83="","",IF(L83="Kurang","grafis tingkat "&amp;D83&amp;" dari 5, di bawah batas minimal (tingkat "&amp;Aturan!$C$49&amp;")",IF(L83="Cukup","grafis tingkat "&amp;D83&amp;" dari 5 cukup, nyamannya mulai tingkat "&amp;Aturan!$D$49,IF(L83="Belum ada data","tingkat grafis belum diisi",""))))</f>
        <v/>
      </c>
      <c r="T83" s="33" t="str">
        <f aca="false">IF($A83="","",IF(M83="Kurang","RAM "&amp;E83&amp;" GB, di bawah batas minimal "&amp;Aturan!$C$50&amp;" GB ("&amp;I83&amp;")",IF(M83="Cukup","RAM "&amp;E83&amp;" GB cukup, nyamannya "&amp;Aturan!$D$50&amp;" GB atau lebih ("&amp;I83&amp;")",IF(M83="Belum ada data","ukuran RAM belum diisi",""))))</f>
        <v/>
      </c>
      <c r="U83" s="33" t="str">
        <f aca="false">IF($A83="","",IF(N83="Kurang","penyimpanan "&amp;F83&amp;" GB, di bawah batas minimal "&amp;Aturan!$C$51&amp;" GB ("&amp;J83&amp;")",IF(N83="Cukup","penyimpanan "&amp;F83&amp;" GB cukup, nyamannya "&amp;Aturan!$D$51&amp;" GB atau lebih ("&amp;J83&amp;")",IF(N83="Belum ada data","ukuran penyimpanan belum diisi",""))))</f>
        <v/>
      </c>
      <c r="V83" s="33" t="str">
        <f aca="false">IF($A83="","",IF(O83="Kurang","layar "&amp;Varian!$AG20&amp;", di bawah batas minimal ("&amp;IFERROR(INDEX(Aturan!$A$63:$A$66,MATCH(Aturan!$C$52,Aturan!$B$63:$B$66,0)),"peringkat "&amp;Aturan!$C$52)&amp;")",IF(O83="Cukup","layar "&amp;Varian!$AG20&amp;" cukup, nyamannya "&amp;IFERROR(INDEX(Aturan!$A$63:$A$66,MATCH(Aturan!$D$52,Aturan!$B$63:$B$66,0)),"peringkat "&amp;Aturan!$D$52),IF(O83="Belum ada data","jenis layar belum diketahui",""))))</f>
        <v/>
      </c>
      <c r="W83" s="33" t="str">
        <f aca="false">IF($A83="","",IF(P83="Kurang","layar "&amp;H83&amp;" Hz, di bawah batas minimal "&amp;Aturan!$C$53&amp;" Hz",IF(P83="Cukup","layar "&amp;H83&amp;" Hz cukup, nyamannya "&amp;Aturan!$D$53&amp;" Hz atau lebih",IF(P83="Belum ada data","refresh rate belum diketahui",""))))</f>
        <v/>
      </c>
      <c r="X83" s="33" t="str">
        <f aca="false">IF($A83="","",IF(K83="Kurang",R83&amp;"; ","")&amp;IF(L83="Kurang",S83&amp;"; ","")&amp;IF(M83="Kurang",T83&amp;"; ","")&amp;IF(N83="Kurang",U83&amp;"; ","")&amp;IF(O83="Kurang",V83&amp;"; ","")&amp;IF(P83="Kurang",W83&amp;"; ","")&amp;IF(K83="Belum ada data",R83&amp;"; ","")&amp;IF(L83="Belum ada data",S83&amp;"; ","")&amp;IF(M83="Belum ada data",T83&amp;"; ","")&amp;IF(N83="Belum ada data",U83&amp;"; ","")&amp;IF(O83="Belum ada data",V83&amp;"; ","")&amp;IF(P83="Belum ada data",W83&amp;"; ","")&amp;IF(K83="Cukup",R83&amp;"; ","")&amp;IF(L83="Cukup",S83&amp;"; ","")&amp;IF(M83="Cukup",T83&amp;"; ","")&amp;IF(N83="Cukup",U83&amp;"; ","")&amp;IF(O83="Cukup",V83&amp;"; ","")&amp;IF(P83="Cukup",W83&amp;"; ",""))</f>
        <v/>
      </c>
      <c r="Y83" s="33" t="str">
        <f aca="false">IF($A83="","",IF(K83="Nyaman","prosesor, ","")&amp;IF(L83="Nyaman","grafis, ","")&amp;IF(M83="Nyaman","RAM, ","")&amp;IF(N83="Nyaman","penyimpanan, ","")&amp;IF(O83="Nyaman","layar, ","")&amp;IF(P83="Nyaman","refresh rate, ",""))</f>
        <v/>
      </c>
      <c r="Z83" s="33" t="str">
        <f aca="false">IF($A83="","",IF(Q83="Tidak dinilai","Belum ada kriteria yang dinilai untuk kebutuhan ini.",IF(Q83="Cocok","Semua kriteria yang dinilai sudah nyaman: "&amp;LEFT(Y83,LEN(Y83)-2)&amp;".",UPPER(LEFT(X83,1))&amp;MID(X83,2,LEN(X83)-3)&amp;"."&amp;IF(Y83="",""," Sudah nyaman: "&amp;LEFT(Y83,LEN(Y83)-2)&amp;"."))))</f>
        <v/>
      </c>
      <c r="AA83" s="33"/>
      <c r="AB83" s="33"/>
      <c r="AC83" s="69"/>
    </row>
    <row r="84" customFormat="false" ht="15" hidden="false" customHeight="true" outlineLevel="0" collapsed="false">
      <c r="A84" s="33" t="str">
        <f aca="false">IF(Varian!$A20="","",Varian!$A20)</f>
        <v/>
      </c>
      <c r="B84" s="33" t="str">
        <f aca="false">IF($A84="","",Aturan!$A$25)</f>
        <v/>
      </c>
      <c r="C84" s="69" t="str">
        <f aca="false">IF($A84="","",IFERROR(IF(ISNUMBER(INDEX(CPU!$J$4:$J$64,MATCH(Varian!$J20,CPU!$A$4:$A$64,0))),INDEX(CPU!$J$4:$J$64,MATCH(Varian!$J20,CPU!$A$4:$A$64,0)),""),""))</f>
        <v/>
      </c>
      <c r="D84" s="69" t="str">
        <f aca="false">IF($A84="","",IFERROR(IF(ISNUMBER(INDEX(GPU!$G$4:$G$64,MATCH(Varian!$K20,GPU!$A$4:$A$64,0))),INDEX(GPU!$G$4:$G$64,MATCH(Varian!$K20,GPU!$A$4:$A$64,0)),""),""))</f>
        <v/>
      </c>
      <c r="E84" s="69" t="str">
        <f aca="false">IF($A84="","",IF(ISNUMBER(Varian!$M20),Varian!$M20,""))</f>
        <v/>
      </c>
      <c r="F84" s="69" t="str">
        <f aca="false">IF($A84="","",IF(ISNUMBER(Varian!$V20),Varian!$V20,""))</f>
        <v/>
      </c>
      <c r="G84" s="69" t="str">
        <f aca="false">IF($A84="","",IFERROR(INDEX(Aturan!$B$63:$B$66,MATCH(Varian!$AG20,Aturan!$A$63:$A$66,0)),""))</f>
        <v/>
      </c>
      <c r="H84" s="69" t="str">
        <f aca="false">IF($A84="","",IF(ISNUMBER(Varian!$AI20),Varian!$AI20,""))</f>
        <v/>
      </c>
      <c r="I84" s="33" t="str">
        <f aca="false">IF($A84="","",IF(Varian!$Q20="disolder","menempel di papan utama, tidak bisa ditambah",IF(OR(Varian!$Q20="slot",Varian!$Q20="setengah_disolder"),IF(Varian!$Q20="setengah_disolder","sebagian menempel, ","")&amp;IF(ISNUMBER(Varian!$U20),IF(AND(ISNUMBER(Varian!$M20),Varian!$U20&gt;Varian!$M20),"bisa dinaikkan lewat slot sampai "&amp;Varian!$U20&amp;" GB","sudah di batas maksimal "&amp;Varian!$U20&amp;" GB"),"ada slot, batas maksimalnya belum diketahui"),"belum diketahui apakah bisa ditambah")))</f>
        <v/>
      </c>
      <c r="J84" s="33" t="str">
        <f aca="false">IF($A84="","",IF(Varian!$Z20="ya","bisa diganti dengan yang lebih besar",IF(Varian!$Z20="tidak","menempel, tidak bisa diganti","belum diketahui apakah bisa diganti")))</f>
        <v/>
      </c>
      <c r="K84" s="70" t="str">
        <f aca="false">IF($A84="","",IF(AND(Aturan!$C$54="",Aturan!$D$54=""),"Tidak dinilai",IF(C84="","Belum ada data",IF(C84&lt;IF(Aturan!$C$54="",0,Aturan!$C$54),"Kurang",IF(C84&gt;=IF(Aturan!$D$54="",Aturan!$C$54,Aturan!$D$54),"Nyaman","Cukup")))))</f>
        <v/>
      </c>
      <c r="L84" s="70" t="str">
        <f aca="false">IF($A84="","",IF(AND(Aturan!$C$55="",Aturan!$D$55=""),"Tidak dinilai",IF(D84="","Belum ada data",IF(D84&lt;IF(Aturan!$C$55="",0,Aturan!$C$55),"Kurang",IF(D84&gt;=IF(Aturan!$D$55="",Aturan!$C$55,Aturan!$D$55),"Nyaman","Cukup")))))</f>
        <v/>
      </c>
      <c r="M84" s="70" t="str">
        <f aca="false">IF($A84="","",IF(AND(Aturan!$C$56="",Aturan!$D$56=""),"Tidak dinilai",IF(E84="","Belum ada data",IF(E84&lt;IF(Aturan!$C$56="",0,Aturan!$C$56),"Kurang",IF(E84&gt;=IF(Aturan!$D$56="",Aturan!$C$56,Aturan!$D$56),"Nyaman","Cukup")))))</f>
        <v/>
      </c>
      <c r="N84" s="70" t="str">
        <f aca="false">IF($A84="","",IF(AND(Aturan!$C$57="",Aturan!$D$57=""),"Tidak dinilai",IF(F84="","Belum ada data",IF(F84&lt;IF(Aturan!$C$57="",0,Aturan!$C$57),"Kurang",IF(F84&gt;=IF(Aturan!$D$57="",Aturan!$C$57,Aturan!$D$57),"Nyaman","Cukup")))))</f>
        <v/>
      </c>
      <c r="O84" s="70" t="str">
        <f aca="false">IF($A84="","",IF(AND(Aturan!$C$58="",Aturan!$D$58=""),"Tidak dinilai",IF(G84="","Belum ada data",IF(G84&lt;IF(Aturan!$C$58="",0,Aturan!$C$58),"Kurang",IF(G84&gt;=IF(Aturan!$D$58="",Aturan!$C$58,Aturan!$D$58),"Nyaman","Cukup")))))</f>
        <v/>
      </c>
      <c r="P84" s="70" t="str">
        <f aca="false">IF($A84="","",IF(AND(Aturan!$C$59="",Aturan!$D$59=""),"Tidak dinilai",IF(H84="","Belum ada data",IF(H84&lt;IF(Aturan!$C$59="",0,Aturan!$C$59),"Kurang",IF(H84&gt;=IF(Aturan!$D$59="",Aturan!$C$59,Aturan!$D$59),"Nyaman","Cukup")))))</f>
        <v/>
      </c>
      <c r="Q84" s="70" t="str">
        <f aca="false">IF($A84="","",IF(COUNTIF(K84:P84,"Tidak dinilai")=6,"Tidak dinilai",IF(COUNTIF(K84:P84,"Kurang")&gt;0,"Kurang cocok",IF(COUNTIF(K84:P84,"Belum ada data")&gt;0,"Data belum lengkap",IF(COUNTIF(K84:P84,"Cukup")&gt;0,"Bisa, dengan catatan","Cocok")))))</f>
        <v/>
      </c>
      <c r="R84" s="33" t="str">
        <f aca="false">IF($A84="","",IF(K84="Kurang","prosesor tingkat "&amp;C84&amp;" dari 5, di bawah batas minimal (tingkat "&amp;Aturan!$C$54&amp;")",IF(K84="Cukup","prosesor tingkat "&amp;C84&amp;" dari 5 cukup, nyamannya mulai tingkat "&amp;Aturan!$D$54,IF(K84="Belum ada data","tingkat prosesor belum diisi",""))))</f>
        <v/>
      </c>
      <c r="S84" s="33" t="str">
        <f aca="false">IF($A84="","",IF(L84="Kurang","grafis tingkat "&amp;D84&amp;" dari 5, di bawah batas minimal (tingkat "&amp;Aturan!$C$55&amp;")",IF(L84="Cukup","grafis tingkat "&amp;D84&amp;" dari 5 cukup, nyamannya mulai tingkat "&amp;Aturan!$D$55,IF(L84="Belum ada data","tingkat grafis belum diisi",""))))</f>
        <v/>
      </c>
      <c r="T84" s="33" t="str">
        <f aca="false">IF($A84="","",IF(M84="Kurang","RAM "&amp;E84&amp;" GB, di bawah batas minimal "&amp;Aturan!$C$56&amp;" GB ("&amp;I84&amp;")",IF(M84="Cukup","RAM "&amp;E84&amp;" GB cukup, nyamannya "&amp;Aturan!$D$56&amp;" GB atau lebih ("&amp;I84&amp;")",IF(M84="Belum ada data","ukuran RAM belum diisi",""))))</f>
        <v/>
      </c>
      <c r="U84" s="33" t="str">
        <f aca="false">IF($A84="","",IF(N84="Kurang","penyimpanan "&amp;F84&amp;" GB, di bawah batas minimal "&amp;Aturan!$C$57&amp;" GB ("&amp;J84&amp;")",IF(N84="Cukup","penyimpanan "&amp;F84&amp;" GB cukup, nyamannya "&amp;Aturan!$D$57&amp;" GB atau lebih ("&amp;J84&amp;")",IF(N84="Belum ada data","ukuran penyimpanan belum diisi",""))))</f>
        <v/>
      </c>
      <c r="V84" s="33" t="str">
        <f aca="false">IF($A84="","",IF(O84="Kurang","layar "&amp;Varian!$AG20&amp;", di bawah batas minimal ("&amp;IFERROR(INDEX(Aturan!$A$63:$A$66,MATCH(Aturan!$C$58,Aturan!$B$63:$B$66,0)),"peringkat "&amp;Aturan!$C$58)&amp;")",IF(O84="Cukup","layar "&amp;Varian!$AG20&amp;" cukup, nyamannya "&amp;IFERROR(INDEX(Aturan!$A$63:$A$66,MATCH(Aturan!$D$58,Aturan!$B$63:$B$66,0)),"peringkat "&amp;Aturan!$D$58),IF(O84="Belum ada data","jenis layar belum diketahui",""))))</f>
        <v/>
      </c>
      <c r="W84" s="33" t="str">
        <f aca="false">IF($A84="","",IF(P84="Kurang","layar "&amp;H84&amp;" Hz, di bawah batas minimal "&amp;Aturan!$C$59&amp;" Hz",IF(P84="Cukup","layar "&amp;H84&amp;" Hz cukup, nyamannya "&amp;Aturan!$D$59&amp;" Hz atau lebih",IF(P84="Belum ada data","refresh rate belum diketahui",""))))</f>
        <v/>
      </c>
      <c r="X84" s="33" t="str">
        <f aca="false">IF($A84="","",IF(K84="Kurang",R84&amp;"; ","")&amp;IF(L84="Kurang",S84&amp;"; ","")&amp;IF(M84="Kurang",T84&amp;"; ","")&amp;IF(N84="Kurang",U84&amp;"; ","")&amp;IF(O84="Kurang",V84&amp;"; ","")&amp;IF(P84="Kurang",W84&amp;"; ","")&amp;IF(K84="Belum ada data",R84&amp;"; ","")&amp;IF(L84="Belum ada data",S84&amp;"; ","")&amp;IF(M84="Belum ada data",T84&amp;"; ","")&amp;IF(N84="Belum ada data",U84&amp;"; ","")&amp;IF(O84="Belum ada data",V84&amp;"; ","")&amp;IF(P84="Belum ada data",W84&amp;"; ","")&amp;IF(K84="Cukup",R84&amp;"; ","")&amp;IF(L84="Cukup",S84&amp;"; ","")&amp;IF(M84="Cukup",T84&amp;"; ","")&amp;IF(N84="Cukup",U84&amp;"; ","")&amp;IF(O84="Cukup",V84&amp;"; ","")&amp;IF(P84="Cukup",W84&amp;"; ",""))</f>
        <v/>
      </c>
      <c r="Y84" s="33" t="str">
        <f aca="false">IF($A84="","",IF(K84="Nyaman","prosesor, ","")&amp;IF(L84="Nyaman","grafis, ","")&amp;IF(M84="Nyaman","RAM, ","")&amp;IF(N84="Nyaman","penyimpanan, ","")&amp;IF(O84="Nyaman","layar, ","")&amp;IF(P84="Nyaman","refresh rate, ",""))</f>
        <v/>
      </c>
      <c r="Z84" s="33" t="str">
        <f aca="false">IF($A84="","",IF(Q84="Tidak dinilai","Belum ada kriteria yang dinilai untuk kebutuhan ini.",IF(Q84="Cocok","Semua kriteria yang dinilai sudah nyaman: "&amp;LEFT(Y84,LEN(Y84)-2)&amp;".",UPPER(LEFT(X84,1))&amp;MID(X84,2,LEN(X84)-3)&amp;"."&amp;IF(Y84="",""," Sudah nyaman: "&amp;LEFT(Y84,LEN(Y84)-2)&amp;"."))))</f>
        <v/>
      </c>
      <c r="AA84" s="33"/>
      <c r="AB84" s="33"/>
      <c r="AC84" s="69"/>
    </row>
    <row r="85" customFormat="false" ht="15" hidden="false" customHeight="true" outlineLevel="0" collapsed="false">
      <c r="A85" s="66" t="str">
        <f aca="false">IF(Varian!$A21="","",Varian!$A21)</f>
        <v/>
      </c>
      <c r="B85" s="66" t="str">
        <f aca="false">IF($A85="","",Aturan!$A$21)</f>
        <v/>
      </c>
      <c r="C85" s="67" t="str">
        <f aca="false">IF($A85="","",IFERROR(IF(ISNUMBER(INDEX(CPU!$J$4:$J$64,MATCH(Varian!$J21,CPU!$A$4:$A$64,0))),INDEX(CPU!$J$4:$J$64,MATCH(Varian!$J21,CPU!$A$4:$A$64,0)),""),""))</f>
        <v/>
      </c>
      <c r="D85" s="67" t="str">
        <f aca="false">IF($A85="","",IFERROR(IF(ISNUMBER(INDEX(GPU!$G$4:$G$64,MATCH(Varian!$K21,GPU!$A$4:$A$64,0))),INDEX(GPU!$G$4:$G$64,MATCH(Varian!$K21,GPU!$A$4:$A$64,0)),""),""))</f>
        <v/>
      </c>
      <c r="E85" s="67" t="str">
        <f aca="false">IF($A85="","",IF(ISNUMBER(Varian!$M21),Varian!$M21,""))</f>
        <v/>
      </c>
      <c r="F85" s="67" t="str">
        <f aca="false">IF($A85="","",IF(ISNUMBER(Varian!$V21),Varian!$V21,""))</f>
        <v/>
      </c>
      <c r="G85" s="67" t="str">
        <f aca="false">IF($A85="","",IFERROR(INDEX(Aturan!$B$63:$B$66,MATCH(Varian!$AG21,Aturan!$A$63:$A$66,0)),""))</f>
        <v/>
      </c>
      <c r="H85" s="67" t="str">
        <f aca="false">IF($A85="","",IF(ISNUMBER(Varian!$AI21),Varian!$AI21,""))</f>
        <v/>
      </c>
      <c r="I85" s="66" t="str">
        <f aca="false">IF($A85="","",IF(Varian!$Q21="disolder","menempel di papan utama, tidak bisa ditambah",IF(OR(Varian!$Q21="slot",Varian!$Q21="setengah_disolder"),IF(Varian!$Q21="setengah_disolder","sebagian menempel, ","")&amp;IF(ISNUMBER(Varian!$U21),IF(AND(ISNUMBER(Varian!$M21),Varian!$U21&gt;Varian!$M21),"bisa dinaikkan lewat slot sampai "&amp;Varian!$U21&amp;" GB","sudah di batas maksimal "&amp;Varian!$U21&amp;" GB"),"ada slot, batas maksimalnya belum diketahui"),"belum diketahui apakah bisa ditambah")))</f>
        <v/>
      </c>
      <c r="J85" s="66" t="str">
        <f aca="false">IF($A85="","",IF(Varian!$Z21="ya","bisa diganti dengan yang lebih besar",IF(Varian!$Z21="tidak","menempel, tidak bisa diganti","belum diketahui apakah bisa diganti")))</f>
        <v/>
      </c>
      <c r="K85" s="68" t="str">
        <f aca="false">IF($A85="","",IF(AND(Aturan!$C$30="",Aturan!$D$30=""),"Tidak dinilai",IF(C85="","Belum ada data",IF(C85&lt;IF(Aturan!$C$30="",0,Aturan!$C$30),"Kurang",IF(C85&gt;=IF(Aturan!$D$30="",Aturan!$C$30,Aturan!$D$30),"Nyaman","Cukup")))))</f>
        <v/>
      </c>
      <c r="L85" s="68" t="str">
        <f aca="false">IF($A85="","",IF(AND(Aturan!$C$31="",Aturan!$D$31=""),"Tidak dinilai",IF(D85="","Belum ada data",IF(D85&lt;IF(Aturan!$C$31="",0,Aturan!$C$31),"Kurang",IF(D85&gt;=IF(Aturan!$D$31="",Aturan!$C$31,Aturan!$D$31),"Nyaman","Cukup")))))</f>
        <v/>
      </c>
      <c r="M85" s="68" t="str">
        <f aca="false">IF($A85="","",IF(AND(Aturan!$C$32="",Aturan!$D$32=""),"Tidak dinilai",IF(E85="","Belum ada data",IF(E85&lt;IF(Aturan!$C$32="",0,Aturan!$C$32),"Kurang",IF(E85&gt;=IF(Aturan!$D$32="",Aturan!$C$32,Aturan!$D$32),"Nyaman","Cukup")))))</f>
        <v/>
      </c>
      <c r="N85" s="68" t="str">
        <f aca="false">IF($A85="","",IF(AND(Aturan!$C$33="",Aturan!$D$33=""),"Tidak dinilai",IF(F85="","Belum ada data",IF(F85&lt;IF(Aturan!$C$33="",0,Aturan!$C$33),"Kurang",IF(F85&gt;=IF(Aturan!$D$33="",Aturan!$C$33,Aturan!$D$33),"Nyaman","Cukup")))))</f>
        <v/>
      </c>
      <c r="O85" s="68" t="str">
        <f aca="false">IF($A85="","",IF(AND(Aturan!$C$34="",Aturan!$D$34=""),"Tidak dinilai",IF(G85="","Belum ada data",IF(G85&lt;IF(Aturan!$C$34="",0,Aturan!$C$34),"Kurang",IF(G85&gt;=IF(Aturan!$D$34="",Aturan!$C$34,Aturan!$D$34),"Nyaman","Cukup")))))</f>
        <v/>
      </c>
      <c r="P85" s="68" t="str">
        <f aca="false">IF($A85="","",IF(AND(Aturan!$C$35="",Aturan!$D$35=""),"Tidak dinilai",IF(H85="","Belum ada data",IF(H85&lt;IF(Aturan!$C$35="",0,Aturan!$C$35),"Kurang",IF(H85&gt;=IF(Aturan!$D$35="",Aturan!$C$35,Aturan!$D$35),"Nyaman","Cukup")))))</f>
        <v/>
      </c>
      <c r="Q85" s="68" t="str">
        <f aca="false">IF($A85="","",IF(COUNTIF(K85:P85,"Tidak dinilai")=6,"Tidak dinilai",IF(COUNTIF(K85:P85,"Kurang")&gt;0,"Kurang cocok",IF(COUNTIF(K85:P85,"Belum ada data")&gt;0,"Data belum lengkap",IF(COUNTIF(K85:P85,"Cukup")&gt;0,"Bisa, dengan catatan","Cocok")))))</f>
        <v/>
      </c>
      <c r="R85" s="66" t="str">
        <f aca="false">IF($A85="","",IF(K85="Kurang","prosesor tingkat "&amp;C85&amp;" dari 5, di bawah batas minimal (tingkat "&amp;Aturan!$C$30&amp;")",IF(K85="Cukup","prosesor tingkat "&amp;C85&amp;" dari 5 cukup, nyamannya mulai tingkat "&amp;Aturan!$D$30,IF(K85="Belum ada data","tingkat prosesor belum diisi",""))))</f>
        <v/>
      </c>
      <c r="S85" s="66" t="str">
        <f aca="false">IF($A85="","",IF(L85="Kurang","grafis tingkat "&amp;D85&amp;" dari 5, di bawah batas minimal (tingkat "&amp;Aturan!$C$31&amp;")",IF(L85="Cukup","grafis tingkat "&amp;D85&amp;" dari 5 cukup, nyamannya mulai tingkat "&amp;Aturan!$D$31,IF(L85="Belum ada data","tingkat grafis belum diisi",""))))</f>
        <v/>
      </c>
      <c r="T85" s="66" t="str">
        <f aca="false">IF($A85="","",IF(M85="Kurang","RAM "&amp;E85&amp;" GB, di bawah batas minimal "&amp;Aturan!$C$32&amp;" GB ("&amp;I85&amp;")",IF(M85="Cukup","RAM "&amp;E85&amp;" GB cukup, nyamannya "&amp;Aturan!$D$32&amp;" GB atau lebih ("&amp;I85&amp;")",IF(M85="Belum ada data","ukuran RAM belum diisi",""))))</f>
        <v/>
      </c>
      <c r="U85" s="66" t="str">
        <f aca="false">IF($A85="","",IF(N85="Kurang","penyimpanan "&amp;F85&amp;" GB, di bawah batas minimal "&amp;Aturan!$C$33&amp;" GB ("&amp;J85&amp;")",IF(N85="Cukup","penyimpanan "&amp;F85&amp;" GB cukup, nyamannya "&amp;Aturan!$D$33&amp;" GB atau lebih ("&amp;J85&amp;")",IF(N85="Belum ada data","ukuran penyimpanan belum diisi",""))))</f>
        <v/>
      </c>
      <c r="V85" s="66" t="str">
        <f aca="false">IF($A85="","",IF(O85="Kurang","layar "&amp;Varian!$AG21&amp;", di bawah batas minimal ("&amp;IFERROR(INDEX(Aturan!$A$63:$A$66,MATCH(Aturan!$C$34,Aturan!$B$63:$B$66,0)),"peringkat "&amp;Aturan!$C$34)&amp;")",IF(O85="Cukup","layar "&amp;Varian!$AG21&amp;" cukup, nyamannya "&amp;IFERROR(INDEX(Aturan!$A$63:$A$66,MATCH(Aturan!$D$34,Aturan!$B$63:$B$66,0)),"peringkat "&amp;Aturan!$D$34),IF(O85="Belum ada data","jenis layar belum diketahui",""))))</f>
        <v/>
      </c>
      <c r="W85" s="66" t="str">
        <f aca="false">IF($A85="","",IF(P85="Kurang","layar "&amp;H85&amp;" Hz, di bawah batas minimal "&amp;Aturan!$C$35&amp;" Hz",IF(P85="Cukup","layar "&amp;H85&amp;" Hz cukup, nyamannya "&amp;Aturan!$D$35&amp;" Hz atau lebih",IF(P85="Belum ada data","refresh rate belum diketahui",""))))</f>
        <v/>
      </c>
      <c r="X85" s="66" t="str">
        <f aca="false">IF($A85="","",IF(K85="Kurang",R85&amp;"; ","")&amp;IF(L85="Kurang",S85&amp;"; ","")&amp;IF(M85="Kurang",T85&amp;"; ","")&amp;IF(N85="Kurang",U85&amp;"; ","")&amp;IF(O85="Kurang",V85&amp;"; ","")&amp;IF(P85="Kurang",W85&amp;"; ","")&amp;IF(K85="Belum ada data",R85&amp;"; ","")&amp;IF(L85="Belum ada data",S85&amp;"; ","")&amp;IF(M85="Belum ada data",T85&amp;"; ","")&amp;IF(N85="Belum ada data",U85&amp;"; ","")&amp;IF(O85="Belum ada data",V85&amp;"; ","")&amp;IF(P85="Belum ada data",W85&amp;"; ","")&amp;IF(K85="Cukup",R85&amp;"; ","")&amp;IF(L85="Cukup",S85&amp;"; ","")&amp;IF(M85="Cukup",T85&amp;"; ","")&amp;IF(N85="Cukup",U85&amp;"; ","")&amp;IF(O85="Cukup",V85&amp;"; ","")&amp;IF(P85="Cukup",W85&amp;"; ",""))</f>
        <v/>
      </c>
      <c r="Y85" s="66" t="str">
        <f aca="false">IF($A85="","",IF(K85="Nyaman","prosesor, ","")&amp;IF(L85="Nyaman","grafis, ","")&amp;IF(M85="Nyaman","RAM, ","")&amp;IF(N85="Nyaman","penyimpanan, ","")&amp;IF(O85="Nyaman","layar, ","")&amp;IF(P85="Nyaman","refresh rate, ",""))</f>
        <v/>
      </c>
      <c r="Z85" s="66" t="str">
        <f aca="false">IF($A85="","",IF(Q85="Tidak dinilai","Belum ada kriteria yang dinilai untuk kebutuhan ini.",IF(Q85="Cocok","Semua kriteria yang dinilai sudah nyaman: "&amp;LEFT(Y85,LEN(Y85)-2)&amp;".",UPPER(LEFT(X85,1))&amp;MID(X85,2,LEN(X85)-3)&amp;"."&amp;IF(Y85="",""," Sudah nyaman: "&amp;LEFT(Y85,LEN(Y85)-2)&amp;"."))))</f>
        <v/>
      </c>
      <c r="AA85" s="66" t="str">
        <f aca="false">IF($A85="","",IF(Varian!$AR21="Windows 10","• "&amp;Aturan!$E$71&amp;CHAR(10),"")&amp;IF(Varian!$BB21="tidak","• "&amp;Aturan!$E$72&amp;CHAR(10),"")&amp;IF(OR(Varian!$AD21="belum terverifikasi",Varian!$AD21="tidak diketahui"),"• "&amp;Aturan!$E$73&amp;CHAR(10),"")&amp;IF(Varian!$AH21="1366x768","• "&amp;Aturan!$E$74&amp;CHAR(10),"")&amp;IF(Varian!$AG21="TN","• "&amp;Aturan!$E$75&amp;CHAR(10),"")&amp;IF(AND(Varian!$Q21="disolder",ISNUMBER(Varian!$M21),Varian!$M21&lt;=8),"• "&amp;Aturan!$E$76&amp;CHAR(10),""))</f>
        <v/>
      </c>
      <c r="AB85" s="66" t="str">
        <f aca="false">IF($A85="","",IF(AA85="","",LEFT(AA85,LEN(AA85)-1)))</f>
        <v/>
      </c>
      <c r="AC85" s="67" t="str">
        <f aca="false">IF($A85="","",IF(AA85="",0,LEN(AA85)-LEN(SUBSTITUTE(AA85,CHAR(10),""))))</f>
        <v/>
      </c>
    </row>
    <row r="86" customFormat="false" ht="15" hidden="false" customHeight="true" outlineLevel="0" collapsed="false">
      <c r="A86" s="33" t="str">
        <f aca="false">IF(Varian!$A21="","",Varian!$A21)</f>
        <v/>
      </c>
      <c r="B86" s="33" t="str">
        <f aca="false">IF($A86="","",Aturan!$A$22)</f>
        <v/>
      </c>
      <c r="C86" s="69" t="str">
        <f aca="false">IF($A86="","",IFERROR(IF(ISNUMBER(INDEX(CPU!$J$4:$J$64,MATCH(Varian!$J21,CPU!$A$4:$A$64,0))),INDEX(CPU!$J$4:$J$64,MATCH(Varian!$J21,CPU!$A$4:$A$64,0)),""),""))</f>
        <v/>
      </c>
      <c r="D86" s="69" t="str">
        <f aca="false">IF($A86="","",IFERROR(IF(ISNUMBER(INDEX(GPU!$G$4:$G$64,MATCH(Varian!$K21,GPU!$A$4:$A$64,0))),INDEX(GPU!$G$4:$G$64,MATCH(Varian!$K21,GPU!$A$4:$A$64,0)),""),""))</f>
        <v/>
      </c>
      <c r="E86" s="69" t="str">
        <f aca="false">IF($A86="","",IF(ISNUMBER(Varian!$M21),Varian!$M21,""))</f>
        <v/>
      </c>
      <c r="F86" s="69" t="str">
        <f aca="false">IF($A86="","",IF(ISNUMBER(Varian!$V21),Varian!$V21,""))</f>
        <v/>
      </c>
      <c r="G86" s="69" t="str">
        <f aca="false">IF($A86="","",IFERROR(INDEX(Aturan!$B$63:$B$66,MATCH(Varian!$AG21,Aturan!$A$63:$A$66,0)),""))</f>
        <v/>
      </c>
      <c r="H86" s="69" t="str">
        <f aca="false">IF($A86="","",IF(ISNUMBER(Varian!$AI21),Varian!$AI21,""))</f>
        <v/>
      </c>
      <c r="I86" s="33" t="str">
        <f aca="false">IF($A86="","",IF(Varian!$Q21="disolder","menempel di papan utama, tidak bisa ditambah",IF(OR(Varian!$Q21="slot",Varian!$Q21="setengah_disolder"),IF(Varian!$Q21="setengah_disolder","sebagian menempel, ","")&amp;IF(ISNUMBER(Varian!$U21),IF(AND(ISNUMBER(Varian!$M21),Varian!$U21&gt;Varian!$M21),"bisa dinaikkan lewat slot sampai "&amp;Varian!$U21&amp;" GB","sudah di batas maksimal "&amp;Varian!$U21&amp;" GB"),"ada slot, batas maksimalnya belum diketahui"),"belum diketahui apakah bisa ditambah")))</f>
        <v/>
      </c>
      <c r="J86" s="33" t="str">
        <f aca="false">IF($A86="","",IF(Varian!$Z21="ya","bisa diganti dengan yang lebih besar",IF(Varian!$Z21="tidak","menempel, tidak bisa diganti","belum diketahui apakah bisa diganti")))</f>
        <v/>
      </c>
      <c r="K86" s="70" t="str">
        <f aca="false">IF($A86="","",IF(AND(Aturan!$C$36="",Aturan!$D$36=""),"Tidak dinilai",IF(C86="","Belum ada data",IF(C86&lt;IF(Aturan!$C$36="",0,Aturan!$C$36),"Kurang",IF(C86&gt;=IF(Aturan!$D$36="",Aturan!$C$36,Aturan!$D$36),"Nyaman","Cukup")))))</f>
        <v/>
      </c>
      <c r="L86" s="70" t="str">
        <f aca="false">IF($A86="","",IF(AND(Aturan!$C$37="",Aturan!$D$37=""),"Tidak dinilai",IF(D86="","Belum ada data",IF(D86&lt;IF(Aturan!$C$37="",0,Aturan!$C$37),"Kurang",IF(D86&gt;=IF(Aturan!$D$37="",Aturan!$C$37,Aturan!$D$37),"Nyaman","Cukup")))))</f>
        <v/>
      </c>
      <c r="M86" s="70" t="str">
        <f aca="false">IF($A86="","",IF(AND(Aturan!$C$38="",Aturan!$D$38=""),"Tidak dinilai",IF(E86="","Belum ada data",IF(E86&lt;IF(Aturan!$C$38="",0,Aturan!$C$38),"Kurang",IF(E86&gt;=IF(Aturan!$D$38="",Aturan!$C$38,Aturan!$D$38),"Nyaman","Cukup")))))</f>
        <v/>
      </c>
      <c r="N86" s="70" t="str">
        <f aca="false">IF($A86="","",IF(AND(Aturan!$C$39="",Aturan!$D$39=""),"Tidak dinilai",IF(F86="","Belum ada data",IF(F86&lt;IF(Aturan!$C$39="",0,Aturan!$C$39),"Kurang",IF(F86&gt;=IF(Aturan!$D$39="",Aturan!$C$39,Aturan!$D$39),"Nyaman","Cukup")))))</f>
        <v/>
      </c>
      <c r="O86" s="70" t="str">
        <f aca="false">IF($A86="","",IF(AND(Aturan!$C$40="",Aturan!$D$40=""),"Tidak dinilai",IF(G86="","Belum ada data",IF(G86&lt;IF(Aturan!$C$40="",0,Aturan!$C$40),"Kurang",IF(G86&gt;=IF(Aturan!$D$40="",Aturan!$C$40,Aturan!$D$40),"Nyaman","Cukup")))))</f>
        <v/>
      </c>
      <c r="P86" s="70" t="str">
        <f aca="false">IF($A86="","",IF(AND(Aturan!$C$41="",Aturan!$D$41=""),"Tidak dinilai",IF(H86="","Belum ada data",IF(H86&lt;IF(Aturan!$C$41="",0,Aturan!$C$41),"Kurang",IF(H86&gt;=IF(Aturan!$D$41="",Aturan!$C$41,Aturan!$D$41),"Nyaman","Cukup")))))</f>
        <v/>
      </c>
      <c r="Q86" s="70" t="str">
        <f aca="false">IF($A86="","",IF(COUNTIF(K86:P86,"Tidak dinilai")=6,"Tidak dinilai",IF(COUNTIF(K86:P86,"Kurang")&gt;0,"Kurang cocok",IF(COUNTIF(K86:P86,"Belum ada data")&gt;0,"Data belum lengkap",IF(COUNTIF(K86:P86,"Cukup")&gt;0,"Bisa, dengan catatan","Cocok")))))</f>
        <v/>
      </c>
      <c r="R86" s="33" t="str">
        <f aca="false">IF($A86="","",IF(K86="Kurang","prosesor tingkat "&amp;C86&amp;" dari 5, di bawah batas minimal (tingkat "&amp;Aturan!$C$36&amp;")",IF(K86="Cukup","prosesor tingkat "&amp;C86&amp;" dari 5 cukup, nyamannya mulai tingkat "&amp;Aturan!$D$36,IF(K86="Belum ada data","tingkat prosesor belum diisi",""))))</f>
        <v/>
      </c>
      <c r="S86" s="33" t="str">
        <f aca="false">IF($A86="","",IF(L86="Kurang","grafis tingkat "&amp;D86&amp;" dari 5, di bawah batas minimal (tingkat "&amp;Aturan!$C$37&amp;")",IF(L86="Cukup","grafis tingkat "&amp;D86&amp;" dari 5 cukup, nyamannya mulai tingkat "&amp;Aturan!$D$37,IF(L86="Belum ada data","tingkat grafis belum diisi",""))))</f>
        <v/>
      </c>
      <c r="T86" s="33" t="str">
        <f aca="false">IF($A86="","",IF(M86="Kurang","RAM "&amp;E86&amp;" GB, di bawah batas minimal "&amp;Aturan!$C$38&amp;" GB ("&amp;I86&amp;")",IF(M86="Cukup","RAM "&amp;E86&amp;" GB cukup, nyamannya "&amp;Aturan!$D$38&amp;" GB atau lebih ("&amp;I86&amp;")",IF(M86="Belum ada data","ukuran RAM belum diisi",""))))</f>
        <v/>
      </c>
      <c r="U86" s="33" t="str">
        <f aca="false">IF($A86="","",IF(N86="Kurang","penyimpanan "&amp;F86&amp;" GB, di bawah batas minimal "&amp;Aturan!$C$39&amp;" GB ("&amp;J86&amp;")",IF(N86="Cukup","penyimpanan "&amp;F86&amp;" GB cukup, nyamannya "&amp;Aturan!$D$39&amp;" GB atau lebih ("&amp;J86&amp;")",IF(N86="Belum ada data","ukuran penyimpanan belum diisi",""))))</f>
        <v/>
      </c>
      <c r="V86" s="33" t="str">
        <f aca="false">IF($A86="","",IF(O86="Kurang","layar "&amp;Varian!$AG21&amp;", di bawah batas minimal ("&amp;IFERROR(INDEX(Aturan!$A$63:$A$66,MATCH(Aturan!$C$40,Aturan!$B$63:$B$66,0)),"peringkat "&amp;Aturan!$C$40)&amp;")",IF(O86="Cukup","layar "&amp;Varian!$AG21&amp;" cukup, nyamannya "&amp;IFERROR(INDEX(Aturan!$A$63:$A$66,MATCH(Aturan!$D$40,Aturan!$B$63:$B$66,0)),"peringkat "&amp;Aturan!$D$40),IF(O86="Belum ada data","jenis layar belum diketahui",""))))</f>
        <v/>
      </c>
      <c r="W86" s="33" t="str">
        <f aca="false">IF($A86="","",IF(P86="Kurang","layar "&amp;H86&amp;" Hz, di bawah batas minimal "&amp;Aturan!$C$41&amp;" Hz",IF(P86="Cukup","layar "&amp;H86&amp;" Hz cukup, nyamannya "&amp;Aturan!$D$41&amp;" Hz atau lebih",IF(P86="Belum ada data","refresh rate belum diketahui",""))))</f>
        <v/>
      </c>
      <c r="X86" s="33" t="str">
        <f aca="false">IF($A86="","",IF(K86="Kurang",R86&amp;"; ","")&amp;IF(L86="Kurang",S86&amp;"; ","")&amp;IF(M86="Kurang",T86&amp;"; ","")&amp;IF(N86="Kurang",U86&amp;"; ","")&amp;IF(O86="Kurang",V86&amp;"; ","")&amp;IF(P86="Kurang",W86&amp;"; ","")&amp;IF(K86="Belum ada data",R86&amp;"; ","")&amp;IF(L86="Belum ada data",S86&amp;"; ","")&amp;IF(M86="Belum ada data",T86&amp;"; ","")&amp;IF(N86="Belum ada data",U86&amp;"; ","")&amp;IF(O86="Belum ada data",V86&amp;"; ","")&amp;IF(P86="Belum ada data",W86&amp;"; ","")&amp;IF(K86="Cukup",R86&amp;"; ","")&amp;IF(L86="Cukup",S86&amp;"; ","")&amp;IF(M86="Cukup",T86&amp;"; ","")&amp;IF(N86="Cukup",U86&amp;"; ","")&amp;IF(O86="Cukup",V86&amp;"; ","")&amp;IF(P86="Cukup",W86&amp;"; ",""))</f>
        <v/>
      </c>
      <c r="Y86" s="33" t="str">
        <f aca="false">IF($A86="","",IF(K86="Nyaman","prosesor, ","")&amp;IF(L86="Nyaman","grafis, ","")&amp;IF(M86="Nyaman","RAM, ","")&amp;IF(N86="Nyaman","penyimpanan, ","")&amp;IF(O86="Nyaman","layar, ","")&amp;IF(P86="Nyaman","refresh rate, ",""))</f>
        <v/>
      </c>
      <c r="Z86" s="33" t="str">
        <f aca="false">IF($A86="","",IF(Q86="Tidak dinilai","Belum ada kriteria yang dinilai untuk kebutuhan ini.",IF(Q86="Cocok","Semua kriteria yang dinilai sudah nyaman: "&amp;LEFT(Y86,LEN(Y86)-2)&amp;".",UPPER(LEFT(X86,1))&amp;MID(X86,2,LEN(X86)-3)&amp;"."&amp;IF(Y86="",""," Sudah nyaman: "&amp;LEFT(Y86,LEN(Y86)-2)&amp;"."))))</f>
        <v/>
      </c>
      <c r="AA86" s="33"/>
      <c r="AB86" s="33"/>
      <c r="AC86" s="69"/>
    </row>
    <row r="87" customFormat="false" ht="15" hidden="false" customHeight="true" outlineLevel="0" collapsed="false">
      <c r="A87" s="33" t="str">
        <f aca="false">IF(Varian!$A21="","",Varian!$A21)</f>
        <v/>
      </c>
      <c r="B87" s="33" t="str">
        <f aca="false">IF($A87="","",Aturan!$A$23)</f>
        <v/>
      </c>
      <c r="C87" s="69" t="str">
        <f aca="false">IF($A87="","",IFERROR(IF(ISNUMBER(INDEX(CPU!$J$4:$J$64,MATCH(Varian!$J21,CPU!$A$4:$A$64,0))),INDEX(CPU!$J$4:$J$64,MATCH(Varian!$J21,CPU!$A$4:$A$64,0)),""),""))</f>
        <v/>
      </c>
      <c r="D87" s="69" t="str">
        <f aca="false">IF($A87="","",IFERROR(IF(ISNUMBER(INDEX(GPU!$G$4:$G$64,MATCH(Varian!$K21,GPU!$A$4:$A$64,0))),INDEX(GPU!$G$4:$G$64,MATCH(Varian!$K21,GPU!$A$4:$A$64,0)),""),""))</f>
        <v/>
      </c>
      <c r="E87" s="69" t="str">
        <f aca="false">IF($A87="","",IF(ISNUMBER(Varian!$M21),Varian!$M21,""))</f>
        <v/>
      </c>
      <c r="F87" s="69" t="str">
        <f aca="false">IF($A87="","",IF(ISNUMBER(Varian!$V21),Varian!$V21,""))</f>
        <v/>
      </c>
      <c r="G87" s="69" t="str">
        <f aca="false">IF($A87="","",IFERROR(INDEX(Aturan!$B$63:$B$66,MATCH(Varian!$AG21,Aturan!$A$63:$A$66,0)),""))</f>
        <v/>
      </c>
      <c r="H87" s="69" t="str">
        <f aca="false">IF($A87="","",IF(ISNUMBER(Varian!$AI21),Varian!$AI21,""))</f>
        <v/>
      </c>
      <c r="I87" s="33" t="str">
        <f aca="false">IF($A87="","",IF(Varian!$Q21="disolder","menempel di papan utama, tidak bisa ditambah",IF(OR(Varian!$Q21="slot",Varian!$Q21="setengah_disolder"),IF(Varian!$Q21="setengah_disolder","sebagian menempel, ","")&amp;IF(ISNUMBER(Varian!$U21),IF(AND(ISNUMBER(Varian!$M21),Varian!$U21&gt;Varian!$M21),"bisa dinaikkan lewat slot sampai "&amp;Varian!$U21&amp;" GB","sudah di batas maksimal "&amp;Varian!$U21&amp;" GB"),"ada slot, batas maksimalnya belum diketahui"),"belum diketahui apakah bisa ditambah")))</f>
        <v/>
      </c>
      <c r="J87" s="33" t="str">
        <f aca="false">IF($A87="","",IF(Varian!$Z21="ya","bisa diganti dengan yang lebih besar",IF(Varian!$Z21="tidak","menempel, tidak bisa diganti","belum diketahui apakah bisa diganti")))</f>
        <v/>
      </c>
      <c r="K87" s="70" t="str">
        <f aca="false">IF($A87="","",IF(AND(Aturan!$C$42="",Aturan!$D$42=""),"Tidak dinilai",IF(C87="","Belum ada data",IF(C87&lt;IF(Aturan!$C$42="",0,Aturan!$C$42),"Kurang",IF(C87&gt;=IF(Aturan!$D$42="",Aturan!$C$42,Aturan!$D$42),"Nyaman","Cukup")))))</f>
        <v/>
      </c>
      <c r="L87" s="70" t="str">
        <f aca="false">IF($A87="","",IF(AND(Aturan!$C$43="",Aturan!$D$43=""),"Tidak dinilai",IF(D87="","Belum ada data",IF(D87&lt;IF(Aturan!$C$43="",0,Aturan!$C$43),"Kurang",IF(D87&gt;=IF(Aturan!$D$43="",Aturan!$C$43,Aturan!$D$43),"Nyaman","Cukup")))))</f>
        <v/>
      </c>
      <c r="M87" s="70" t="str">
        <f aca="false">IF($A87="","",IF(AND(Aturan!$C$44="",Aturan!$D$44=""),"Tidak dinilai",IF(E87="","Belum ada data",IF(E87&lt;IF(Aturan!$C$44="",0,Aturan!$C$44),"Kurang",IF(E87&gt;=IF(Aturan!$D$44="",Aturan!$C$44,Aturan!$D$44),"Nyaman","Cukup")))))</f>
        <v/>
      </c>
      <c r="N87" s="70" t="str">
        <f aca="false">IF($A87="","",IF(AND(Aturan!$C$45="",Aturan!$D$45=""),"Tidak dinilai",IF(F87="","Belum ada data",IF(F87&lt;IF(Aturan!$C$45="",0,Aturan!$C$45),"Kurang",IF(F87&gt;=IF(Aturan!$D$45="",Aturan!$C$45,Aturan!$D$45),"Nyaman","Cukup")))))</f>
        <v/>
      </c>
      <c r="O87" s="70" t="str">
        <f aca="false">IF($A87="","",IF(AND(Aturan!$C$46="",Aturan!$D$46=""),"Tidak dinilai",IF(G87="","Belum ada data",IF(G87&lt;IF(Aturan!$C$46="",0,Aturan!$C$46),"Kurang",IF(G87&gt;=IF(Aturan!$D$46="",Aturan!$C$46,Aturan!$D$46),"Nyaman","Cukup")))))</f>
        <v/>
      </c>
      <c r="P87" s="70" t="str">
        <f aca="false">IF($A87="","",IF(AND(Aturan!$C$47="",Aturan!$D$47=""),"Tidak dinilai",IF(H87="","Belum ada data",IF(H87&lt;IF(Aturan!$C$47="",0,Aturan!$C$47),"Kurang",IF(H87&gt;=IF(Aturan!$D$47="",Aturan!$C$47,Aturan!$D$47),"Nyaman","Cukup")))))</f>
        <v/>
      </c>
      <c r="Q87" s="70" t="str">
        <f aca="false">IF($A87="","",IF(COUNTIF(K87:P87,"Tidak dinilai")=6,"Tidak dinilai",IF(COUNTIF(K87:P87,"Kurang")&gt;0,"Kurang cocok",IF(COUNTIF(K87:P87,"Belum ada data")&gt;0,"Data belum lengkap",IF(COUNTIF(K87:P87,"Cukup")&gt;0,"Bisa, dengan catatan","Cocok")))))</f>
        <v/>
      </c>
      <c r="R87" s="33" t="str">
        <f aca="false">IF($A87="","",IF(K87="Kurang","prosesor tingkat "&amp;C87&amp;" dari 5, di bawah batas minimal (tingkat "&amp;Aturan!$C$42&amp;")",IF(K87="Cukup","prosesor tingkat "&amp;C87&amp;" dari 5 cukup, nyamannya mulai tingkat "&amp;Aturan!$D$42,IF(K87="Belum ada data","tingkat prosesor belum diisi",""))))</f>
        <v/>
      </c>
      <c r="S87" s="33" t="str">
        <f aca="false">IF($A87="","",IF(L87="Kurang","grafis tingkat "&amp;D87&amp;" dari 5, di bawah batas minimal (tingkat "&amp;Aturan!$C$43&amp;")",IF(L87="Cukup","grafis tingkat "&amp;D87&amp;" dari 5 cukup, nyamannya mulai tingkat "&amp;Aturan!$D$43,IF(L87="Belum ada data","tingkat grafis belum diisi",""))))</f>
        <v/>
      </c>
      <c r="T87" s="33" t="str">
        <f aca="false">IF($A87="","",IF(M87="Kurang","RAM "&amp;E87&amp;" GB, di bawah batas minimal "&amp;Aturan!$C$44&amp;" GB ("&amp;I87&amp;")",IF(M87="Cukup","RAM "&amp;E87&amp;" GB cukup, nyamannya "&amp;Aturan!$D$44&amp;" GB atau lebih ("&amp;I87&amp;")",IF(M87="Belum ada data","ukuran RAM belum diisi",""))))</f>
        <v/>
      </c>
      <c r="U87" s="33" t="str">
        <f aca="false">IF($A87="","",IF(N87="Kurang","penyimpanan "&amp;F87&amp;" GB, di bawah batas minimal "&amp;Aturan!$C$45&amp;" GB ("&amp;J87&amp;")",IF(N87="Cukup","penyimpanan "&amp;F87&amp;" GB cukup, nyamannya "&amp;Aturan!$D$45&amp;" GB atau lebih ("&amp;J87&amp;")",IF(N87="Belum ada data","ukuran penyimpanan belum diisi",""))))</f>
        <v/>
      </c>
      <c r="V87" s="33" t="str">
        <f aca="false">IF($A87="","",IF(O87="Kurang","layar "&amp;Varian!$AG21&amp;", di bawah batas minimal ("&amp;IFERROR(INDEX(Aturan!$A$63:$A$66,MATCH(Aturan!$C$46,Aturan!$B$63:$B$66,0)),"peringkat "&amp;Aturan!$C$46)&amp;")",IF(O87="Cukup","layar "&amp;Varian!$AG21&amp;" cukup, nyamannya "&amp;IFERROR(INDEX(Aturan!$A$63:$A$66,MATCH(Aturan!$D$46,Aturan!$B$63:$B$66,0)),"peringkat "&amp;Aturan!$D$46),IF(O87="Belum ada data","jenis layar belum diketahui",""))))</f>
        <v/>
      </c>
      <c r="W87" s="33" t="str">
        <f aca="false">IF($A87="","",IF(P87="Kurang","layar "&amp;H87&amp;" Hz, di bawah batas minimal "&amp;Aturan!$C$47&amp;" Hz",IF(P87="Cukup","layar "&amp;H87&amp;" Hz cukup, nyamannya "&amp;Aturan!$D$47&amp;" Hz atau lebih",IF(P87="Belum ada data","refresh rate belum diketahui",""))))</f>
        <v/>
      </c>
      <c r="X87" s="33" t="str">
        <f aca="false">IF($A87="","",IF(K87="Kurang",R87&amp;"; ","")&amp;IF(L87="Kurang",S87&amp;"; ","")&amp;IF(M87="Kurang",T87&amp;"; ","")&amp;IF(N87="Kurang",U87&amp;"; ","")&amp;IF(O87="Kurang",V87&amp;"; ","")&amp;IF(P87="Kurang",W87&amp;"; ","")&amp;IF(K87="Belum ada data",R87&amp;"; ","")&amp;IF(L87="Belum ada data",S87&amp;"; ","")&amp;IF(M87="Belum ada data",T87&amp;"; ","")&amp;IF(N87="Belum ada data",U87&amp;"; ","")&amp;IF(O87="Belum ada data",V87&amp;"; ","")&amp;IF(P87="Belum ada data",W87&amp;"; ","")&amp;IF(K87="Cukup",R87&amp;"; ","")&amp;IF(L87="Cukup",S87&amp;"; ","")&amp;IF(M87="Cukup",T87&amp;"; ","")&amp;IF(N87="Cukup",U87&amp;"; ","")&amp;IF(O87="Cukup",V87&amp;"; ","")&amp;IF(P87="Cukup",W87&amp;"; ",""))</f>
        <v/>
      </c>
      <c r="Y87" s="33" t="str">
        <f aca="false">IF($A87="","",IF(K87="Nyaman","prosesor, ","")&amp;IF(L87="Nyaman","grafis, ","")&amp;IF(M87="Nyaman","RAM, ","")&amp;IF(N87="Nyaman","penyimpanan, ","")&amp;IF(O87="Nyaman","layar, ","")&amp;IF(P87="Nyaman","refresh rate, ",""))</f>
        <v/>
      </c>
      <c r="Z87" s="33" t="str">
        <f aca="false">IF($A87="","",IF(Q87="Tidak dinilai","Belum ada kriteria yang dinilai untuk kebutuhan ini.",IF(Q87="Cocok","Semua kriteria yang dinilai sudah nyaman: "&amp;LEFT(Y87,LEN(Y87)-2)&amp;".",UPPER(LEFT(X87,1))&amp;MID(X87,2,LEN(X87)-3)&amp;"."&amp;IF(Y87="",""," Sudah nyaman: "&amp;LEFT(Y87,LEN(Y87)-2)&amp;"."))))</f>
        <v/>
      </c>
      <c r="AA87" s="33"/>
      <c r="AB87" s="33"/>
      <c r="AC87" s="69"/>
    </row>
    <row r="88" customFormat="false" ht="15" hidden="false" customHeight="true" outlineLevel="0" collapsed="false">
      <c r="A88" s="33" t="str">
        <f aca="false">IF(Varian!$A21="","",Varian!$A21)</f>
        <v/>
      </c>
      <c r="B88" s="33" t="str">
        <f aca="false">IF($A88="","",Aturan!$A$24)</f>
        <v/>
      </c>
      <c r="C88" s="69" t="str">
        <f aca="false">IF($A88="","",IFERROR(IF(ISNUMBER(INDEX(CPU!$J$4:$J$64,MATCH(Varian!$J21,CPU!$A$4:$A$64,0))),INDEX(CPU!$J$4:$J$64,MATCH(Varian!$J21,CPU!$A$4:$A$64,0)),""),""))</f>
        <v/>
      </c>
      <c r="D88" s="69" t="str">
        <f aca="false">IF($A88="","",IFERROR(IF(ISNUMBER(INDEX(GPU!$G$4:$G$64,MATCH(Varian!$K21,GPU!$A$4:$A$64,0))),INDEX(GPU!$G$4:$G$64,MATCH(Varian!$K21,GPU!$A$4:$A$64,0)),""),""))</f>
        <v/>
      </c>
      <c r="E88" s="69" t="str">
        <f aca="false">IF($A88="","",IF(ISNUMBER(Varian!$M21),Varian!$M21,""))</f>
        <v/>
      </c>
      <c r="F88" s="69" t="str">
        <f aca="false">IF($A88="","",IF(ISNUMBER(Varian!$V21),Varian!$V21,""))</f>
        <v/>
      </c>
      <c r="G88" s="69" t="str">
        <f aca="false">IF($A88="","",IFERROR(INDEX(Aturan!$B$63:$B$66,MATCH(Varian!$AG21,Aturan!$A$63:$A$66,0)),""))</f>
        <v/>
      </c>
      <c r="H88" s="69" t="str">
        <f aca="false">IF($A88="","",IF(ISNUMBER(Varian!$AI21),Varian!$AI21,""))</f>
        <v/>
      </c>
      <c r="I88" s="33" t="str">
        <f aca="false">IF($A88="","",IF(Varian!$Q21="disolder","menempel di papan utama, tidak bisa ditambah",IF(OR(Varian!$Q21="slot",Varian!$Q21="setengah_disolder"),IF(Varian!$Q21="setengah_disolder","sebagian menempel, ","")&amp;IF(ISNUMBER(Varian!$U21),IF(AND(ISNUMBER(Varian!$M21),Varian!$U21&gt;Varian!$M21),"bisa dinaikkan lewat slot sampai "&amp;Varian!$U21&amp;" GB","sudah di batas maksimal "&amp;Varian!$U21&amp;" GB"),"ada slot, batas maksimalnya belum diketahui"),"belum diketahui apakah bisa ditambah")))</f>
        <v/>
      </c>
      <c r="J88" s="33" t="str">
        <f aca="false">IF($A88="","",IF(Varian!$Z21="ya","bisa diganti dengan yang lebih besar",IF(Varian!$Z21="tidak","menempel, tidak bisa diganti","belum diketahui apakah bisa diganti")))</f>
        <v/>
      </c>
      <c r="K88" s="70" t="str">
        <f aca="false">IF($A88="","",IF(AND(Aturan!$C$48="",Aturan!$D$48=""),"Tidak dinilai",IF(C88="","Belum ada data",IF(C88&lt;IF(Aturan!$C$48="",0,Aturan!$C$48),"Kurang",IF(C88&gt;=IF(Aturan!$D$48="",Aturan!$C$48,Aturan!$D$48),"Nyaman","Cukup")))))</f>
        <v/>
      </c>
      <c r="L88" s="70" t="str">
        <f aca="false">IF($A88="","",IF(AND(Aturan!$C$49="",Aturan!$D$49=""),"Tidak dinilai",IF(D88="","Belum ada data",IF(D88&lt;IF(Aturan!$C$49="",0,Aturan!$C$49),"Kurang",IF(D88&gt;=IF(Aturan!$D$49="",Aturan!$C$49,Aturan!$D$49),"Nyaman","Cukup")))))</f>
        <v/>
      </c>
      <c r="M88" s="70" t="str">
        <f aca="false">IF($A88="","",IF(AND(Aturan!$C$50="",Aturan!$D$50=""),"Tidak dinilai",IF(E88="","Belum ada data",IF(E88&lt;IF(Aturan!$C$50="",0,Aturan!$C$50),"Kurang",IF(E88&gt;=IF(Aturan!$D$50="",Aturan!$C$50,Aturan!$D$50),"Nyaman","Cukup")))))</f>
        <v/>
      </c>
      <c r="N88" s="70" t="str">
        <f aca="false">IF($A88="","",IF(AND(Aturan!$C$51="",Aturan!$D$51=""),"Tidak dinilai",IF(F88="","Belum ada data",IF(F88&lt;IF(Aturan!$C$51="",0,Aturan!$C$51),"Kurang",IF(F88&gt;=IF(Aturan!$D$51="",Aturan!$C$51,Aturan!$D$51),"Nyaman","Cukup")))))</f>
        <v/>
      </c>
      <c r="O88" s="70" t="str">
        <f aca="false">IF($A88="","",IF(AND(Aturan!$C$52="",Aturan!$D$52=""),"Tidak dinilai",IF(G88="","Belum ada data",IF(G88&lt;IF(Aturan!$C$52="",0,Aturan!$C$52),"Kurang",IF(G88&gt;=IF(Aturan!$D$52="",Aturan!$C$52,Aturan!$D$52),"Nyaman","Cukup")))))</f>
        <v/>
      </c>
      <c r="P88" s="70" t="str">
        <f aca="false">IF($A88="","",IF(AND(Aturan!$C$53="",Aturan!$D$53=""),"Tidak dinilai",IF(H88="","Belum ada data",IF(H88&lt;IF(Aturan!$C$53="",0,Aturan!$C$53),"Kurang",IF(H88&gt;=IF(Aturan!$D$53="",Aturan!$C$53,Aturan!$D$53),"Nyaman","Cukup")))))</f>
        <v/>
      </c>
      <c r="Q88" s="70" t="str">
        <f aca="false">IF($A88="","",IF(COUNTIF(K88:P88,"Tidak dinilai")=6,"Tidak dinilai",IF(COUNTIF(K88:P88,"Kurang")&gt;0,"Kurang cocok",IF(COUNTIF(K88:P88,"Belum ada data")&gt;0,"Data belum lengkap",IF(COUNTIF(K88:P88,"Cukup")&gt;0,"Bisa, dengan catatan","Cocok")))))</f>
        <v/>
      </c>
      <c r="R88" s="33" t="str">
        <f aca="false">IF($A88="","",IF(K88="Kurang","prosesor tingkat "&amp;C88&amp;" dari 5, di bawah batas minimal (tingkat "&amp;Aturan!$C$48&amp;")",IF(K88="Cukup","prosesor tingkat "&amp;C88&amp;" dari 5 cukup, nyamannya mulai tingkat "&amp;Aturan!$D$48,IF(K88="Belum ada data","tingkat prosesor belum diisi",""))))</f>
        <v/>
      </c>
      <c r="S88" s="33" t="str">
        <f aca="false">IF($A88="","",IF(L88="Kurang","grafis tingkat "&amp;D88&amp;" dari 5, di bawah batas minimal (tingkat "&amp;Aturan!$C$49&amp;")",IF(L88="Cukup","grafis tingkat "&amp;D88&amp;" dari 5 cukup, nyamannya mulai tingkat "&amp;Aturan!$D$49,IF(L88="Belum ada data","tingkat grafis belum diisi",""))))</f>
        <v/>
      </c>
      <c r="T88" s="33" t="str">
        <f aca="false">IF($A88="","",IF(M88="Kurang","RAM "&amp;E88&amp;" GB, di bawah batas minimal "&amp;Aturan!$C$50&amp;" GB ("&amp;I88&amp;")",IF(M88="Cukup","RAM "&amp;E88&amp;" GB cukup, nyamannya "&amp;Aturan!$D$50&amp;" GB atau lebih ("&amp;I88&amp;")",IF(M88="Belum ada data","ukuran RAM belum diisi",""))))</f>
        <v/>
      </c>
      <c r="U88" s="33" t="str">
        <f aca="false">IF($A88="","",IF(N88="Kurang","penyimpanan "&amp;F88&amp;" GB, di bawah batas minimal "&amp;Aturan!$C$51&amp;" GB ("&amp;J88&amp;")",IF(N88="Cukup","penyimpanan "&amp;F88&amp;" GB cukup, nyamannya "&amp;Aturan!$D$51&amp;" GB atau lebih ("&amp;J88&amp;")",IF(N88="Belum ada data","ukuran penyimpanan belum diisi",""))))</f>
        <v/>
      </c>
      <c r="V88" s="33" t="str">
        <f aca="false">IF($A88="","",IF(O88="Kurang","layar "&amp;Varian!$AG21&amp;", di bawah batas minimal ("&amp;IFERROR(INDEX(Aturan!$A$63:$A$66,MATCH(Aturan!$C$52,Aturan!$B$63:$B$66,0)),"peringkat "&amp;Aturan!$C$52)&amp;")",IF(O88="Cukup","layar "&amp;Varian!$AG21&amp;" cukup, nyamannya "&amp;IFERROR(INDEX(Aturan!$A$63:$A$66,MATCH(Aturan!$D$52,Aturan!$B$63:$B$66,0)),"peringkat "&amp;Aturan!$D$52),IF(O88="Belum ada data","jenis layar belum diketahui",""))))</f>
        <v/>
      </c>
      <c r="W88" s="33" t="str">
        <f aca="false">IF($A88="","",IF(P88="Kurang","layar "&amp;H88&amp;" Hz, di bawah batas minimal "&amp;Aturan!$C$53&amp;" Hz",IF(P88="Cukup","layar "&amp;H88&amp;" Hz cukup, nyamannya "&amp;Aturan!$D$53&amp;" Hz atau lebih",IF(P88="Belum ada data","refresh rate belum diketahui",""))))</f>
        <v/>
      </c>
      <c r="X88" s="33" t="str">
        <f aca="false">IF($A88="","",IF(K88="Kurang",R88&amp;"; ","")&amp;IF(L88="Kurang",S88&amp;"; ","")&amp;IF(M88="Kurang",T88&amp;"; ","")&amp;IF(N88="Kurang",U88&amp;"; ","")&amp;IF(O88="Kurang",V88&amp;"; ","")&amp;IF(P88="Kurang",W88&amp;"; ","")&amp;IF(K88="Belum ada data",R88&amp;"; ","")&amp;IF(L88="Belum ada data",S88&amp;"; ","")&amp;IF(M88="Belum ada data",T88&amp;"; ","")&amp;IF(N88="Belum ada data",U88&amp;"; ","")&amp;IF(O88="Belum ada data",V88&amp;"; ","")&amp;IF(P88="Belum ada data",W88&amp;"; ","")&amp;IF(K88="Cukup",R88&amp;"; ","")&amp;IF(L88="Cukup",S88&amp;"; ","")&amp;IF(M88="Cukup",T88&amp;"; ","")&amp;IF(N88="Cukup",U88&amp;"; ","")&amp;IF(O88="Cukup",V88&amp;"; ","")&amp;IF(P88="Cukup",W88&amp;"; ",""))</f>
        <v/>
      </c>
      <c r="Y88" s="33" t="str">
        <f aca="false">IF($A88="","",IF(K88="Nyaman","prosesor, ","")&amp;IF(L88="Nyaman","grafis, ","")&amp;IF(M88="Nyaman","RAM, ","")&amp;IF(N88="Nyaman","penyimpanan, ","")&amp;IF(O88="Nyaman","layar, ","")&amp;IF(P88="Nyaman","refresh rate, ",""))</f>
        <v/>
      </c>
      <c r="Z88" s="33" t="str">
        <f aca="false">IF($A88="","",IF(Q88="Tidak dinilai","Belum ada kriteria yang dinilai untuk kebutuhan ini.",IF(Q88="Cocok","Semua kriteria yang dinilai sudah nyaman: "&amp;LEFT(Y88,LEN(Y88)-2)&amp;".",UPPER(LEFT(X88,1))&amp;MID(X88,2,LEN(X88)-3)&amp;"."&amp;IF(Y88="",""," Sudah nyaman: "&amp;LEFT(Y88,LEN(Y88)-2)&amp;"."))))</f>
        <v/>
      </c>
      <c r="AA88" s="33"/>
      <c r="AB88" s="33"/>
      <c r="AC88" s="69"/>
    </row>
    <row r="89" customFormat="false" ht="15" hidden="false" customHeight="true" outlineLevel="0" collapsed="false">
      <c r="A89" s="33" t="str">
        <f aca="false">IF(Varian!$A21="","",Varian!$A21)</f>
        <v/>
      </c>
      <c r="B89" s="33" t="str">
        <f aca="false">IF($A89="","",Aturan!$A$25)</f>
        <v/>
      </c>
      <c r="C89" s="69" t="str">
        <f aca="false">IF($A89="","",IFERROR(IF(ISNUMBER(INDEX(CPU!$J$4:$J$64,MATCH(Varian!$J21,CPU!$A$4:$A$64,0))),INDEX(CPU!$J$4:$J$64,MATCH(Varian!$J21,CPU!$A$4:$A$64,0)),""),""))</f>
        <v/>
      </c>
      <c r="D89" s="69" t="str">
        <f aca="false">IF($A89="","",IFERROR(IF(ISNUMBER(INDEX(GPU!$G$4:$G$64,MATCH(Varian!$K21,GPU!$A$4:$A$64,0))),INDEX(GPU!$G$4:$G$64,MATCH(Varian!$K21,GPU!$A$4:$A$64,0)),""),""))</f>
        <v/>
      </c>
      <c r="E89" s="69" t="str">
        <f aca="false">IF($A89="","",IF(ISNUMBER(Varian!$M21),Varian!$M21,""))</f>
        <v/>
      </c>
      <c r="F89" s="69" t="str">
        <f aca="false">IF($A89="","",IF(ISNUMBER(Varian!$V21),Varian!$V21,""))</f>
        <v/>
      </c>
      <c r="G89" s="69" t="str">
        <f aca="false">IF($A89="","",IFERROR(INDEX(Aturan!$B$63:$B$66,MATCH(Varian!$AG21,Aturan!$A$63:$A$66,0)),""))</f>
        <v/>
      </c>
      <c r="H89" s="69" t="str">
        <f aca="false">IF($A89="","",IF(ISNUMBER(Varian!$AI21),Varian!$AI21,""))</f>
        <v/>
      </c>
      <c r="I89" s="33" t="str">
        <f aca="false">IF($A89="","",IF(Varian!$Q21="disolder","menempel di papan utama, tidak bisa ditambah",IF(OR(Varian!$Q21="slot",Varian!$Q21="setengah_disolder"),IF(Varian!$Q21="setengah_disolder","sebagian menempel, ","")&amp;IF(ISNUMBER(Varian!$U21),IF(AND(ISNUMBER(Varian!$M21),Varian!$U21&gt;Varian!$M21),"bisa dinaikkan lewat slot sampai "&amp;Varian!$U21&amp;" GB","sudah di batas maksimal "&amp;Varian!$U21&amp;" GB"),"ada slot, batas maksimalnya belum diketahui"),"belum diketahui apakah bisa ditambah")))</f>
        <v/>
      </c>
      <c r="J89" s="33" t="str">
        <f aca="false">IF($A89="","",IF(Varian!$Z21="ya","bisa diganti dengan yang lebih besar",IF(Varian!$Z21="tidak","menempel, tidak bisa diganti","belum diketahui apakah bisa diganti")))</f>
        <v/>
      </c>
      <c r="K89" s="70" t="str">
        <f aca="false">IF($A89="","",IF(AND(Aturan!$C$54="",Aturan!$D$54=""),"Tidak dinilai",IF(C89="","Belum ada data",IF(C89&lt;IF(Aturan!$C$54="",0,Aturan!$C$54),"Kurang",IF(C89&gt;=IF(Aturan!$D$54="",Aturan!$C$54,Aturan!$D$54),"Nyaman","Cukup")))))</f>
        <v/>
      </c>
      <c r="L89" s="70" t="str">
        <f aca="false">IF($A89="","",IF(AND(Aturan!$C$55="",Aturan!$D$55=""),"Tidak dinilai",IF(D89="","Belum ada data",IF(D89&lt;IF(Aturan!$C$55="",0,Aturan!$C$55),"Kurang",IF(D89&gt;=IF(Aturan!$D$55="",Aturan!$C$55,Aturan!$D$55),"Nyaman","Cukup")))))</f>
        <v/>
      </c>
      <c r="M89" s="70" t="str">
        <f aca="false">IF($A89="","",IF(AND(Aturan!$C$56="",Aturan!$D$56=""),"Tidak dinilai",IF(E89="","Belum ada data",IF(E89&lt;IF(Aturan!$C$56="",0,Aturan!$C$56),"Kurang",IF(E89&gt;=IF(Aturan!$D$56="",Aturan!$C$56,Aturan!$D$56),"Nyaman","Cukup")))))</f>
        <v/>
      </c>
      <c r="N89" s="70" t="str">
        <f aca="false">IF($A89="","",IF(AND(Aturan!$C$57="",Aturan!$D$57=""),"Tidak dinilai",IF(F89="","Belum ada data",IF(F89&lt;IF(Aturan!$C$57="",0,Aturan!$C$57),"Kurang",IF(F89&gt;=IF(Aturan!$D$57="",Aturan!$C$57,Aturan!$D$57),"Nyaman","Cukup")))))</f>
        <v/>
      </c>
      <c r="O89" s="70" t="str">
        <f aca="false">IF($A89="","",IF(AND(Aturan!$C$58="",Aturan!$D$58=""),"Tidak dinilai",IF(G89="","Belum ada data",IF(G89&lt;IF(Aturan!$C$58="",0,Aturan!$C$58),"Kurang",IF(G89&gt;=IF(Aturan!$D$58="",Aturan!$C$58,Aturan!$D$58),"Nyaman","Cukup")))))</f>
        <v/>
      </c>
      <c r="P89" s="70" t="str">
        <f aca="false">IF($A89="","",IF(AND(Aturan!$C$59="",Aturan!$D$59=""),"Tidak dinilai",IF(H89="","Belum ada data",IF(H89&lt;IF(Aturan!$C$59="",0,Aturan!$C$59),"Kurang",IF(H89&gt;=IF(Aturan!$D$59="",Aturan!$C$59,Aturan!$D$59),"Nyaman","Cukup")))))</f>
        <v/>
      </c>
      <c r="Q89" s="70" t="str">
        <f aca="false">IF($A89="","",IF(COUNTIF(K89:P89,"Tidak dinilai")=6,"Tidak dinilai",IF(COUNTIF(K89:P89,"Kurang")&gt;0,"Kurang cocok",IF(COUNTIF(K89:P89,"Belum ada data")&gt;0,"Data belum lengkap",IF(COUNTIF(K89:P89,"Cukup")&gt;0,"Bisa, dengan catatan","Cocok")))))</f>
        <v/>
      </c>
      <c r="R89" s="33" t="str">
        <f aca="false">IF($A89="","",IF(K89="Kurang","prosesor tingkat "&amp;C89&amp;" dari 5, di bawah batas minimal (tingkat "&amp;Aturan!$C$54&amp;")",IF(K89="Cukup","prosesor tingkat "&amp;C89&amp;" dari 5 cukup, nyamannya mulai tingkat "&amp;Aturan!$D$54,IF(K89="Belum ada data","tingkat prosesor belum diisi",""))))</f>
        <v/>
      </c>
      <c r="S89" s="33" t="str">
        <f aca="false">IF($A89="","",IF(L89="Kurang","grafis tingkat "&amp;D89&amp;" dari 5, di bawah batas minimal (tingkat "&amp;Aturan!$C$55&amp;")",IF(L89="Cukup","grafis tingkat "&amp;D89&amp;" dari 5 cukup, nyamannya mulai tingkat "&amp;Aturan!$D$55,IF(L89="Belum ada data","tingkat grafis belum diisi",""))))</f>
        <v/>
      </c>
      <c r="T89" s="33" t="str">
        <f aca="false">IF($A89="","",IF(M89="Kurang","RAM "&amp;E89&amp;" GB, di bawah batas minimal "&amp;Aturan!$C$56&amp;" GB ("&amp;I89&amp;")",IF(M89="Cukup","RAM "&amp;E89&amp;" GB cukup, nyamannya "&amp;Aturan!$D$56&amp;" GB atau lebih ("&amp;I89&amp;")",IF(M89="Belum ada data","ukuran RAM belum diisi",""))))</f>
        <v/>
      </c>
      <c r="U89" s="33" t="str">
        <f aca="false">IF($A89="","",IF(N89="Kurang","penyimpanan "&amp;F89&amp;" GB, di bawah batas minimal "&amp;Aturan!$C$57&amp;" GB ("&amp;J89&amp;")",IF(N89="Cukup","penyimpanan "&amp;F89&amp;" GB cukup, nyamannya "&amp;Aturan!$D$57&amp;" GB atau lebih ("&amp;J89&amp;")",IF(N89="Belum ada data","ukuran penyimpanan belum diisi",""))))</f>
        <v/>
      </c>
      <c r="V89" s="33" t="str">
        <f aca="false">IF($A89="","",IF(O89="Kurang","layar "&amp;Varian!$AG21&amp;", di bawah batas minimal ("&amp;IFERROR(INDEX(Aturan!$A$63:$A$66,MATCH(Aturan!$C$58,Aturan!$B$63:$B$66,0)),"peringkat "&amp;Aturan!$C$58)&amp;")",IF(O89="Cukup","layar "&amp;Varian!$AG21&amp;" cukup, nyamannya "&amp;IFERROR(INDEX(Aturan!$A$63:$A$66,MATCH(Aturan!$D$58,Aturan!$B$63:$B$66,0)),"peringkat "&amp;Aturan!$D$58),IF(O89="Belum ada data","jenis layar belum diketahui",""))))</f>
        <v/>
      </c>
      <c r="W89" s="33" t="str">
        <f aca="false">IF($A89="","",IF(P89="Kurang","layar "&amp;H89&amp;" Hz, di bawah batas minimal "&amp;Aturan!$C$59&amp;" Hz",IF(P89="Cukup","layar "&amp;H89&amp;" Hz cukup, nyamannya "&amp;Aturan!$D$59&amp;" Hz atau lebih",IF(P89="Belum ada data","refresh rate belum diketahui",""))))</f>
        <v/>
      </c>
      <c r="X89" s="33" t="str">
        <f aca="false">IF($A89="","",IF(K89="Kurang",R89&amp;"; ","")&amp;IF(L89="Kurang",S89&amp;"; ","")&amp;IF(M89="Kurang",T89&amp;"; ","")&amp;IF(N89="Kurang",U89&amp;"; ","")&amp;IF(O89="Kurang",V89&amp;"; ","")&amp;IF(P89="Kurang",W89&amp;"; ","")&amp;IF(K89="Belum ada data",R89&amp;"; ","")&amp;IF(L89="Belum ada data",S89&amp;"; ","")&amp;IF(M89="Belum ada data",T89&amp;"; ","")&amp;IF(N89="Belum ada data",U89&amp;"; ","")&amp;IF(O89="Belum ada data",V89&amp;"; ","")&amp;IF(P89="Belum ada data",W89&amp;"; ","")&amp;IF(K89="Cukup",R89&amp;"; ","")&amp;IF(L89="Cukup",S89&amp;"; ","")&amp;IF(M89="Cukup",T89&amp;"; ","")&amp;IF(N89="Cukup",U89&amp;"; ","")&amp;IF(O89="Cukup",V89&amp;"; ","")&amp;IF(P89="Cukup",W89&amp;"; ",""))</f>
        <v/>
      </c>
      <c r="Y89" s="33" t="str">
        <f aca="false">IF($A89="","",IF(K89="Nyaman","prosesor, ","")&amp;IF(L89="Nyaman","grafis, ","")&amp;IF(M89="Nyaman","RAM, ","")&amp;IF(N89="Nyaman","penyimpanan, ","")&amp;IF(O89="Nyaman","layar, ","")&amp;IF(P89="Nyaman","refresh rate, ",""))</f>
        <v/>
      </c>
      <c r="Z89" s="33" t="str">
        <f aca="false">IF($A89="","",IF(Q89="Tidak dinilai","Belum ada kriteria yang dinilai untuk kebutuhan ini.",IF(Q89="Cocok","Semua kriteria yang dinilai sudah nyaman: "&amp;LEFT(Y89,LEN(Y89)-2)&amp;".",UPPER(LEFT(X89,1))&amp;MID(X89,2,LEN(X89)-3)&amp;"."&amp;IF(Y89="",""," Sudah nyaman: "&amp;LEFT(Y89,LEN(Y89)-2)&amp;"."))))</f>
        <v/>
      </c>
      <c r="AA89" s="33"/>
      <c r="AB89" s="33"/>
      <c r="AC89" s="69"/>
    </row>
    <row r="90" customFormat="false" ht="15" hidden="false" customHeight="true" outlineLevel="0" collapsed="false">
      <c r="A90" s="66" t="str">
        <f aca="false">IF(Varian!$A22="","",Varian!$A22)</f>
        <v/>
      </c>
      <c r="B90" s="66" t="str">
        <f aca="false">IF($A90="","",Aturan!$A$21)</f>
        <v/>
      </c>
      <c r="C90" s="67" t="str">
        <f aca="false">IF($A90="","",IFERROR(IF(ISNUMBER(INDEX(CPU!$J$4:$J$64,MATCH(Varian!$J22,CPU!$A$4:$A$64,0))),INDEX(CPU!$J$4:$J$64,MATCH(Varian!$J22,CPU!$A$4:$A$64,0)),""),""))</f>
        <v/>
      </c>
      <c r="D90" s="67" t="str">
        <f aca="false">IF($A90="","",IFERROR(IF(ISNUMBER(INDEX(GPU!$G$4:$G$64,MATCH(Varian!$K22,GPU!$A$4:$A$64,0))),INDEX(GPU!$G$4:$G$64,MATCH(Varian!$K22,GPU!$A$4:$A$64,0)),""),""))</f>
        <v/>
      </c>
      <c r="E90" s="67" t="str">
        <f aca="false">IF($A90="","",IF(ISNUMBER(Varian!$M22),Varian!$M22,""))</f>
        <v/>
      </c>
      <c r="F90" s="67" t="str">
        <f aca="false">IF($A90="","",IF(ISNUMBER(Varian!$V22),Varian!$V22,""))</f>
        <v/>
      </c>
      <c r="G90" s="67" t="str">
        <f aca="false">IF($A90="","",IFERROR(INDEX(Aturan!$B$63:$B$66,MATCH(Varian!$AG22,Aturan!$A$63:$A$66,0)),""))</f>
        <v/>
      </c>
      <c r="H90" s="67" t="str">
        <f aca="false">IF($A90="","",IF(ISNUMBER(Varian!$AI22),Varian!$AI22,""))</f>
        <v/>
      </c>
      <c r="I90" s="66" t="str">
        <f aca="false">IF($A90="","",IF(Varian!$Q22="disolder","menempel di papan utama, tidak bisa ditambah",IF(OR(Varian!$Q22="slot",Varian!$Q22="setengah_disolder"),IF(Varian!$Q22="setengah_disolder","sebagian menempel, ","")&amp;IF(ISNUMBER(Varian!$U22),IF(AND(ISNUMBER(Varian!$M22),Varian!$U22&gt;Varian!$M22),"bisa dinaikkan lewat slot sampai "&amp;Varian!$U22&amp;" GB","sudah di batas maksimal "&amp;Varian!$U22&amp;" GB"),"ada slot, batas maksimalnya belum diketahui"),"belum diketahui apakah bisa ditambah")))</f>
        <v/>
      </c>
      <c r="J90" s="66" t="str">
        <f aca="false">IF($A90="","",IF(Varian!$Z22="ya","bisa diganti dengan yang lebih besar",IF(Varian!$Z22="tidak","menempel, tidak bisa diganti","belum diketahui apakah bisa diganti")))</f>
        <v/>
      </c>
      <c r="K90" s="68" t="str">
        <f aca="false">IF($A90="","",IF(AND(Aturan!$C$30="",Aturan!$D$30=""),"Tidak dinilai",IF(C90="","Belum ada data",IF(C90&lt;IF(Aturan!$C$30="",0,Aturan!$C$30),"Kurang",IF(C90&gt;=IF(Aturan!$D$30="",Aturan!$C$30,Aturan!$D$30),"Nyaman","Cukup")))))</f>
        <v/>
      </c>
      <c r="L90" s="68" t="str">
        <f aca="false">IF($A90="","",IF(AND(Aturan!$C$31="",Aturan!$D$31=""),"Tidak dinilai",IF(D90="","Belum ada data",IF(D90&lt;IF(Aturan!$C$31="",0,Aturan!$C$31),"Kurang",IF(D90&gt;=IF(Aturan!$D$31="",Aturan!$C$31,Aturan!$D$31),"Nyaman","Cukup")))))</f>
        <v/>
      </c>
      <c r="M90" s="68" t="str">
        <f aca="false">IF($A90="","",IF(AND(Aturan!$C$32="",Aturan!$D$32=""),"Tidak dinilai",IF(E90="","Belum ada data",IF(E90&lt;IF(Aturan!$C$32="",0,Aturan!$C$32),"Kurang",IF(E90&gt;=IF(Aturan!$D$32="",Aturan!$C$32,Aturan!$D$32),"Nyaman","Cukup")))))</f>
        <v/>
      </c>
      <c r="N90" s="68" t="str">
        <f aca="false">IF($A90="","",IF(AND(Aturan!$C$33="",Aturan!$D$33=""),"Tidak dinilai",IF(F90="","Belum ada data",IF(F90&lt;IF(Aturan!$C$33="",0,Aturan!$C$33),"Kurang",IF(F90&gt;=IF(Aturan!$D$33="",Aturan!$C$33,Aturan!$D$33),"Nyaman","Cukup")))))</f>
        <v/>
      </c>
      <c r="O90" s="68" t="str">
        <f aca="false">IF($A90="","",IF(AND(Aturan!$C$34="",Aturan!$D$34=""),"Tidak dinilai",IF(G90="","Belum ada data",IF(G90&lt;IF(Aturan!$C$34="",0,Aturan!$C$34),"Kurang",IF(G90&gt;=IF(Aturan!$D$34="",Aturan!$C$34,Aturan!$D$34),"Nyaman","Cukup")))))</f>
        <v/>
      </c>
      <c r="P90" s="68" t="str">
        <f aca="false">IF($A90="","",IF(AND(Aturan!$C$35="",Aturan!$D$35=""),"Tidak dinilai",IF(H90="","Belum ada data",IF(H90&lt;IF(Aturan!$C$35="",0,Aturan!$C$35),"Kurang",IF(H90&gt;=IF(Aturan!$D$35="",Aturan!$C$35,Aturan!$D$35),"Nyaman","Cukup")))))</f>
        <v/>
      </c>
      <c r="Q90" s="68" t="str">
        <f aca="false">IF($A90="","",IF(COUNTIF(K90:P90,"Tidak dinilai")=6,"Tidak dinilai",IF(COUNTIF(K90:P90,"Kurang")&gt;0,"Kurang cocok",IF(COUNTIF(K90:P90,"Belum ada data")&gt;0,"Data belum lengkap",IF(COUNTIF(K90:P90,"Cukup")&gt;0,"Bisa, dengan catatan","Cocok")))))</f>
        <v/>
      </c>
      <c r="R90" s="66" t="str">
        <f aca="false">IF($A90="","",IF(K90="Kurang","prosesor tingkat "&amp;C90&amp;" dari 5, di bawah batas minimal (tingkat "&amp;Aturan!$C$30&amp;")",IF(K90="Cukup","prosesor tingkat "&amp;C90&amp;" dari 5 cukup, nyamannya mulai tingkat "&amp;Aturan!$D$30,IF(K90="Belum ada data","tingkat prosesor belum diisi",""))))</f>
        <v/>
      </c>
      <c r="S90" s="66" t="str">
        <f aca="false">IF($A90="","",IF(L90="Kurang","grafis tingkat "&amp;D90&amp;" dari 5, di bawah batas minimal (tingkat "&amp;Aturan!$C$31&amp;")",IF(L90="Cukup","grafis tingkat "&amp;D90&amp;" dari 5 cukup, nyamannya mulai tingkat "&amp;Aturan!$D$31,IF(L90="Belum ada data","tingkat grafis belum diisi",""))))</f>
        <v/>
      </c>
      <c r="T90" s="66" t="str">
        <f aca="false">IF($A90="","",IF(M90="Kurang","RAM "&amp;E90&amp;" GB, di bawah batas minimal "&amp;Aturan!$C$32&amp;" GB ("&amp;I90&amp;")",IF(M90="Cukup","RAM "&amp;E90&amp;" GB cukup, nyamannya "&amp;Aturan!$D$32&amp;" GB atau lebih ("&amp;I90&amp;")",IF(M90="Belum ada data","ukuran RAM belum diisi",""))))</f>
        <v/>
      </c>
      <c r="U90" s="66" t="str">
        <f aca="false">IF($A90="","",IF(N90="Kurang","penyimpanan "&amp;F90&amp;" GB, di bawah batas minimal "&amp;Aturan!$C$33&amp;" GB ("&amp;J90&amp;")",IF(N90="Cukup","penyimpanan "&amp;F90&amp;" GB cukup, nyamannya "&amp;Aturan!$D$33&amp;" GB atau lebih ("&amp;J90&amp;")",IF(N90="Belum ada data","ukuran penyimpanan belum diisi",""))))</f>
        <v/>
      </c>
      <c r="V90" s="66" t="str">
        <f aca="false">IF($A90="","",IF(O90="Kurang","layar "&amp;Varian!$AG22&amp;", di bawah batas minimal ("&amp;IFERROR(INDEX(Aturan!$A$63:$A$66,MATCH(Aturan!$C$34,Aturan!$B$63:$B$66,0)),"peringkat "&amp;Aturan!$C$34)&amp;")",IF(O90="Cukup","layar "&amp;Varian!$AG22&amp;" cukup, nyamannya "&amp;IFERROR(INDEX(Aturan!$A$63:$A$66,MATCH(Aturan!$D$34,Aturan!$B$63:$B$66,0)),"peringkat "&amp;Aturan!$D$34),IF(O90="Belum ada data","jenis layar belum diketahui",""))))</f>
        <v/>
      </c>
      <c r="W90" s="66" t="str">
        <f aca="false">IF($A90="","",IF(P90="Kurang","layar "&amp;H90&amp;" Hz, di bawah batas minimal "&amp;Aturan!$C$35&amp;" Hz",IF(P90="Cukup","layar "&amp;H90&amp;" Hz cukup, nyamannya "&amp;Aturan!$D$35&amp;" Hz atau lebih",IF(P90="Belum ada data","refresh rate belum diketahui",""))))</f>
        <v/>
      </c>
      <c r="X90" s="66" t="str">
        <f aca="false">IF($A90="","",IF(K90="Kurang",R90&amp;"; ","")&amp;IF(L90="Kurang",S90&amp;"; ","")&amp;IF(M90="Kurang",T90&amp;"; ","")&amp;IF(N90="Kurang",U90&amp;"; ","")&amp;IF(O90="Kurang",V90&amp;"; ","")&amp;IF(P90="Kurang",W90&amp;"; ","")&amp;IF(K90="Belum ada data",R90&amp;"; ","")&amp;IF(L90="Belum ada data",S90&amp;"; ","")&amp;IF(M90="Belum ada data",T90&amp;"; ","")&amp;IF(N90="Belum ada data",U90&amp;"; ","")&amp;IF(O90="Belum ada data",V90&amp;"; ","")&amp;IF(P90="Belum ada data",W90&amp;"; ","")&amp;IF(K90="Cukup",R90&amp;"; ","")&amp;IF(L90="Cukup",S90&amp;"; ","")&amp;IF(M90="Cukup",T90&amp;"; ","")&amp;IF(N90="Cukup",U90&amp;"; ","")&amp;IF(O90="Cukup",V90&amp;"; ","")&amp;IF(P90="Cukup",W90&amp;"; ",""))</f>
        <v/>
      </c>
      <c r="Y90" s="66" t="str">
        <f aca="false">IF($A90="","",IF(K90="Nyaman","prosesor, ","")&amp;IF(L90="Nyaman","grafis, ","")&amp;IF(M90="Nyaman","RAM, ","")&amp;IF(N90="Nyaman","penyimpanan, ","")&amp;IF(O90="Nyaman","layar, ","")&amp;IF(P90="Nyaman","refresh rate, ",""))</f>
        <v/>
      </c>
      <c r="Z90" s="66" t="str">
        <f aca="false">IF($A90="","",IF(Q90="Tidak dinilai","Belum ada kriteria yang dinilai untuk kebutuhan ini.",IF(Q90="Cocok","Semua kriteria yang dinilai sudah nyaman: "&amp;LEFT(Y90,LEN(Y90)-2)&amp;".",UPPER(LEFT(X90,1))&amp;MID(X90,2,LEN(X90)-3)&amp;"."&amp;IF(Y90="",""," Sudah nyaman: "&amp;LEFT(Y90,LEN(Y90)-2)&amp;"."))))</f>
        <v/>
      </c>
      <c r="AA90" s="66" t="str">
        <f aca="false">IF($A90="","",IF(Varian!$AR22="Windows 10","• "&amp;Aturan!$E$71&amp;CHAR(10),"")&amp;IF(Varian!$BB22="tidak","• "&amp;Aturan!$E$72&amp;CHAR(10),"")&amp;IF(OR(Varian!$AD22="belum terverifikasi",Varian!$AD22="tidak diketahui"),"• "&amp;Aturan!$E$73&amp;CHAR(10),"")&amp;IF(Varian!$AH22="1366x768","• "&amp;Aturan!$E$74&amp;CHAR(10),"")&amp;IF(Varian!$AG22="TN","• "&amp;Aturan!$E$75&amp;CHAR(10),"")&amp;IF(AND(Varian!$Q22="disolder",ISNUMBER(Varian!$M22),Varian!$M22&lt;=8),"• "&amp;Aturan!$E$76&amp;CHAR(10),""))</f>
        <v/>
      </c>
      <c r="AB90" s="66" t="str">
        <f aca="false">IF($A90="","",IF(AA90="","",LEFT(AA90,LEN(AA90)-1)))</f>
        <v/>
      </c>
      <c r="AC90" s="67" t="str">
        <f aca="false">IF($A90="","",IF(AA90="",0,LEN(AA90)-LEN(SUBSTITUTE(AA90,CHAR(10),""))))</f>
        <v/>
      </c>
    </row>
    <row r="91" customFormat="false" ht="15" hidden="false" customHeight="true" outlineLevel="0" collapsed="false">
      <c r="A91" s="33" t="str">
        <f aca="false">IF(Varian!$A22="","",Varian!$A22)</f>
        <v/>
      </c>
      <c r="B91" s="33" t="str">
        <f aca="false">IF($A91="","",Aturan!$A$22)</f>
        <v/>
      </c>
      <c r="C91" s="69" t="str">
        <f aca="false">IF($A91="","",IFERROR(IF(ISNUMBER(INDEX(CPU!$J$4:$J$64,MATCH(Varian!$J22,CPU!$A$4:$A$64,0))),INDEX(CPU!$J$4:$J$64,MATCH(Varian!$J22,CPU!$A$4:$A$64,0)),""),""))</f>
        <v/>
      </c>
      <c r="D91" s="69" t="str">
        <f aca="false">IF($A91="","",IFERROR(IF(ISNUMBER(INDEX(GPU!$G$4:$G$64,MATCH(Varian!$K22,GPU!$A$4:$A$64,0))),INDEX(GPU!$G$4:$G$64,MATCH(Varian!$K22,GPU!$A$4:$A$64,0)),""),""))</f>
        <v/>
      </c>
      <c r="E91" s="69" t="str">
        <f aca="false">IF($A91="","",IF(ISNUMBER(Varian!$M22),Varian!$M22,""))</f>
        <v/>
      </c>
      <c r="F91" s="69" t="str">
        <f aca="false">IF($A91="","",IF(ISNUMBER(Varian!$V22),Varian!$V22,""))</f>
        <v/>
      </c>
      <c r="G91" s="69" t="str">
        <f aca="false">IF($A91="","",IFERROR(INDEX(Aturan!$B$63:$B$66,MATCH(Varian!$AG22,Aturan!$A$63:$A$66,0)),""))</f>
        <v/>
      </c>
      <c r="H91" s="69" t="str">
        <f aca="false">IF($A91="","",IF(ISNUMBER(Varian!$AI22),Varian!$AI22,""))</f>
        <v/>
      </c>
      <c r="I91" s="33" t="str">
        <f aca="false">IF($A91="","",IF(Varian!$Q22="disolder","menempel di papan utama, tidak bisa ditambah",IF(OR(Varian!$Q22="slot",Varian!$Q22="setengah_disolder"),IF(Varian!$Q22="setengah_disolder","sebagian menempel, ","")&amp;IF(ISNUMBER(Varian!$U22),IF(AND(ISNUMBER(Varian!$M22),Varian!$U22&gt;Varian!$M22),"bisa dinaikkan lewat slot sampai "&amp;Varian!$U22&amp;" GB","sudah di batas maksimal "&amp;Varian!$U22&amp;" GB"),"ada slot, batas maksimalnya belum diketahui"),"belum diketahui apakah bisa ditambah")))</f>
        <v/>
      </c>
      <c r="J91" s="33" t="str">
        <f aca="false">IF($A91="","",IF(Varian!$Z22="ya","bisa diganti dengan yang lebih besar",IF(Varian!$Z22="tidak","menempel, tidak bisa diganti","belum diketahui apakah bisa diganti")))</f>
        <v/>
      </c>
      <c r="K91" s="70" t="str">
        <f aca="false">IF($A91="","",IF(AND(Aturan!$C$36="",Aturan!$D$36=""),"Tidak dinilai",IF(C91="","Belum ada data",IF(C91&lt;IF(Aturan!$C$36="",0,Aturan!$C$36),"Kurang",IF(C91&gt;=IF(Aturan!$D$36="",Aturan!$C$36,Aturan!$D$36),"Nyaman","Cukup")))))</f>
        <v/>
      </c>
      <c r="L91" s="70" t="str">
        <f aca="false">IF($A91="","",IF(AND(Aturan!$C$37="",Aturan!$D$37=""),"Tidak dinilai",IF(D91="","Belum ada data",IF(D91&lt;IF(Aturan!$C$37="",0,Aturan!$C$37),"Kurang",IF(D91&gt;=IF(Aturan!$D$37="",Aturan!$C$37,Aturan!$D$37),"Nyaman","Cukup")))))</f>
        <v/>
      </c>
      <c r="M91" s="70" t="str">
        <f aca="false">IF($A91="","",IF(AND(Aturan!$C$38="",Aturan!$D$38=""),"Tidak dinilai",IF(E91="","Belum ada data",IF(E91&lt;IF(Aturan!$C$38="",0,Aturan!$C$38),"Kurang",IF(E91&gt;=IF(Aturan!$D$38="",Aturan!$C$38,Aturan!$D$38),"Nyaman","Cukup")))))</f>
        <v/>
      </c>
      <c r="N91" s="70" t="str">
        <f aca="false">IF($A91="","",IF(AND(Aturan!$C$39="",Aturan!$D$39=""),"Tidak dinilai",IF(F91="","Belum ada data",IF(F91&lt;IF(Aturan!$C$39="",0,Aturan!$C$39),"Kurang",IF(F91&gt;=IF(Aturan!$D$39="",Aturan!$C$39,Aturan!$D$39),"Nyaman","Cukup")))))</f>
        <v/>
      </c>
      <c r="O91" s="70" t="str">
        <f aca="false">IF($A91="","",IF(AND(Aturan!$C$40="",Aturan!$D$40=""),"Tidak dinilai",IF(G91="","Belum ada data",IF(G91&lt;IF(Aturan!$C$40="",0,Aturan!$C$40),"Kurang",IF(G91&gt;=IF(Aturan!$D$40="",Aturan!$C$40,Aturan!$D$40),"Nyaman","Cukup")))))</f>
        <v/>
      </c>
      <c r="P91" s="70" t="str">
        <f aca="false">IF($A91="","",IF(AND(Aturan!$C$41="",Aturan!$D$41=""),"Tidak dinilai",IF(H91="","Belum ada data",IF(H91&lt;IF(Aturan!$C$41="",0,Aturan!$C$41),"Kurang",IF(H91&gt;=IF(Aturan!$D$41="",Aturan!$C$41,Aturan!$D$41),"Nyaman","Cukup")))))</f>
        <v/>
      </c>
      <c r="Q91" s="70" t="str">
        <f aca="false">IF($A91="","",IF(COUNTIF(K91:P91,"Tidak dinilai")=6,"Tidak dinilai",IF(COUNTIF(K91:P91,"Kurang")&gt;0,"Kurang cocok",IF(COUNTIF(K91:P91,"Belum ada data")&gt;0,"Data belum lengkap",IF(COUNTIF(K91:P91,"Cukup")&gt;0,"Bisa, dengan catatan","Cocok")))))</f>
        <v/>
      </c>
      <c r="R91" s="33" t="str">
        <f aca="false">IF($A91="","",IF(K91="Kurang","prosesor tingkat "&amp;C91&amp;" dari 5, di bawah batas minimal (tingkat "&amp;Aturan!$C$36&amp;")",IF(K91="Cukup","prosesor tingkat "&amp;C91&amp;" dari 5 cukup, nyamannya mulai tingkat "&amp;Aturan!$D$36,IF(K91="Belum ada data","tingkat prosesor belum diisi",""))))</f>
        <v/>
      </c>
      <c r="S91" s="33" t="str">
        <f aca="false">IF($A91="","",IF(L91="Kurang","grafis tingkat "&amp;D91&amp;" dari 5, di bawah batas minimal (tingkat "&amp;Aturan!$C$37&amp;")",IF(L91="Cukup","grafis tingkat "&amp;D91&amp;" dari 5 cukup, nyamannya mulai tingkat "&amp;Aturan!$D$37,IF(L91="Belum ada data","tingkat grafis belum diisi",""))))</f>
        <v/>
      </c>
      <c r="T91" s="33" t="str">
        <f aca="false">IF($A91="","",IF(M91="Kurang","RAM "&amp;E91&amp;" GB, di bawah batas minimal "&amp;Aturan!$C$38&amp;" GB ("&amp;I91&amp;")",IF(M91="Cukup","RAM "&amp;E91&amp;" GB cukup, nyamannya "&amp;Aturan!$D$38&amp;" GB atau lebih ("&amp;I91&amp;")",IF(M91="Belum ada data","ukuran RAM belum diisi",""))))</f>
        <v/>
      </c>
      <c r="U91" s="33" t="str">
        <f aca="false">IF($A91="","",IF(N91="Kurang","penyimpanan "&amp;F91&amp;" GB, di bawah batas minimal "&amp;Aturan!$C$39&amp;" GB ("&amp;J91&amp;")",IF(N91="Cukup","penyimpanan "&amp;F91&amp;" GB cukup, nyamannya "&amp;Aturan!$D$39&amp;" GB atau lebih ("&amp;J91&amp;")",IF(N91="Belum ada data","ukuran penyimpanan belum diisi",""))))</f>
        <v/>
      </c>
      <c r="V91" s="33" t="str">
        <f aca="false">IF($A91="","",IF(O91="Kurang","layar "&amp;Varian!$AG22&amp;", di bawah batas minimal ("&amp;IFERROR(INDEX(Aturan!$A$63:$A$66,MATCH(Aturan!$C$40,Aturan!$B$63:$B$66,0)),"peringkat "&amp;Aturan!$C$40)&amp;")",IF(O91="Cukup","layar "&amp;Varian!$AG22&amp;" cukup, nyamannya "&amp;IFERROR(INDEX(Aturan!$A$63:$A$66,MATCH(Aturan!$D$40,Aturan!$B$63:$B$66,0)),"peringkat "&amp;Aturan!$D$40),IF(O91="Belum ada data","jenis layar belum diketahui",""))))</f>
        <v/>
      </c>
      <c r="W91" s="33" t="str">
        <f aca="false">IF($A91="","",IF(P91="Kurang","layar "&amp;H91&amp;" Hz, di bawah batas minimal "&amp;Aturan!$C$41&amp;" Hz",IF(P91="Cukup","layar "&amp;H91&amp;" Hz cukup, nyamannya "&amp;Aturan!$D$41&amp;" Hz atau lebih",IF(P91="Belum ada data","refresh rate belum diketahui",""))))</f>
        <v/>
      </c>
      <c r="X91" s="33" t="str">
        <f aca="false">IF($A91="","",IF(K91="Kurang",R91&amp;"; ","")&amp;IF(L91="Kurang",S91&amp;"; ","")&amp;IF(M91="Kurang",T91&amp;"; ","")&amp;IF(N91="Kurang",U91&amp;"; ","")&amp;IF(O91="Kurang",V91&amp;"; ","")&amp;IF(P91="Kurang",W91&amp;"; ","")&amp;IF(K91="Belum ada data",R91&amp;"; ","")&amp;IF(L91="Belum ada data",S91&amp;"; ","")&amp;IF(M91="Belum ada data",T91&amp;"; ","")&amp;IF(N91="Belum ada data",U91&amp;"; ","")&amp;IF(O91="Belum ada data",V91&amp;"; ","")&amp;IF(P91="Belum ada data",W91&amp;"; ","")&amp;IF(K91="Cukup",R91&amp;"; ","")&amp;IF(L91="Cukup",S91&amp;"; ","")&amp;IF(M91="Cukup",T91&amp;"; ","")&amp;IF(N91="Cukup",U91&amp;"; ","")&amp;IF(O91="Cukup",V91&amp;"; ","")&amp;IF(P91="Cukup",W91&amp;"; ",""))</f>
        <v/>
      </c>
      <c r="Y91" s="33" t="str">
        <f aca="false">IF($A91="","",IF(K91="Nyaman","prosesor, ","")&amp;IF(L91="Nyaman","grafis, ","")&amp;IF(M91="Nyaman","RAM, ","")&amp;IF(N91="Nyaman","penyimpanan, ","")&amp;IF(O91="Nyaman","layar, ","")&amp;IF(P91="Nyaman","refresh rate, ",""))</f>
        <v/>
      </c>
      <c r="Z91" s="33" t="str">
        <f aca="false">IF($A91="","",IF(Q91="Tidak dinilai","Belum ada kriteria yang dinilai untuk kebutuhan ini.",IF(Q91="Cocok","Semua kriteria yang dinilai sudah nyaman: "&amp;LEFT(Y91,LEN(Y91)-2)&amp;".",UPPER(LEFT(X91,1))&amp;MID(X91,2,LEN(X91)-3)&amp;"."&amp;IF(Y91="",""," Sudah nyaman: "&amp;LEFT(Y91,LEN(Y91)-2)&amp;"."))))</f>
        <v/>
      </c>
      <c r="AA91" s="33"/>
      <c r="AB91" s="33"/>
      <c r="AC91" s="69"/>
    </row>
    <row r="92" customFormat="false" ht="15" hidden="false" customHeight="true" outlineLevel="0" collapsed="false">
      <c r="A92" s="33" t="str">
        <f aca="false">IF(Varian!$A22="","",Varian!$A22)</f>
        <v/>
      </c>
      <c r="B92" s="33" t="str">
        <f aca="false">IF($A92="","",Aturan!$A$23)</f>
        <v/>
      </c>
      <c r="C92" s="69" t="str">
        <f aca="false">IF($A92="","",IFERROR(IF(ISNUMBER(INDEX(CPU!$J$4:$J$64,MATCH(Varian!$J22,CPU!$A$4:$A$64,0))),INDEX(CPU!$J$4:$J$64,MATCH(Varian!$J22,CPU!$A$4:$A$64,0)),""),""))</f>
        <v/>
      </c>
      <c r="D92" s="69" t="str">
        <f aca="false">IF($A92="","",IFERROR(IF(ISNUMBER(INDEX(GPU!$G$4:$G$64,MATCH(Varian!$K22,GPU!$A$4:$A$64,0))),INDEX(GPU!$G$4:$G$64,MATCH(Varian!$K22,GPU!$A$4:$A$64,0)),""),""))</f>
        <v/>
      </c>
      <c r="E92" s="69" t="str">
        <f aca="false">IF($A92="","",IF(ISNUMBER(Varian!$M22),Varian!$M22,""))</f>
        <v/>
      </c>
      <c r="F92" s="69" t="str">
        <f aca="false">IF($A92="","",IF(ISNUMBER(Varian!$V22),Varian!$V22,""))</f>
        <v/>
      </c>
      <c r="G92" s="69" t="str">
        <f aca="false">IF($A92="","",IFERROR(INDEX(Aturan!$B$63:$B$66,MATCH(Varian!$AG22,Aturan!$A$63:$A$66,0)),""))</f>
        <v/>
      </c>
      <c r="H92" s="69" t="str">
        <f aca="false">IF($A92="","",IF(ISNUMBER(Varian!$AI22),Varian!$AI22,""))</f>
        <v/>
      </c>
      <c r="I92" s="33" t="str">
        <f aca="false">IF($A92="","",IF(Varian!$Q22="disolder","menempel di papan utama, tidak bisa ditambah",IF(OR(Varian!$Q22="slot",Varian!$Q22="setengah_disolder"),IF(Varian!$Q22="setengah_disolder","sebagian menempel, ","")&amp;IF(ISNUMBER(Varian!$U22),IF(AND(ISNUMBER(Varian!$M22),Varian!$U22&gt;Varian!$M22),"bisa dinaikkan lewat slot sampai "&amp;Varian!$U22&amp;" GB","sudah di batas maksimal "&amp;Varian!$U22&amp;" GB"),"ada slot, batas maksimalnya belum diketahui"),"belum diketahui apakah bisa ditambah")))</f>
        <v/>
      </c>
      <c r="J92" s="33" t="str">
        <f aca="false">IF($A92="","",IF(Varian!$Z22="ya","bisa diganti dengan yang lebih besar",IF(Varian!$Z22="tidak","menempel, tidak bisa diganti","belum diketahui apakah bisa diganti")))</f>
        <v/>
      </c>
      <c r="K92" s="70" t="str">
        <f aca="false">IF($A92="","",IF(AND(Aturan!$C$42="",Aturan!$D$42=""),"Tidak dinilai",IF(C92="","Belum ada data",IF(C92&lt;IF(Aturan!$C$42="",0,Aturan!$C$42),"Kurang",IF(C92&gt;=IF(Aturan!$D$42="",Aturan!$C$42,Aturan!$D$42),"Nyaman","Cukup")))))</f>
        <v/>
      </c>
      <c r="L92" s="70" t="str">
        <f aca="false">IF($A92="","",IF(AND(Aturan!$C$43="",Aturan!$D$43=""),"Tidak dinilai",IF(D92="","Belum ada data",IF(D92&lt;IF(Aturan!$C$43="",0,Aturan!$C$43),"Kurang",IF(D92&gt;=IF(Aturan!$D$43="",Aturan!$C$43,Aturan!$D$43),"Nyaman","Cukup")))))</f>
        <v/>
      </c>
      <c r="M92" s="70" t="str">
        <f aca="false">IF($A92="","",IF(AND(Aturan!$C$44="",Aturan!$D$44=""),"Tidak dinilai",IF(E92="","Belum ada data",IF(E92&lt;IF(Aturan!$C$44="",0,Aturan!$C$44),"Kurang",IF(E92&gt;=IF(Aturan!$D$44="",Aturan!$C$44,Aturan!$D$44),"Nyaman","Cukup")))))</f>
        <v/>
      </c>
      <c r="N92" s="70" t="str">
        <f aca="false">IF($A92="","",IF(AND(Aturan!$C$45="",Aturan!$D$45=""),"Tidak dinilai",IF(F92="","Belum ada data",IF(F92&lt;IF(Aturan!$C$45="",0,Aturan!$C$45),"Kurang",IF(F92&gt;=IF(Aturan!$D$45="",Aturan!$C$45,Aturan!$D$45),"Nyaman","Cukup")))))</f>
        <v/>
      </c>
      <c r="O92" s="70" t="str">
        <f aca="false">IF($A92="","",IF(AND(Aturan!$C$46="",Aturan!$D$46=""),"Tidak dinilai",IF(G92="","Belum ada data",IF(G92&lt;IF(Aturan!$C$46="",0,Aturan!$C$46),"Kurang",IF(G92&gt;=IF(Aturan!$D$46="",Aturan!$C$46,Aturan!$D$46),"Nyaman","Cukup")))))</f>
        <v/>
      </c>
      <c r="P92" s="70" t="str">
        <f aca="false">IF($A92="","",IF(AND(Aturan!$C$47="",Aturan!$D$47=""),"Tidak dinilai",IF(H92="","Belum ada data",IF(H92&lt;IF(Aturan!$C$47="",0,Aturan!$C$47),"Kurang",IF(H92&gt;=IF(Aturan!$D$47="",Aturan!$C$47,Aturan!$D$47),"Nyaman","Cukup")))))</f>
        <v/>
      </c>
      <c r="Q92" s="70" t="str">
        <f aca="false">IF($A92="","",IF(COUNTIF(K92:P92,"Tidak dinilai")=6,"Tidak dinilai",IF(COUNTIF(K92:P92,"Kurang")&gt;0,"Kurang cocok",IF(COUNTIF(K92:P92,"Belum ada data")&gt;0,"Data belum lengkap",IF(COUNTIF(K92:P92,"Cukup")&gt;0,"Bisa, dengan catatan","Cocok")))))</f>
        <v/>
      </c>
      <c r="R92" s="33" t="str">
        <f aca="false">IF($A92="","",IF(K92="Kurang","prosesor tingkat "&amp;C92&amp;" dari 5, di bawah batas minimal (tingkat "&amp;Aturan!$C$42&amp;")",IF(K92="Cukup","prosesor tingkat "&amp;C92&amp;" dari 5 cukup, nyamannya mulai tingkat "&amp;Aturan!$D$42,IF(K92="Belum ada data","tingkat prosesor belum diisi",""))))</f>
        <v/>
      </c>
      <c r="S92" s="33" t="str">
        <f aca="false">IF($A92="","",IF(L92="Kurang","grafis tingkat "&amp;D92&amp;" dari 5, di bawah batas minimal (tingkat "&amp;Aturan!$C$43&amp;")",IF(L92="Cukup","grafis tingkat "&amp;D92&amp;" dari 5 cukup, nyamannya mulai tingkat "&amp;Aturan!$D$43,IF(L92="Belum ada data","tingkat grafis belum diisi",""))))</f>
        <v/>
      </c>
      <c r="T92" s="33" t="str">
        <f aca="false">IF($A92="","",IF(M92="Kurang","RAM "&amp;E92&amp;" GB, di bawah batas minimal "&amp;Aturan!$C$44&amp;" GB ("&amp;I92&amp;")",IF(M92="Cukup","RAM "&amp;E92&amp;" GB cukup, nyamannya "&amp;Aturan!$D$44&amp;" GB atau lebih ("&amp;I92&amp;")",IF(M92="Belum ada data","ukuran RAM belum diisi",""))))</f>
        <v/>
      </c>
      <c r="U92" s="33" t="str">
        <f aca="false">IF($A92="","",IF(N92="Kurang","penyimpanan "&amp;F92&amp;" GB, di bawah batas minimal "&amp;Aturan!$C$45&amp;" GB ("&amp;J92&amp;")",IF(N92="Cukup","penyimpanan "&amp;F92&amp;" GB cukup, nyamannya "&amp;Aturan!$D$45&amp;" GB atau lebih ("&amp;J92&amp;")",IF(N92="Belum ada data","ukuran penyimpanan belum diisi",""))))</f>
        <v/>
      </c>
      <c r="V92" s="33" t="str">
        <f aca="false">IF($A92="","",IF(O92="Kurang","layar "&amp;Varian!$AG22&amp;", di bawah batas minimal ("&amp;IFERROR(INDEX(Aturan!$A$63:$A$66,MATCH(Aturan!$C$46,Aturan!$B$63:$B$66,0)),"peringkat "&amp;Aturan!$C$46)&amp;")",IF(O92="Cukup","layar "&amp;Varian!$AG22&amp;" cukup, nyamannya "&amp;IFERROR(INDEX(Aturan!$A$63:$A$66,MATCH(Aturan!$D$46,Aturan!$B$63:$B$66,0)),"peringkat "&amp;Aturan!$D$46),IF(O92="Belum ada data","jenis layar belum diketahui",""))))</f>
        <v/>
      </c>
      <c r="W92" s="33" t="str">
        <f aca="false">IF($A92="","",IF(P92="Kurang","layar "&amp;H92&amp;" Hz, di bawah batas minimal "&amp;Aturan!$C$47&amp;" Hz",IF(P92="Cukup","layar "&amp;H92&amp;" Hz cukup, nyamannya "&amp;Aturan!$D$47&amp;" Hz atau lebih",IF(P92="Belum ada data","refresh rate belum diketahui",""))))</f>
        <v/>
      </c>
      <c r="X92" s="33" t="str">
        <f aca="false">IF($A92="","",IF(K92="Kurang",R92&amp;"; ","")&amp;IF(L92="Kurang",S92&amp;"; ","")&amp;IF(M92="Kurang",T92&amp;"; ","")&amp;IF(N92="Kurang",U92&amp;"; ","")&amp;IF(O92="Kurang",V92&amp;"; ","")&amp;IF(P92="Kurang",W92&amp;"; ","")&amp;IF(K92="Belum ada data",R92&amp;"; ","")&amp;IF(L92="Belum ada data",S92&amp;"; ","")&amp;IF(M92="Belum ada data",T92&amp;"; ","")&amp;IF(N92="Belum ada data",U92&amp;"; ","")&amp;IF(O92="Belum ada data",V92&amp;"; ","")&amp;IF(P92="Belum ada data",W92&amp;"; ","")&amp;IF(K92="Cukup",R92&amp;"; ","")&amp;IF(L92="Cukup",S92&amp;"; ","")&amp;IF(M92="Cukup",T92&amp;"; ","")&amp;IF(N92="Cukup",U92&amp;"; ","")&amp;IF(O92="Cukup",V92&amp;"; ","")&amp;IF(P92="Cukup",W92&amp;"; ",""))</f>
        <v/>
      </c>
      <c r="Y92" s="33" t="str">
        <f aca="false">IF($A92="","",IF(K92="Nyaman","prosesor, ","")&amp;IF(L92="Nyaman","grafis, ","")&amp;IF(M92="Nyaman","RAM, ","")&amp;IF(N92="Nyaman","penyimpanan, ","")&amp;IF(O92="Nyaman","layar, ","")&amp;IF(P92="Nyaman","refresh rate, ",""))</f>
        <v/>
      </c>
      <c r="Z92" s="33" t="str">
        <f aca="false">IF($A92="","",IF(Q92="Tidak dinilai","Belum ada kriteria yang dinilai untuk kebutuhan ini.",IF(Q92="Cocok","Semua kriteria yang dinilai sudah nyaman: "&amp;LEFT(Y92,LEN(Y92)-2)&amp;".",UPPER(LEFT(X92,1))&amp;MID(X92,2,LEN(X92)-3)&amp;"."&amp;IF(Y92="",""," Sudah nyaman: "&amp;LEFT(Y92,LEN(Y92)-2)&amp;"."))))</f>
        <v/>
      </c>
      <c r="AA92" s="33"/>
      <c r="AB92" s="33"/>
      <c r="AC92" s="69"/>
    </row>
    <row r="93" customFormat="false" ht="15" hidden="false" customHeight="true" outlineLevel="0" collapsed="false">
      <c r="A93" s="33" t="str">
        <f aca="false">IF(Varian!$A22="","",Varian!$A22)</f>
        <v/>
      </c>
      <c r="B93" s="33" t="str">
        <f aca="false">IF($A93="","",Aturan!$A$24)</f>
        <v/>
      </c>
      <c r="C93" s="69" t="str">
        <f aca="false">IF($A93="","",IFERROR(IF(ISNUMBER(INDEX(CPU!$J$4:$J$64,MATCH(Varian!$J22,CPU!$A$4:$A$64,0))),INDEX(CPU!$J$4:$J$64,MATCH(Varian!$J22,CPU!$A$4:$A$64,0)),""),""))</f>
        <v/>
      </c>
      <c r="D93" s="69" t="str">
        <f aca="false">IF($A93="","",IFERROR(IF(ISNUMBER(INDEX(GPU!$G$4:$G$64,MATCH(Varian!$K22,GPU!$A$4:$A$64,0))),INDEX(GPU!$G$4:$G$64,MATCH(Varian!$K22,GPU!$A$4:$A$64,0)),""),""))</f>
        <v/>
      </c>
      <c r="E93" s="69" t="str">
        <f aca="false">IF($A93="","",IF(ISNUMBER(Varian!$M22),Varian!$M22,""))</f>
        <v/>
      </c>
      <c r="F93" s="69" t="str">
        <f aca="false">IF($A93="","",IF(ISNUMBER(Varian!$V22),Varian!$V22,""))</f>
        <v/>
      </c>
      <c r="G93" s="69" t="str">
        <f aca="false">IF($A93="","",IFERROR(INDEX(Aturan!$B$63:$B$66,MATCH(Varian!$AG22,Aturan!$A$63:$A$66,0)),""))</f>
        <v/>
      </c>
      <c r="H93" s="69" t="str">
        <f aca="false">IF($A93="","",IF(ISNUMBER(Varian!$AI22),Varian!$AI22,""))</f>
        <v/>
      </c>
      <c r="I93" s="33" t="str">
        <f aca="false">IF($A93="","",IF(Varian!$Q22="disolder","menempel di papan utama, tidak bisa ditambah",IF(OR(Varian!$Q22="slot",Varian!$Q22="setengah_disolder"),IF(Varian!$Q22="setengah_disolder","sebagian menempel, ","")&amp;IF(ISNUMBER(Varian!$U22),IF(AND(ISNUMBER(Varian!$M22),Varian!$U22&gt;Varian!$M22),"bisa dinaikkan lewat slot sampai "&amp;Varian!$U22&amp;" GB","sudah di batas maksimal "&amp;Varian!$U22&amp;" GB"),"ada slot, batas maksimalnya belum diketahui"),"belum diketahui apakah bisa ditambah")))</f>
        <v/>
      </c>
      <c r="J93" s="33" t="str">
        <f aca="false">IF($A93="","",IF(Varian!$Z22="ya","bisa diganti dengan yang lebih besar",IF(Varian!$Z22="tidak","menempel, tidak bisa diganti","belum diketahui apakah bisa diganti")))</f>
        <v/>
      </c>
      <c r="K93" s="70" t="str">
        <f aca="false">IF($A93="","",IF(AND(Aturan!$C$48="",Aturan!$D$48=""),"Tidak dinilai",IF(C93="","Belum ada data",IF(C93&lt;IF(Aturan!$C$48="",0,Aturan!$C$48),"Kurang",IF(C93&gt;=IF(Aturan!$D$48="",Aturan!$C$48,Aturan!$D$48),"Nyaman","Cukup")))))</f>
        <v/>
      </c>
      <c r="L93" s="70" t="str">
        <f aca="false">IF($A93="","",IF(AND(Aturan!$C$49="",Aturan!$D$49=""),"Tidak dinilai",IF(D93="","Belum ada data",IF(D93&lt;IF(Aturan!$C$49="",0,Aturan!$C$49),"Kurang",IF(D93&gt;=IF(Aturan!$D$49="",Aturan!$C$49,Aturan!$D$49),"Nyaman","Cukup")))))</f>
        <v/>
      </c>
      <c r="M93" s="70" t="str">
        <f aca="false">IF($A93="","",IF(AND(Aturan!$C$50="",Aturan!$D$50=""),"Tidak dinilai",IF(E93="","Belum ada data",IF(E93&lt;IF(Aturan!$C$50="",0,Aturan!$C$50),"Kurang",IF(E93&gt;=IF(Aturan!$D$50="",Aturan!$C$50,Aturan!$D$50),"Nyaman","Cukup")))))</f>
        <v/>
      </c>
      <c r="N93" s="70" t="str">
        <f aca="false">IF($A93="","",IF(AND(Aturan!$C$51="",Aturan!$D$51=""),"Tidak dinilai",IF(F93="","Belum ada data",IF(F93&lt;IF(Aturan!$C$51="",0,Aturan!$C$51),"Kurang",IF(F93&gt;=IF(Aturan!$D$51="",Aturan!$C$51,Aturan!$D$51),"Nyaman","Cukup")))))</f>
        <v/>
      </c>
      <c r="O93" s="70" t="str">
        <f aca="false">IF($A93="","",IF(AND(Aturan!$C$52="",Aturan!$D$52=""),"Tidak dinilai",IF(G93="","Belum ada data",IF(G93&lt;IF(Aturan!$C$52="",0,Aturan!$C$52),"Kurang",IF(G93&gt;=IF(Aturan!$D$52="",Aturan!$C$52,Aturan!$D$52),"Nyaman","Cukup")))))</f>
        <v/>
      </c>
      <c r="P93" s="70" t="str">
        <f aca="false">IF($A93="","",IF(AND(Aturan!$C$53="",Aturan!$D$53=""),"Tidak dinilai",IF(H93="","Belum ada data",IF(H93&lt;IF(Aturan!$C$53="",0,Aturan!$C$53),"Kurang",IF(H93&gt;=IF(Aturan!$D$53="",Aturan!$C$53,Aturan!$D$53),"Nyaman","Cukup")))))</f>
        <v/>
      </c>
      <c r="Q93" s="70" t="str">
        <f aca="false">IF($A93="","",IF(COUNTIF(K93:P93,"Tidak dinilai")=6,"Tidak dinilai",IF(COUNTIF(K93:P93,"Kurang")&gt;0,"Kurang cocok",IF(COUNTIF(K93:P93,"Belum ada data")&gt;0,"Data belum lengkap",IF(COUNTIF(K93:P93,"Cukup")&gt;0,"Bisa, dengan catatan","Cocok")))))</f>
        <v/>
      </c>
      <c r="R93" s="33" t="str">
        <f aca="false">IF($A93="","",IF(K93="Kurang","prosesor tingkat "&amp;C93&amp;" dari 5, di bawah batas minimal (tingkat "&amp;Aturan!$C$48&amp;")",IF(K93="Cukup","prosesor tingkat "&amp;C93&amp;" dari 5 cukup, nyamannya mulai tingkat "&amp;Aturan!$D$48,IF(K93="Belum ada data","tingkat prosesor belum diisi",""))))</f>
        <v/>
      </c>
      <c r="S93" s="33" t="str">
        <f aca="false">IF($A93="","",IF(L93="Kurang","grafis tingkat "&amp;D93&amp;" dari 5, di bawah batas minimal (tingkat "&amp;Aturan!$C$49&amp;")",IF(L93="Cukup","grafis tingkat "&amp;D93&amp;" dari 5 cukup, nyamannya mulai tingkat "&amp;Aturan!$D$49,IF(L93="Belum ada data","tingkat grafis belum diisi",""))))</f>
        <v/>
      </c>
      <c r="T93" s="33" t="str">
        <f aca="false">IF($A93="","",IF(M93="Kurang","RAM "&amp;E93&amp;" GB, di bawah batas minimal "&amp;Aturan!$C$50&amp;" GB ("&amp;I93&amp;")",IF(M93="Cukup","RAM "&amp;E93&amp;" GB cukup, nyamannya "&amp;Aturan!$D$50&amp;" GB atau lebih ("&amp;I93&amp;")",IF(M93="Belum ada data","ukuran RAM belum diisi",""))))</f>
        <v/>
      </c>
      <c r="U93" s="33" t="str">
        <f aca="false">IF($A93="","",IF(N93="Kurang","penyimpanan "&amp;F93&amp;" GB, di bawah batas minimal "&amp;Aturan!$C$51&amp;" GB ("&amp;J93&amp;")",IF(N93="Cukup","penyimpanan "&amp;F93&amp;" GB cukup, nyamannya "&amp;Aturan!$D$51&amp;" GB atau lebih ("&amp;J93&amp;")",IF(N93="Belum ada data","ukuran penyimpanan belum diisi",""))))</f>
        <v/>
      </c>
      <c r="V93" s="33" t="str">
        <f aca="false">IF($A93="","",IF(O93="Kurang","layar "&amp;Varian!$AG22&amp;", di bawah batas minimal ("&amp;IFERROR(INDEX(Aturan!$A$63:$A$66,MATCH(Aturan!$C$52,Aturan!$B$63:$B$66,0)),"peringkat "&amp;Aturan!$C$52)&amp;")",IF(O93="Cukup","layar "&amp;Varian!$AG22&amp;" cukup, nyamannya "&amp;IFERROR(INDEX(Aturan!$A$63:$A$66,MATCH(Aturan!$D$52,Aturan!$B$63:$B$66,0)),"peringkat "&amp;Aturan!$D$52),IF(O93="Belum ada data","jenis layar belum diketahui",""))))</f>
        <v/>
      </c>
      <c r="W93" s="33" t="str">
        <f aca="false">IF($A93="","",IF(P93="Kurang","layar "&amp;H93&amp;" Hz, di bawah batas minimal "&amp;Aturan!$C$53&amp;" Hz",IF(P93="Cukup","layar "&amp;H93&amp;" Hz cukup, nyamannya "&amp;Aturan!$D$53&amp;" Hz atau lebih",IF(P93="Belum ada data","refresh rate belum diketahui",""))))</f>
        <v/>
      </c>
      <c r="X93" s="33" t="str">
        <f aca="false">IF($A93="","",IF(K93="Kurang",R93&amp;"; ","")&amp;IF(L93="Kurang",S93&amp;"; ","")&amp;IF(M93="Kurang",T93&amp;"; ","")&amp;IF(N93="Kurang",U93&amp;"; ","")&amp;IF(O93="Kurang",V93&amp;"; ","")&amp;IF(P93="Kurang",W93&amp;"; ","")&amp;IF(K93="Belum ada data",R93&amp;"; ","")&amp;IF(L93="Belum ada data",S93&amp;"; ","")&amp;IF(M93="Belum ada data",T93&amp;"; ","")&amp;IF(N93="Belum ada data",U93&amp;"; ","")&amp;IF(O93="Belum ada data",V93&amp;"; ","")&amp;IF(P93="Belum ada data",W93&amp;"; ","")&amp;IF(K93="Cukup",R93&amp;"; ","")&amp;IF(L93="Cukup",S93&amp;"; ","")&amp;IF(M93="Cukup",T93&amp;"; ","")&amp;IF(N93="Cukup",U93&amp;"; ","")&amp;IF(O93="Cukup",V93&amp;"; ","")&amp;IF(P93="Cukup",W93&amp;"; ",""))</f>
        <v/>
      </c>
      <c r="Y93" s="33" t="str">
        <f aca="false">IF($A93="","",IF(K93="Nyaman","prosesor, ","")&amp;IF(L93="Nyaman","grafis, ","")&amp;IF(M93="Nyaman","RAM, ","")&amp;IF(N93="Nyaman","penyimpanan, ","")&amp;IF(O93="Nyaman","layar, ","")&amp;IF(P93="Nyaman","refresh rate, ",""))</f>
        <v/>
      </c>
      <c r="Z93" s="33" t="str">
        <f aca="false">IF($A93="","",IF(Q93="Tidak dinilai","Belum ada kriteria yang dinilai untuk kebutuhan ini.",IF(Q93="Cocok","Semua kriteria yang dinilai sudah nyaman: "&amp;LEFT(Y93,LEN(Y93)-2)&amp;".",UPPER(LEFT(X93,1))&amp;MID(X93,2,LEN(X93)-3)&amp;"."&amp;IF(Y93="",""," Sudah nyaman: "&amp;LEFT(Y93,LEN(Y93)-2)&amp;"."))))</f>
        <v/>
      </c>
      <c r="AA93" s="33"/>
      <c r="AB93" s="33"/>
      <c r="AC93" s="69"/>
    </row>
    <row r="94" customFormat="false" ht="15" hidden="false" customHeight="true" outlineLevel="0" collapsed="false">
      <c r="A94" s="33" t="str">
        <f aca="false">IF(Varian!$A22="","",Varian!$A22)</f>
        <v/>
      </c>
      <c r="B94" s="33" t="str">
        <f aca="false">IF($A94="","",Aturan!$A$25)</f>
        <v/>
      </c>
      <c r="C94" s="69" t="str">
        <f aca="false">IF($A94="","",IFERROR(IF(ISNUMBER(INDEX(CPU!$J$4:$J$64,MATCH(Varian!$J22,CPU!$A$4:$A$64,0))),INDEX(CPU!$J$4:$J$64,MATCH(Varian!$J22,CPU!$A$4:$A$64,0)),""),""))</f>
        <v/>
      </c>
      <c r="D94" s="69" t="str">
        <f aca="false">IF($A94="","",IFERROR(IF(ISNUMBER(INDEX(GPU!$G$4:$G$64,MATCH(Varian!$K22,GPU!$A$4:$A$64,0))),INDEX(GPU!$G$4:$G$64,MATCH(Varian!$K22,GPU!$A$4:$A$64,0)),""),""))</f>
        <v/>
      </c>
      <c r="E94" s="69" t="str">
        <f aca="false">IF($A94="","",IF(ISNUMBER(Varian!$M22),Varian!$M22,""))</f>
        <v/>
      </c>
      <c r="F94" s="69" t="str">
        <f aca="false">IF($A94="","",IF(ISNUMBER(Varian!$V22),Varian!$V22,""))</f>
        <v/>
      </c>
      <c r="G94" s="69" t="str">
        <f aca="false">IF($A94="","",IFERROR(INDEX(Aturan!$B$63:$B$66,MATCH(Varian!$AG22,Aturan!$A$63:$A$66,0)),""))</f>
        <v/>
      </c>
      <c r="H94" s="69" t="str">
        <f aca="false">IF($A94="","",IF(ISNUMBER(Varian!$AI22),Varian!$AI22,""))</f>
        <v/>
      </c>
      <c r="I94" s="33" t="str">
        <f aca="false">IF($A94="","",IF(Varian!$Q22="disolder","menempel di papan utama, tidak bisa ditambah",IF(OR(Varian!$Q22="slot",Varian!$Q22="setengah_disolder"),IF(Varian!$Q22="setengah_disolder","sebagian menempel, ","")&amp;IF(ISNUMBER(Varian!$U22),IF(AND(ISNUMBER(Varian!$M22),Varian!$U22&gt;Varian!$M22),"bisa dinaikkan lewat slot sampai "&amp;Varian!$U22&amp;" GB","sudah di batas maksimal "&amp;Varian!$U22&amp;" GB"),"ada slot, batas maksimalnya belum diketahui"),"belum diketahui apakah bisa ditambah")))</f>
        <v/>
      </c>
      <c r="J94" s="33" t="str">
        <f aca="false">IF($A94="","",IF(Varian!$Z22="ya","bisa diganti dengan yang lebih besar",IF(Varian!$Z22="tidak","menempel, tidak bisa diganti","belum diketahui apakah bisa diganti")))</f>
        <v/>
      </c>
      <c r="K94" s="70" t="str">
        <f aca="false">IF($A94="","",IF(AND(Aturan!$C$54="",Aturan!$D$54=""),"Tidak dinilai",IF(C94="","Belum ada data",IF(C94&lt;IF(Aturan!$C$54="",0,Aturan!$C$54),"Kurang",IF(C94&gt;=IF(Aturan!$D$54="",Aturan!$C$54,Aturan!$D$54),"Nyaman","Cukup")))))</f>
        <v/>
      </c>
      <c r="L94" s="70" t="str">
        <f aca="false">IF($A94="","",IF(AND(Aturan!$C$55="",Aturan!$D$55=""),"Tidak dinilai",IF(D94="","Belum ada data",IF(D94&lt;IF(Aturan!$C$55="",0,Aturan!$C$55),"Kurang",IF(D94&gt;=IF(Aturan!$D$55="",Aturan!$C$55,Aturan!$D$55),"Nyaman","Cukup")))))</f>
        <v/>
      </c>
      <c r="M94" s="70" t="str">
        <f aca="false">IF($A94="","",IF(AND(Aturan!$C$56="",Aturan!$D$56=""),"Tidak dinilai",IF(E94="","Belum ada data",IF(E94&lt;IF(Aturan!$C$56="",0,Aturan!$C$56),"Kurang",IF(E94&gt;=IF(Aturan!$D$56="",Aturan!$C$56,Aturan!$D$56),"Nyaman","Cukup")))))</f>
        <v/>
      </c>
      <c r="N94" s="70" t="str">
        <f aca="false">IF($A94="","",IF(AND(Aturan!$C$57="",Aturan!$D$57=""),"Tidak dinilai",IF(F94="","Belum ada data",IF(F94&lt;IF(Aturan!$C$57="",0,Aturan!$C$57),"Kurang",IF(F94&gt;=IF(Aturan!$D$57="",Aturan!$C$57,Aturan!$D$57),"Nyaman","Cukup")))))</f>
        <v/>
      </c>
      <c r="O94" s="70" t="str">
        <f aca="false">IF($A94="","",IF(AND(Aturan!$C$58="",Aturan!$D$58=""),"Tidak dinilai",IF(G94="","Belum ada data",IF(G94&lt;IF(Aturan!$C$58="",0,Aturan!$C$58),"Kurang",IF(G94&gt;=IF(Aturan!$D$58="",Aturan!$C$58,Aturan!$D$58),"Nyaman","Cukup")))))</f>
        <v/>
      </c>
      <c r="P94" s="70" t="str">
        <f aca="false">IF($A94="","",IF(AND(Aturan!$C$59="",Aturan!$D$59=""),"Tidak dinilai",IF(H94="","Belum ada data",IF(H94&lt;IF(Aturan!$C$59="",0,Aturan!$C$59),"Kurang",IF(H94&gt;=IF(Aturan!$D$59="",Aturan!$C$59,Aturan!$D$59),"Nyaman","Cukup")))))</f>
        <v/>
      </c>
      <c r="Q94" s="70" t="str">
        <f aca="false">IF($A94="","",IF(COUNTIF(K94:P94,"Tidak dinilai")=6,"Tidak dinilai",IF(COUNTIF(K94:P94,"Kurang")&gt;0,"Kurang cocok",IF(COUNTIF(K94:P94,"Belum ada data")&gt;0,"Data belum lengkap",IF(COUNTIF(K94:P94,"Cukup")&gt;0,"Bisa, dengan catatan","Cocok")))))</f>
        <v/>
      </c>
      <c r="R94" s="33" t="str">
        <f aca="false">IF($A94="","",IF(K94="Kurang","prosesor tingkat "&amp;C94&amp;" dari 5, di bawah batas minimal (tingkat "&amp;Aturan!$C$54&amp;")",IF(K94="Cukup","prosesor tingkat "&amp;C94&amp;" dari 5 cukup, nyamannya mulai tingkat "&amp;Aturan!$D$54,IF(K94="Belum ada data","tingkat prosesor belum diisi",""))))</f>
        <v/>
      </c>
      <c r="S94" s="33" t="str">
        <f aca="false">IF($A94="","",IF(L94="Kurang","grafis tingkat "&amp;D94&amp;" dari 5, di bawah batas minimal (tingkat "&amp;Aturan!$C$55&amp;")",IF(L94="Cukup","grafis tingkat "&amp;D94&amp;" dari 5 cukup, nyamannya mulai tingkat "&amp;Aturan!$D$55,IF(L94="Belum ada data","tingkat grafis belum diisi",""))))</f>
        <v/>
      </c>
      <c r="T94" s="33" t="str">
        <f aca="false">IF($A94="","",IF(M94="Kurang","RAM "&amp;E94&amp;" GB, di bawah batas minimal "&amp;Aturan!$C$56&amp;" GB ("&amp;I94&amp;")",IF(M94="Cukup","RAM "&amp;E94&amp;" GB cukup, nyamannya "&amp;Aturan!$D$56&amp;" GB atau lebih ("&amp;I94&amp;")",IF(M94="Belum ada data","ukuran RAM belum diisi",""))))</f>
        <v/>
      </c>
      <c r="U94" s="33" t="str">
        <f aca="false">IF($A94="","",IF(N94="Kurang","penyimpanan "&amp;F94&amp;" GB, di bawah batas minimal "&amp;Aturan!$C$57&amp;" GB ("&amp;J94&amp;")",IF(N94="Cukup","penyimpanan "&amp;F94&amp;" GB cukup, nyamannya "&amp;Aturan!$D$57&amp;" GB atau lebih ("&amp;J94&amp;")",IF(N94="Belum ada data","ukuran penyimpanan belum diisi",""))))</f>
        <v/>
      </c>
      <c r="V94" s="33" t="str">
        <f aca="false">IF($A94="","",IF(O94="Kurang","layar "&amp;Varian!$AG22&amp;", di bawah batas minimal ("&amp;IFERROR(INDEX(Aturan!$A$63:$A$66,MATCH(Aturan!$C$58,Aturan!$B$63:$B$66,0)),"peringkat "&amp;Aturan!$C$58)&amp;")",IF(O94="Cukup","layar "&amp;Varian!$AG22&amp;" cukup, nyamannya "&amp;IFERROR(INDEX(Aturan!$A$63:$A$66,MATCH(Aturan!$D$58,Aturan!$B$63:$B$66,0)),"peringkat "&amp;Aturan!$D$58),IF(O94="Belum ada data","jenis layar belum diketahui",""))))</f>
        <v/>
      </c>
      <c r="W94" s="33" t="str">
        <f aca="false">IF($A94="","",IF(P94="Kurang","layar "&amp;H94&amp;" Hz, di bawah batas minimal "&amp;Aturan!$C$59&amp;" Hz",IF(P94="Cukup","layar "&amp;H94&amp;" Hz cukup, nyamannya "&amp;Aturan!$D$59&amp;" Hz atau lebih",IF(P94="Belum ada data","refresh rate belum diketahui",""))))</f>
        <v/>
      </c>
      <c r="X94" s="33" t="str">
        <f aca="false">IF($A94="","",IF(K94="Kurang",R94&amp;"; ","")&amp;IF(L94="Kurang",S94&amp;"; ","")&amp;IF(M94="Kurang",T94&amp;"; ","")&amp;IF(N94="Kurang",U94&amp;"; ","")&amp;IF(O94="Kurang",V94&amp;"; ","")&amp;IF(P94="Kurang",W94&amp;"; ","")&amp;IF(K94="Belum ada data",R94&amp;"; ","")&amp;IF(L94="Belum ada data",S94&amp;"; ","")&amp;IF(M94="Belum ada data",T94&amp;"; ","")&amp;IF(N94="Belum ada data",U94&amp;"; ","")&amp;IF(O94="Belum ada data",V94&amp;"; ","")&amp;IF(P94="Belum ada data",W94&amp;"; ","")&amp;IF(K94="Cukup",R94&amp;"; ","")&amp;IF(L94="Cukup",S94&amp;"; ","")&amp;IF(M94="Cukup",T94&amp;"; ","")&amp;IF(N94="Cukup",U94&amp;"; ","")&amp;IF(O94="Cukup",V94&amp;"; ","")&amp;IF(P94="Cukup",W94&amp;"; ",""))</f>
        <v/>
      </c>
      <c r="Y94" s="33" t="str">
        <f aca="false">IF($A94="","",IF(K94="Nyaman","prosesor, ","")&amp;IF(L94="Nyaman","grafis, ","")&amp;IF(M94="Nyaman","RAM, ","")&amp;IF(N94="Nyaman","penyimpanan, ","")&amp;IF(O94="Nyaman","layar, ","")&amp;IF(P94="Nyaman","refresh rate, ",""))</f>
        <v/>
      </c>
      <c r="Z94" s="33" t="str">
        <f aca="false">IF($A94="","",IF(Q94="Tidak dinilai","Belum ada kriteria yang dinilai untuk kebutuhan ini.",IF(Q94="Cocok","Semua kriteria yang dinilai sudah nyaman: "&amp;LEFT(Y94,LEN(Y94)-2)&amp;".",UPPER(LEFT(X94,1))&amp;MID(X94,2,LEN(X94)-3)&amp;"."&amp;IF(Y94="",""," Sudah nyaman: "&amp;LEFT(Y94,LEN(Y94)-2)&amp;"."))))</f>
        <v/>
      </c>
      <c r="AA94" s="33"/>
      <c r="AB94" s="33"/>
      <c r="AC94" s="69"/>
    </row>
    <row r="95" customFormat="false" ht="15" hidden="false" customHeight="true" outlineLevel="0" collapsed="false">
      <c r="A95" s="66" t="str">
        <f aca="false">IF(Varian!$A23="","",Varian!$A23)</f>
        <v/>
      </c>
      <c r="B95" s="66" t="str">
        <f aca="false">IF($A95="","",Aturan!$A$21)</f>
        <v/>
      </c>
      <c r="C95" s="67" t="str">
        <f aca="false">IF($A95="","",IFERROR(IF(ISNUMBER(INDEX(CPU!$J$4:$J$64,MATCH(Varian!$J23,CPU!$A$4:$A$64,0))),INDEX(CPU!$J$4:$J$64,MATCH(Varian!$J23,CPU!$A$4:$A$64,0)),""),""))</f>
        <v/>
      </c>
      <c r="D95" s="67" t="str">
        <f aca="false">IF($A95="","",IFERROR(IF(ISNUMBER(INDEX(GPU!$G$4:$G$64,MATCH(Varian!$K23,GPU!$A$4:$A$64,0))),INDEX(GPU!$G$4:$G$64,MATCH(Varian!$K23,GPU!$A$4:$A$64,0)),""),""))</f>
        <v/>
      </c>
      <c r="E95" s="67" t="str">
        <f aca="false">IF($A95="","",IF(ISNUMBER(Varian!$M23),Varian!$M23,""))</f>
        <v/>
      </c>
      <c r="F95" s="67" t="str">
        <f aca="false">IF($A95="","",IF(ISNUMBER(Varian!$V23),Varian!$V23,""))</f>
        <v/>
      </c>
      <c r="G95" s="67" t="str">
        <f aca="false">IF($A95="","",IFERROR(INDEX(Aturan!$B$63:$B$66,MATCH(Varian!$AG23,Aturan!$A$63:$A$66,0)),""))</f>
        <v/>
      </c>
      <c r="H95" s="67" t="str">
        <f aca="false">IF($A95="","",IF(ISNUMBER(Varian!$AI23),Varian!$AI23,""))</f>
        <v/>
      </c>
      <c r="I95" s="66" t="str">
        <f aca="false">IF($A95="","",IF(Varian!$Q23="disolder","menempel di papan utama, tidak bisa ditambah",IF(OR(Varian!$Q23="slot",Varian!$Q23="setengah_disolder"),IF(Varian!$Q23="setengah_disolder","sebagian menempel, ","")&amp;IF(ISNUMBER(Varian!$U23),IF(AND(ISNUMBER(Varian!$M23),Varian!$U23&gt;Varian!$M23),"bisa dinaikkan lewat slot sampai "&amp;Varian!$U23&amp;" GB","sudah di batas maksimal "&amp;Varian!$U23&amp;" GB"),"ada slot, batas maksimalnya belum diketahui"),"belum diketahui apakah bisa ditambah")))</f>
        <v/>
      </c>
      <c r="J95" s="66" t="str">
        <f aca="false">IF($A95="","",IF(Varian!$Z23="ya","bisa diganti dengan yang lebih besar",IF(Varian!$Z23="tidak","menempel, tidak bisa diganti","belum diketahui apakah bisa diganti")))</f>
        <v/>
      </c>
      <c r="K95" s="68" t="str">
        <f aca="false">IF($A95="","",IF(AND(Aturan!$C$30="",Aturan!$D$30=""),"Tidak dinilai",IF(C95="","Belum ada data",IF(C95&lt;IF(Aturan!$C$30="",0,Aturan!$C$30),"Kurang",IF(C95&gt;=IF(Aturan!$D$30="",Aturan!$C$30,Aturan!$D$30),"Nyaman","Cukup")))))</f>
        <v/>
      </c>
      <c r="L95" s="68" t="str">
        <f aca="false">IF($A95="","",IF(AND(Aturan!$C$31="",Aturan!$D$31=""),"Tidak dinilai",IF(D95="","Belum ada data",IF(D95&lt;IF(Aturan!$C$31="",0,Aturan!$C$31),"Kurang",IF(D95&gt;=IF(Aturan!$D$31="",Aturan!$C$31,Aturan!$D$31),"Nyaman","Cukup")))))</f>
        <v/>
      </c>
      <c r="M95" s="68" t="str">
        <f aca="false">IF($A95="","",IF(AND(Aturan!$C$32="",Aturan!$D$32=""),"Tidak dinilai",IF(E95="","Belum ada data",IF(E95&lt;IF(Aturan!$C$32="",0,Aturan!$C$32),"Kurang",IF(E95&gt;=IF(Aturan!$D$32="",Aturan!$C$32,Aturan!$D$32),"Nyaman","Cukup")))))</f>
        <v/>
      </c>
      <c r="N95" s="68" t="str">
        <f aca="false">IF($A95="","",IF(AND(Aturan!$C$33="",Aturan!$D$33=""),"Tidak dinilai",IF(F95="","Belum ada data",IF(F95&lt;IF(Aturan!$C$33="",0,Aturan!$C$33),"Kurang",IF(F95&gt;=IF(Aturan!$D$33="",Aturan!$C$33,Aturan!$D$33),"Nyaman","Cukup")))))</f>
        <v/>
      </c>
      <c r="O95" s="68" t="str">
        <f aca="false">IF($A95="","",IF(AND(Aturan!$C$34="",Aturan!$D$34=""),"Tidak dinilai",IF(G95="","Belum ada data",IF(G95&lt;IF(Aturan!$C$34="",0,Aturan!$C$34),"Kurang",IF(G95&gt;=IF(Aturan!$D$34="",Aturan!$C$34,Aturan!$D$34),"Nyaman","Cukup")))))</f>
        <v/>
      </c>
      <c r="P95" s="68" t="str">
        <f aca="false">IF($A95="","",IF(AND(Aturan!$C$35="",Aturan!$D$35=""),"Tidak dinilai",IF(H95="","Belum ada data",IF(H95&lt;IF(Aturan!$C$35="",0,Aturan!$C$35),"Kurang",IF(H95&gt;=IF(Aturan!$D$35="",Aturan!$C$35,Aturan!$D$35),"Nyaman","Cukup")))))</f>
        <v/>
      </c>
      <c r="Q95" s="68" t="str">
        <f aca="false">IF($A95="","",IF(COUNTIF(K95:P95,"Tidak dinilai")=6,"Tidak dinilai",IF(COUNTIF(K95:P95,"Kurang")&gt;0,"Kurang cocok",IF(COUNTIF(K95:P95,"Belum ada data")&gt;0,"Data belum lengkap",IF(COUNTIF(K95:P95,"Cukup")&gt;0,"Bisa, dengan catatan","Cocok")))))</f>
        <v/>
      </c>
      <c r="R95" s="66" t="str">
        <f aca="false">IF($A95="","",IF(K95="Kurang","prosesor tingkat "&amp;C95&amp;" dari 5, di bawah batas minimal (tingkat "&amp;Aturan!$C$30&amp;")",IF(K95="Cukup","prosesor tingkat "&amp;C95&amp;" dari 5 cukup, nyamannya mulai tingkat "&amp;Aturan!$D$30,IF(K95="Belum ada data","tingkat prosesor belum diisi",""))))</f>
        <v/>
      </c>
      <c r="S95" s="66" t="str">
        <f aca="false">IF($A95="","",IF(L95="Kurang","grafis tingkat "&amp;D95&amp;" dari 5, di bawah batas minimal (tingkat "&amp;Aturan!$C$31&amp;")",IF(L95="Cukup","grafis tingkat "&amp;D95&amp;" dari 5 cukup, nyamannya mulai tingkat "&amp;Aturan!$D$31,IF(L95="Belum ada data","tingkat grafis belum diisi",""))))</f>
        <v/>
      </c>
      <c r="T95" s="66" t="str">
        <f aca="false">IF($A95="","",IF(M95="Kurang","RAM "&amp;E95&amp;" GB, di bawah batas minimal "&amp;Aturan!$C$32&amp;" GB ("&amp;I95&amp;")",IF(M95="Cukup","RAM "&amp;E95&amp;" GB cukup, nyamannya "&amp;Aturan!$D$32&amp;" GB atau lebih ("&amp;I95&amp;")",IF(M95="Belum ada data","ukuran RAM belum diisi",""))))</f>
        <v/>
      </c>
      <c r="U95" s="66" t="str">
        <f aca="false">IF($A95="","",IF(N95="Kurang","penyimpanan "&amp;F95&amp;" GB, di bawah batas minimal "&amp;Aturan!$C$33&amp;" GB ("&amp;J95&amp;")",IF(N95="Cukup","penyimpanan "&amp;F95&amp;" GB cukup, nyamannya "&amp;Aturan!$D$33&amp;" GB atau lebih ("&amp;J95&amp;")",IF(N95="Belum ada data","ukuran penyimpanan belum diisi",""))))</f>
        <v/>
      </c>
      <c r="V95" s="66" t="str">
        <f aca="false">IF($A95="","",IF(O95="Kurang","layar "&amp;Varian!$AG23&amp;", di bawah batas minimal ("&amp;IFERROR(INDEX(Aturan!$A$63:$A$66,MATCH(Aturan!$C$34,Aturan!$B$63:$B$66,0)),"peringkat "&amp;Aturan!$C$34)&amp;")",IF(O95="Cukup","layar "&amp;Varian!$AG23&amp;" cukup, nyamannya "&amp;IFERROR(INDEX(Aturan!$A$63:$A$66,MATCH(Aturan!$D$34,Aturan!$B$63:$B$66,0)),"peringkat "&amp;Aturan!$D$34),IF(O95="Belum ada data","jenis layar belum diketahui",""))))</f>
        <v/>
      </c>
      <c r="W95" s="66" t="str">
        <f aca="false">IF($A95="","",IF(P95="Kurang","layar "&amp;H95&amp;" Hz, di bawah batas minimal "&amp;Aturan!$C$35&amp;" Hz",IF(P95="Cukup","layar "&amp;H95&amp;" Hz cukup, nyamannya "&amp;Aturan!$D$35&amp;" Hz atau lebih",IF(P95="Belum ada data","refresh rate belum diketahui",""))))</f>
        <v/>
      </c>
      <c r="X95" s="66" t="str">
        <f aca="false">IF($A95="","",IF(K95="Kurang",R95&amp;"; ","")&amp;IF(L95="Kurang",S95&amp;"; ","")&amp;IF(M95="Kurang",T95&amp;"; ","")&amp;IF(N95="Kurang",U95&amp;"; ","")&amp;IF(O95="Kurang",V95&amp;"; ","")&amp;IF(P95="Kurang",W95&amp;"; ","")&amp;IF(K95="Belum ada data",R95&amp;"; ","")&amp;IF(L95="Belum ada data",S95&amp;"; ","")&amp;IF(M95="Belum ada data",T95&amp;"; ","")&amp;IF(N95="Belum ada data",U95&amp;"; ","")&amp;IF(O95="Belum ada data",V95&amp;"; ","")&amp;IF(P95="Belum ada data",W95&amp;"; ","")&amp;IF(K95="Cukup",R95&amp;"; ","")&amp;IF(L95="Cukup",S95&amp;"; ","")&amp;IF(M95="Cukup",T95&amp;"; ","")&amp;IF(N95="Cukup",U95&amp;"; ","")&amp;IF(O95="Cukup",V95&amp;"; ","")&amp;IF(P95="Cukup",W95&amp;"; ",""))</f>
        <v/>
      </c>
      <c r="Y95" s="66" t="str">
        <f aca="false">IF($A95="","",IF(K95="Nyaman","prosesor, ","")&amp;IF(L95="Nyaman","grafis, ","")&amp;IF(M95="Nyaman","RAM, ","")&amp;IF(N95="Nyaman","penyimpanan, ","")&amp;IF(O95="Nyaman","layar, ","")&amp;IF(P95="Nyaman","refresh rate, ",""))</f>
        <v/>
      </c>
      <c r="Z95" s="66" t="str">
        <f aca="false">IF($A95="","",IF(Q95="Tidak dinilai","Belum ada kriteria yang dinilai untuk kebutuhan ini.",IF(Q95="Cocok","Semua kriteria yang dinilai sudah nyaman: "&amp;LEFT(Y95,LEN(Y95)-2)&amp;".",UPPER(LEFT(X95,1))&amp;MID(X95,2,LEN(X95)-3)&amp;"."&amp;IF(Y95="",""," Sudah nyaman: "&amp;LEFT(Y95,LEN(Y95)-2)&amp;"."))))</f>
        <v/>
      </c>
      <c r="AA95" s="66" t="str">
        <f aca="false">IF($A95="","",IF(Varian!$AR23="Windows 10","• "&amp;Aturan!$E$71&amp;CHAR(10),"")&amp;IF(Varian!$BB23="tidak","• "&amp;Aturan!$E$72&amp;CHAR(10),"")&amp;IF(OR(Varian!$AD23="belum terverifikasi",Varian!$AD23="tidak diketahui"),"• "&amp;Aturan!$E$73&amp;CHAR(10),"")&amp;IF(Varian!$AH23="1366x768","• "&amp;Aturan!$E$74&amp;CHAR(10),"")&amp;IF(Varian!$AG23="TN","• "&amp;Aturan!$E$75&amp;CHAR(10),"")&amp;IF(AND(Varian!$Q23="disolder",ISNUMBER(Varian!$M23),Varian!$M23&lt;=8),"• "&amp;Aturan!$E$76&amp;CHAR(10),""))</f>
        <v/>
      </c>
      <c r="AB95" s="66" t="str">
        <f aca="false">IF($A95="","",IF(AA95="","",LEFT(AA95,LEN(AA95)-1)))</f>
        <v/>
      </c>
      <c r="AC95" s="67" t="str">
        <f aca="false">IF($A95="","",IF(AA95="",0,LEN(AA95)-LEN(SUBSTITUTE(AA95,CHAR(10),""))))</f>
        <v/>
      </c>
    </row>
    <row r="96" customFormat="false" ht="15" hidden="false" customHeight="true" outlineLevel="0" collapsed="false">
      <c r="A96" s="33" t="str">
        <f aca="false">IF(Varian!$A23="","",Varian!$A23)</f>
        <v/>
      </c>
      <c r="B96" s="33" t="str">
        <f aca="false">IF($A96="","",Aturan!$A$22)</f>
        <v/>
      </c>
      <c r="C96" s="69" t="str">
        <f aca="false">IF($A96="","",IFERROR(IF(ISNUMBER(INDEX(CPU!$J$4:$J$64,MATCH(Varian!$J23,CPU!$A$4:$A$64,0))),INDEX(CPU!$J$4:$J$64,MATCH(Varian!$J23,CPU!$A$4:$A$64,0)),""),""))</f>
        <v/>
      </c>
      <c r="D96" s="69" t="str">
        <f aca="false">IF($A96="","",IFERROR(IF(ISNUMBER(INDEX(GPU!$G$4:$G$64,MATCH(Varian!$K23,GPU!$A$4:$A$64,0))),INDEX(GPU!$G$4:$G$64,MATCH(Varian!$K23,GPU!$A$4:$A$64,0)),""),""))</f>
        <v/>
      </c>
      <c r="E96" s="69" t="str">
        <f aca="false">IF($A96="","",IF(ISNUMBER(Varian!$M23),Varian!$M23,""))</f>
        <v/>
      </c>
      <c r="F96" s="69" t="str">
        <f aca="false">IF($A96="","",IF(ISNUMBER(Varian!$V23),Varian!$V23,""))</f>
        <v/>
      </c>
      <c r="G96" s="69" t="str">
        <f aca="false">IF($A96="","",IFERROR(INDEX(Aturan!$B$63:$B$66,MATCH(Varian!$AG23,Aturan!$A$63:$A$66,0)),""))</f>
        <v/>
      </c>
      <c r="H96" s="69" t="str">
        <f aca="false">IF($A96="","",IF(ISNUMBER(Varian!$AI23),Varian!$AI23,""))</f>
        <v/>
      </c>
      <c r="I96" s="33" t="str">
        <f aca="false">IF($A96="","",IF(Varian!$Q23="disolder","menempel di papan utama, tidak bisa ditambah",IF(OR(Varian!$Q23="slot",Varian!$Q23="setengah_disolder"),IF(Varian!$Q23="setengah_disolder","sebagian menempel, ","")&amp;IF(ISNUMBER(Varian!$U23),IF(AND(ISNUMBER(Varian!$M23),Varian!$U23&gt;Varian!$M23),"bisa dinaikkan lewat slot sampai "&amp;Varian!$U23&amp;" GB","sudah di batas maksimal "&amp;Varian!$U23&amp;" GB"),"ada slot, batas maksimalnya belum diketahui"),"belum diketahui apakah bisa ditambah")))</f>
        <v/>
      </c>
      <c r="J96" s="33" t="str">
        <f aca="false">IF($A96="","",IF(Varian!$Z23="ya","bisa diganti dengan yang lebih besar",IF(Varian!$Z23="tidak","menempel, tidak bisa diganti","belum diketahui apakah bisa diganti")))</f>
        <v/>
      </c>
      <c r="K96" s="70" t="str">
        <f aca="false">IF($A96="","",IF(AND(Aturan!$C$36="",Aturan!$D$36=""),"Tidak dinilai",IF(C96="","Belum ada data",IF(C96&lt;IF(Aturan!$C$36="",0,Aturan!$C$36),"Kurang",IF(C96&gt;=IF(Aturan!$D$36="",Aturan!$C$36,Aturan!$D$36),"Nyaman","Cukup")))))</f>
        <v/>
      </c>
      <c r="L96" s="70" t="str">
        <f aca="false">IF($A96="","",IF(AND(Aturan!$C$37="",Aturan!$D$37=""),"Tidak dinilai",IF(D96="","Belum ada data",IF(D96&lt;IF(Aturan!$C$37="",0,Aturan!$C$37),"Kurang",IF(D96&gt;=IF(Aturan!$D$37="",Aturan!$C$37,Aturan!$D$37),"Nyaman","Cukup")))))</f>
        <v/>
      </c>
      <c r="M96" s="70" t="str">
        <f aca="false">IF($A96="","",IF(AND(Aturan!$C$38="",Aturan!$D$38=""),"Tidak dinilai",IF(E96="","Belum ada data",IF(E96&lt;IF(Aturan!$C$38="",0,Aturan!$C$38),"Kurang",IF(E96&gt;=IF(Aturan!$D$38="",Aturan!$C$38,Aturan!$D$38),"Nyaman","Cukup")))))</f>
        <v/>
      </c>
      <c r="N96" s="70" t="str">
        <f aca="false">IF($A96="","",IF(AND(Aturan!$C$39="",Aturan!$D$39=""),"Tidak dinilai",IF(F96="","Belum ada data",IF(F96&lt;IF(Aturan!$C$39="",0,Aturan!$C$39),"Kurang",IF(F96&gt;=IF(Aturan!$D$39="",Aturan!$C$39,Aturan!$D$39),"Nyaman","Cukup")))))</f>
        <v/>
      </c>
      <c r="O96" s="70" t="str">
        <f aca="false">IF($A96="","",IF(AND(Aturan!$C$40="",Aturan!$D$40=""),"Tidak dinilai",IF(G96="","Belum ada data",IF(G96&lt;IF(Aturan!$C$40="",0,Aturan!$C$40),"Kurang",IF(G96&gt;=IF(Aturan!$D$40="",Aturan!$C$40,Aturan!$D$40),"Nyaman","Cukup")))))</f>
        <v/>
      </c>
      <c r="P96" s="70" t="str">
        <f aca="false">IF($A96="","",IF(AND(Aturan!$C$41="",Aturan!$D$41=""),"Tidak dinilai",IF(H96="","Belum ada data",IF(H96&lt;IF(Aturan!$C$41="",0,Aturan!$C$41),"Kurang",IF(H96&gt;=IF(Aturan!$D$41="",Aturan!$C$41,Aturan!$D$41),"Nyaman","Cukup")))))</f>
        <v/>
      </c>
      <c r="Q96" s="70" t="str">
        <f aca="false">IF($A96="","",IF(COUNTIF(K96:P96,"Tidak dinilai")=6,"Tidak dinilai",IF(COUNTIF(K96:P96,"Kurang")&gt;0,"Kurang cocok",IF(COUNTIF(K96:P96,"Belum ada data")&gt;0,"Data belum lengkap",IF(COUNTIF(K96:P96,"Cukup")&gt;0,"Bisa, dengan catatan","Cocok")))))</f>
        <v/>
      </c>
      <c r="R96" s="33" t="str">
        <f aca="false">IF($A96="","",IF(K96="Kurang","prosesor tingkat "&amp;C96&amp;" dari 5, di bawah batas minimal (tingkat "&amp;Aturan!$C$36&amp;")",IF(K96="Cukup","prosesor tingkat "&amp;C96&amp;" dari 5 cukup, nyamannya mulai tingkat "&amp;Aturan!$D$36,IF(K96="Belum ada data","tingkat prosesor belum diisi",""))))</f>
        <v/>
      </c>
      <c r="S96" s="33" t="str">
        <f aca="false">IF($A96="","",IF(L96="Kurang","grafis tingkat "&amp;D96&amp;" dari 5, di bawah batas minimal (tingkat "&amp;Aturan!$C$37&amp;")",IF(L96="Cukup","grafis tingkat "&amp;D96&amp;" dari 5 cukup, nyamannya mulai tingkat "&amp;Aturan!$D$37,IF(L96="Belum ada data","tingkat grafis belum diisi",""))))</f>
        <v/>
      </c>
      <c r="T96" s="33" t="str">
        <f aca="false">IF($A96="","",IF(M96="Kurang","RAM "&amp;E96&amp;" GB, di bawah batas minimal "&amp;Aturan!$C$38&amp;" GB ("&amp;I96&amp;")",IF(M96="Cukup","RAM "&amp;E96&amp;" GB cukup, nyamannya "&amp;Aturan!$D$38&amp;" GB atau lebih ("&amp;I96&amp;")",IF(M96="Belum ada data","ukuran RAM belum diisi",""))))</f>
        <v/>
      </c>
      <c r="U96" s="33" t="str">
        <f aca="false">IF($A96="","",IF(N96="Kurang","penyimpanan "&amp;F96&amp;" GB, di bawah batas minimal "&amp;Aturan!$C$39&amp;" GB ("&amp;J96&amp;")",IF(N96="Cukup","penyimpanan "&amp;F96&amp;" GB cukup, nyamannya "&amp;Aturan!$D$39&amp;" GB atau lebih ("&amp;J96&amp;")",IF(N96="Belum ada data","ukuran penyimpanan belum diisi",""))))</f>
        <v/>
      </c>
      <c r="V96" s="33" t="str">
        <f aca="false">IF($A96="","",IF(O96="Kurang","layar "&amp;Varian!$AG23&amp;", di bawah batas minimal ("&amp;IFERROR(INDEX(Aturan!$A$63:$A$66,MATCH(Aturan!$C$40,Aturan!$B$63:$B$66,0)),"peringkat "&amp;Aturan!$C$40)&amp;")",IF(O96="Cukup","layar "&amp;Varian!$AG23&amp;" cukup, nyamannya "&amp;IFERROR(INDEX(Aturan!$A$63:$A$66,MATCH(Aturan!$D$40,Aturan!$B$63:$B$66,0)),"peringkat "&amp;Aturan!$D$40),IF(O96="Belum ada data","jenis layar belum diketahui",""))))</f>
        <v/>
      </c>
      <c r="W96" s="33" t="str">
        <f aca="false">IF($A96="","",IF(P96="Kurang","layar "&amp;H96&amp;" Hz, di bawah batas minimal "&amp;Aturan!$C$41&amp;" Hz",IF(P96="Cukup","layar "&amp;H96&amp;" Hz cukup, nyamannya "&amp;Aturan!$D$41&amp;" Hz atau lebih",IF(P96="Belum ada data","refresh rate belum diketahui",""))))</f>
        <v/>
      </c>
      <c r="X96" s="33" t="str">
        <f aca="false">IF($A96="","",IF(K96="Kurang",R96&amp;"; ","")&amp;IF(L96="Kurang",S96&amp;"; ","")&amp;IF(M96="Kurang",T96&amp;"; ","")&amp;IF(N96="Kurang",U96&amp;"; ","")&amp;IF(O96="Kurang",V96&amp;"; ","")&amp;IF(P96="Kurang",W96&amp;"; ","")&amp;IF(K96="Belum ada data",R96&amp;"; ","")&amp;IF(L96="Belum ada data",S96&amp;"; ","")&amp;IF(M96="Belum ada data",T96&amp;"; ","")&amp;IF(N96="Belum ada data",U96&amp;"; ","")&amp;IF(O96="Belum ada data",V96&amp;"; ","")&amp;IF(P96="Belum ada data",W96&amp;"; ","")&amp;IF(K96="Cukup",R96&amp;"; ","")&amp;IF(L96="Cukup",S96&amp;"; ","")&amp;IF(M96="Cukup",T96&amp;"; ","")&amp;IF(N96="Cukup",U96&amp;"; ","")&amp;IF(O96="Cukup",V96&amp;"; ","")&amp;IF(P96="Cukup",W96&amp;"; ",""))</f>
        <v/>
      </c>
      <c r="Y96" s="33" t="str">
        <f aca="false">IF($A96="","",IF(K96="Nyaman","prosesor, ","")&amp;IF(L96="Nyaman","grafis, ","")&amp;IF(M96="Nyaman","RAM, ","")&amp;IF(N96="Nyaman","penyimpanan, ","")&amp;IF(O96="Nyaman","layar, ","")&amp;IF(P96="Nyaman","refresh rate, ",""))</f>
        <v/>
      </c>
      <c r="Z96" s="33" t="str">
        <f aca="false">IF($A96="","",IF(Q96="Tidak dinilai","Belum ada kriteria yang dinilai untuk kebutuhan ini.",IF(Q96="Cocok","Semua kriteria yang dinilai sudah nyaman: "&amp;LEFT(Y96,LEN(Y96)-2)&amp;".",UPPER(LEFT(X96,1))&amp;MID(X96,2,LEN(X96)-3)&amp;"."&amp;IF(Y96="",""," Sudah nyaman: "&amp;LEFT(Y96,LEN(Y96)-2)&amp;"."))))</f>
        <v/>
      </c>
      <c r="AA96" s="33"/>
      <c r="AB96" s="33"/>
      <c r="AC96" s="69"/>
    </row>
    <row r="97" customFormat="false" ht="15" hidden="false" customHeight="true" outlineLevel="0" collapsed="false">
      <c r="A97" s="33" t="str">
        <f aca="false">IF(Varian!$A23="","",Varian!$A23)</f>
        <v/>
      </c>
      <c r="B97" s="33" t="str">
        <f aca="false">IF($A97="","",Aturan!$A$23)</f>
        <v/>
      </c>
      <c r="C97" s="69" t="str">
        <f aca="false">IF($A97="","",IFERROR(IF(ISNUMBER(INDEX(CPU!$J$4:$J$64,MATCH(Varian!$J23,CPU!$A$4:$A$64,0))),INDEX(CPU!$J$4:$J$64,MATCH(Varian!$J23,CPU!$A$4:$A$64,0)),""),""))</f>
        <v/>
      </c>
      <c r="D97" s="69" t="str">
        <f aca="false">IF($A97="","",IFERROR(IF(ISNUMBER(INDEX(GPU!$G$4:$G$64,MATCH(Varian!$K23,GPU!$A$4:$A$64,0))),INDEX(GPU!$G$4:$G$64,MATCH(Varian!$K23,GPU!$A$4:$A$64,0)),""),""))</f>
        <v/>
      </c>
      <c r="E97" s="69" t="str">
        <f aca="false">IF($A97="","",IF(ISNUMBER(Varian!$M23),Varian!$M23,""))</f>
        <v/>
      </c>
      <c r="F97" s="69" t="str">
        <f aca="false">IF($A97="","",IF(ISNUMBER(Varian!$V23),Varian!$V23,""))</f>
        <v/>
      </c>
      <c r="G97" s="69" t="str">
        <f aca="false">IF($A97="","",IFERROR(INDEX(Aturan!$B$63:$B$66,MATCH(Varian!$AG23,Aturan!$A$63:$A$66,0)),""))</f>
        <v/>
      </c>
      <c r="H97" s="69" t="str">
        <f aca="false">IF($A97="","",IF(ISNUMBER(Varian!$AI23),Varian!$AI23,""))</f>
        <v/>
      </c>
      <c r="I97" s="33" t="str">
        <f aca="false">IF($A97="","",IF(Varian!$Q23="disolder","menempel di papan utama, tidak bisa ditambah",IF(OR(Varian!$Q23="slot",Varian!$Q23="setengah_disolder"),IF(Varian!$Q23="setengah_disolder","sebagian menempel, ","")&amp;IF(ISNUMBER(Varian!$U23),IF(AND(ISNUMBER(Varian!$M23),Varian!$U23&gt;Varian!$M23),"bisa dinaikkan lewat slot sampai "&amp;Varian!$U23&amp;" GB","sudah di batas maksimal "&amp;Varian!$U23&amp;" GB"),"ada slot, batas maksimalnya belum diketahui"),"belum diketahui apakah bisa ditambah")))</f>
        <v/>
      </c>
      <c r="J97" s="33" t="str">
        <f aca="false">IF($A97="","",IF(Varian!$Z23="ya","bisa diganti dengan yang lebih besar",IF(Varian!$Z23="tidak","menempel, tidak bisa diganti","belum diketahui apakah bisa diganti")))</f>
        <v/>
      </c>
      <c r="K97" s="70" t="str">
        <f aca="false">IF($A97="","",IF(AND(Aturan!$C$42="",Aturan!$D$42=""),"Tidak dinilai",IF(C97="","Belum ada data",IF(C97&lt;IF(Aturan!$C$42="",0,Aturan!$C$42),"Kurang",IF(C97&gt;=IF(Aturan!$D$42="",Aturan!$C$42,Aturan!$D$42),"Nyaman","Cukup")))))</f>
        <v/>
      </c>
      <c r="L97" s="70" t="str">
        <f aca="false">IF($A97="","",IF(AND(Aturan!$C$43="",Aturan!$D$43=""),"Tidak dinilai",IF(D97="","Belum ada data",IF(D97&lt;IF(Aturan!$C$43="",0,Aturan!$C$43),"Kurang",IF(D97&gt;=IF(Aturan!$D$43="",Aturan!$C$43,Aturan!$D$43),"Nyaman","Cukup")))))</f>
        <v/>
      </c>
      <c r="M97" s="70" t="str">
        <f aca="false">IF($A97="","",IF(AND(Aturan!$C$44="",Aturan!$D$44=""),"Tidak dinilai",IF(E97="","Belum ada data",IF(E97&lt;IF(Aturan!$C$44="",0,Aturan!$C$44),"Kurang",IF(E97&gt;=IF(Aturan!$D$44="",Aturan!$C$44,Aturan!$D$44),"Nyaman","Cukup")))))</f>
        <v/>
      </c>
      <c r="N97" s="70" t="str">
        <f aca="false">IF($A97="","",IF(AND(Aturan!$C$45="",Aturan!$D$45=""),"Tidak dinilai",IF(F97="","Belum ada data",IF(F97&lt;IF(Aturan!$C$45="",0,Aturan!$C$45),"Kurang",IF(F97&gt;=IF(Aturan!$D$45="",Aturan!$C$45,Aturan!$D$45),"Nyaman","Cukup")))))</f>
        <v/>
      </c>
      <c r="O97" s="70" t="str">
        <f aca="false">IF($A97="","",IF(AND(Aturan!$C$46="",Aturan!$D$46=""),"Tidak dinilai",IF(G97="","Belum ada data",IF(G97&lt;IF(Aturan!$C$46="",0,Aturan!$C$46),"Kurang",IF(G97&gt;=IF(Aturan!$D$46="",Aturan!$C$46,Aturan!$D$46),"Nyaman","Cukup")))))</f>
        <v/>
      </c>
      <c r="P97" s="70" t="str">
        <f aca="false">IF($A97="","",IF(AND(Aturan!$C$47="",Aturan!$D$47=""),"Tidak dinilai",IF(H97="","Belum ada data",IF(H97&lt;IF(Aturan!$C$47="",0,Aturan!$C$47),"Kurang",IF(H97&gt;=IF(Aturan!$D$47="",Aturan!$C$47,Aturan!$D$47),"Nyaman","Cukup")))))</f>
        <v/>
      </c>
      <c r="Q97" s="70" t="str">
        <f aca="false">IF($A97="","",IF(COUNTIF(K97:P97,"Tidak dinilai")=6,"Tidak dinilai",IF(COUNTIF(K97:P97,"Kurang")&gt;0,"Kurang cocok",IF(COUNTIF(K97:P97,"Belum ada data")&gt;0,"Data belum lengkap",IF(COUNTIF(K97:P97,"Cukup")&gt;0,"Bisa, dengan catatan","Cocok")))))</f>
        <v/>
      </c>
      <c r="R97" s="33" t="str">
        <f aca="false">IF($A97="","",IF(K97="Kurang","prosesor tingkat "&amp;C97&amp;" dari 5, di bawah batas minimal (tingkat "&amp;Aturan!$C$42&amp;")",IF(K97="Cukup","prosesor tingkat "&amp;C97&amp;" dari 5 cukup, nyamannya mulai tingkat "&amp;Aturan!$D$42,IF(K97="Belum ada data","tingkat prosesor belum diisi",""))))</f>
        <v/>
      </c>
      <c r="S97" s="33" t="str">
        <f aca="false">IF($A97="","",IF(L97="Kurang","grafis tingkat "&amp;D97&amp;" dari 5, di bawah batas minimal (tingkat "&amp;Aturan!$C$43&amp;")",IF(L97="Cukup","grafis tingkat "&amp;D97&amp;" dari 5 cukup, nyamannya mulai tingkat "&amp;Aturan!$D$43,IF(L97="Belum ada data","tingkat grafis belum diisi",""))))</f>
        <v/>
      </c>
      <c r="T97" s="33" t="str">
        <f aca="false">IF($A97="","",IF(M97="Kurang","RAM "&amp;E97&amp;" GB, di bawah batas minimal "&amp;Aturan!$C$44&amp;" GB ("&amp;I97&amp;")",IF(M97="Cukup","RAM "&amp;E97&amp;" GB cukup, nyamannya "&amp;Aturan!$D$44&amp;" GB atau lebih ("&amp;I97&amp;")",IF(M97="Belum ada data","ukuran RAM belum diisi",""))))</f>
        <v/>
      </c>
      <c r="U97" s="33" t="str">
        <f aca="false">IF($A97="","",IF(N97="Kurang","penyimpanan "&amp;F97&amp;" GB, di bawah batas minimal "&amp;Aturan!$C$45&amp;" GB ("&amp;J97&amp;")",IF(N97="Cukup","penyimpanan "&amp;F97&amp;" GB cukup, nyamannya "&amp;Aturan!$D$45&amp;" GB atau lebih ("&amp;J97&amp;")",IF(N97="Belum ada data","ukuran penyimpanan belum diisi",""))))</f>
        <v/>
      </c>
      <c r="V97" s="33" t="str">
        <f aca="false">IF($A97="","",IF(O97="Kurang","layar "&amp;Varian!$AG23&amp;", di bawah batas minimal ("&amp;IFERROR(INDEX(Aturan!$A$63:$A$66,MATCH(Aturan!$C$46,Aturan!$B$63:$B$66,0)),"peringkat "&amp;Aturan!$C$46)&amp;")",IF(O97="Cukup","layar "&amp;Varian!$AG23&amp;" cukup, nyamannya "&amp;IFERROR(INDEX(Aturan!$A$63:$A$66,MATCH(Aturan!$D$46,Aturan!$B$63:$B$66,0)),"peringkat "&amp;Aturan!$D$46),IF(O97="Belum ada data","jenis layar belum diketahui",""))))</f>
        <v/>
      </c>
      <c r="W97" s="33" t="str">
        <f aca="false">IF($A97="","",IF(P97="Kurang","layar "&amp;H97&amp;" Hz, di bawah batas minimal "&amp;Aturan!$C$47&amp;" Hz",IF(P97="Cukup","layar "&amp;H97&amp;" Hz cukup, nyamannya "&amp;Aturan!$D$47&amp;" Hz atau lebih",IF(P97="Belum ada data","refresh rate belum diketahui",""))))</f>
        <v/>
      </c>
      <c r="X97" s="33" t="str">
        <f aca="false">IF($A97="","",IF(K97="Kurang",R97&amp;"; ","")&amp;IF(L97="Kurang",S97&amp;"; ","")&amp;IF(M97="Kurang",T97&amp;"; ","")&amp;IF(N97="Kurang",U97&amp;"; ","")&amp;IF(O97="Kurang",V97&amp;"; ","")&amp;IF(P97="Kurang",W97&amp;"; ","")&amp;IF(K97="Belum ada data",R97&amp;"; ","")&amp;IF(L97="Belum ada data",S97&amp;"; ","")&amp;IF(M97="Belum ada data",T97&amp;"; ","")&amp;IF(N97="Belum ada data",U97&amp;"; ","")&amp;IF(O97="Belum ada data",V97&amp;"; ","")&amp;IF(P97="Belum ada data",W97&amp;"; ","")&amp;IF(K97="Cukup",R97&amp;"; ","")&amp;IF(L97="Cukup",S97&amp;"; ","")&amp;IF(M97="Cukup",T97&amp;"; ","")&amp;IF(N97="Cukup",U97&amp;"; ","")&amp;IF(O97="Cukup",V97&amp;"; ","")&amp;IF(P97="Cukup",W97&amp;"; ",""))</f>
        <v/>
      </c>
      <c r="Y97" s="33" t="str">
        <f aca="false">IF($A97="","",IF(K97="Nyaman","prosesor, ","")&amp;IF(L97="Nyaman","grafis, ","")&amp;IF(M97="Nyaman","RAM, ","")&amp;IF(N97="Nyaman","penyimpanan, ","")&amp;IF(O97="Nyaman","layar, ","")&amp;IF(P97="Nyaman","refresh rate, ",""))</f>
        <v/>
      </c>
      <c r="Z97" s="33" t="str">
        <f aca="false">IF($A97="","",IF(Q97="Tidak dinilai","Belum ada kriteria yang dinilai untuk kebutuhan ini.",IF(Q97="Cocok","Semua kriteria yang dinilai sudah nyaman: "&amp;LEFT(Y97,LEN(Y97)-2)&amp;".",UPPER(LEFT(X97,1))&amp;MID(X97,2,LEN(X97)-3)&amp;"."&amp;IF(Y97="",""," Sudah nyaman: "&amp;LEFT(Y97,LEN(Y97)-2)&amp;"."))))</f>
        <v/>
      </c>
      <c r="AA97" s="33"/>
      <c r="AB97" s="33"/>
      <c r="AC97" s="69"/>
    </row>
    <row r="98" customFormat="false" ht="15" hidden="false" customHeight="true" outlineLevel="0" collapsed="false">
      <c r="A98" s="33" t="str">
        <f aca="false">IF(Varian!$A23="","",Varian!$A23)</f>
        <v/>
      </c>
      <c r="B98" s="33" t="str">
        <f aca="false">IF($A98="","",Aturan!$A$24)</f>
        <v/>
      </c>
      <c r="C98" s="69" t="str">
        <f aca="false">IF($A98="","",IFERROR(IF(ISNUMBER(INDEX(CPU!$J$4:$J$64,MATCH(Varian!$J23,CPU!$A$4:$A$64,0))),INDEX(CPU!$J$4:$J$64,MATCH(Varian!$J23,CPU!$A$4:$A$64,0)),""),""))</f>
        <v/>
      </c>
      <c r="D98" s="69" t="str">
        <f aca="false">IF($A98="","",IFERROR(IF(ISNUMBER(INDEX(GPU!$G$4:$G$64,MATCH(Varian!$K23,GPU!$A$4:$A$64,0))),INDEX(GPU!$G$4:$G$64,MATCH(Varian!$K23,GPU!$A$4:$A$64,0)),""),""))</f>
        <v/>
      </c>
      <c r="E98" s="69" t="str">
        <f aca="false">IF($A98="","",IF(ISNUMBER(Varian!$M23),Varian!$M23,""))</f>
        <v/>
      </c>
      <c r="F98" s="69" t="str">
        <f aca="false">IF($A98="","",IF(ISNUMBER(Varian!$V23),Varian!$V23,""))</f>
        <v/>
      </c>
      <c r="G98" s="69" t="str">
        <f aca="false">IF($A98="","",IFERROR(INDEX(Aturan!$B$63:$B$66,MATCH(Varian!$AG23,Aturan!$A$63:$A$66,0)),""))</f>
        <v/>
      </c>
      <c r="H98" s="69" t="str">
        <f aca="false">IF($A98="","",IF(ISNUMBER(Varian!$AI23),Varian!$AI23,""))</f>
        <v/>
      </c>
      <c r="I98" s="33" t="str">
        <f aca="false">IF($A98="","",IF(Varian!$Q23="disolder","menempel di papan utama, tidak bisa ditambah",IF(OR(Varian!$Q23="slot",Varian!$Q23="setengah_disolder"),IF(Varian!$Q23="setengah_disolder","sebagian menempel, ","")&amp;IF(ISNUMBER(Varian!$U23),IF(AND(ISNUMBER(Varian!$M23),Varian!$U23&gt;Varian!$M23),"bisa dinaikkan lewat slot sampai "&amp;Varian!$U23&amp;" GB","sudah di batas maksimal "&amp;Varian!$U23&amp;" GB"),"ada slot, batas maksimalnya belum diketahui"),"belum diketahui apakah bisa ditambah")))</f>
        <v/>
      </c>
      <c r="J98" s="33" t="str">
        <f aca="false">IF($A98="","",IF(Varian!$Z23="ya","bisa diganti dengan yang lebih besar",IF(Varian!$Z23="tidak","menempel, tidak bisa diganti","belum diketahui apakah bisa diganti")))</f>
        <v/>
      </c>
      <c r="K98" s="70" t="str">
        <f aca="false">IF($A98="","",IF(AND(Aturan!$C$48="",Aturan!$D$48=""),"Tidak dinilai",IF(C98="","Belum ada data",IF(C98&lt;IF(Aturan!$C$48="",0,Aturan!$C$48),"Kurang",IF(C98&gt;=IF(Aturan!$D$48="",Aturan!$C$48,Aturan!$D$48),"Nyaman","Cukup")))))</f>
        <v/>
      </c>
      <c r="L98" s="70" t="str">
        <f aca="false">IF($A98="","",IF(AND(Aturan!$C$49="",Aturan!$D$49=""),"Tidak dinilai",IF(D98="","Belum ada data",IF(D98&lt;IF(Aturan!$C$49="",0,Aturan!$C$49),"Kurang",IF(D98&gt;=IF(Aturan!$D$49="",Aturan!$C$49,Aturan!$D$49),"Nyaman","Cukup")))))</f>
        <v/>
      </c>
      <c r="M98" s="70" t="str">
        <f aca="false">IF($A98="","",IF(AND(Aturan!$C$50="",Aturan!$D$50=""),"Tidak dinilai",IF(E98="","Belum ada data",IF(E98&lt;IF(Aturan!$C$50="",0,Aturan!$C$50),"Kurang",IF(E98&gt;=IF(Aturan!$D$50="",Aturan!$C$50,Aturan!$D$50),"Nyaman","Cukup")))))</f>
        <v/>
      </c>
      <c r="N98" s="70" t="str">
        <f aca="false">IF($A98="","",IF(AND(Aturan!$C$51="",Aturan!$D$51=""),"Tidak dinilai",IF(F98="","Belum ada data",IF(F98&lt;IF(Aturan!$C$51="",0,Aturan!$C$51),"Kurang",IF(F98&gt;=IF(Aturan!$D$51="",Aturan!$C$51,Aturan!$D$51),"Nyaman","Cukup")))))</f>
        <v/>
      </c>
      <c r="O98" s="70" t="str">
        <f aca="false">IF($A98="","",IF(AND(Aturan!$C$52="",Aturan!$D$52=""),"Tidak dinilai",IF(G98="","Belum ada data",IF(G98&lt;IF(Aturan!$C$52="",0,Aturan!$C$52),"Kurang",IF(G98&gt;=IF(Aturan!$D$52="",Aturan!$C$52,Aturan!$D$52),"Nyaman","Cukup")))))</f>
        <v/>
      </c>
      <c r="P98" s="70" t="str">
        <f aca="false">IF($A98="","",IF(AND(Aturan!$C$53="",Aturan!$D$53=""),"Tidak dinilai",IF(H98="","Belum ada data",IF(H98&lt;IF(Aturan!$C$53="",0,Aturan!$C$53),"Kurang",IF(H98&gt;=IF(Aturan!$D$53="",Aturan!$C$53,Aturan!$D$53),"Nyaman","Cukup")))))</f>
        <v/>
      </c>
      <c r="Q98" s="70" t="str">
        <f aca="false">IF($A98="","",IF(COUNTIF(K98:P98,"Tidak dinilai")=6,"Tidak dinilai",IF(COUNTIF(K98:P98,"Kurang")&gt;0,"Kurang cocok",IF(COUNTIF(K98:P98,"Belum ada data")&gt;0,"Data belum lengkap",IF(COUNTIF(K98:P98,"Cukup")&gt;0,"Bisa, dengan catatan","Cocok")))))</f>
        <v/>
      </c>
      <c r="R98" s="33" t="str">
        <f aca="false">IF($A98="","",IF(K98="Kurang","prosesor tingkat "&amp;C98&amp;" dari 5, di bawah batas minimal (tingkat "&amp;Aturan!$C$48&amp;")",IF(K98="Cukup","prosesor tingkat "&amp;C98&amp;" dari 5 cukup, nyamannya mulai tingkat "&amp;Aturan!$D$48,IF(K98="Belum ada data","tingkat prosesor belum diisi",""))))</f>
        <v/>
      </c>
      <c r="S98" s="33" t="str">
        <f aca="false">IF($A98="","",IF(L98="Kurang","grafis tingkat "&amp;D98&amp;" dari 5, di bawah batas minimal (tingkat "&amp;Aturan!$C$49&amp;")",IF(L98="Cukup","grafis tingkat "&amp;D98&amp;" dari 5 cukup, nyamannya mulai tingkat "&amp;Aturan!$D$49,IF(L98="Belum ada data","tingkat grafis belum diisi",""))))</f>
        <v/>
      </c>
      <c r="T98" s="33" t="str">
        <f aca="false">IF($A98="","",IF(M98="Kurang","RAM "&amp;E98&amp;" GB, di bawah batas minimal "&amp;Aturan!$C$50&amp;" GB ("&amp;I98&amp;")",IF(M98="Cukup","RAM "&amp;E98&amp;" GB cukup, nyamannya "&amp;Aturan!$D$50&amp;" GB atau lebih ("&amp;I98&amp;")",IF(M98="Belum ada data","ukuran RAM belum diisi",""))))</f>
        <v/>
      </c>
      <c r="U98" s="33" t="str">
        <f aca="false">IF($A98="","",IF(N98="Kurang","penyimpanan "&amp;F98&amp;" GB, di bawah batas minimal "&amp;Aturan!$C$51&amp;" GB ("&amp;J98&amp;")",IF(N98="Cukup","penyimpanan "&amp;F98&amp;" GB cukup, nyamannya "&amp;Aturan!$D$51&amp;" GB atau lebih ("&amp;J98&amp;")",IF(N98="Belum ada data","ukuran penyimpanan belum diisi",""))))</f>
        <v/>
      </c>
      <c r="V98" s="33" t="str">
        <f aca="false">IF($A98="","",IF(O98="Kurang","layar "&amp;Varian!$AG23&amp;", di bawah batas minimal ("&amp;IFERROR(INDEX(Aturan!$A$63:$A$66,MATCH(Aturan!$C$52,Aturan!$B$63:$B$66,0)),"peringkat "&amp;Aturan!$C$52)&amp;")",IF(O98="Cukup","layar "&amp;Varian!$AG23&amp;" cukup, nyamannya "&amp;IFERROR(INDEX(Aturan!$A$63:$A$66,MATCH(Aturan!$D$52,Aturan!$B$63:$B$66,0)),"peringkat "&amp;Aturan!$D$52),IF(O98="Belum ada data","jenis layar belum diketahui",""))))</f>
        <v/>
      </c>
      <c r="W98" s="33" t="str">
        <f aca="false">IF($A98="","",IF(P98="Kurang","layar "&amp;H98&amp;" Hz, di bawah batas minimal "&amp;Aturan!$C$53&amp;" Hz",IF(P98="Cukup","layar "&amp;H98&amp;" Hz cukup, nyamannya "&amp;Aturan!$D$53&amp;" Hz atau lebih",IF(P98="Belum ada data","refresh rate belum diketahui",""))))</f>
        <v/>
      </c>
      <c r="X98" s="33" t="str">
        <f aca="false">IF($A98="","",IF(K98="Kurang",R98&amp;"; ","")&amp;IF(L98="Kurang",S98&amp;"; ","")&amp;IF(M98="Kurang",T98&amp;"; ","")&amp;IF(N98="Kurang",U98&amp;"; ","")&amp;IF(O98="Kurang",V98&amp;"; ","")&amp;IF(P98="Kurang",W98&amp;"; ","")&amp;IF(K98="Belum ada data",R98&amp;"; ","")&amp;IF(L98="Belum ada data",S98&amp;"; ","")&amp;IF(M98="Belum ada data",T98&amp;"; ","")&amp;IF(N98="Belum ada data",U98&amp;"; ","")&amp;IF(O98="Belum ada data",V98&amp;"; ","")&amp;IF(P98="Belum ada data",W98&amp;"; ","")&amp;IF(K98="Cukup",R98&amp;"; ","")&amp;IF(L98="Cukup",S98&amp;"; ","")&amp;IF(M98="Cukup",T98&amp;"; ","")&amp;IF(N98="Cukup",U98&amp;"; ","")&amp;IF(O98="Cukup",V98&amp;"; ","")&amp;IF(P98="Cukup",W98&amp;"; ",""))</f>
        <v/>
      </c>
      <c r="Y98" s="33" t="str">
        <f aca="false">IF($A98="","",IF(K98="Nyaman","prosesor, ","")&amp;IF(L98="Nyaman","grafis, ","")&amp;IF(M98="Nyaman","RAM, ","")&amp;IF(N98="Nyaman","penyimpanan, ","")&amp;IF(O98="Nyaman","layar, ","")&amp;IF(P98="Nyaman","refresh rate, ",""))</f>
        <v/>
      </c>
      <c r="Z98" s="33" t="str">
        <f aca="false">IF($A98="","",IF(Q98="Tidak dinilai","Belum ada kriteria yang dinilai untuk kebutuhan ini.",IF(Q98="Cocok","Semua kriteria yang dinilai sudah nyaman: "&amp;LEFT(Y98,LEN(Y98)-2)&amp;".",UPPER(LEFT(X98,1))&amp;MID(X98,2,LEN(X98)-3)&amp;"."&amp;IF(Y98="",""," Sudah nyaman: "&amp;LEFT(Y98,LEN(Y98)-2)&amp;"."))))</f>
        <v/>
      </c>
      <c r="AA98" s="33"/>
      <c r="AB98" s="33"/>
      <c r="AC98" s="69"/>
    </row>
    <row r="99" customFormat="false" ht="15" hidden="false" customHeight="true" outlineLevel="0" collapsed="false">
      <c r="A99" s="33" t="str">
        <f aca="false">IF(Varian!$A23="","",Varian!$A23)</f>
        <v/>
      </c>
      <c r="B99" s="33" t="str">
        <f aca="false">IF($A99="","",Aturan!$A$25)</f>
        <v/>
      </c>
      <c r="C99" s="69" t="str">
        <f aca="false">IF($A99="","",IFERROR(IF(ISNUMBER(INDEX(CPU!$J$4:$J$64,MATCH(Varian!$J23,CPU!$A$4:$A$64,0))),INDEX(CPU!$J$4:$J$64,MATCH(Varian!$J23,CPU!$A$4:$A$64,0)),""),""))</f>
        <v/>
      </c>
      <c r="D99" s="69" t="str">
        <f aca="false">IF($A99="","",IFERROR(IF(ISNUMBER(INDEX(GPU!$G$4:$G$64,MATCH(Varian!$K23,GPU!$A$4:$A$64,0))),INDEX(GPU!$G$4:$G$64,MATCH(Varian!$K23,GPU!$A$4:$A$64,0)),""),""))</f>
        <v/>
      </c>
      <c r="E99" s="69" t="str">
        <f aca="false">IF($A99="","",IF(ISNUMBER(Varian!$M23),Varian!$M23,""))</f>
        <v/>
      </c>
      <c r="F99" s="69" t="str">
        <f aca="false">IF($A99="","",IF(ISNUMBER(Varian!$V23),Varian!$V23,""))</f>
        <v/>
      </c>
      <c r="G99" s="69" t="str">
        <f aca="false">IF($A99="","",IFERROR(INDEX(Aturan!$B$63:$B$66,MATCH(Varian!$AG23,Aturan!$A$63:$A$66,0)),""))</f>
        <v/>
      </c>
      <c r="H99" s="69" t="str">
        <f aca="false">IF($A99="","",IF(ISNUMBER(Varian!$AI23),Varian!$AI23,""))</f>
        <v/>
      </c>
      <c r="I99" s="33" t="str">
        <f aca="false">IF($A99="","",IF(Varian!$Q23="disolder","menempel di papan utama, tidak bisa ditambah",IF(OR(Varian!$Q23="slot",Varian!$Q23="setengah_disolder"),IF(Varian!$Q23="setengah_disolder","sebagian menempel, ","")&amp;IF(ISNUMBER(Varian!$U23),IF(AND(ISNUMBER(Varian!$M23),Varian!$U23&gt;Varian!$M23),"bisa dinaikkan lewat slot sampai "&amp;Varian!$U23&amp;" GB","sudah di batas maksimal "&amp;Varian!$U23&amp;" GB"),"ada slot, batas maksimalnya belum diketahui"),"belum diketahui apakah bisa ditambah")))</f>
        <v/>
      </c>
      <c r="J99" s="33" t="str">
        <f aca="false">IF($A99="","",IF(Varian!$Z23="ya","bisa diganti dengan yang lebih besar",IF(Varian!$Z23="tidak","menempel, tidak bisa diganti","belum diketahui apakah bisa diganti")))</f>
        <v/>
      </c>
      <c r="K99" s="70" t="str">
        <f aca="false">IF($A99="","",IF(AND(Aturan!$C$54="",Aturan!$D$54=""),"Tidak dinilai",IF(C99="","Belum ada data",IF(C99&lt;IF(Aturan!$C$54="",0,Aturan!$C$54),"Kurang",IF(C99&gt;=IF(Aturan!$D$54="",Aturan!$C$54,Aturan!$D$54),"Nyaman","Cukup")))))</f>
        <v/>
      </c>
      <c r="L99" s="70" t="str">
        <f aca="false">IF($A99="","",IF(AND(Aturan!$C$55="",Aturan!$D$55=""),"Tidak dinilai",IF(D99="","Belum ada data",IF(D99&lt;IF(Aturan!$C$55="",0,Aturan!$C$55),"Kurang",IF(D99&gt;=IF(Aturan!$D$55="",Aturan!$C$55,Aturan!$D$55),"Nyaman","Cukup")))))</f>
        <v/>
      </c>
      <c r="M99" s="70" t="str">
        <f aca="false">IF($A99="","",IF(AND(Aturan!$C$56="",Aturan!$D$56=""),"Tidak dinilai",IF(E99="","Belum ada data",IF(E99&lt;IF(Aturan!$C$56="",0,Aturan!$C$56),"Kurang",IF(E99&gt;=IF(Aturan!$D$56="",Aturan!$C$56,Aturan!$D$56),"Nyaman","Cukup")))))</f>
        <v/>
      </c>
      <c r="N99" s="70" t="str">
        <f aca="false">IF($A99="","",IF(AND(Aturan!$C$57="",Aturan!$D$57=""),"Tidak dinilai",IF(F99="","Belum ada data",IF(F99&lt;IF(Aturan!$C$57="",0,Aturan!$C$57),"Kurang",IF(F99&gt;=IF(Aturan!$D$57="",Aturan!$C$57,Aturan!$D$57),"Nyaman","Cukup")))))</f>
        <v/>
      </c>
      <c r="O99" s="70" t="str">
        <f aca="false">IF($A99="","",IF(AND(Aturan!$C$58="",Aturan!$D$58=""),"Tidak dinilai",IF(G99="","Belum ada data",IF(G99&lt;IF(Aturan!$C$58="",0,Aturan!$C$58),"Kurang",IF(G99&gt;=IF(Aturan!$D$58="",Aturan!$C$58,Aturan!$D$58),"Nyaman","Cukup")))))</f>
        <v/>
      </c>
      <c r="P99" s="70" t="str">
        <f aca="false">IF($A99="","",IF(AND(Aturan!$C$59="",Aturan!$D$59=""),"Tidak dinilai",IF(H99="","Belum ada data",IF(H99&lt;IF(Aturan!$C$59="",0,Aturan!$C$59),"Kurang",IF(H99&gt;=IF(Aturan!$D$59="",Aturan!$C$59,Aturan!$D$59),"Nyaman","Cukup")))))</f>
        <v/>
      </c>
      <c r="Q99" s="70" t="str">
        <f aca="false">IF($A99="","",IF(COUNTIF(K99:P99,"Tidak dinilai")=6,"Tidak dinilai",IF(COUNTIF(K99:P99,"Kurang")&gt;0,"Kurang cocok",IF(COUNTIF(K99:P99,"Belum ada data")&gt;0,"Data belum lengkap",IF(COUNTIF(K99:P99,"Cukup")&gt;0,"Bisa, dengan catatan","Cocok")))))</f>
        <v/>
      </c>
      <c r="R99" s="33" t="str">
        <f aca="false">IF($A99="","",IF(K99="Kurang","prosesor tingkat "&amp;C99&amp;" dari 5, di bawah batas minimal (tingkat "&amp;Aturan!$C$54&amp;")",IF(K99="Cukup","prosesor tingkat "&amp;C99&amp;" dari 5 cukup, nyamannya mulai tingkat "&amp;Aturan!$D$54,IF(K99="Belum ada data","tingkat prosesor belum diisi",""))))</f>
        <v/>
      </c>
      <c r="S99" s="33" t="str">
        <f aca="false">IF($A99="","",IF(L99="Kurang","grafis tingkat "&amp;D99&amp;" dari 5, di bawah batas minimal (tingkat "&amp;Aturan!$C$55&amp;")",IF(L99="Cukup","grafis tingkat "&amp;D99&amp;" dari 5 cukup, nyamannya mulai tingkat "&amp;Aturan!$D$55,IF(L99="Belum ada data","tingkat grafis belum diisi",""))))</f>
        <v/>
      </c>
      <c r="T99" s="33" t="str">
        <f aca="false">IF($A99="","",IF(M99="Kurang","RAM "&amp;E99&amp;" GB, di bawah batas minimal "&amp;Aturan!$C$56&amp;" GB ("&amp;I99&amp;")",IF(M99="Cukup","RAM "&amp;E99&amp;" GB cukup, nyamannya "&amp;Aturan!$D$56&amp;" GB atau lebih ("&amp;I99&amp;")",IF(M99="Belum ada data","ukuran RAM belum diisi",""))))</f>
        <v/>
      </c>
      <c r="U99" s="33" t="str">
        <f aca="false">IF($A99="","",IF(N99="Kurang","penyimpanan "&amp;F99&amp;" GB, di bawah batas minimal "&amp;Aturan!$C$57&amp;" GB ("&amp;J99&amp;")",IF(N99="Cukup","penyimpanan "&amp;F99&amp;" GB cukup, nyamannya "&amp;Aturan!$D$57&amp;" GB atau lebih ("&amp;J99&amp;")",IF(N99="Belum ada data","ukuran penyimpanan belum diisi",""))))</f>
        <v/>
      </c>
      <c r="V99" s="33" t="str">
        <f aca="false">IF($A99="","",IF(O99="Kurang","layar "&amp;Varian!$AG23&amp;", di bawah batas minimal ("&amp;IFERROR(INDEX(Aturan!$A$63:$A$66,MATCH(Aturan!$C$58,Aturan!$B$63:$B$66,0)),"peringkat "&amp;Aturan!$C$58)&amp;")",IF(O99="Cukup","layar "&amp;Varian!$AG23&amp;" cukup, nyamannya "&amp;IFERROR(INDEX(Aturan!$A$63:$A$66,MATCH(Aturan!$D$58,Aturan!$B$63:$B$66,0)),"peringkat "&amp;Aturan!$D$58),IF(O99="Belum ada data","jenis layar belum diketahui",""))))</f>
        <v/>
      </c>
      <c r="W99" s="33" t="str">
        <f aca="false">IF($A99="","",IF(P99="Kurang","layar "&amp;H99&amp;" Hz, di bawah batas minimal "&amp;Aturan!$C$59&amp;" Hz",IF(P99="Cukup","layar "&amp;H99&amp;" Hz cukup, nyamannya "&amp;Aturan!$D$59&amp;" Hz atau lebih",IF(P99="Belum ada data","refresh rate belum diketahui",""))))</f>
        <v/>
      </c>
      <c r="X99" s="33" t="str">
        <f aca="false">IF($A99="","",IF(K99="Kurang",R99&amp;"; ","")&amp;IF(L99="Kurang",S99&amp;"; ","")&amp;IF(M99="Kurang",T99&amp;"; ","")&amp;IF(N99="Kurang",U99&amp;"; ","")&amp;IF(O99="Kurang",V99&amp;"; ","")&amp;IF(P99="Kurang",W99&amp;"; ","")&amp;IF(K99="Belum ada data",R99&amp;"; ","")&amp;IF(L99="Belum ada data",S99&amp;"; ","")&amp;IF(M99="Belum ada data",T99&amp;"; ","")&amp;IF(N99="Belum ada data",U99&amp;"; ","")&amp;IF(O99="Belum ada data",V99&amp;"; ","")&amp;IF(P99="Belum ada data",W99&amp;"; ","")&amp;IF(K99="Cukup",R99&amp;"; ","")&amp;IF(L99="Cukup",S99&amp;"; ","")&amp;IF(M99="Cukup",T99&amp;"; ","")&amp;IF(N99="Cukup",U99&amp;"; ","")&amp;IF(O99="Cukup",V99&amp;"; ","")&amp;IF(P99="Cukup",W99&amp;"; ",""))</f>
        <v/>
      </c>
      <c r="Y99" s="33" t="str">
        <f aca="false">IF($A99="","",IF(K99="Nyaman","prosesor, ","")&amp;IF(L99="Nyaman","grafis, ","")&amp;IF(M99="Nyaman","RAM, ","")&amp;IF(N99="Nyaman","penyimpanan, ","")&amp;IF(O99="Nyaman","layar, ","")&amp;IF(P99="Nyaman","refresh rate, ",""))</f>
        <v/>
      </c>
      <c r="Z99" s="33" t="str">
        <f aca="false">IF($A99="","",IF(Q99="Tidak dinilai","Belum ada kriteria yang dinilai untuk kebutuhan ini.",IF(Q99="Cocok","Semua kriteria yang dinilai sudah nyaman: "&amp;LEFT(Y99,LEN(Y99)-2)&amp;".",UPPER(LEFT(X99,1))&amp;MID(X99,2,LEN(X99)-3)&amp;"."&amp;IF(Y99="",""," Sudah nyaman: "&amp;LEFT(Y99,LEN(Y99)-2)&amp;"."))))</f>
        <v/>
      </c>
      <c r="AA99" s="33"/>
      <c r="AB99" s="33"/>
      <c r="AC99" s="69"/>
    </row>
    <row r="100" customFormat="false" ht="15" hidden="false" customHeight="true" outlineLevel="0" collapsed="false">
      <c r="A100" s="66" t="str">
        <f aca="false">IF(Varian!$A24="","",Varian!$A24)</f>
        <v/>
      </c>
      <c r="B100" s="66" t="str">
        <f aca="false">IF($A100="","",Aturan!$A$21)</f>
        <v/>
      </c>
      <c r="C100" s="67" t="str">
        <f aca="false">IF($A100="","",IFERROR(IF(ISNUMBER(INDEX(CPU!$J$4:$J$64,MATCH(Varian!$J24,CPU!$A$4:$A$64,0))),INDEX(CPU!$J$4:$J$64,MATCH(Varian!$J24,CPU!$A$4:$A$64,0)),""),""))</f>
        <v/>
      </c>
      <c r="D100" s="67" t="str">
        <f aca="false">IF($A100="","",IFERROR(IF(ISNUMBER(INDEX(GPU!$G$4:$G$64,MATCH(Varian!$K24,GPU!$A$4:$A$64,0))),INDEX(GPU!$G$4:$G$64,MATCH(Varian!$K24,GPU!$A$4:$A$64,0)),""),""))</f>
        <v/>
      </c>
      <c r="E100" s="67" t="str">
        <f aca="false">IF($A100="","",IF(ISNUMBER(Varian!$M24),Varian!$M24,""))</f>
        <v/>
      </c>
      <c r="F100" s="67" t="str">
        <f aca="false">IF($A100="","",IF(ISNUMBER(Varian!$V24),Varian!$V24,""))</f>
        <v/>
      </c>
      <c r="G100" s="67" t="str">
        <f aca="false">IF($A100="","",IFERROR(INDEX(Aturan!$B$63:$B$66,MATCH(Varian!$AG24,Aturan!$A$63:$A$66,0)),""))</f>
        <v/>
      </c>
      <c r="H100" s="67" t="str">
        <f aca="false">IF($A100="","",IF(ISNUMBER(Varian!$AI24),Varian!$AI24,""))</f>
        <v/>
      </c>
      <c r="I100" s="66" t="str">
        <f aca="false">IF($A100="","",IF(Varian!$Q24="disolder","menempel di papan utama, tidak bisa ditambah",IF(OR(Varian!$Q24="slot",Varian!$Q24="setengah_disolder"),IF(Varian!$Q24="setengah_disolder","sebagian menempel, ","")&amp;IF(ISNUMBER(Varian!$U24),IF(AND(ISNUMBER(Varian!$M24),Varian!$U24&gt;Varian!$M24),"bisa dinaikkan lewat slot sampai "&amp;Varian!$U24&amp;" GB","sudah di batas maksimal "&amp;Varian!$U24&amp;" GB"),"ada slot, batas maksimalnya belum diketahui"),"belum diketahui apakah bisa ditambah")))</f>
        <v/>
      </c>
      <c r="J100" s="66" t="str">
        <f aca="false">IF($A100="","",IF(Varian!$Z24="ya","bisa diganti dengan yang lebih besar",IF(Varian!$Z24="tidak","menempel, tidak bisa diganti","belum diketahui apakah bisa diganti")))</f>
        <v/>
      </c>
      <c r="K100" s="68" t="str">
        <f aca="false">IF($A100="","",IF(AND(Aturan!$C$30="",Aturan!$D$30=""),"Tidak dinilai",IF(C100="","Belum ada data",IF(C100&lt;IF(Aturan!$C$30="",0,Aturan!$C$30),"Kurang",IF(C100&gt;=IF(Aturan!$D$30="",Aturan!$C$30,Aturan!$D$30),"Nyaman","Cukup")))))</f>
        <v/>
      </c>
      <c r="L100" s="68" t="str">
        <f aca="false">IF($A100="","",IF(AND(Aturan!$C$31="",Aturan!$D$31=""),"Tidak dinilai",IF(D100="","Belum ada data",IF(D100&lt;IF(Aturan!$C$31="",0,Aturan!$C$31),"Kurang",IF(D100&gt;=IF(Aturan!$D$31="",Aturan!$C$31,Aturan!$D$31),"Nyaman","Cukup")))))</f>
        <v/>
      </c>
      <c r="M100" s="68" t="str">
        <f aca="false">IF($A100="","",IF(AND(Aturan!$C$32="",Aturan!$D$32=""),"Tidak dinilai",IF(E100="","Belum ada data",IF(E100&lt;IF(Aturan!$C$32="",0,Aturan!$C$32),"Kurang",IF(E100&gt;=IF(Aturan!$D$32="",Aturan!$C$32,Aturan!$D$32),"Nyaman","Cukup")))))</f>
        <v/>
      </c>
      <c r="N100" s="68" t="str">
        <f aca="false">IF($A100="","",IF(AND(Aturan!$C$33="",Aturan!$D$33=""),"Tidak dinilai",IF(F100="","Belum ada data",IF(F100&lt;IF(Aturan!$C$33="",0,Aturan!$C$33),"Kurang",IF(F100&gt;=IF(Aturan!$D$33="",Aturan!$C$33,Aturan!$D$33),"Nyaman","Cukup")))))</f>
        <v/>
      </c>
      <c r="O100" s="68" t="str">
        <f aca="false">IF($A100="","",IF(AND(Aturan!$C$34="",Aturan!$D$34=""),"Tidak dinilai",IF(G100="","Belum ada data",IF(G100&lt;IF(Aturan!$C$34="",0,Aturan!$C$34),"Kurang",IF(G100&gt;=IF(Aturan!$D$34="",Aturan!$C$34,Aturan!$D$34),"Nyaman","Cukup")))))</f>
        <v/>
      </c>
      <c r="P100" s="68" t="str">
        <f aca="false">IF($A100="","",IF(AND(Aturan!$C$35="",Aturan!$D$35=""),"Tidak dinilai",IF(H100="","Belum ada data",IF(H100&lt;IF(Aturan!$C$35="",0,Aturan!$C$35),"Kurang",IF(H100&gt;=IF(Aturan!$D$35="",Aturan!$C$35,Aturan!$D$35),"Nyaman","Cukup")))))</f>
        <v/>
      </c>
      <c r="Q100" s="68" t="str">
        <f aca="false">IF($A100="","",IF(COUNTIF(K100:P100,"Tidak dinilai")=6,"Tidak dinilai",IF(COUNTIF(K100:P100,"Kurang")&gt;0,"Kurang cocok",IF(COUNTIF(K100:P100,"Belum ada data")&gt;0,"Data belum lengkap",IF(COUNTIF(K100:P100,"Cukup")&gt;0,"Bisa, dengan catatan","Cocok")))))</f>
        <v/>
      </c>
      <c r="R100" s="66" t="str">
        <f aca="false">IF($A100="","",IF(K100="Kurang","prosesor tingkat "&amp;C100&amp;" dari 5, di bawah batas minimal (tingkat "&amp;Aturan!$C$30&amp;")",IF(K100="Cukup","prosesor tingkat "&amp;C100&amp;" dari 5 cukup, nyamannya mulai tingkat "&amp;Aturan!$D$30,IF(K100="Belum ada data","tingkat prosesor belum diisi",""))))</f>
        <v/>
      </c>
      <c r="S100" s="66" t="str">
        <f aca="false">IF($A100="","",IF(L100="Kurang","grafis tingkat "&amp;D100&amp;" dari 5, di bawah batas minimal (tingkat "&amp;Aturan!$C$31&amp;")",IF(L100="Cukup","grafis tingkat "&amp;D100&amp;" dari 5 cukup, nyamannya mulai tingkat "&amp;Aturan!$D$31,IF(L100="Belum ada data","tingkat grafis belum diisi",""))))</f>
        <v/>
      </c>
      <c r="T100" s="66" t="str">
        <f aca="false">IF($A100="","",IF(M100="Kurang","RAM "&amp;E100&amp;" GB, di bawah batas minimal "&amp;Aturan!$C$32&amp;" GB ("&amp;I100&amp;")",IF(M100="Cukup","RAM "&amp;E100&amp;" GB cukup, nyamannya "&amp;Aturan!$D$32&amp;" GB atau lebih ("&amp;I100&amp;")",IF(M100="Belum ada data","ukuran RAM belum diisi",""))))</f>
        <v/>
      </c>
      <c r="U100" s="66" t="str">
        <f aca="false">IF($A100="","",IF(N100="Kurang","penyimpanan "&amp;F100&amp;" GB, di bawah batas minimal "&amp;Aturan!$C$33&amp;" GB ("&amp;J100&amp;")",IF(N100="Cukup","penyimpanan "&amp;F100&amp;" GB cukup, nyamannya "&amp;Aturan!$D$33&amp;" GB atau lebih ("&amp;J100&amp;")",IF(N100="Belum ada data","ukuran penyimpanan belum diisi",""))))</f>
        <v/>
      </c>
      <c r="V100" s="66" t="str">
        <f aca="false">IF($A100="","",IF(O100="Kurang","layar "&amp;Varian!$AG24&amp;", di bawah batas minimal ("&amp;IFERROR(INDEX(Aturan!$A$63:$A$66,MATCH(Aturan!$C$34,Aturan!$B$63:$B$66,0)),"peringkat "&amp;Aturan!$C$34)&amp;")",IF(O100="Cukup","layar "&amp;Varian!$AG24&amp;" cukup, nyamannya "&amp;IFERROR(INDEX(Aturan!$A$63:$A$66,MATCH(Aturan!$D$34,Aturan!$B$63:$B$66,0)),"peringkat "&amp;Aturan!$D$34),IF(O100="Belum ada data","jenis layar belum diketahui",""))))</f>
        <v/>
      </c>
      <c r="W100" s="66" t="str">
        <f aca="false">IF($A100="","",IF(P100="Kurang","layar "&amp;H100&amp;" Hz, di bawah batas minimal "&amp;Aturan!$C$35&amp;" Hz",IF(P100="Cukup","layar "&amp;H100&amp;" Hz cukup, nyamannya "&amp;Aturan!$D$35&amp;" Hz atau lebih",IF(P100="Belum ada data","refresh rate belum diketahui",""))))</f>
        <v/>
      </c>
      <c r="X100" s="66" t="str">
        <f aca="false">IF($A100="","",IF(K100="Kurang",R100&amp;"; ","")&amp;IF(L100="Kurang",S100&amp;"; ","")&amp;IF(M100="Kurang",T100&amp;"; ","")&amp;IF(N100="Kurang",U100&amp;"; ","")&amp;IF(O100="Kurang",V100&amp;"; ","")&amp;IF(P100="Kurang",W100&amp;"; ","")&amp;IF(K100="Belum ada data",R100&amp;"; ","")&amp;IF(L100="Belum ada data",S100&amp;"; ","")&amp;IF(M100="Belum ada data",T100&amp;"; ","")&amp;IF(N100="Belum ada data",U100&amp;"; ","")&amp;IF(O100="Belum ada data",V100&amp;"; ","")&amp;IF(P100="Belum ada data",W100&amp;"; ","")&amp;IF(K100="Cukup",R100&amp;"; ","")&amp;IF(L100="Cukup",S100&amp;"; ","")&amp;IF(M100="Cukup",T100&amp;"; ","")&amp;IF(N100="Cukup",U100&amp;"; ","")&amp;IF(O100="Cukup",V100&amp;"; ","")&amp;IF(P100="Cukup",W100&amp;"; ",""))</f>
        <v/>
      </c>
      <c r="Y100" s="66" t="str">
        <f aca="false">IF($A100="","",IF(K100="Nyaman","prosesor, ","")&amp;IF(L100="Nyaman","grafis, ","")&amp;IF(M100="Nyaman","RAM, ","")&amp;IF(N100="Nyaman","penyimpanan, ","")&amp;IF(O100="Nyaman","layar, ","")&amp;IF(P100="Nyaman","refresh rate, ",""))</f>
        <v/>
      </c>
      <c r="Z100" s="66" t="str">
        <f aca="false">IF($A100="","",IF(Q100="Tidak dinilai","Belum ada kriteria yang dinilai untuk kebutuhan ini.",IF(Q100="Cocok","Semua kriteria yang dinilai sudah nyaman: "&amp;LEFT(Y100,LEN(Y100)-2)&amp;".",UPPER(LEFT(X100,1))&amp;MID(X100,2,LEN(X100)-3)&amp;"."&amp;IF(Y100="",""," Sudah nyaman: "&amp;LEFT(Y100,LEN(Y100)-2)&amp;"."))))</f>
        <v/>
      </c>
      <c r="AA100" s="66" t="str">
        <f aca="false">IF($A100="","",IF(Varian!$AR24="Windows 10","• "&amp;Aturan!$E$71&amp;CHAR(10),"")&amp;IF(Varian!$BB24="tidak","• "&amp;Aturan!$E$72&amp;CHAR(10),"")&amp;IF(OR(Varian!$AD24="belum terverifikasi",Varian!$AD24="tidak diketahui"),"• "&amp;Aturan!$E$73&amp;CHAR(10),"")&amp;IF(Varian!$AH24="1366x768","• "&amp;Aturan!$E$74&amp;CHAR(10),"")&amp;IF(Varian!$AG24="TN","• "&amp;Aturan!$E$75&amp;CHAR(10),"")&amp;IF(AND(Varian!$Q24="disolder",ISNUMBER(Varian!$M24),Varian!$M24&lt;=8),"• "&amp;Aturan!$E$76&amp;CHAR(10),""))</f>
        <v/>
      </c>
      <c r="AB100" s="66" t="str">
        <f aca="false">IF($A100="","",IF(AA100="","",LEFT(AA100,LEN(AA100)-1)))</f>
        <v/>
      </c>
      <c r="AC100" s="67" t="str">
        <f aca="false">IF($A100="","",IF(AA100="",0,LEN(AA100)-LEN(SUBSTITUTE(AA100,CHAR(10),""))))</f>
        <v/>
      </c>
    </row>
    <row r="101" customFormat="false" ht="15" hidden="false" customHeight="true" outlineLevel="0" collapsed="false">
      <c r="A101" s="33" t="str">
        <f aca="false">IF(Varian!$A24="","",Varian!$A24)</f>
        <v/>
      </c>
      <c r="B101" s="33" t="str">
        <f aca="false">IF($A101="","",Aturan!$A$22)</f>
        <v/>
      </c>
      <c r="C101" s="69" t="str">
        <f aca="false">IF($A101="","",IFERROR(IF(ISNUMBER(INDEX(CPU!$J$4:$J$64,MATCH(Varian!$J24,CPU!$A$4:$A$64,0))),INDEX(CPU!$J$4:$J$64,MATCH(Varian!$J24,CPU!$A$4:$A$64,0)),""),""))</f>
        <v/>
      </c>
      <c r="D101" s="69" t="str">
        <f aca="false">IF($A101="","",IFERROR(IF(ISNUMBER(INDEX(GPU!$G$4:$G$64,MATCH(Varian!$K24,GPU!$A$4:$A$64,0))),INDEX(GPU!$G$4:$G$64,MATCH(Varian!$K24,GPU!$A$4:$A$64,0)),""),""))</f>
        <v/>
      </c>
      <c r="E101" s="69" t="str">
        <f aca="false">IF($A101="","",IF(ISNUMBER(Varian!$M24),Varian!$M24,""))</f>
        <v/>
      </c>
      <c r="F101" s="69" t="str">
        <f aca="false">IF($A101="","",IF(ISNUMBER(Varian!$V24),Varian!$V24,""))</f>
        <v/>
      </c>
      <c r="G101" s="69" t="str">
        <f aca="false">IF($A101="","",IFERROR(INDEX(Aturan!$B$63:$B$66,MATCH(Varian!$AG24,Aturan!$A$63:$A$66,0)),""))</f>
        <v/>
      </c>
      <c r="H101" s="69" t="str">
        <f aca="false">IF($A101="","",IF(ISNUMBER(Varian!$AI24),Varian!$AI24,""))</f>
        <v/>
      </c>
      <c r="I101" s="33" t="str">
        <f aca="false">IF($A101="","",IF(Varian!$Q24="disolder","menempel di papan utama, tidak bisa ditambah",IF(OR(Varian!$Q24="slot",Varian!$Q24="setengah_disolder"),IF(Varian!$Q24="setengah_disolder","sebagian menempel, ","")&amp;IF(ISNUMBER(Varian!$U24),IF(AND(ISNUMBER(Varian!$M24),Varian!$U24&gt;Varian!$M24),"bisa dinaikkan lewat slot sampai "&amp;Varian!$U24&amp;" GB","sudah di batas maksimal "&amp;Varian!$U24&amp;" GB"),"ada slot, batas maksimalnya belum diketahui"),"belum diketahui apakah bisa ditambah")))</f>
        <v/>
      </c>
      <c r="J101" s="33" t="str">
        <f aca="false">IF($A101="","",IF(Varian!$Z24="ya","bisa diganti dengan yang lebih besar",IF(Varian!$Z24="tidak","menempel, tidak bisa diganti","belum diketahui apakah bisa diganti")))</f>
        <v/>
      </c>
      <c r="K101" s="70" t="str">
        <f aca="false">IF($A101="","",IF(AND(Aturan!$C$36="",Aturan!$D$36=""),"Tidak dinilai",IF(C101="","Belum ada data",IF(C101&lt;IF(Aturan!$C$36="",0,Aturan!$C$36),"Kurang",IF(C101&gt;=IF(Aturan!$D$36="",Aturan!$C$36,Aturan!$D$36),"Nyaman","Cukup")))))</f>
        <v/>
      </c>
      <c r="L101" s="70" t="str">
        <f aca="false">IF($A101="","",IF(AND(Aturan!$C$37="",Aturan!$D$37=""),"Tidak dinilai",IF(D101="","Belum ada data",IF(D101&lt;IF(Aturan!$C$37="",0,Aturan!$C$37),"Kurang",IF(D101&gt;=IF(Aturan!$D$37="",Aturan!$C$37,Aturan!$D$37),"Nyaman","Cukup")))))</f>
        <v/>
      </c>
      <c r="M101" s="70" t="str">
        <f aca="false">IF($A101="","",IF(AND(Aturan!$C$38="",Aturan!$D$38=""),"Tidak dinilai",IF(E101="","Belum ada data",IF(E101&lt;IF(Aturan!$C$38="",0,Aturan!$C$38),"Kurang",IF(E101&gt;=IF(Aturan!$D$38="",Aturan!$C$38,Aturan!$D$38),"Nyaman","Cukup")))))</f>
        <v/>
      </c>
      <c r="N101" s="70" t="str">
        <f aca="false">IF($A101="","",IF(AND(Aturan!$C$39="",Aturan!$D$39=""),"Tidak dinilai",IF(F101="","Belum ada data",IF(F101&lt;IF(Aturan!$C$39="",0,Aturan!$C$39),"Kurang",IF(F101&gt;=IF(Aturan!$D$39="",Aturan!$C$39,Aturan!$D$39),"Nyaman","Cukup")))))</f>
        <v/>
      </c>
      <c r="O101" s="70" t="str">
        <f aca="false">IF($A101="","",IF(AND(Aturan!$C$40="",Aturan!$D$40=""),"Tidak dinilai",IF(G101="","Belum ada data",IF(G101&lt;IF(Aturan!$C$40="",0,Aturan!$C$40),"Kurang",IF(G101&gt;=IF(Aturan!$D$40="",Aturan!$C$40,Aturan!$D$40),"Nyaman","Cukup")))))</f>
        <v/>
      </c>
      <c r="P101" s="70" t="str">
        <f aca="false">IF($A101="","",IF(AND(Aturan!$C$41="",Aturan!$D$41=""),"Tidak dinilai",IF(H101="","Belum ada data",IF(H101&lt;IF(Aturan!$C$41="",0,Aturan!$C$41),"Kurang",IF(H101&gt;=IF(Aturan!$D$41="",Aturan!$C$41,Aturan!$D$41),"Nyaman","Cukup")))))</f>
        <v/>
      </c>
      <c r="Q101" s="70" t="str">
        <f aca="false">IF($A101="","",IF(COUNTIF(K101:P101,"Tidak dinilai")=6,"Tidak dinilai",IF(COUNTIF(K101:P101,"Kurang")&gt;0,"Kurang cocok",IF(COUNTIF(K101:P101,"Belum ada data")&gt;0,"Data belum lengkap",IF(COUNTIF(K101:P101,"Cukup")&gt;0,"Bisa, dengan catatan","Cocok")))))</f>
        <v/>
      </c>
      <c r="R101" s="33" t="str">
        <f aca="false">IF($A101="","",IF(K101="Kurang","prosesor tingkat "&amp;C101&amp;" dari 5, di bawah batas minimal (tingkat "&amp;Aturan!$C$36&amp;")",IF(K101="Cukup","prosesor tingkat "&amp;C101&amp;" dari 5 cukup, nyamannya mulai tingkat "&amp;Aturan!$D$36,IF(K101="Belum ada data","tingkat prosesor belum diisi",""))))</f>
        <v/>
      </c>
      <c r="S101" s="33" t="str">
        <f aca="false">IF($A101="","",IF(L101="Kurang","grafis tingkat "&amp;D101&amp;" dari 5, di bawah batas minimal (tingkat "&amp;Aturan!$C$37&amp;")",IF(L101="Cukup","grafis tingkat "&amp;D101&amp;" dari 5 cukup, nyamannya mulai tingkat "&amp;Aturan!$D$37,IF(L101="Belum ada data","tingkat grafis belum diisi",""))))</f>
        <v/>
      </c>
      <c r="T101" s="33" t="str">
        <f aca="false">IF($A101="","",IF(M101="Kurang","RAM "&amp;E101&amp;" GB, di bawah batas minimal "&amp;Aturan!$C$38&amp;" GB ("&amp;I101&amp;")",IF(M101="Cukup","RAM "&amp;E101&amp;" GB cukup, nyamannya "&amp;Aturan!$D$38&amp;" GB atau lebih ("&amp;I101&amp;")",IF(M101="Belum ada data","ukuran RAM belum diisi",""))))</f>
        <v/>
      </c>
      <c r="U101" s="33" t="str">
        <f aca="false">IF($A101="","",IF(N101="Kurang","penyimpanan "&amp;F101&amp;" GB, di bawah batas minimal "&amp;Aturan!$C$39&amp;" GB ("&amp;J101&amp;")",IF(N101="Cukup","penyimpanan "&amp;F101&amp;" GB cukup, nyamannya "&amp;Aturan!$D$39&amp;" GB atau lebih ("&amp;J101&amp;")",IF(N101="Belum ada data","ukuran penyimpanan belum diisi",""))))</f>
        <v/>
      </c>
      <c r="V101" s="33" t="str">
        <f aca="false">IF($A101="","",IF(O101="Kurang","layar "&amp;Varian!$AG24&amp;", di bawah batas minimal ("&amp;IFERROR(INDEX(Aturan!$A$63:$A$66,MATCH(Aturan!$C$40,Aturan!$B$63:$B$66,0)),"peringkat "&amp;Aturan!$C$40)&amp;")",IF(O101="Cukup","layar "&amp;Varian!$AG24&amp;" cukup, nyamannya "&amp;IFERROR(INDEX(Aturan!$A$63:$A$66,MATCH(Aturan!$D$40,Aturan!$B$63:$B$66,0)),"peringkat "&amp;Aturan!$D$40),IF(O101="Belum ada data","jenis layar belum diketahui",""))))</f>
        <v/>
      </c>
      <c r="W101" s="33" t="str">
        <f aca="false">IF($A101="","",IF(P101="Kurang","layar "&amp;H101&amp;" Hz, di bawah batas minimal "&amp;Aturan!$C$41&amp;" Hz",IF(P101="Cukup","layar "&amp;H101&amp;" Hz cukup, nyamannya "&amp;Aturan!$D$41&amp;" Hz atau lebih",IF(P101="Belum ada data","refresh rate belum diketahui",""))))</f>
        <v/>
      </c>
      <c r="X101" s="33" t="str">
        <f aca="false">IF($A101="","",IF(K101="Kurang",R101&amp;"; ","")&amp;IF(L101="Kurang",S101&amp;"; ","")&amp;IF(M101="Kurang",T101&amp;"; ","")&amp;IF(N101="Kurang",U101&amp;"; ","")&amp;IF(O101="Kurang",V101&amp;"; ","")&amp;IF(P101="Kurang",W101&amp;"; ","")&amp;IF(K101="Belum ada data",R101&amp;"; ","")&amp;IF(L101="Belum ada data",S101&amp;"; ","")&amp;IF(M101="Belum ada data",T101&amp;"; ","")&amp;IF(N101="Belum ada data",U101&amp;"; ","")&amp;IF(O101="Belum ada data",V101&amp;"; ","")&amp;IF(P101="Belum ada data",W101&amp;"; ","")&amp;IF(K101="Cukup",R101&amp;"; ","")&amp;IF(L101="Cukup",S101&amp;"; ","")&amp;IF(M101="Cukup",T101&amp;"; ","")&amp;IF(N101="Cukup",U101&amp;"; ","")&amp;IF(O101="Cukup",V101&amp;"; ","")&amp;IF(P101="Cukup",W101&amp;"; ",""))</f>
        <v/>
      </c>
      <c r="Y101" s="33" t="str">
        <f aca="false">IF($A101="","",IF(K101="Nyaman","prosesor, ","")&amp;IF(L101="Nyaman","grafis, ","")&amp;IF(M101="Nyaman","RAM, ","")&amp;IF(N101="Nyaman","penyimpanan, ","")&amp;IF(O101="Nyaman","layar, ","")&amp;IF(P101="Nyaman","refresh rate, ",""))</f>
        <v/>
      </c>
      <c r="Z101" s="33" t="str">
        <f aca="false">IF($A101="","",IF(Q101="Tidak dinilai","Belum ada kriteria yang dinilai untuk kebutuhan ini.",IF(Q101="Cocok","Semua kriteria yang dinilai sudah nyaman: "&amp;LEFT(Y101,LEN(Y101)-2)&amp;".",UPPER(LEFT(X101,1))&amp;MID(X101,2,LEN(X101)-3)&amp;"."&amp;IF(Y101="",""," Sudah nyaman: "&amp;LEFT(Y101,LEN(Y101)-2)&amp;"."))))</f>
        <v/>
      </c>
      <c r="AA101" s="33"/>
      <c r="AB101" s="33"/>
      <c r="AC101" s="69"/>
    </row>
    <row r="102" customFormat="false" ht="15" hidden="false" customHeight="true" outlineLevel="0" collapsed="false">
      <c r="A102" s="33" t="str">
        <f aca="false">IF(Varian!$A24="","",Varian!$A24)</f>
        <v/>
      </c>
      <c r="B102" s="33" t="str">
        <f aca="false">IF($A102="","",Aturan!$A$23)</f>
        <v/>
      </c>
      <c r="C102" s="69" t="str">
        <f aca="false">IF($A102="","",IFERROR(IF(ISNUMBER(INDEX(CPU!$J$4:$J$64,MATCH(Varian!$J24,CPU!$A$4:$A$64,0))),INDEX(CPU!$J$4:$J$64,MATCH(Varian!$J24,CPU!$A$4:$A$64,0)),""),""))</f>
        <v/>
      </c>
      <c r="D102" s="69" t="str">
        <f aca="false">IF($A102="","",IFERROR(IF(ISNUMBER(INDEX(GPU!$G$4:$G$64,MATCH(Varian!$K24,GPU!$A$4:$A$64,0))),INDEX(GPU!$G$4:$G$64,MATCH(Varian!$K24,GPU!$A$4:$A$64,0)),""),""))</f>
        <v/>
      </c>
      <c r="E102" s="69" t="str">
        <f aca="false">IF($A102="","",IF(ISNUMBER(Varian!$M24),Varian!$M24,""))</f>
        <v/>
      </c>
      <c r="F102" s="69" t="str">
        <f aca="false">IF($A102="","",IF(ISNUMBER(Varian!$V24),Varian!$V24,""))</f>
        <v/>
      </c>
      <c r="G102" s="69" t="str">
        <f aca="false">IF($A102="","",IFERROR(INDEX(Aturan!$B$63:$B$66,MATCH(Varian!$AG24,Aturan!$A$63:$A$66,0)),""))</f>
        <v/>
      </c>
      <c r="H102" s="69" t="str">
        <f aca="false">IF($A102="","",IF(ISNUMBER(Varian!$AI24),Varian!$AI24,""))</f>
        <v/>
      </c>
      <c r="I102" s="33" t="str">
        <f aca="false">IF($A102="","",IF(Varian!$Q24="disolder","menempel di papan utama, tidak bisa ditambah",IF(OR(Varian!$Q24="slot",Varian!$Q24="setengah_disolder"),IF(Varian!$Q24="setengah_disolder","sebagian menempel, ","")&amp;IF(ISNUMBER(Varian!$U24),IF(AND(ISNUMBER(Varian!$M24),Varian!$U24&gt;Varian!$M24),"bisa dinaikkan lewat slot sampai "&amp;Varian!$U24&amp;" GB","sudah di batas maksimal "&amp;Varian!$U24&amp;" GB"),"ada slot, batas maksimalnya belum diketahui"),"belum diketahui apakah bisa ditambah")))</f>
        <v/>
      </c>
      <c r="J102" s="33" t="str">
        <f aca="false">IF($A102="","",IF(Varian!$Z24="ya","bisa diganti dengan yang lebih besar",IF(Varian!$Z24="tidak","menempel, tidak bisa diganti","belum diketahui apakah bisa diganti")))</f>
        <v/>
      </c>
      <c r="K102" s="70" t="str">
        <f aca="false">IF($A102="","",IF(AND(Aturan!$C$42="",Aturan!$D$42=""),"Tidak dinilai",IF(C102="","Belum ada data",IF(C102&lt;IF(Aturan!$C$42="",0,Aturan!$C$42),"Kurang",IF(C102&gt;=IF(Aturan!$D$42="",Aturan!$C$42,Aturan!$D$42),"Nyaman","Cukup")))))</f>
        <v/>
      </c>
      <c r="L102" s="70" t="str">
        <f aca="false">IF($A102="","",IF(AND(Aturan!$C$43="",Aturan!$D$43=""),"Tidak dinilai",IF(D102="","Belum ada data",IF(D102&lt;IF(Aturan!$C$43="",0,Aturan!$C$43),"Kurang",IF(D102&gt;=IF(Aturan!$D$43="",Aturan!$C$43,Aturan!$D$43),"Nyaman","Cukup")))))</f>
        <v/>
      </c>
      <c r="M102" s="70" t="str">
        <f aca="false">IF($A102="","",IF(AND(Aturan!$C$44="",Aturan!$D$44=""),"Tidak dinilai",IF(E102="","Belum ada data",IF(E102&lt;IF(Aturan!$C$44="",0,Aturan!$C$44),"Kurang",IF(E102&gt;=IF(Aturan!$D$44="",Aturan!$C$44,Aturan!$D$44),"Nyaman","Cukup")))))</f>
        <v/>
      </c>
      <c r="N102" s="70" t="str">
        <f aca="false">IF($A102="","",IF(AND(Aturan!$C$45="",Aturan!$D$45=""),"Tidak dinilai",IF(F102="","Belum ada data",IF(F102&lt;IF(Aturan!$C$45="",0,Aturan!$C$45),"Kurang",IF(F102&gt;=IF(Aturan!$D$45="",Aturan!$C$45,Aturan!$D$45),"Nyaman","Cukup")))))</f>
        <v/>
      </c>
      <c r="O102" s="70" t="str">
        <f aca="false">IF($A102="","",IF(AND(Aturan!$C$46="",Aturan!$D$46=""),"Tidak dinilai",IF(G102="","Belum ada data",IF(G102&lt;IF(Aturan!$C$46="",0,Aturan!$C$46),"Kurang",IF(G102&gt;=IF(Aturan!$D$46="",Aturan!$C$46,Aturan!$D$46),"Nyaman","Cukup")))))</f>
        <v/>
      </c>
      <c r="P102" s="70" t="str">
        <f aca="false">IF($A102="","",IF(AND(Aturan!$C$47="",Aturan!$D$47=""),"Tidak dinilai",IF(H102="","Belum ada data",IF(H102&lt;IF(Aturan!$C$47="",0,Aturan!$C$47),"Kurang",IF(H102&gt;=IF(Aturan!$D$47="",Aturan!$C$47,Aturan!$D$47),"Nyaman","Cukup")))))</f>
        <v/>
      </c>
      <c r="Q102" s="70" t="str">
        <f aca="false">IF($A102="","",IF(COUNTIF(K102:P102,"Tidak dinilai")=6,"Tidak dinilai",IF(COUNTIF(K102:P102,"Kurang")&gt;0,"Kurang cocok",IF(COUNTIF(K102:P102,"Belum ada data")&gt;0,"Data belum lengkap",IF(COUNTIF(K102:P102,"Cukup")&gt;0,"Bisa, dengan catatan","Cocok")))))</f>
        <v/>
      </c>
      <c r="R102" s="33" t="str">
        <f aca="false">IF($A102="","",IF(K102="Kurang","prosesor tingkat "&amp;C102&amp;" dari 5, di bawah batas minimal (tingkat "&amp;Aturan!$C$42&amp;")",IF(K102="Cukup","prosesor tingkat "&amp;C102&amp;" dari 5 cukup, nyamannya mulai tingkat "&amp;Aturan!$D$42,IF(K102="Belum ada data","tingkat prosesor belum diisi",""))))</f>
        <v/>
      </c>
      <c r="S102" s="33" t="str">
        <f aca="false">IF($A102="","",IF(L102="Kurang","grafis tingkat "&amp;D102&amp;" dari 5, di bawah batas minimal (tingkat "&amp;Aturan!$C$43&amp;")",IF(L102="Cukup","grafis tingkat "&amp;D102&amp;" dari 5 cukup, nyamannya mulai tingkat "&amp;Aturan!$D$43,IF(L102="Belum ada data","tingkat grafis belum diisi",""))))</f>
        <v/>
      </c>
      <c r="T102" s="33" t="str">
        <f aca="false">IF($A102="","",IF(M102="Kurang","RAM "&amp;E102&amp;" GB, di bawah batas minimal "&amp;Aturan!$C$44&amp;" GB ("&amp;I102&amp;")",IF(M102="Cukup","RAM "&amp;E102&amp;" GB cukup, nyamannya "&amp;Aturan!$D$44&amp;" GB atau lebih ("&amp;I102&amp;")",IF(M102="Belum ada data","ukuran RAM belum diisi",""))))</f>
        <v/>
      </c>
      <c r="U102" s="33" t="str">
        <f aca="false">IF($A102="","",IF(N102="Kurang","penyimpanan "&amp;F102&amp;" GB, di bawah batas minimal "&amp;Aturan!$C$45&amp;" GB ("&amp;J102&amp;")",IF(N102="Cukup","penyimpanan "&amp;F102&amp;" GB cukup, nyamannya "&amp;Aturan!$D$45&amp;" GB atau lebih ("&amp;J102&amp;")",IF(N102="Belum ada data","ukuran penyimpanan belum diisi",""))))</f>
        <v/>
      </c>
      <c r="V102" s="33" t="str">
        <f aca="false">IF($A102="","",IF(O102="Kurang","layar "&amp;Varian!$AG24&amp;", di bawah batas minimal ("&amp;IFERROR(INDEX(Aturan!$A$63:$A$66,MATCH(Aturan!$C$46,Aturan!$B$63:$B$66,0)),"peringkat "&amp;Aturan!$C$46)&amp;")",IF(O102="Cukup","layar "&amp;Varian!$AG24&amp;" cukup, nyamannya "&amp;IFERROR(INDEX(Aturan!$A$63:$A$66,MATCH(Aturan!$D$46,Aturan!$B$63:$B$66,0)),"peringkat "&amp;Aturan!$D$46),IF(O102="Belum ada data","jenis layar belum diketahui",""))))</f>
        <v/>
      </c>
      <c r="W102" s="33" t="str">
        <f aca="false">IF($A102="","",IF(P102="Kurang","layar "&amp;H102&amp;" Hz, di bawah batas minimal "&amp;Aturan!$C$47&amp;" Hz",IF(P102="Cukup","layar "&amp;H102&amp;" Hz cukup, nyamannya "&amp;Aturan!$D$47&amp;" Hz atau lebih",IF(P102="Belum ada data","refresh rate belum diketahui",""))))</f>
        <v/>
      </c>
      <c r="X102" s="33" t="str">
        <f aca="false">IF($A102="","",IF(K102="Kurang",R102&amp;"; ","")&amp;IF(L102="Kurang",S102&amp;"; ","")&amp;IF(M102="Kurang",T102&amp;"; ","")&amp;IF(N102="Kurang",U102&amp;"; ","")&amp;IF(O102="Kurang",V102&amp;"; ","")&amp;IF(P102="Kurang",W102&amp;"; ","")&amp;IF(K102="Belum ada data",R102&amp;"; ","")&amp;IF(L102="Belum ada data",S102&amp;"; ","")&amp;IF(M102="Belum ada data",T102&amp;"; ","")&amp;IF(N102="Belum ada data",U102&amp;"; ","")&amp;IF(O102="Belum ada data",V102&amp;"; ","")&amp;IF(P102="Belum ada data",W102&amp;"; ","")&amp;IF(K102="Cukup",R102&amp;"; ","")&amp;IF(L102="Cukup",S102&amp;"; ","")&amp;IF(M102="Cukup",T102&amp;"; ","")&amp;IF(N102="Cukup",U102&amp;"; ","")&amp;IF(O102="Cukup",V102&amp;"; ","")&amp;IF(P102="Cukup",W102&amp;"; ",""))</f>
        <v/>
      </c>
      <c r="Y102" s="33" t="str">
        <f aca="false">IF($A102="","",IF(K102="Nyaman","prosesor, ","")&amp;IF(L102="Nyaman","grafis, ","")&amp;IF(M102="Nyaman","RAM, ","")&amp;IF(N102="Nyaman","penyimpanan, ","")&amp;IF(O102="Nyaman","layar, ","")&amp;IF(P102="Nyaman","refresh rate, ",""))</f>
        <v/>
      </c>
      <c r="Z102" s="33" t="str">
        <f aca="false">IF($A102="","",IF(Q102="Tidak dinilai","Belum ada kriteria yang dinilai untuk kebutuhan ini.",IF(Q102="Cocok","Semua kriteria yang dinilai sudah nyaman: "&amp;LEFT(Y102,LEN(Y102)-2)&amp;".",UPPER(LEFT(X102,1))&amp;MID(X102,2,LEN(X102)-3)&amp;"."&amp;IF(Y102="",""," Sudah nyaman: "&amp;LEFT(Y102,LEN(Y102)-2)&amp;"."))))</f>
        <v/>
      </c>
      <c r="AA102" s="33"/>
      <c r="AB102" s="33"/>
      <c r="AC102" s="69"/>
    </row>
    <row r="103" customFormat="false" ht="15" hidden="false" customHeight="true" outlineLevel="0" collapsed="false">
      <c r="A103" s="33" t="str">
        <f aca="false">IF(Varian!$A24="","",Varian!$A24)</f>
        <v/>
      </c>
      <c r="B103" s="33" t="str">
        <f aca="false">IF($A103="","",Aturan!$A$24)</f>
        <v/>
      </c>
      <c r="C103" s="69" t="str">
        <f aca="false">IF($A103="","",IFERROR(IF(ISNUMBER(INDEX(CPU!$J$4:$J$64,MATCH(Varian!$J24,CPU!$A$4:$A$64,0))),INDEX(CPU!$J$4:$J$64,MATCH(Varian!$J24,CPU!$A$4:$A$64,0)),""),""))</f>
        <v/>
      </c>
      <c r="D103" s="69" t="str">
        <f aca="false">IF($A103="","",IFERROR(IF(ISNUMBER(INDEX(GPU!$G$4:$G$64,MATCH(Varian!$K24,GPU!$A$4:$A$64,0))),INDEX(GPU!$G$4:$G$64,MATCH(Varian!$K24,GPU!$A$4:$A$64,0)),""),""))</f>
        <v/>
      </c>
      <c r="E103" s="69" t="str">
        <f aca="false">IF($A103="","",IF(ISNUMBER(Varian!$M24),Varian!$M24,""))</f>
        <v/>
      </c>
      <c r="F103" s="69" t="str">
        <f aca="false">IF($A103="","",IF(ISNUMBER(Varian!$V24),Varian!$V24,""))</f>
        <v/>
      </c>
      <c r="G103" s="69" t="str">
        <f aca="false">IF($A103="","",IFERROR(INDEX(Aturan!$B$63:$B$66,MATCH(Varian!$AG24,Aturan!$A$63:$A$66,0)),""))</f>
        <v/>
      </c>
      <c r="H103" s="69" t="str">
        <f aca="false">IF($A103="","",IF(ISNUMBER(Varian!$AI24),Varian!$AI24,""))</f>
        <v/>
      </c>
      <c r="I103" s="33" t="str">
        <f aca="false">IF($A103="","",IF(Varian!$Q24="disolder","menempel di papan utama, tidak bisa ditambah",IF(OR(Varian!$Q24="slot",Varian!$Q24="setengah_disolder"),IF(Varian!$Q24="setengah_disolder","sebagian menempel, ","")&amp;IF(ISNUMBER(Varian!$U24),IF(AND(ISNUMBER(Varian!$M24),Varian!$U24&gt;Varian!$M24),"bisa dinaikkan lewat slot sampai "&amp;Varian!$U24&amp;" GB","sudah di batas maksimal "&amp;Varian!$U24&amp;" GB"),"ada slot, batas maksimalnya belum diketahui"),"belum diketahui apakah bisa ditambah")))</f>
        <v/>
      </c>
      <c r="J103" s="33" t="str">
        <f aca="false">IF($A103="","",IF(Varian!$Z24="ya","bisa diganti dengan yang lebih besar",IF(Varian!$Z24="tidak","menempel, tidak bisa diganti","belum diketahui apakah bisa diganti")))</f>
        <v/>
      </c>
      <c r="K103" s="70" t="str">
        <f aca="false">IF($A103="","",IF(AND(Aturan!$C$48="",Aturan!$D$48=""),"Tidak dinilai",IF(C103="","Belum ada data",IF(C103&lt;IF(Aturan!$C$48="",0,Aturan!$C$48),"Kurang",IF(C103&gt;=IF(Aturan!$D$48="",Aturan!$C$48,Aturan!$D$48),"Nyaman","Cukup")))))</f>
        <v/>
      </c>
      <c r="L103" s="70" t="str">
        <f aca="false">IF($A103="","",IF(AND(Aturan!$C$49="",Aturan!$D$49=""),"Tidak dinilai",IF(D103="","Belum ada data",IF(D103&lt;IF(Aturan!$C$49="",0,Aturan!$C$49),"Kurang",IF(D103&gt;=IF(Aturan!$D$49="",Aturan!$C$49,Aturan!$D$49),"Nyaman","Cukup")))))</f>
        <v/>
      </c>
      <c r="M103" s="70" t="str">
        <f aca="false">IF($A103="","",IF(AND(Aturan!$C$50="",Aturan!$D$50=""),"Tidak dinilai",IF(E103="","Belum ada data",IF(E103&lt;IF(Aturan!$C$50="",0,Aturan!$C$50),"Kurang",IF(E103&gt;=IF(Aturan!$D$50="",Aturan!$C$50,Aturan!$D$50),"Nyaman","Cukup")))))</f>
        <v/>
      </c>
      <c r="N103" s="70" t="str">
        <f aca="false">IF($A103="","",IF(AND(Aturan!$C$51="",Aturan!$D$51=""),"Tidak dinilai",IF(F103="","Belum ada data",IF(F103&lt;IF(Aturan!$C$51="",0,Aturan!$C$51),"Kurang",IF(F103&gt;=IF(Aturan!$D$51="",Aturan!$C$51,Aturan!$D$51),"Nyaman","Cukup")))))</f>
        <v/>
      </c>
      <c r="O103" s="70" t="str">
        <f aca="false">IF($A103="","",IF(AND(Aturan!$C$52="",Aturan!$D$52=""),"Tidak dinilai",IF(G103="","Belum ada data",IF(G103&lt;IF(Aturan!$C$52="",0,Aturan!$C$52),"Kurang",IF(G103&gt;=IF(Aturan!$D$52="",Aturan!$C$52,Aturan!$D$52),"Nyaman","Cukup")))))</f>
        <v/>
      </c>
      <c r="P103" s="70" t="str">
        <f aca="false">IF($A103="","",IF(AND(Aturan!$C$53="",Aturan!$D$53=""),"Tidak dinilai",IF(H103="","Belum ada data",IF(H103&lt;IF(Aturan!$C$53="",0,Aturan!$C$53),"Kurang",IF(H103&gt;=IF(Aturan!$D$53="",Aturan!$C$53,Aturan!$D$53),"Nyaman","Cukup")))))</f>
        <v/>
      </c>
      <c r="Q103" s="70" t="str">
        <f aca="false">IF($A103="","",IF(COUNTIF(K103:P103,"Tidak dinilai")=6,"Tidak dinilai",IF(COUNTIF(K103:P103,"Kurang")&gt;0,"Kurang cocok",IF(COUNTIF(K103:P103,"Belum ada data")&gt;0,"Data belum lengkap",IF(COUNTIF(K103:P103,"Cukup")&gt;0,"Bisa, dengan catatan","Cocok")))))</f>
        <v/>
      </c>
      <c r="R103" s="33" t="str">
        <f aca="false">IF($A103="","",IF(K103="Kurang","prosesor tingkat "&amp;C103&amp;" dari 5, di bawah batas minimal (tingkat "&amp;Aturan!$C$48&amp;")",IF(K103="Cukup","prosesor tingkat "&amp;C103&amp;" dari 5 cukup, nyamannya mulai tingkat "&amp;Aturan!$D$48,IF(K103="Belum ada data","tingkat prosesor belum diisi",""))))</f>
        <v/>
      </c>
      <c r="S103" s="33" t="str">
        <f aca="false">IF($A103="","",IF(L103="Kurang","grafis tingkat "&amp;D103&amp;" dari 5, di bawah batas minimal (tingkat "&amp;Aturan!$C$49&amp;")",IF(L103="Cukup","grafis tingkat "&amp;D103&amp;" dari 5 cukup, nyamannya mulai tingkat "&amp;Aturan!$D$49,IF(L103="Belum ada data","tingkat grafis belum diisi",""))))</f>
        <v/>
      </c>
      <c r="T103" s="33" t="str">
        <f aca="false">IF($A103="","",IF(M103="Kurang","RAM "&amp;E103&amp;" GB, di bawah batas minimal "&amp;Aturan!$C$50&amp;" GB ("&amp;I103&amp;")",IF(M103="Cukup","RAM "&amp;E103&amp;" GB cukup, nyamannya "&amp;Aturan!$D$50&amp;" GB atau lebih ("&amp;I103&amp;")",IF(M103="Belum ada data","ukuran RAM belum diisi",""))))</f>
        <v/>
      </c>
      <c r="U103" s="33" t="str">
        <f aca="false">IF($A103="","",IF(N103="Kurang","penyimpanan "&amp;F103&amp;" GB, di bawah batas minimal "&amp;Aturan!$C$51&amp;" GB ("&amp;J103&amp;")",IF(N103="Cukup","penyimpanan "&amp;F103&amp;" GB cukup, nyamannya "&amp;Aturan!$D$51&amp;" GB atau lebih ("&amp;J103&amp;")",IF(N103="Belum ada data","ukuran penyimpanan belum diisi",""))))</f>
        <v/>
      </c>
      <c r="V103" s="33" t="str">
        <f aca="false">IF($A103="","",IF(O103="Kurang","layar "&amp;Varian!$AG24&amp;", di bawah batas minimal ("&amp;IFERROR(INDEX(Aturan!$A$63:$A$66,MATCH(Aturan!$C$52,Aturan!$B$63:$B$66,0)),"peringkat "&amp;Aturan!$C$52)&amp;")",IF(O103="Cukup","layar "&amp;Varian!$AG24&amp;" cukup, nyamannya "&amp;IFERROR(INDEX(Aturan!$A$63:$A$66,MATCH(Aturan!$D$52,Aturan!$B$63:$B$66,0)),"peringkat "&amp;Aturan!$D$52),IF(O103="Belum ada data","jenis layar belum diketahui",""))))</f>
        <v/>
      </c>
      <c r="W103" s="33" t="str">
        <f aca="false">IF($A103="","",IF(P103="Kurang","layar "&amp;H103&amp;" Hz, di bawah batas minimal "&amp;Aturan!$C$53&amp;" Hz",IF(P103="Cukup","layar "&amp;H103&amp;" Hz cukup, nyamannya "&amp;Aturan!$D$53&amp;" Hz atau lebih",IF(P103="Belum ada data","refresh rate belum diketahui",""))))</f>
        <v/>
      </c>
      <c r="X103" s="33" t="str">
        <f aca="false">IF($A103="","",IF(K103="Kurang",R103&amp;"; ","")&amp;IF(L103="Kurang",S103&amp;"; ","")&amp;IF(M103="Kurang",T103&amp;"; ","")&amp;IF(N103="Kurang",U103&amp;"; ","")&amp;IF(O103="Kurang",V103&amp;"; ","")&amp;IF(P103="Kurang",W103&amp;"; ","")&amp;IF(K103="Belum ada data",R103&amp;"; ","")&amp;IF(L103="Belum ada data",S103&amp;"; ","")&amp;IF(M103="Belum ada data",T103&amp;"; ","")&amp;IF(N103="Belum ada data",U103&amp;"; ","")&amp;IF(O103="Belum ada data",V103&amp;"; ","")&amp;IF(P103="Belum ada data",W103&amp;"; ","")&amp;IF(K103="Cukup",R103&amp;"; ","")&amp;IF(L103="Cukup",S103&amp;"; ","")&amp;IF(M103="Cukup",T103&amp;"; ","")&amp;IF(N103="Cukup",U103&amp;"; ","")&amp;IF(O103="Cukup",V103&amp;"; ","")&amp;IF(P103="Cukup",W103&amp;"; ",""))</f>
        <v/>
      </c>
      <c r="Y103" s="33" t="str">
        <f aca="false">IF($A103="","",IF(K103="Nyaman","prosesor, ","")&amp;IF(L103="Nyaman","grafis, ","")&amp;IF(M103="Nyaman","RAM, ","")&amp;IF(N103="Nyaman","penyimpanan, ","")&amp;IF(O103="Nyaman","layar, ","")&amp;IF(P103="Nyaman","refresh rate, ",""))</f>
        <v/>
      </c>
      <c r="Z103" s="33" t="str">
        <f aca="false">IF($A103="","",IF(Q103="Tidak dinilai","Belum ada kriteria yang dinilai untuk kebutuhan ini.",IF(Q103="Cocok","Semua kriteria yang dinilai sudah nyaman: "&amp;LEFT(Y103,LEN(Y103)-2)&amp;".",UPPER(LEFT(X103,1))&amp;MID(X103,2,LEN(X103)-3)&amp;"."&amp;IF(Y103="",""," Sudah nyaman: "&amp;LEFT(Y103,LEN(Y103)-2)&amp;"."))))</f>
        <v/>
      </c>
      <c r="AA103" s="33"/>
      <c r="AB103" s="33"/>
      <c r="AC103" s="69"/>
    </row>
    <row r="104" customFormat="false" ht="15" hidden="false" customHeight="true" outlineLevel="0" collapsed="false">
      <c r="A104" s="33" t="str">
        <f aca="false">IF(Varian!$A24="","",Varian!$A24)</f>
        <v/>
      </c>
      <c r="B104" s="33" t="str">
        <f aca="false">IF($A104="","",Aturan!$A$25)</f>
        <v/>
      </c>
      <c r="C104" s="69" t="str">
        <f aca="false">IF($A104="","",IFERROR(IF(ISNUMBER(INDEX(CPU!$J$4:$J$64,MATCH(Varian!$J24,CPU!$A$4:$A$64,0))),INDEX(CPU!$J$4:$J$64,MATCH(Varian!$J24,CPU!$A$4:$A$64,0)),""),""))</f>
        <v/>
      </c>
      <c r="D104" s="69" t="str">
        <f aca="false">IF($A104="","",IFERROR(IF(ISNUMBER(INDEX(GPU!$G$4:$G$64,MATCH(Varian!$K24,GPU!$A$4:$A$64,0))),INDEX(GPU!$G$4:$G$64,MATCH(Varian!$K24,GPU!$A$4:$A$64,0)),""),""))</f>
        <v/>
      </c>
      <c r="E104" s="69" t="str">
        <f aca="false">IF($A104="","",IF(ISNUMBER(Varian!$M24),Varian!$M24,""))</f>
        <v/>
      </c>
      <c r="F104" s="69" t="str">
        <f aca="false">IF($A104="","",IF(ISNUMBER(Varian!$V24),Varian!$V24,""))</f>
        <v/>
      </c>
      <c r="G104" s="69" t="str">
        <f aca="false">IF($A104="","",IFERROR(INDEX(Aturan!$B$63:$B$66,MATCH(Varian!$AG24,Aturan!$A$63:$A$66,0)),""))</f>
        <v/>
      </c>
      <c r="H104" s="69" t="str">
        <f aca="false">IF($A104="","",IF(ISNUMBER(Varian!$AI24),Varian!$AI24,""))</f>
        <v/>
      </c>
      <c r="I104" s="33" t="str">
        <f aca="false">IF($A104="","",IF(Varian!$Q24="disolder","menempel di papan utama, tidak bisa ditambah",IF(OR(Varian!$Q24="slot",Varian!$Q24="setengah_disolder"),IF(Varian!$Q24="setengah_disolder","sebagian menempel, ","")&amp;IF(ISNUMBER(Varian!$U24),IF(AND(ISNUMBER(Varian!$M24),Varian!$U24&gt;Varian!$M24),"bisa dinaikkan lewat slot sampai "&amp;Varian!$U24&amp;" GB","sudah di batas maksimal "&amp;Varian!$U24&amp;" GB"),"ada slot, batas maksimalnya belum diketahui"),"belum diketahui apakah bisa ditambah")))</f>
        <v/>
      </c>
      <c r="J104" s="33" t="str">
        <f aca="false">IF($A104="","",IF(Varian!$Z24="ya","bisa diganti dengan yang lebih besar",IF(Varian!$Z24="tidak","menempel, tidak bisa diganti","belum diketahui apakah bisa diganti")))</f>
        <v/>
      </c>
      <c r="K104" s="70" t="str">
        <f aca="false">IF($A104="","",IF(AND(Aturan!$C$54="",Aturan!$D$54=""),"Tidak dinilai",IF(C104="","Belum ada data",IF(C104&lt;IF(Aturan!$C$54="",0,Aturan!$C$54),"Kurang",IF(C104&gt;=IF(Aturan!$D$54="",Aturan!$C$54,Aturan!$D$54),"Nyaman","Cukup")))))</f>
        <v/>
      </c>
      <c r="L104" s="70" t="str">
        <f aca="false">IF($A104="","",IF(AND(Aturan!$C$55="",Aturan!$D$55=""),"Tidak dinilai",IF(D104="","Belum ada data",IF(D104&lt;IF(Aturan!$C$55="",0,Aturan!$C$55),"Kurang",IF(D104&gt;=IF(Aturan!$D$55="",Aturan!$C$55,Aturan!$D$55),"Nyaman","Cukup")))))</f>
        <v/>
      </c>
      <c r="M104" s="70" t="str">
        <f aca="false">IF($A104="","",IF(AND(Aturan!$C$56="",Aturan!$D$56=""),"Tidak dinilai",IF(E104="","Belum ada data",IF(E104&lt;IF(Aturan!$C$56="",0,Aturan!$C$56),"Kurang",IF(E104&gt;=IF(Aturan!$D$56="",Aturan!$C$56,Aturan!$D$56),"Nyaman","Cukup")))))</f>
        <v/>
      </c>
      <c r="N104" s="70" t="str">
        <f aca="false">IF($A104="","",IF(AND(Aturan!$C$57="",Aturan!$D$57=""),"Tidak dinilai",IF(F104="","Belum ada data",IF(F104&lt;IF(Aturan!$C$57="",0,Aturan!$C$57),"Kurang",IF(F104&gt;=IF(Aturan!$D$57="",Aturan!$C$57,Aturan!$D$57),"Nyaman","Cukup")))))</f>
        <v/>
      </c>
      <c r="O104" s="70" t="str">
        <f aca="false">IF($A104="","",IF(AND(Aturan!$C$58="",Aturan!$D$58=""),"Tidak dinilai",IF(G104="","Belum ada data",IF(G104&lt;IF(Aturan!$C$58="",0,Aturan!$C$58),"Kurang",IF(G104&gt;=IF(Aturan!$D$58="",Aturan!$C$58,Aturan!$D$58),"Nyaman","Cukup")))))</f>
        <v/>
      </c>
      <c r="P104" s="70" t="str">
        <f aca="false">IF($A104="","",IF(AND(Aturan!$C$59="",Aturan!$D$59=""),"Tidak dinilai",IF(H104="","Belum ada data",IF(H104&lt;IF(Aturan!$C$59="",0,Aturan!$C$59),"Kurang",IF(H104&gt;=IF(Aturan!$D$59="",Aturan!$C$59,Aturan!$D$59),"Nyaman","Cukup")))))</f>
        <v/>
      </c>
      <c r="Q104" s="70" t="str">
        <f aca="false">IF($A104="","",IF(COUNTIF(K104:P104,"Tidak dinilai")=6,"Tidak dinilai",IF(COUNTIF(K104:P104,"Kurang")&gt;0,"Kurang cocok",IF(COUNTIF(K104:P104,"Belum ada data")&gt;0,"Data belum lengkap",IF(COUNTIF(K104:P104,"Cukup")&gt;0,"Bisa, dengan catatan","Cocok")))))</f>
        <v/>
      </c>
      <c r="R104" s="33" t="str">
        <f aca="false">IF($A104="","",IF(K104="Kurang","prosesor tingkat "&amp;C104&amp;" dari 5, di bawah batas minimal (tingkat "&amp;Aturan!$C$54&amp;")",IF(K104="Cukup","prosesor tingkat "&amp;C104&amp;" dari 5 cukup, nyamannya mulai tingkat "&amp;Aturan!$D$54,IF(K104="Belum ada data","tingkat prosesor belum diisi",""))))</f>
        <v/>
      </c>
      <c r="S104" s="33" t="str">
        <f aca="false">IF($A104="","",IF(L104="Kurang","grafis tingkat "&amp;D104&amp;" dari 5, di bawah batas minimal (tingkat "&amp;Aturan!$C$55&amp;")",IF(L104="Cukup","grafis tingkat "&amp;D104&amp;" dari 5 cukup, nyamannya mulai tingkat "&amp;Aturan!$D$55,IF(L104="Belum ada data","tingkat grafis belum diisi",""))))</f>
        <v/>
      </c>
      <c r="T104" s="33" t="str">
        <f aca="false">IF($A104="","",IF(M104="Kurang","RAM "&amp;E104&amp;" GB, di bawah batas minimal "&amp;Aturan!$C$56&amp;" GB ("&amp;I104&amp;")",IF(M104="Cukup","RAM "&amp;E104&amp;" GB cukup, nyamannya "&amp;Aturan!$D$56&amp;" GB atau lebih ("&amp;I104&amp;")",IF(M104="Belum ada data","ukuran RAM belum diisi",""))))</f>
        <v/>
      </c>
      <c r="U104" s="33" t="str">
        <f aca="false">IF($A104="","",IF(N104="Kurang","penyimpanan "&amp;F104&amp;" GB, di bawah batas minimal "&amp;Aturan!$C$57&amp;" GB ("&amp;J104&amp;")",IF(N104="Cukup","penyimpanan "&amp;F104&amp;" GB cukup, nyamannya "&amp;Aturan!$D$57&amp;" GB atau lebih ("&amp;J104&amp;")",IF(N104="Belum ada data","ukuran penyimpanan belum diisi",""))))</f>
        <v/>
      </c>
      <c r="V104" s="33" t="str">
        <f aca="false">IF($A104="","",IF(O104="Kurang","layar "&amp;Varian!$AG24&amp;", di bawah batas minimal ("&amp;IFERROR(INDEX(Aturan!$A$63:$A$66,MATCH(Aturan!$C$58,Aturan!$B$63:$B$66,0)),"peringkat "&amp;Aturan!$C$58)&amp;")",IF(O104="Cukup","layar "&amp;Varian!$AG24&amp;" cukup, nyamannya "&amp;IFERROR(INDEX(Aturan!$A$63:$A$66,MATCH(Aturan!$D$58,Aturan!$B$63:$B$66,0)),"peringkat "&amp;Aturan!$D$58),IF(O104="Belum ada data","jenis layar belum diketahui",""))))</f>
        <v/>
      </c>
      <c r="W104" s="33" t="str">
        <f aca="false">IF($A104="","",IF(P104="Kurang","layar "&amp;H104&amp;" Hz, di bawah batas minimal "&amp;Aturan!$C$59&amp;" Hz",IF(P104="Cukup","layar "&amp;H104&amp;" Hz cukup, nyamannya "&amp;Aturan!$D$59&amp;" Hz atau lebih",IF(P104="Belum ada data","refresh rate belum diketahui",""))))</f>
        <v/>
      </c>
      <c r="X104" s="33" t="str">
        <f aca="false">IF($A104="","",IF(K104="Kurang",R104&amp;"; ","")&amp;IF(L104="Kurang",S104&amp;"; ","")&amp;IF(M104="Kurang",T104&amp;"; ","")&amp;IF(N104="Kurang",U104&amp;"; ","")&amp;IF(O104="Kurang",V104&amp;"; ","")&amp;IF(P104="Kurang",W104&amp;"; ","")&amp;IF(K104="Belum ada data",R104&amp;"; ","")&amp;IF(L104="Belum ada data",S104&amp;"; ","")&amp;IF(M104="Belum ada data",T104&amp;"; ","")&amp;IF(N104="Belum ada data",U104&amp;"; ","")&amp;IF(O104="Belum ada data",V104&amp;"; ","")&amp;IF(P104="Belum ada data",W104&amp;"; ","")&amp;IF(K104="Cukup",R104&amp;"; ","")&amp;IF(L104="Cukup",S104&amp;"; ","")&amp;IF(M104="Cukup",T104&amp;"; ","")&amp;IF(N104="Cukup",U104&amp;"; ","")&amp;IF(O104="Cukup",V104&amp;"; ","")&amp;IF(P104="Cukup",W104&amp;"; ",""))</f>
        <v/>
      </c>
      <c r="Y104" s="33" t="str">
        <f aca="false">IF($A104="","",IF(K104="Nyaman","prosesor, ","")&amp;IF(L104="Nyaman","grafis, ","")&amp;IF(M104="Nyaman","RAM, ","")&amp;IF(N104="Nyaman","penyimpanan, ","")&amp;IF(O104="Nyaman","layar, ","")&amp;IF(P104="Nyaman","refresh rate, ",""))</f>
        <v/>
      </c>
      <c r="Z104" s="33" t="str">
        <f aca="false">IF($A104="","",IF(Q104="Tidak dinilai","Belum ada kriteria yang dinilai untuk kebutuhan ini.",IF(Q104="Cocok","Semua kriteria yang dinilai sudah nyaman: "&amp;LEFT(Y104,LEN(Y104)-2)&amp;".",UPPER(LEFT(X104,1))&amp;MID(X104,2,LEN(X104)-3)&amp;"."&amp;IF(Y104="",""," Sudah nyaman: "&amp;LEFT(Y104,LEN(Y104)-2)&amp;"."))))</f>
        <v/>
      </c>
      <c r="AA104" s="33"/>
      <c r="AB104" s="33"/>
      <c r="AC104" s="69"/>
    </row>
    <row r="105" customFormat="false" ht="15" hidden="false" customHeight="true" outlineLevel="0" collapsed="false">
      <c r="A105" s="66" t="str">
        <f aca="false">IF(Varian!$A25="","",Varian!$A25)</f>
        <v/>
      </c>
      <c r="B105" s="66" t="str">
        <f aca="false">IF($A105="","",Aturan!$A$21)</f>
        <v/>
      </c>
      <c r="C105" s="67" t="str">
        <f aca="false">IF($A105="","",IFERROR(IF(ISNUMBER(INDEX(CPU!$J$4:$J$64,MATCH(Varian!$J25,CPU!$A$4:$A$64,0))),INDEX(CPU!$J$4:$J$64,MATCH(Varian!$J25,CPU!$A$4:$A$64,0)),""),""))</f>
        <v/>
      </c>
      <c r="D105" s="67" t="str">
        <f aca="false">IF($A105="","",IFERROR(IF(ISNUMBER(INDEX(GPU!$G$4:$G$64,MATCH(Varian!$K25,GPU!$A$4:$A$64,0))),INDEX(GPU!$G$4:$G$64,MATCH(Varian!$K25,GPU!$A$4:$A$64,0)),""),""))</f>
        <v/>
      </c>
      <c r="E105" s="67" t="str">
        <f aca="false">IF($A105="","",IF(ISNUMBER(Varian!$M25),Varian!$M25,""))</f>
        <v/>
      </c>
      <c r="F105" s="67" t="str">
        <f aca="false">IF($A105="","",IF(ISNUMBER(Varian!$V25),Varian!$V25,""))</f>
        <v/>
      </c>
      <c r="G105" s="67" t="str">
        <f aca="false">IF($A105="","",IFERROR(INDEX(Aturan!$B$63:$B$66,MATCH(Varian!$AG25,Aturan!$A$63:$A$66,0)),""))</f>
        <v/>
      </c>
      <c r="H105" s="67" t="str">
        <f aca="false">IF($A105="","",IF(ISNUMBER(Varian!$AI25),Varian!$AI25,""))</f>
        <v/>
      </c>
      <c r="I105" s="66" t="str">
        <f aca="false">IF($A105="","",IF(Varian!$Q25="disolder","menempel di papan utama, tidak bisa ditambah",IF(OR(Varian!$Q25="slot",Varian!$Q25="setengah_disolder"),IF(Varian!$Q25="setengah_disolder","sebagian menempel, ","")&amp;IF(ISNUMBER(Varian!$U25),IF(AND(ISNUMBER(Varian!$M25),Varian!$U25&gt;Varian!$M25),"bisa dinaikkan lewat slot sampai "&amp;Varian!$U25&amp;" GB","sudah di batas maksimal "&amp;Varian!$U25&amp;" GB"),"ada slot, batas maksimalnya belum diketahui"),"belum diketahui apakah bisa ditambah")))</f>
        <v/>
      </c>
      <c r="J105" s="66" t="str">
        <f aca="false">IF($A105="","",IF(Varian!$Z25="ya","bisa diganti dengan yang lebih besar",IF(Varian!$Z25="tidak","menempel, tidak bisa diganti","belum diketahui apakah bisa diganti")))</f>
        <v/>
      </c>
      <c r="K105" s="68" t="str">
        <f aca="false">IF($A105="","",IF(AND(Aturan!$C$30="",Aturan!$D$30=""),"Tidak dinilai",IF(C105="","Belum ada data",IF(C105&lt;IF(Aturan!$C$30="",0,Aturan!$C$30),"Kurang",IF(C105&gt;=IF(Aturan!$D$30="",Aturan!$C$30,Aturan!$D$30),"Nyaman","Cukup")))))</f>
        <v/>
      </c>
      <c r="L105" s="68" t="str">
        <f aca="false">IF($A105="","",IF(AND(Aturan!$C$31="",Aturan!$D$31=""),"Tidak dinilai",IF(D105="","Belum ada data",IF(D105&lt;IF(Aturan!$C$31="",0,Aturan!$C$31),"Kurang",IF(D105&gt;=IF(Aturan!$D$31="",Aturan!$C$31,Aturan!$D$31),"Nyaman","Cukup")))))</f>
        <v/>
      </c>
      <c r="M105" s="68" t="str">
        <f aca="false">IF($A105="","",IF(AND(Aturan!$C$32="",Aturan!$D$32=""),"Tidak dinilai",IF(E105="","Belum ada data",IF(E105&lt;IF(Aturan!$C$32="",0,Aturan!$C$32),"Kurang",IF(E105&gt;=IF(Aturan!$D$32="",Aturan!$C$32,Aturan!$D$32),"Nyaman","Cukup")))))</f>
        <v/>
      </c>
      <c r="N105" s="68" t="str">
        <f aca="false">IF($A105="","",IF(AND(Aturan!$C$33="",Aturan!$D$33=""),"Tidak dinilai",IF(F105="","Belum ada data",IF(F105&lt;IF(Aturan!$C$33="",0,Aturan!$C$33),"Kurang",IF(F105&gt;=IF(Aturan!$D$33="",Aturan!$C$33,Aturan!$D$33),"Nyaman","Cukup")))))</f>
        <v/>
      </c>
      <c r="O105" s="68" t="str">
        <f aca="false">IF($A105="","",IF(AND(Aturan!$C$34="",Aturan!$D$34=""),"Tidak dinilai",IF(G105="","Belum ada data",IF(G105&lt;IF(Aturan!$C$34="",0,Aturan!$C$34),"Kurang",IF(G105&gt;=IF(Aturan!$D$34="",Aturan!$C$34,Aturan!$D$34),"Nyaman","Cukup")))))</f>
        <v/>
      </c>
      <c r="P105" s="68" t="str">
        <f aca="false">IF($A105="","",IF(AND(Aturan!$C$35="",Aturan!$D$35=""),"Tidak dinilai",IF(H105="","Belum ada data",IF(H105&lt;IF(Aturan!$C$35="",0,Aturan!$C$35),"Kurang",IF(H105&gt;=IF(Aturan!$D$35="",Aturan!$C$35,Aturan!$D$35),"Nyaman","Cukup")))))</f>
        <v/>
      </c>
      <c r="Q105" s="68" t="str">
        <f aca="false">IF($A105="","",IF(COUNTIF(K105:P105,"Tidak dinilai")=6,"Tidak dinilai",IF(COUNTIF(K105:P105,"Kurang")&gt;0,"Kurang cocok",IF(COUNTIF(K105:P105,"Belum ada data")&gt;0,"Data belum lengkap",IF(COUNTIF(K105:P105,"Cukup")&gt;0,"Bisa, dengan catatan","Cocok")))))</f>
        <v/>
      </c>
      <c r="R105" s="66" t="str">
        <f aca="false">IF($A105="","",IF(K105="Kurang","prosesor tingkat "&amp;C105&amp;" dari 5, di bawah batas minimal (tingkat "&amp;Aturan!$C$30&amp;")",IF(K105="Cukup","prosesor tingkat "&amp;C105&amp;" dari 5 cukup, nyamannya mulai tingkat "&amp;Aturan!$D$30,IF(K105="Belum ada data","tingkat prosesor belum diisi",""))))</f>
        <v/>
      </c>
      <c r="S105" s="66" t="str">
        <f aca="false">IF($A105="","",IF(L105="Kurang","grafis tingkat "&amp;D105&amp;" dari 5, di bawah batas minimal (tingkat "&amp;Aturan!$C$31&amp;")",IF(L105="Cukup","grafis tingkat "&amp;D105&amp;" dari 5 cukup, nyamannya mulai tingkat "&amp;Aturan!$D$31,IF(L105="Belum ada data","tingkat grafis belum diisi",""))))</f>
        <v/>
      </c>
      <c r="T105" s="66" t="str">
        <f aca="false">IF($A105="","",IF(M105="Kurang","RAM "&amp;E105&amp;" GB, di bawah batas minimal "&amp;Aturan!$C$32&amp;" GB ("&amp;I105&amp;")",IF(M105="Cukup","RAM "&amp;E105&amp;" GB cukup, nyamannya "&amp;Aturan!$D$32&amp;" GB atau lebih ("&amp;I105&amp;")",IF(M105="Belum ada data","ukuran RAM belum diisi",""))))</f>
        <v/>
      </c>
      <c r="U105" s="66" t="str">
        <f aca="false">IF($A105="","",IF(N105="Kurang","penyimpanan "&amp;F105&amp;" GB, di bawah batas minimal "&amp;Aturan!$C$33&amp;" GB ("&amp;J105&amp;")",IF(N105="Cukup","penyimpanan "&amp;F105&amp;" GB cukup, nyamannya "&amp;Aturan!$D$33&amp;" GB atau lebih ("&amp;J105&amp;")",IF(N105="Belum ada data","ukuran penyimpanan belum diisi",""))))</f>
        <v/>
      </c>
      <c r="V105" s="66" t="str">
        <f aca="false">IF($A105="","",IF(O105="Kurang","layar "&amp;Varian!$AG25&amp;", di bawah batas minimal ("&amp;IFERROR(INDEX(Aturan!$A$63:$A$66,MATCH(Aturan!$C$34,Aturan!$B$63:$B$66,0)),"peringkat "&amp;Aturan!$C$34)&amp;")",IF(O105="Cukup","layar "&amp;Varian!$AG25&amp;" cukup, nyamannya "&amp;IFERROR(INDEX(Aturan!$A$63:$A$66,MATCH(Aturan!$D$34,Aturan!$B$63:$B$66,0)),"peringkat "&amp;Aturan!$D$34),IF(O105="Belum ada data","jenis layar belum diketahui",""))))</f>
        <v/>
      </c>
      <c r="W105" s="66" t="str">
        <f aca="false">IF($A105="","",IF(P105="Kurang","layar "&amp;H105&amp;" Hz, di bawah batas minimal "&amp;Aturan!$C$35&amp;" Hz",IF(P105="Cukup","layar "&amp;H105&amp;" Hz cukup, nyamannya "&amp;Aturan!$D$35&amp;" Hz atau lebih",IF(P105="Belum ada data","refresh rate belum diketahui",""))))</f>
        <v/>
      </c>
      <c r="X105" s="66" t="str">
        <f aca="false">IF($A105="","",IF(K105="Kurang",R105&amp;"; ","")&amp;IF(L105="Kurang",S105&amp;"; ","")&amp;IF(M105="Kurang",T105&amp;"; ","")&amp;IF(N105="Kurang",U105&amp;"; ","")&amp;IF(O105="Kurang",V105&amp;"; ","")&amp;IF(P105="Kurang",W105&amp;"; ","")&amp;IF(K105="Belum ada data",R105&amp;"; ","")&amp;IF(L105="Belum ada data",S105&amp;"; ","")&amp;IF(M105="Belum ada data",T105&amp;"; ","")&amp;IF(N105="Belum ada data",U105&amp;"; ","")&amp;IF(O105="Belum ada data",V105&amp;"; ","")&amp;IF(P105="Belum ada data",W105&amp;"; ","")&amp;IF(K105="Cukup",R105&amp;"; ","")&amp;IF(L105="Cukup",S105&amp;"; ","")&amp;IF(M105="Cukup",T105&amp;"; ","")&amp;IF(N105="Cukup",U105&amp;"; ","")&amp;IF(O105="Cukup",V105&amp;"; ","")&amp;IF(P105="Cukup",W105&amp;"; ",""))</f>
        <v/>
      </c>
      <c r="Y105" s="66" t="str">
        <f aca="false">IF($A105="","",IF(K105="Nyaman","prosesor, ","")&amp;IF(L105="Nyaman","grafis, ","")&amp;IF(M105="Nyaman","RAM, ","")&amp;IF(N105="Nyaman","penyimpanan, ","")&amp;IF(O105="Nyaman","layar, ","")&amp;IF(P105="Nyaman","refresh rate, ",""))</f>
        <v/>
      </c>
      <c r="Z105" s="66" t="str">
        <f aca="false">IF($A105="","",IF(Q105="Tidak dinilai","Belum ada kriteria yang dinilai untuk kebutuhan ini.",IF(Q105="Cocok","Semua kriteria yang dinilai sudah nyaman: "&amp;LEFT(Y105,LEN(Y105)-2)&amp;".",UPPER(LEFT(X105,1))&amp;MID(X105,2,LEN(X105)-3)&amp;"."&amp;IF(Y105="",""," Sudah nyaman: "&amp;LEFT(Y105,LEN(Y105)-2)&amp;"."))))</f>
        <v/>
      </c>
      <c r="AA105" s="66" t="str">
        <f aca="false">IF($A105="","",IF(Varian!$AR25="Windows 10","• "&amp;Aturan!$E$71&amp;CHAR(10),"")&amp;IF(Varian!$BB25="tidak","• "&amp;Aturan!$E$72&amp;CHAR(10),"")&amp;IF(OR(Varian!$AD25="belum terverifikasi",Varian!$AD25="tidak diketahui"),"• "&amp;Aturan!$E$73&amp;CHAR(10),"")&amp;IF(Varian!$AH25="1366x768","• "&amp;Aturan!$E$74&amp;CHAR(10),"")&amp;IF(Varian!$AG25="TN","• "&amp;Aturan!$E$75&amp;CHAR(10),"")&amp;IF(AND(Varian!$Q25="disolder",ISNUMBER(Varian!$M25),Varian!$M25&lt;=8),"• "&amp;Aturan!$E$76&amp;CHAR(10),""))</f>
        <v/>
      </c>
      <c r="AB105" s="66" t="str">
        <f aca="false">IF($A105="","",IF(AA105="","",LEFT(AA105,LEN(AA105)-1)))</f>
        <v/>
      </c>
      <c r="AC105" s="67" t="str">
        <f aca="false">IF($A105="","",IF(AA105="",0,LEN(AA105)-LEN(SUBSTITUTE(AA105,CHAR(10),""))))</f>
        <v/>
      </c>
    </row>
    <row r="106" customFormat="false" ht="15" hidden="false" customHeight="true" outlineLevel="0" collapsed="false">
      <c r="A106" s="33" t="str">
        <f aca="false">IF(Varian!$A25="","",Varian!$A25)</f>
        <v/>
      </c>
      <c r="B106" s="33" t="str">
        <f aca="false">IF($A106="","",Aturan!$A$22)</f>
        <v/>
      </c>
      <c r="C106" s="69" t="str">
        <f aca="false">IF($A106="","",IFERROR(IF(ISNUMBER(INDEX(CPU!$J$4:$J$64,MATCH(Varian!$J25,CPU!$A$4:$A$64,0))),INDEX(CPU!$J$4:$J$64,MATCH(Varian!$J25,CPU!$A$4:$A$64,0)),""),""))</f>
        <v/>
      </c>
      <c r="D106" s="69" t="str">
        <f aca="false">IF($A106="","",IFERROR(IF(ISNUMBER(INDEX(GPU!$G$4:$G$64,MATCH(Varian!$K25,GPU!$A$4:$A$64,0))),INDEX(GPU!$G$4:$G$64,MATCH(Varian!$K25,GPU!$A$4:$A$64,0)),""),""))</f>
        <v/>
      </c>
      <c r="E106" s="69" t="str">
        <f aca="false">IF($A106="","",IF(ISNUMBER(Varian!$M25),Varian!$M25,""))</f>
        <v/>
      </c>
      <c r="F106" s="69" t="str">
        <f aca="false">IF($A106="","",IF(ISNUMBER(Varian!$V25),Varian!$V25,""))</f>
        <v/>
      </c>
      <c r="G106" s="69" t="str">
        <f aca="false">IF($A106="","",IFERROR(INDEX(Aturan!$B$63:$B$66,MATCH(Varian!$AG25,Aturan!$A$63:$A$66,0)),""))</f>
        <v/>
      </c>
      <c r="H106" s="69" t="str">
        <f aca="false">IF($A106="","",IF(ISNUMBER(Varian!$AI25),Varian!$AI25,""))</f>
        <v/>
      </c>
      <c r="I106" s="33" t="str">
        <f aca="false">IF($A106="","",IF(Varian!$Q25="disolder","menempel di papan utama, tidak bisa ditambah",IF(OR(Varian!$Q25="slot",Varian!$Q25="setengah_disolder"),IF(Varian!$Q25="setengah_disolder","sebagian menempel, ","")&amp;IF(ISNUMBER(Varian!$U25),IF(AND(ISNUMBER(Varian!$M25),Varian!$U25&gt;Varian!$M25),"bisa dinaikkan lewat slot sampai "&amp;Varian!$U25&amp;" GB","sudah di batas maksimal "&amp;Varian!$U25&amp;" GB"),"ada slot, batas maksimalnya belum diketahui"),"belum diketahui apakah bisa ditambah")))</f>
        <v/>
      </c>
      <c r="J106" s="33" t="str">
        <f aca="false">IF($A106="","",IF(Varian!$Z25="ya","bisa diganti dengan yang lebih besar",IF(Varian!$Z25="tidak","menempel, tidak bisa diganti","belum diketahui apakah bisa diganti")))</f>
        <v/>
      </c>
      <c r="K106" s="70" t="str">
        <f aca="false">IF($A106="","",IF(AND(Aturan!$C$36="",Aturan!$D$36=""),"Tidak dinilai",IF(C106="","Belum ada data",IF(C106&lt;IF(Aturan!$C$36="",0,Aturan!$C$36),"Kurang",IF(C106&gt;=IF(Aturan!$D$36="",Aturan!$C$36,Aturan!$D$36),"Nyaman","Cukup")))))</f>
        <v/>
      </c>
      <c r="L106" s="70" t="str">
        <f aca="false">IF($A106="","",IF(AND(Aturan!$C$37="",Aturan!$D$37=""),"Tidak dinilai",IF(D106="","Belum ada data",IF(D106&lt;IF(Aturan!$C$37="",0,Aturan!$C$37),"Kurang",IF(D106&gt;=IF(Aturan!$D$37="",Aturan!$C$37,Aturan!$D$37),"Nyaman","Cukup")))))</f>
        <v/>
      </c>
      <c r="M106" s="70" t="str">
        <f aca="false">IF($A106="","",IF(AND(Aturan!$C$38="",Aturan!$D$38=""),"Tidak dinilai",IF(E106="","Belum ada data",IF(E106&lt;IF(Aturan!$C$38="",0,Aturan!$C$38),"Kurang",IF(E106&gt;=IF(Aturan!$D$38="",Aturan!$C$38,Aturan!$D$38),"Nyaman","Cukup")))))</f>
        <v/>
      </c>
      <c r="N106" s="70" t="str">
        <f aca="false">IF($A106="","",IF(AND(Aturan!$C$39="",Aturan!$D$39=""),"Tidak dinilai",IF(F106="","Belum ada data",IF(F106&lt;IF(Aturan!$C$39="",0,Aturan!$C$39),"Kurang",IF(F106&gt;=IF(Aturan!$D$39="",Aturan!$C$39,Aturan!$D$39),"Nyaman","Cukup")))))</f>
        <v/>
      </c>
      <c r="O106" s="70" t="str">
        <f aca="false">IF($A106="","",IF(AND(Aturan!$C$40="",Aturan!$D$40=""),"Tidak dinilai",IF(G106="","Belum ada data",IF(G106&lt;IF(Aturan!$C$40="",0,Aturan!$C$40),"Kurang",IF(G106&gt;=IF(Aturan!$D$40="",Aturan!$C$40,Aturan!$D$40),"Nyaman","Cukup")))))</f>
        <v/>
      </c>
      <c r="P106" s="70" t="str">
        <f aca="false">IF($A106="","",IF(AND(Aturan!$C$41="",Aturan!$D$41=""),"Tidak dinilai",IF(H106="","Belum ada data",IF(H106&lt;IF(Aturan!$C$41="",0,Aturan!$C$41),"Kurang",IF(H106&gt;=IF(Aturan!$D$41="",Aturan!$C$41,Aturan!$D$41),"Nyaman","Cukup")))))</f>
        <v/>
      </c>
      <c r="Q106" s="70" t="str">
        <f aca="false">IF($A106="","",IF(COUNTIF(K106:P106,"Tidak dinilai")=6,"Tidak dinilai",IF(COUNTIF(K106:P106,"Kurang")&gt;0,"Kurang cocok",IF(COUNTIF(K106:P106,"Belum ada data")&gt;0,"Data belum lengkap",IF(COUNTIF(K106:P106,"Cukup")&gt;0,"Bisa, dengan catatan","Cocok")))))</f>
        <v/>
      </c>
      <c r="R106" s="33" t="str">
        <f aca="false">IF($A106="","",IF(K106="Kurang","prosesor tingkat "&amp;C106&amp;" dari 5, di bawah batas minimal (tingkat "&amp;Aturan!$C$36&amp;")",IF(K106="Cukup","prosesor tingkat "&amp;C106&amp;" dari 5 cukup, nyamannya mulai tingkat "&amp;Aturan!$D$36,IF(K106="Belum ada data","tingkat prosesor belum diisi",""))))</f>
        <v/>
      </c>
      <c r="S106" s="33" t="str">
        <f aca="false">IF($A106="","",IF(L106="Kurang","grafis tingkat "&amp;D106&amp;" dari 5, di bawah batas minimal (tingkat "&amp;Aturan!$C$37&amp;")",IF(L106="Cukup","grafis tingkat "&amp;D106&amp;" dari 5 cukup, nyamannya mulai tingkat "&amp;Aturan!$D$37,IF(L106="Belum ada data","tingkat grafis belum diisi",""))))</f>
        <v/>
      </c>
      <c r="T106" s="33" t="str">
        <f aca="false">IF($A106="","",IF(M106="Kurang","RAM "&amp;E106&amp;" GB, di bawah batas minimal "&amp;Aturan!$C$38&amp;" GB ("&amp;I106&amp;")",IF(M106="Cukup","RAM "&amp;E106&amp;" GB cukup, nyamannya "&amp;Aturan!$D$38&amp;" GB atau lebih ("&amp;I106&amp;")",IF(M106="Belum ada data","ukuran RAM belum diisi",""))))</f>
        <v/>
      </c>
      <c r="U106" s="33" t="str">
        <f aca="false">IF($A106="","",IF(N106="Kurang","penyimpanan "&amp;F106&amp;" GB, di bawah batas minimal "&amp;Aturan!$C$39&amp;" GB ("&amp;J106&amp;")",IF(N106="Cukup","penyimpanan "&amp;F106&amp;" GB cukup, nyamannya "&amp;Aturan!$D$39&amp;" GB atau lebih ("&amp;J106&amp;")",IF(N106="Belum ada data","ukuran penyimpanan belum diisi",""))))</f>
        <v/>
      </c>
      <c r="V106" s="33" t="str">
        <f aca="false">IF($A106="","",IF(O106="Kurang","layar "&amp;Varian!$AG25&amp;", di bawah batas minimal ("&amp;IFERROR(INDEX(Aturan!$A$63:$A$66,MATCH(Aturan!$C$40,Aturan!$B$63:$B$66,0)),"peringkat "&amp;Aturan!$C$40)&amp;")",IF(O106="Cukup","layar "&amp;Varian!$AG25&amp;" cukup, nyamannya "&amp;IFERROR(INDEX(Aturan!$A$63:$A$66,MATCH(Aturan!$D$40,Aturan!$B$63:$B$66,0)),"peringkat "&amp;Aturan!$D$40),IF(O106="Belum ada data","jenis layar belum diketahui",""))))</f>
        <v/>
      </c>
      <c r="W106" s="33" t="str">
        <f aca="false">IF($A106="","",IF(P106="Kurang","layar "&amp;H106&amp;" Hz, di bawah batas minimal "&amp;Aturan!$C$41&amp;" Hz",IF(P106="Cukup","layar "&amp;H106&amp;" Hz cukup, nyamannya "&amp;Aturan!$D$41&amp;" Hz atau lebih",IF(P106="Belum ada data","refresh rate belum diketahui",""))))</f>
        <v/>
      </c>
      <c r="X106" s="33" t="str">
        <f aca="false">IF($A106="","",IF(K106="Kurang",R106&amp;"; ","")&amp;IF(L106="Kurang",S106&amp;"; ","")&amp;IF(M106="Kurang",T106&amp;"; ","")&amp;IF(N106="Kurang",U106&amp;"; ","")&amp;IF(O106="Kurang",V106&amp;"; ","")&amp;IF(P106="Kurang",W106&amp;"; ","")&amp;IF(K106="Belum ada data",R106&amp;"; ","")&amp;IF(L106="Belum ada data",S106&amp;"; ","")&amp;IF(M106="Belum ada data",T106&amp;"; ","")&amp;IF(N106="Belum ada data",U106&amp;"; ","")&amp;IF(O106="Belum ada data",V106&amp;"; ","")&amp;IF(P106="Belum ada data",W106&amp;"; ","")&amp;IF(K106="Cukup",R106&amp;"; ","")&amp;IF(L106="Cukup",S106&amp;"; ","")&amp;IF(M106="Cukup",T106&amp;"; ","")&amp;IF(N106="Cukup",U106&amp;"; ","")&amp;IF(O106="Cukup",V106&amp;"; ","")&amp;IF(P106="Cukup",W106&amp;"; ",""))</f>
        <v/>
      </c>
      <c r="Y106" s="33" t="str">
        <f aca="false">IF($A106="","",IF(K106="Nyaman","prosesor, ","")&amp;IF(L106="Nyaman","grafis, ","")&amp;IF(M106="Nyaman","RAM, ","")&amp;IF(N106="Nyaman","penyimpanan, ","")&amp;IF(O106="Nyaman","layar, ","")&amp;IF(P106="Nyaman","refresh rate, ",""))</f>
        <v/>
      </c>
      <c r="Z106" s="33" t="str">
        <f aca="false">IF($A106="","",IF(Q106="Tidak dinilai","Belum ada kriteria yang dinilai untuk kebutuhan ini.",IF(Q106="Cocok","Semua kriteria yang dinilai sudah nyaman: "&amp;LEFT(Y106,LEN(Y106)-2)&amp;".",UPPER(LEFT(X106,1))&amp;MID(X106,2,LEN(X106)-3)&amp;"."&amp;IF(Y106="",""," Sudah nyaman: "&amp;LEFT(Y106,LEN(Y106)-2)&amp;"."))))</f>
        <v/>
      </c>
      <c r="AA106" s="33"/>
      <c r="AB106" s="33"/>
      <c r="AC106" s="69"/>
    </row>
    <row r="107" customFormat="false" ht="15" hidden="false" customHeight="true" outlineLevel="0" collapsed="false">
      <c r="A107" s="33" t="str">
        <f aca="false">IF(Varian!$A25="","",Varian!$A25)</f>
        <v/>
      </c>
      <c r="B107" s="33" t="str">
        <f aca="false">IF($A107="","",Aturan!$A$23)</f>
        <v/>
      </c>
      <c r="C107" s="69" t="str">
        <f aca="false">IF($A107="","",IFERROR(IF(ISNUMBER(INDEX(CPU!$J$4:$J$64,MATCH(Varian!$J25,CPU!$A$4:$A$64,0))),INDEX(CPU!$J$4:$J$64,MATCH(Varian!$J25,CPU!$A$4:$A$64,0)),""),""))</f>
        <v/>
      </c>
      <c r="D107" s="69" t="str">
        <f aca="false">IF($A107="","",IFERROR(IF(ISNUMBER(INDEX(GPU!$G$4:$G$64,MATCH(Varian!$K25,GPU!$A$4:$A$64,0))),INDEX(GPU!$G$4:$G$64,MATCH(Varian!$K25,GPU!$A$4:$A$64,0)),""),""))</f>
        <v/>
      </c>
      <c r="E107" s="69" t="str">
        <f aca="false">IF($A107="","",IF(ISNUMBER(Varian!$M25),Varian!$M25,""))</f>
        <v/>
      </c>
      <c r="F107" s="69" t="str">
        <f aca="false">IF($A107="","",IF(ISNUMBER(Varian!$V25),Varian!$V25,""))</f>
        <v/>
      </c>
      <c r="G107" s="69" t="str">
        <f aca="false">IF($A107="","",IFERROR(INDEX(Aturan!$B$63:$B$66,MATCH(Varian!$AG25,Aturan!$A$63:$A$66,0)),""))</f>
        <v/>
      </c>
      <c r="H107" s="69" t="str">
        <f aca="false">IF($A107="","",IF(ISNUMBER(Varian!$AI25),Varian!$AI25,""))</f>
        <v/>
      </c>
      <c r="I107" s="33" t="str">
        <f aca="false">IF($A107="","",IF(Varian!$Q25="disolder","menempel di papan utama, tidak bisa ditambah",IF(OR(Varian!$Q25="slot",Varian!$Q25="setengah_disolder"),IF(Varian!$Q25="setengah_disolder","sebagian menempel, ","")&amp;IF(ISNUMBER(Varian!$U25),IF(AND(ISNUMBER(Varian!$M25),Varian!$U25&gt;Varian!$M25),"bisa dinaikkan lewat slot sampai "&amp;Varian!$U25&amp;" GB","sudah di batas maksimal "&amp;Varian!$U25&amp;" GB"),"ada slot, batas maksimalnya belum diketahui"),"belum diketahui apakah bisa ditambah")))</f>
        <v/>
      </c>
      <c r="J107" s="33" t="str">
        <f aca="false">IF($A107="","",IF(Varian!$Z25="ya","bisa diganti dengan yang lebih besar",IF(Varian!$Z25="tidak","menempel, tidak bisa diganti","belum diketahui apakah bisa diganti")))</f>
        <v/>
      </c>
      <c r="K107" s="70" t="str">
        <f aca="false">IF($A107="","",IF(AND(Aturan!$C$42="",Aturan!$D$42=""),"Tidak dinilai",IF(C107="","Belum ada data",IF(C107&lt;IF(Aturan!$C$42="",0,Aturan!$C$42),"Kurang",IF(C107&gt;=IF(Aturan!$D$42="",Aturan!$C$42,Aturan!$D$42),"Nyaman","Cukup")))))</f>
        <v/>
      </c>
      <c r="L107" s="70" t="str">
        <f aca="false">IF($A107="","",IF(AND(Aturan!$C$43="",Aturan!$D$43=""),"Tidak dinilai",IF(D107="","Belum ada data",IF(D107&lt;IF(Aturan!$C$43="",0,Aturan!$C$43),"Kurang",IF(D107&gt;=IF(Aturan!$D$43="",Aturan!$C$43,Aturan!$D$43),"Nyaman","Cukup")))))</f>
        <v/>
      </c>
      <c r="M107" s="70" t="str">
        <f aca="false">IF($A107="","",IF(AND(Aturan!$C$44="",Aturan!$D$44=""),"Tidak dinilai",IF(E107="","Belum ada data",IF(E107&lt;IF(Aturan!$C$44="",0,Aturan!$C$44),"Kurang",IF(E107&gt;=IF(Aturan!$D$44="",Aturan!$C$44,Aturan!$D$44),"Nyaman","Cukup")))))</f>
        <v/>
      </c>
      <c r="N107" s="70" t="str">
        <f aca="false">IF($A107="","",IF(AND(Aturan!$C$45="",Aturan!$D$45=""),"Tidak dinilai",IF(F107="","Belum ada data",IF(F107&lt;IF(Aturan!$C$45="",0,Aturan!$C$45),"Kurang",IF(F107&gt;=IF(Aturan!$D$45="",Aturan!$C$45,Aturan!$D$45),"Nyaman","Cukup")))))</f>
        <v/>
      </c>
      <c r="O107" s="70" t="str">
        <f aca="false">IF($A107="","",IF(AND(Aturan!$C$46="",Aturan!$D$46=""),"Tidak dinilai",IF(G107="","Belum ada data",IF(G107&lt;IF(Aturan!$C$46="",0,Aturan!$C$46),"Kurang",IF(G107&gt;=IF(Aturan!$D$46="",Aturan!$C$46,Aturan!$D$46),"Nyaman","Cukup")))))</f>
        <v/>
      </c>
      <c r="P107" s="70" t="str">
        <f aca="false">IF($A107="","",IF(AND(Aturan!$C$47="",Aturan!$D$47=""),"Tidak dinilai",IF(H107="","Belum ada data",IF(H107&lt;IF(Aturan!$C$47="",0,Aturan!$C$47),"Kurang",IF(H107&gt;=IF(Aturan!$D$47="",Aturan!$C$47,Aturan!$D$47),"Nyaman","Cukup")))))</f>
        <v/>
      </c>
      <c r="Q107" s="70" t="str">
        <f aca="false">IF($A107="","",IF(COUNTIF(K107:P107,"Tidak dinilai")=6,"Tidak dinilai",IF(COUNTIF(K107:P107,"Kurang")&gt;0,"Kurang cocok",IF(COUNTIF(K107:P107,"Belum ada data")&gt;0,"Data belum lengkap",IF(COUNTIF(K107:P107,"Cukup")&gt;0,"Bisa, dengan catatan","Cocok")))))</f>
        <v/>
      </c>
      <c r="R107" s="33" t="str">
        <f aca="false">IF($A107="","",IF(K107="Kurang","prosesor tingkat "&amp;C107&amp;" dari 5, di bawah batas minimal (tingkat "&amp;Aturan!$C$42&amp;")",IF(K107="Cukup","prosesor tingkat "&amp;C107&amp;" dari 5 cukup, nyamannya mulai tingkat "&amp;Aturan!$D$42,IF(K107="Belum ada data","tingkat prosesor belum diisi",""))))</f>
        <v/>
      </c>
      <c r="S107" s="33" t="str">
        <f aca="false">IF($A107="","",IF(L107="Kurang","grafis tingkat "&amp;D107&amp;" dari 5, di bawah batas minimal (tingkat "&amp;Aturan!$C$43&amp;")",IF(L107="Cukup","grafis tingkat "&amp;D107&amp;" dari 5 cukup, nyamannya mulai tingkat "&amp;Aturan!$D$43,IF(L107="Belum ada data","tingkat grafis belum diisi",""))))</f>
        <v/>
      </c>
      <c r="T107" s="33" t="str">
        <f aca="false">IF($A107="","",IF(M107="Kurang","RAM "&amp;E107&amp;" GB, di bawah batas minimal "&amp;Aturan!$C$44&amp;" GB ("&amp;I107&amp;")",IF(M107="Cukup","RAM "&amp;E107&amp;" GB cukup, nyamannya "&amp;Aturan!$D$44&amp;" GB atau lebih ("&amp;I107&amp;")",IF(M107="Belum ada data","ukuran RAM belum diisi",""))))</f>
        <v/>
      </c>
      <c r="U107" s="33" t="str">
        <f aca="false">IF($A107="","",IF(N107="Kurang","penyimpanan "&amp;F107&amp;" GB, di bawah batas minimal "&amp;Aturan!$C$45&amp;" GB ("&amp;J107&amp;")",IF(N107="Cukup","penyimpanan "&amp;F107&amp;" GB cukup, nyamannya "&amp;Aturan!$D$45&amp;" GB atau lebih ("&amp;J107&amp;")",IF(N107="Belum ada data","ukuran penyimpanan belum diisi",""))))</f>
        <v/>
      </c>
      <c r="V107" s="33" t="str">
        <f aca="false">IF($A107="","",IF(O107="Kurang","layar "&amp;Varian!$AG25&amp;", di bawah batas minimal ("&amp;IFERROR(INDEX(Aturan!$A$63:$A$66,MATCH(Aturan!$C$46,Aturan!$B$63:$B$66,0)),"peringkat "&amp;Aturan!$C$46)&amp;")",IF(O107="Cukup","layar "&amp;Varian!$AG25&amp;" cukup, nyamannya "&amp;IFERROR(INDEX(Aturan!$A$63:$A$66,MATCH(Aturan!$D$46,Aturan!$B$63:$B$66,0)),"peringkat "&amp;Aturan!$D$46),IF(O107="Belum ada data","jenis layar belum diketahui",""))))</f>
        <v/>
      </c>
      <c r="W107" s="33" t="str">
        <f aca="false">IF($A107="","",IF(P107="Kurang","layar "&amp;H107&amp;" Hz, di bawah batas minimal "&amp;Aturan!$C$47&amp;" Hz",IF(P107="Cukup","layar "&amp;H107&amp;" Hz cukup, nyamannya "&amp;Aturan!$D$47&amp;" Hz atau lebih",IF(P107="Belum ada data","refresh rate belum diketahui",""))))</f>
        <v/>
      </c>
      <c r="X107" s="33" t="str">
        <f aca="false">IF($A107="","",IF(K107="Kurang",R107&amp;"; ","")&amp;IF(L107="Kurang",S107&amp;"; ","")&amp;IF(M107="Kurang",T107&amp;"; ","")&amp;IF(N107="Kurang",U107&amp;"; ","")&amp;IF(O107="Kurang",V107&amp;"; ","")&amp;IF(P107="Kurang",W107&amp;"; ","")&amp;IF(K107="Belum ada data",R107&amp;"; ","")&amp;IF(L107="Belum ada data",S107&amp;"; ","")&amp;IF(M107="Belum ada data",T107&amp;"; ","")&amp;IF(N107="Belum ada data",U107&amp;"; ","")&amp;IF(O107="Belum ada data",V107&amp;"; ","")&amp;IF(P107="Belum ada data",W107&amp;"; ","")&amp;IF(K107="Cukup",R107&amp;"; ","")&amp;IF(L107="Cukup",S107&amp;"; ","")&amp;IF(M107="Cukup",T107&amp;"; ","")&amp;IF(N107="Cukup",U107&amp;"; ","")&amp;IF(O107="Cukup",V107&amp;"; ","")&amp;IF(P107="Cukup",W107&amp;"; ",""))</f>
        <v/>
      </c>
      <c r="Y107" s="33" t="str">
        <f aca="false">IF($A107="","",IF(K107="Nyaman","prosesor, ","")&amp;IF(L107="Nyaman","grafis, ","")&amp;IF(M107="Nyaman","RAM, ","")&amp;IF(N107="Nyaman","penyimpanan, ","")&amp;IF(O107="Nyaman","layar, ","")&amp;IF(P107="Nyaman","refresh rate, ",""))</f>
        <v/>
      </c>
      <c r="Z107" s="33" t="str">
        <f aca="false">IF($A107="","",IF(Q107="Tidak dinilai","Belum ada kriteria yang dinilai untuk kebutuhan ini.",IF(Q107="Cocok","Semua kriteria yang dinilai sudah nyaman: "&amp;LEFT(Y107,LEN(Y107)-2)&amp;".",UPPER(LEFT(X107,1))&amp;MID(X107,2,LEN(X107)-3)&amp;"."&amp;IF(Y107="",""," Sudah nyaman: "&amp;LEFT(Y107,LEN(Y107)-2)&amp;"."))))</f>
        <v/>
      </c>
      <c r="AA107" s="33"/>
      <c r="AB107" s="33"/>
      <c r="AC107" s="69"/>
    </row>
    <row r="108" customFormat="false" ht="15" hidden="false" customHeight="true" outlineLevel="0" collapsed="false">
      <c r="A108" s="33" t="str">
        <f aca="false">IF(Varian!$A25="","",Varian!$A25)</f>
        <v/>
      </c>
      <c r="B108" s="33" t="str">
        <f aca="false">IF($A108="","",Aturan!$A$24)</f>
        <v/>
      </c>
      <c r="C108" s="69" t="str">
        <f aca="false">IF($A108="","",IFERROR(IF(ISNUMBER(INDEX(CPU!$J$4:$J$64,MATCH(Varian!$J25,CPU!$A$4:$A$64,0))),INDEX(CPU!$J$4:$J$64,MATCH(Varian!$J25,CPU!$A$4:$A$64,0)),""),""))</f>
        <v/>
      </c>
      <c r="D108" s="69" t="str">
        <f aca="false">IF($A108="","",IFERROR(IF(ISNUMBER(INDEX(GPU!$G$4:$G$64,MATCH(Varian!$K25,GPU!$A$4:$A$64,0))),INDEX(GPU!$G$4:$G$64,MATCH(Varian!$K25,GPU!$A$4:$A$64,0)),""),""))</f>
        <v/>
      </c>
      <c r="E108" s="69" t="str">
        <f aca="false">IF($A108="","",IF(ISNUMBER(Varian!$M25),Varian!$M25,""))</f>
        <v/>
      </c>
      <c r="F108" s="69" t="str">
        <f aca="false">IF($A108="","",IF(ISNUMBER(Varian!$V25),Varian!$V25,""))</f>
        <v/>
      </c>
      <c r="G108" s="69" t="str">
        <f aca="false">IF($A108="","",IFERROR(INDEX(Aturan!$B$63:$B$66,MATCH(Varian!$AG25,Aturan!$A$63:$A$66,0)),""))</f>
        <v/>
      </c>
      <c r="H108" s="69" t="str">
        <f aca="false">IF($A108="","",IF(ISNUMBER(Varian!$AI25),Varian!$AI25,""))</f>
        <v/>
      </c>
      <c r="I108" s="33" t="str">
        <f aca="false">IF($A108="","",IF(Varian!$Q25="disolder","menempel di papan utama, tidak bisa ditambah",IF(OR(Varian!$Q25="slot",Varian!$Q25="setengah_disolder"),IF(Varian!$Q25="setengah_disolder","sebagian menempel, ","")&amp;IF(ISNUMBER(Varian!$U25),IF(AND(ISNUMBER(Varian!$M25),Varian!$U25&gt;Varian!$M25),"bisa dinaikkan lewat slot sampai "&amp;Varian!$U25&amp;" GB","sudah di batas maksimal "&amp;Varian!$U25&amp;" GB"),"ada slot, batas maksimalnya belum diketahui"),"belum diketahui apakah bisa ditambah")))</f>
        <v/>
      </c>
      <c r="J108" s="33" t="str">
        <f aca="false">IF($A108="","",IF(Varian!$Z25="ya","bisa diganti dengan yang lebih besar",IF(Varian!$Z25="tidak","menempel, tidak bisa diganti","belum diketahui apakah bisa diganti")))</f>
        <v/>
      </c>
      <c r="K108" s="70" t="str">
        <f aca="false">IF($A108="","",IF(AND(Aturan!$C$48="",Aturan!$D$48=""),"Tidak dinilai",IF(C108="","Belum ada data",IF(C108&lt;IF(Aturan!$C$48="",0,Aturan!$C$48),"Kurang",IF(C108&gt;=IF(Aturan!$D$48="",Aturan!$C$48,Aturan!$D$48),"Nyaman","Cukup")))))</f>
        <v/>
      </c>
      <c r="L108" s="70" t="str">
        <f aca="false">IF($A108="","",IF(AND(Aturan!$C$49="",Aturan!$D$49=""),"Tidak dinilai",IF(D108="","Belum ada data",IF(D108&lt;IF(Aturan!$C$49="",0,Aturan!$C$49),"Kurang",IF(D108&gt;=IF(Aturan!$D$49="",Aturan!$C$49,Aturan!$D$49),"Nyaman","Cukup")))))</f>
        <v/>
      </c>
      <c r="M108" s="70" t="str">
        <f aca="false">IF($A108="","",IF(AND(Aturan!$C$50="",Aturan!$D$50=""),"Tidak dinilai",IF(E108="","Belum ada data",IF(E108&lt;IF(Aturan!$C$50="",0,Aturan!$C$50),"Kurang",IF(E108&gt;=IF(Aturan!$D$50="",Aturan!$C$50,Aturan!$D$50),"Nyaman","Cukup")))))</f>
        <v/>
      </c>
      <c r="N108" s="70" t="str">
        <f aca="false">IF($A108="","",IF(AND(Aturan!$C$51="",Aturan!$D$51=""),"Tidak dinilai",IF(F108="","Belum ada data",IF(F108&lt;IF(Aturan!$C$51="",0,Aturan!$C$51),"Kurang",IF(F108&gt;=IF(Aturan!$D$51="",Aturan!$C$51,Aturan!$D$51),"Nyaman","Cukup")))))</f>
        <v/>
      </c>
      <c r="O108" s="70" t="str">
        <f aca="false">IF($A108="","",IF(AND(Aturan!$C$52="",Aturan!$D$52=""),"Tidak dinilai",IF(G108="","Belum ada data",IF(G108&lt;IF(Aturan!$C$52="",0,Aturan!$C$52),"Kurang",IF(G108&gt;=IF(Aturan!$D$52="",Aturan!$C$52,Aturan!$D$52),"Nyaman","Cukup")))))</f>
        <v/>
      </c>
      <c r="P108" s="70" t="str">
        <f aca="false">IF($A108="","",IF(AND(Aturan!$C$53="",Aturan!$D$53=""),"Tidak dinilai",IF(H108="","Belum ada data",IF(H108&lt;IF(Aturan!$C$53="",0,Aturan!$C$53),"Kurang",IF(H108&gt;=IF(Aturan!$D$53="",Aturan!$C$53,Aturan!$D$53),"Nyaman","Cukup")))))</f>
        <v/>
      </c>
      <c r="Q108" s="70" t="str">
        <f aca="false">IF($A108="","",IF(COUNTIF(K108:P108,"Tidak dinilai")=6,"Tidak dinilai",IF(COUNTIF(K108:P108,"Kurang")&gt;0,"Kurang cocok",IF(COUNTIF(K108:P108,"Belum ada data")&gt;0,"Data belum lengkap",IF(COUNTIF(K108:P108,"Cukup")&gt;0,"Bisa, dengan catatan","Cocok")))))</f>
        <v/>
      </c>
      <c r="R108" s="33" t="str">
        <f aca="false">IF($A108="","",IF(K108="Kurang","prosesor tingkat "&amp;C108&amp;" dari 5, di bawah batas minimal (tingkat "&amp;Aturan!$C$48&amp;")",IF(K108="Cukup","prosesor tingkat "&amp;C108&amp;" dari 5 cukup, nyamannya mulai tingkat "&amp;Aturan!$D$48,IF(K108="Belum ada data","tingkat prosesor belum diisi",""))))</f>
        <v/>
      </c>
      <c r="S108" s="33" t="str">
        <f aca="false">IF($A108="","",IF(L108="Kurang","grafis tingkat "&amp;D108&amp;" dari 5, di bawah batas minimal (tingkat "&amp;Aturan!$C$49&amp;")",IF(L108="Cukup","grafis tingkat "&amp;D108&amp;" dari 5 cukup, nyamannya mulai tingkat "&amp;Aturan!$D$49,IF(L108="Belum ada data","tingkat grafis belum diisi",""))))</f>
        <v/>
      </c>
      <c r="T108" s="33" t="str">
        <f aca="false">IF($A108="","",IF(M108="Kurang","RAM "&amp;E108&amp;" GB, di bawah batas minimal "&amp;Aturan!$C$50&amp;" GB ("&amp;I108&amp;")",IF(M108="Cukup","RAM "&amp;E108&amp;" GB cukup, nyamannya "&amp;Aturan!$D$50&amp;" GB atau lebih ("&amp;I108&amp;")",IF(M108="Belum ada data","ukuran RAM belum diisi",""))))</f>
        <v/>
      </c>
      <c r="U108" s="33" t="str">
        <f aca="false">IF($A108="","",IF(N108="Kurang","penyimpanan "&amp;F108&amp;" GB, di bawah batas minimal "&amp;Aturan!$C$51&amp;" GB ("&amp;J108&amp;")",IF(N108="Cukup","penyimpanan "&amp;F108&amp;" GB cukup, nyamannya "&amp;Aturan!$D$51&amp;" GB atau lebih ("&amp;J108&amp;")",IF(N108="Belum ada data","ukuran penyimpanan belum diisi",""))))</f>
        <v/>
      </c>
      <c r="V108" s="33" t="str">
        <f aca="false">IF($A108="","",IF(O108="Kurang","layar "&amp;Varian!$AG25&amp;", di bawah batas minimal ("&amp;IFERROR(INDEX(Aturan!$A$63:$A$66,MATCH(Aturan!$C$52,Aturan!$B$63:$B$66,0)),"peringkat "&amp;Aturan!$C$52)&amp;")",IF(O108="Cukup","layar "&amp;Varian!$AG25&amp;" cukup, nyamannya "&amp;IFERROR(INDEX(Aturan!$A$63:$A$66,MATCH(Aturan!$D$52,Aturan!$B$63:$B$66,0)),"peringkat "&amp;Aturan!$D$52),IF(O108="Belum ada data","jenis layar belum diketahui",""))))</f>
        <v/>
      </c>
      <c r="W108" s="33" t="str">
        <f aca="false">IF($A108="","",IF(P108="Kurang","layar "&amp;H108&amp;" Hz, di bawah batas minimal "&amp;Aturan!$C$53&amp;" Hz",IF(P108="Cukup","layar "&amp;H108&amp;" Hz cukup, nyamannya "&amp;Aturan!$D$53&amp;" Hz atau lebih",IF(P108="Belum ada data","refresh rate belum diketahui",""))))</f>
        <v/>
      </c>
      <c r="X108" s="33" t="str">
        <f aca="false">IF($A108="","",IF(K108="Kurang",R108&amp;"; ","")&amp;IF(L108="Kurang",S108&amp;"; ","")&amp;IF(M108="Kurang",T108&amp;"; ","")&amp;IF(N108="Kurang",U108&amp;"; ","")&amp;IF(O108="Kurang",V108&amp;"; ","")&amp;IF(P108="Kurang",W108&amp;"; ","")&amp;IF(K108="Belum ada data",R108&amp;"; ","")&amp;IF(L108="Belum ada data",S108&amp;"; ","")&amp;IF(M108="Belum ada data",T108&amp;"; ","")&amp;IF(N108="Belum ada data",U108&amp;"; ","")&amp;IF(O108="Belum ada data",V108&amp;"; ","")&amp;IF(P108="Belum ada data",W108&amp;"; ","")&amp;IF(K108="Cukup",R108&amp;"; ","")&amp;IF(L108="Cukup",S108&amp;"; ","")&amp;IF(M108="Cukup",T108&amp;"; ","")&amp;IF(N108="Cukup",U108&amp;"; ","")&amp;IF(O108="Cukup",V108&amp;"; ","")&amp;IF(P108="Cukup",W108&amp;"; ",""))</f>
        <v/>
      </c>
      <c r="Y108" s="33" t="str">
        <f aca="false">IF($A108="","",IF(K108="Nyaman","prosesor, ","")&amp;IF(L108="Nyaman","grafis, ","")&amp;IF(M108="Nyaman","RAM, ","")&amp;IF(N108="Nyaman","penyimpanan, ","")&amp;IF(O108="Nyaman","layar, ","")&amp;IF(P108="Nyaman","refresh rate, ",""))</f>
        <v/>
      </c>
      <c r="Z108" s="33" t="str">
        <f aca="false">IF($A108="","",IF(Q108="Tidak dinilai","Belum ada kriteria yang dinilai untuk kebutuhan ini.",IF(Q108="Cocok","Semua kriteria yang dinilai sudah nyaman: "&amp;LEFT(Y108,LEN(Y108)-2)&amp;".",UPPER(LEFT(X108,1))&amp;MID(X108,2,LEN(X108)-3)&amp;"."&amp;IF(Y108="",""," Sudah nyaman: "&amp;LEFT(Y108,LEN(Y108)-2)&amp;"."))))</f>
        <v/>
      </c>
      <c r="AA108" s="33"/>
      <c r="AB108" s="33"/>
      <c r="AC108" s="69"/>
    </row>
    <row r="109" customFormat="false" ht="15" hidden="false" customHeight="true" outlineLevel="0" collapsed="false">
      <c r="A109" s="33" t="str">
        <f aca="false">IF(Varian!$A25="","",Varian!$A25)</f>
        <v/>
      </c>
      <c r="B109" s="33" t="str">
        <f aca="false">IF($A109="","",Aturan!$A$25)</f>
        <v/>
      </c>
      <c r="C109" s="69" t="str">
        <f aca="false">IF($A109="","",IFERROR(IF(ISNUMBER(INDEX(CPU!$J$4:$J$64,MATCH(Varian!$J25,CPU!$A$4:$A$64,0))),INDEX(CPU!$J$4:$J$64,MATCH(Varian!$J25,CPU!$A$4:$A$64,0)),""),""))</f>
        <v/>
      </c>
      <c r="D109" s="69" t="str">
        <f aca="false">IF($A109="","",IFERROR(IF(ISNUMBER(INDEX(GPU!$G$4:$G$64,MATCH(Varian!$K25,GPU!$A$4:$A$64,0))),INDEX(GPU!$G$4:$G$64,MATCH(Varian!$K25,GPU!$A$4:$A$64,0)),""),""))</f>
        <v/>
      </c>
      <c r="E109" s="69" t="str">
        <f aca="false">IF($A109="","",IF(ISNUMBER(Varian!$M25),Varian!$M25,""))</f>
        <v/>
      </c>
      <c r="F109" s="69" t="str">
        <f aca="false">IF($A109="","",IF(ISNUMBER(Varian!$V25),Varian!$V25,""))</f>
        <v/>
      </c>
      <c r="G109" s="69" t="str">
        <f aca="false">IF($A109="","",IFERROR(INDEX(Aturan!$B$63:$B$66,MATCH(Varian!$AG25,Aturan!$A$63:$A$66,0)),""))</f>
        <v/>
      </c>
      <c r="H109" s="69" t="str">
        <f aca="false">IF($A109="","",IF(ISNUMBER(Varian!$AI25),Varian!$AI25,""))</f>
        <v/>
      </c>
      <c r="I109" s="33" t="str">
        <f aca="false">IF($A109="","",IF(Varian!$Q25="disolder","menempel di papan utama, tidak bisa ditambah",IF(OR(Varian!$Q25="slot",Varian!$Q25="setengah_disolder"),IF(Varian!$Q25="setengah_disolder","sebagian menempel, ","")&amp;IF(ISNUMBER(Varian!$U25),IF(AND(ISNUMBER(Varian!$M25),Varian!$U25&gt;Varian!$M25),"bisa dinaikkan lewat slot sampai "&amp;Varian!$U25&amp;" GB","sudah di batas maksimal "&amp;Varian!$U25&amp;" GB"),"ada slot, batas maksimalnya belum diketahui"),"belum diketahui apakah bisa ditambah")))</f>
        <v/>
      </c>
      <c r="J109" s="33" t="str">
        <f aca="false">IF($A109="","",IF(Varian!$Z25="ya","bisa diganti dengan yang lebih besar",IF(Varian!$Z25="tidak","menempel, tidak bisa diganti","belum diketahui apakah bisa diganti")))</f>
        <v/>
      </c>
      <c r="K109" s="70" t="str">
        <f aca="false">IF($A109="","",IF(AND(Aturan!$C$54="",Aturan!$D$54=""),"Tidak dinilai",IF(C109="","Belum ada data",IF(C109&lt;IF(Aturan!$C$54="",0,Aturan!$C$54),"Kurang",IF(C109&gt;=IF(Aturan!$D$54="",Aturan!$C$54,Aturan!$D$54),"Nyaman","Cukup")))))</f>
        <v/>
      </c>
      <c r="L109" s="70" t="str">
        <f aca="false">IF($A109="","",IF(AND(Aturan!$C$55="",Aturan!$D$55=""),"Tidak dinilai",IF(D109="","Belum ada data",IF(D109&lt;IF(Aturan!$C$55="",0,Aturan!$C$55),"Kurang",IF(D109&gt;=IF(Aturan!$D$55="",Aturan!$C$55,Aturan!$D$55),"Nyaman","Cukup")))))</f>
        <v/>
      </c>
      <c r="M109" s="70" t="str">
        <f aca="false">IF($A109="","",IF(AND(Aturan!$C$56="",Aturan!$D$56=""),"Tidak dinilai",IF(E109="","Belum ada data",IF(E109&lt;IF(Aturan!$C$56="",0,Aturan!$C$56),"Kurang",IF(E109&gt;=IF(Aturan!$D$56="",Aturan!$C$56,Aturan!$D$56),"Nyaman","Cukup")))))</f>
        <v/>
      </c>
      <c r="N109" s="70" t="str">
        <f aca="false">IF($A109="","",IF(AND(Aturan!$C$57="",Aturan!$D$57=""),"Tidak dinilai",IF(F109="","Belum ada data",IF(F109&lt;IF(Aturan!$C$57="",0,Aturan!$C$57),"Kurang",IF(F109&gt;=IF(Aturan!$D$57="",Aturan!$C$57,Aturan!$D$57),"Nyaman","Cukup")))))</f>
        <v/>
      </c>
      <c r="O109" s="70" t="str">
        <f aca="false">IF($A109="","",IF(AND(Aturan!$C$58="",Aturan!$D$58=""),"Tidak dinilai",IF(G109="","Belum ada data",IF(G109&lt;IF(Aturan!$C$58="",0,Aturan!$C$58),"Kurang",IF(G109&gt;=IF(Aturan!$D$58="",Aturan!$C$58,Aturan!$D$58),"Nyaman","Cukup")))))</f>
        <v/>
      </c>
      <c r="P109" s="70" t="str">
        <f aca="false">IF($A109="","",IF(AND(Aturan!$C$59="",Aturan!$D$59=""),"Tidak dinilai",IF(H109="","Belum ada data",IF(H109&lt;IF(Aturan!$C$59="",0,Aturan!$C$59),"Kurang",IF(H109&gt;=IF(Aturan!$D$59="",Aturan!$C$59,Aturan!$D$59),"Nyaman","Cukup")))))</f>
        <v/>
      </c>
      <c r="Q109" s="70" t="str">
        <f aca="false">IF($A109="","",IF(COUNTIF(K109:P109,"Tidak dinilai")=6,"Tidak dinilai",IF(COUNTIF(K109:P109,"Kurang")&gt;0,"Kurang cocok",IF(COUNTIF(K109:P109,"Belum ada data")&gt;0,"Data belum lengkap",IF(COUNTIF(K109:P109,"Cukup")&gt;0,"Bisa, dengan catatan","Cocok")))))</f>
        <v/>
      </c>
      <c r="R109" s="33" t="str">
        <f aca="false">IF($A109="","",IF(K109="Kurang","prosesor tingkat "&amp;C109&amp;" dari 5, di bawah batas minimal (tingkat "&amp;Aturan!$C$54&amp;")",IF(K109="Cukup","prosesor tingkat "&amp;C109&amp;" dari 5 cukup, nyamannya mulai tingkat "&amp;Aturan!$D$54,IF(K109="Belum ada data","tingkat prosesor belum diisi",""))))</f>
        <v/>
      </c>
      <c r="S109" s="33" t="str">
        <f aca="false">IF($A109="","",IF(L109="Kurang","grafis tingkat "&amp;D109&amp;" dari 5, di bawah batas minimal (tingkat "&amp;Aturan!$C$55&amp;")",IF(L109="Cukup","grafis tingkat "&amp;D109&amp;" dari 5 cukup, nyamannya mulai tingkat "&amp;Aturan!$D$55,IF(L109="Belum ada data","tingkat grafis belum diisi",""))))</f>
        <v/>
      </c>
      <c r="T109" s="33" t="str">
        <f aca="false">IF($A109="","",IF(M109="Kurang","RAM "&amp;E109&amp;" GB, di bawah batas minimal "&amp;Aturan!$C$56&amp;" GB ("&amp;I109&amp;")",IF(M109="Cukup","RAM "&amp;E109&amp;" GB cukup, nyamannya "&amp;Aturan!$D$56&amp;" GB atau lebih ("&amp;I109&amp;")",IF(M109="Belum ada data","ukuran RAM belum diisi",""))))</f>
        <v/>
      </c>
      <c r="U109" s="33" t="str">
        <f aca="false">IF($A109="","",IF(N109="Kurang","penyimpanan "&amp;F109&amp;" GB, di bawah batas minimal "&amp;Aturan!$C$57&amp;" GB ("&amp;J109&amp;")",IF(N109="Cukup","penyimpanan "&amp;F109&amp;" GB cukup, nyamannya "&amp;Aturan!$D$57&amp;" GB atau lebih ("&amp;J109&amp;")",IF(N109="Belum ada data","ukuran penyimpanan belum diisi",""))))</f>
        <v/>
      </c>
      <c r="V109" s="33" t="str">
        <f aca="false">IF($A109="","",IF(O109="Kurang","layar "&amp;Varian!$AG25&amp;", di bawah batas minimal ("&amp;IFERROR(INDEX(Aturan!$A$63:$A$66,MATCH(Aturan!$C$58,Aturan!$B$63:$B$66,0)),"peringkat "&amp;Aturan!$C$58)&amp;")",IF(O109="Cukup","layar "&amp;Varian!$AG25&amp;" cukup, nyamannya "&amp;IFERROR(INDEX(Aturan!$A$63:$A$66,MATCH(Aturan!$D$58,Aturan!$B$63:$B$66,0)),"peringkat "&amp;Aturan!$D$58),IF(O109="Belum ada data","jenis layar belum diketahui",""))))</f>
        <v/>
      </c>
      <c r="W109" s="33" t="str">
        <f aca="false">IF($A109="","",IF(P109="Kurang","layar "&amp;H109&amp;" Hz, di bawah batas minimal "&amp;Aturan!$C$59&amp;" Hz",IF(P109="Cukup","layar "&amp;H109&amp;" Hz cukup, nyamannya "&amp;Aturan!$D$59&amp;" Hz atau lebih",IF(P109="Belum ada data","refresh rate belum diketahui",""))))</f>
        <v/>
      </c>
      <c r="X109" s="33" t="str">
        <f aca="false">IF($A109="","",IF(K109="Kurang",R109&amp;"; ","")&amp;IF(L109="Kurang",S109&amp;"; ","")&amp;IF(M109="Kurang",T109&amp;"; ","")&amp;IF(N109="Kurang",U109&amp;"; ","")&amp;IF(O109="Kurang",V109&amp;"; ","")&amp;IF(P109="Kurang",W109&amp;"; ","")&amp;IF(K109="Belum ada data",R109&amp;"; ","")&amp;IF(L109="Belum ada data",S109&amp;"; ","")&amp;IF(M109="Belum ada data",T109&amp;"; ","")&amp;IF(N109="Belum ada data",U109&amp;"; ","")&amp;IF(O109="Belum ada data",V109&amp;"; ","")&amp;IF(P109="Belum ada data",W109&amp;"; ","")&amp;IF(K109="Cukup",R109&amp;"; ","")&amp;IF(L109="Cukup",S109&amp;"; ","")&amp;IF(M109="Cukup",T109&amp;"; ","")&amp;IF(N109="Cukup",U109&amp;"; ","")&amp;IF(O109="Cukup",V109&amp;"; ","")&amp;IF(P109="Cukup",W109&amp;"; ",""))</f>
        <v/>
      </c>
      <c r="Y109" s="33" t="str">
        <f aca="false">IF($A109="","",IF(K109="Nyaman","prosesor, ","")&amp;IF(L109="Nyaman","grafis, ","")&amp;IF(M109="Nyaman","RAM, ","")&amp;IF(N109="Nyaman","penyimpanan, ","")&amp;IF(O109="Nyaman","layar, ","")&amp;IF(P109="Nyaman","refresh rate, ",""))</f>
        <v/>
      </c>
      <c r="Z109" s="33" t="str">
        <f aca="false">IF($A109="","",IF(Q109="Tidak dinilai","Belum ada kriteria yang dinilai untuk kebutuhan ini.",IF(Q109="Cocok","Semua kriteria yang dinilai sudah nyaman: "&amp;LEFT(Y109,LEN(Y109)-2)&amp;".",UPPER(LEFT(X109,1))&amp;MID(X109,2,LEN(X109)-3)&amp;"."&amp;IF(Y109="",""," Sudah nyaman: "&amp;LEFT(Y109,LEN(Y109)-2)&amp;"."))))</f>
        <v/>
      </c>
      <c r="AA109" s="33"/>
      <c r="AB109" s="33"/>
      <c r="AC109" s="69"/>
    </row>
    <row r="110" customFormat="false" ht="15" hidden="false" customHeight="true" outlineLevel="0" collapsed="false">
      <c r="A110" s="66" t="str">
        <f aca="false">IF(Varian!$A26="","",Varian!$A26)</f>
        <v/>
      </c>
      <c r="B110" s="66" t="str">
        <f aca="false">IF($A110="","",Aturan!$A$21)</f>
        <v/>
      </c>
      <c r="C110" s="67" t="str">
        <f aca="false">IF($A110="","",IFERROR(IF(ISNUMBER(INDEX(CPU!$J$4:$J$64,MATCH(Varian!$J26,CPU!$A$4:$A$64,0))),INDEX(CPU!$J$4:$J$64,MATCH(Varian!$J26,CPU!$A$4:$A$64,0)),""),""))</f>
        <v/>
      </c>
      <c r="D110" s="67" t="str">
        <f aca="false">IF($A110="","",IFERROR(IF(ISNUMBER(INDEX(GPU!$G$4:$G$64,MATCH(Varian!$K26,GPU!$A$4:$A$64,0))),INDEX(GPU!$G$4:$G$64,MATCH(Varian!$K26,GPU!$A$4:$A$64,0)),""),""))</f>
        <v/>
      </c>
      <c r="E110" s="67" t="str">
        <f aca="false">IF($A110="","",IF(ISNUMBER(Varian!$M26),Varian!$M26,""))</f>
        <v/>
      </c>
      <c r="F110" s="67" t="str">
        <f aca="false">IF($A110="","",IF(ISNUMBER(Varian!$V26),Varian!$V26,""))</f>
        <v/>
      </c>
      <c r="G110" s="67" t="str">
        <f aca="false">IF($A110="","",IFERROR(INDEX(Aturan!$B$63:$B$66,MATCH(Varian!$AG26,Aturan!$A$63:$A$66,0)),""))</f>
        <v/>
      </c>
      <c r="H110" s="67" t="str">
        <f aca="false">IF($A110="","",IF(ISNUMBER(Varian!$AI26),Varian!$AI26,""))</f>
        <v/>
      </c>
      <c r="I110" s="66" t="str">
        <f aca="false">IF($A110="","",IF(Varian!$Q26="disolder","menempel di papan utama, tidak bisa ditambah",IF(OR(Varian!$Q26="slot",Varian!$Q26="setengah_disolder"),IF(Varian!$Q26="setengah_disolder","sebagian menempel, ","")&amp;IF(ISNUMBER(Varian!$U26),IF(AND(ISNUMBER(Varian!$M26),Varian!$U26&gt;Varian!$M26),"bisa dinaikkan lewat slot sampai "&amp;Varian!$U26&amp;" GB","sudah di batas maksimal "&amp;Varian!$U26&amp;" GB"),"ada slot, batas maksimalnya belum diketahui"),"belum diketahui apakah bisa ditambah")))</f>
        <v/>
      </c>
      <c r="J110" s="66" t="str">
        <f aca="false">IF($A110="","",IF(Varian!$Z26="ya","bisa diganti dengan yang lebih besar",IF(Varian!$Z26="tidak","menempel, tidak bisa diganti","belum diketahui apakah bisa diganti")))</f>
        <v/>
      </c>
      <c r="K110" s="68" t="str">
        <f aca="false">IF($A110="","",IF(AND(Aturan!$C$30="",Aturan!$D$30=""),"Tidak dinilai",IF(C110="","Belum ada data",IF(C110&lt;IF(Aturan!$C$30="",0,Aturan!$C$30),"Kurang",IF(C110&gt;=IF(Aturan!$D$30="",Aturan!$C$30,Aturan!$D$30),"Nyaman","Cukup")))))</f>
        <v/>
      </c>
      <c r="L110" s="68" t="str">
        <f aca="false">IF($A110="","",IF(AND(Aturan!$C$31="",Aturan!$D$31=""),"Tidak dinilai",IF(D110="","Belum ada data",IF(D110&lt;IF(Aturan!$C$31="",0,Aturan!$C$31),"Kurang",IF(D110&gt;=IF(Aturan!$D$31="",Aturan!$C$31,Aturan!$D$31),"Nyaman","Cukup")))))</f>
        <v/>
      </c>
      <c r="M110" s="68" t="str">
        <f aca="false">IF($A110="","",IF(AND(Aturan!$C$32="",Aturan!$D$32=""),"Tidak dinilai",IF(E110="","Belum ada data",IF(E110&lt;IF(Aturan!$C$32="",0,Aturan!$C$32),"Kurang",IF(E110&gt;=IF(Aturan!$D$32="",Aturan!$C$32,Aturan!$D$32),"Nyaman","Cukup")))))</f>
        <v/>
      </c>
      <c r="N110" s="68" t="str">
        <f aca="false">IF($A110="","",IF(AND(Aturan!$C$33="",Aturan!$D$33=""),"Tidak dinilai",IF(F110="","Belum ada data",IF(F110&lt;IF(Aturan!$C$33="",0,Aturan!$C$33),"Kurang",IF(F110&gt;=IF(Aturan!$D$33="",Aturan!$C$33,Aturan!$D$33),"Nyaman","Cukup")))))</f>
        <v/>
      </c>
      <c r="O110" s="68" t="str">
        <f aca="false">IF($A110="","",IF(AND(Aturan!$C$34="",Aturan!$D$34=""),"Tidak dinilai",IF(G110="","Belum ada data",IF(G110&lt;IF(Aturan!$C$34="",0,Aturan!$C$34),"Kurang",IF(G110&gt;=IF(Aturan!$D$34="",Aturan!$C$34,Aturan!$D$34),"Nyaman","Cukup")))))</f>
        <v/>
      </c>
      <c r="P110" s="68" t="str">
        <f aca="false">IF($A110="","",IF(AND(Aturan!$C$35="",Aturan!$D$35=""),"Tidak dinilai",IF(H110="","Belum ada data",IF(H110&lt;IF(Aturan!$C$35="",0,Aturan!$C$35),"Kurang",IF(H110&gt;=IF(Aturan!$D$35="",Aturan!$C$35,Aturan!$D$35),"Nyaman","Cukup")))))</f>
        <v/>
      </c>
      <c r="Q110" s="68" t="str">
        <f aca="false">IF($A110="","",IF(COUNTIF(K110:P110,"Tidak dinilai")=6,"Tidak dinilai",IF(COUNTIF(K110:P110,"Kurang")&gt;0,"Kurang cocok",IF(COUNTIF(K110:P110,"Belum ada data")&gt;0,"Data belum lengkap",IF(COUNTIF(K110:P110,"Cukup")&gt;0,"Bisa, dengan catatan","Cocok")))))</f>
        <v/>
      </c>
      <c r="R110" s="66" t="str">
        <f aca="false">IF($A110="","",IF(K110="Kurang","prosesor tingkat "&amp;C110&amp;" dari 5, di bawah batas minimal (tingkat "&amp;Aturan!$C$30&amp;")",IF(K110="Cukup","prosesor tingkat "&amp;C110&amp;" dari 5 cukup, nyamannya mulai tingkat "&amp;Aturan!$D$30,IF(K110="Belum ada data","tingkat prosesor belum diisi",""))))</f>
        <v/>
      </c>
      <c r="S110" s="66" t="str">
        <f aca="false">IF($A110="","",IF(L110="Kurang","grafis tingkat "&amp;D110&amp;" dari 5, di bawah batas minimal (tingkat "&amp;Aturan!$C$31&amp;")",IF(L110="Cukup","grafis tingkat "&amp;D110&amp;" dari 5 cukup, nyamannya mulai tingkat "&amp;Aturan!$D$31,IF(L110="Belum ada data","tingkat grafis belum diisi",""))))</f>
        <v/>
      </c>
      <c r="T110" s="66" t="str">
        <f aca="false">IF($A110="","",IF(M110="Kurang","RAM "&amp;E110&amp;" GB, di bawah batas minimal "&amp;Aturan!$C$32&amp;" GB ("&amp;I110&amp;")",IF(M110="Cukup","RAM "&amp;E110&amp;" GB cukup, nyamannya "&amp;Aturan!$D$32&amp;" GB atau lebih ("&amp;I110&amp;")",IF(M110="Belum ada data","ukuran RAM belum diisi",""))))</f>
        <v/>
      </c>
      <c r="U110" s="66" t="str">
        <f aca="false">IF($A110="","",IF(N110="Kurang","penyimpanan "&amp;F110&amp;" GB, di bawah batas minimal "&amp;Aturan!$C$33&amp;" GB ("&amp;J110&amp;")",IF(N110="Cukup","penyimpanan "&amp;F110&amp;" GB cukup, nyamannya "&amp;Aturan!$D$33&amp;" GB atau lebih ("&amp;J110&amp;")",IF(N110="Belum ada data","ukuran penyimpanan belum diisi",""))))</f>
        <v/>
      </c>
      <c r="V110" s="66" t="str">
        <f aca="false">IF($A110="","",IF(O110="Kurang","layar "&amp;Varian!$AG26&amp;", di bawah batas minimal ("&amp;IFERROR(INDEX(Aturan!$A$63:$A$66,MATCH(Aturan!$C$34,Aturan!$B$63:$B$66,0)),"peringkat "&amp;Aturan!$C$34)&amp;")",IF(O110="Cukup","layar "&amp;Varian!$AG26&amp;" cukup, nyamannya "&amp;IFERROR(INDEX(Aturan!$A$63:$A$66,MATCH(Aturan!$D$34,Aturan!$B$63:$B$66,0)),"peringkat "&amp;Aturan!$D$34),IF(O110="Belum ada data","jenis layar belum diketahui",""))))</f>
        <v/>
      </c>
      <c r="W110" s="66" t="str">
        <f aca="false">IF($A110="","",IF(P110="Kurang","layar "&amp;H110&amp;" Hz, di bawah batas minimal "&amp;Aturan!$C$35&amp;" Hz",IF(P110="Cukup","layar "&amp;H110&amp;" Hz cukup, nyamannya "&amp;Aturan!$D$35&amp;" Hz atau lebih",IF(P110="Belum ada data","refresh rate belum diketahui",""))))</f>
        <v/>
      </c>
      <c r="X110" s="66" t="str">
        <f aca="false">IF($A110="","",IF(K110="Kurang",R110&amp;"; ","")&amp;IF(L110="Kurang",S110&amp;"; ","")&amp;IF(M110="Kurang",T110&amp;"; ","")&amp;IF(N110="Kurang",U110&amp;"; ","")&amp;IF(O110="Kurang",V110&amp;"; ","")&amp;IF(P110="Kurang",W110&amp;"; ","")&amp;IF(K110="Belum ada data",R110&amp;"; ","")&amp;IF(L110="Belum ada data",S110&amp;"; ","")&amp;IF(M110="Belum ada data",T110&amp;"; ","")&amp;IF(N110="Belum ada data",U110&amp;"; ","")&amp;IF(O110="Belum ada data",V110&amp;"; ","")&amp;IF(P110="Belum ada data",W110&amp;"; ","")&amp;IF(K110="Cukup",R110&amp;"; ","")&amp;IF(L110="Cukup",S110&amp;"; ","")&amp;IF(M110="Cukup",T110&amp;"; ","")&amp;IF(N110="Cukup",U110&amp;"; ","")&amp;IF(O110="Cukup",V110&amp;"; ","")&amp;IF(P110="Cukup",W110&amp;"; ",""))</f>
        <v/>
      </c>
      <c r="Y110" s="66" t="str">
        <f aca="false">IF($A110="","",IF(K110="Nyaman","prosesor, ","")&amp;IF(L110="Nyaman","grafis, ","")&amp;IF(M110="Nyaman","RAM, ","")&amp;IF(N110="Nyaman","penyimpanan, ","")&amp;IF(O110="Nyaman","layar, ","")&amp;IF(P110="Nyaman","refresh rate, ",""))</f>
        <v/>
      </c>
      <c r="Z110" s="66" t="str">
        <f aca="false">IF($A110="","",IF(Q110="Tidak dinilai","Belum ada kriteria yang dinilai untuk kebutuhan ini.",IF(Q110="Cocok","Semua kriteria yang dinilai sudah nyaman: "&amp;LEFT(Y110,LEN(Y110)-2)&amp;".",UPPER(LEFT(X110,1))&amp;MID(X110,2,LEN(X110)-3)&amp;"."&amp;IF(Y110="",""," Sudah nyaman: "&amp;LEFT(Y110,LEN(Y110)-2)&amp;"."))))</f>
        <v/>
      </c>
      <c r="AA110" s="66" t="str">
        <f aca="false">IF($A110="","",IF(Varian!$AR26="Windows 10","• "&amp;Aturan!$E$71&amp;CHAR(10),"")&amp;IF(Varian!$BB26="tidak","• "&amp;Aturan!$E$72&amp;CHAR(10),"")&amp;IF(OR(Varian!$AD26="belum terverifikasi",Varian!$AD26="tidak diketahui"),"• "&amp;Aturan!$E$73&amp;CHAR(10),"")&amp;IF(Varian!$AH26="1366x768","• "&amp;Aturan!$E$74&amp;CHAR(10),"")&amp;IF(Varian!$AG26="TN","• "&amp;Aturan!$E$75&amp;CHAR(10),"")&amp;IF(AND(Varian!$Q26="disolder",ISNUMBER(Varian!$M26),Varian!$M26&lt;=8),"• "&amp;Aturan!$E$76&amp;CHAR(10),""))</f>
        <v/>
      </c>
      <c r="AB110" s="66" t="str">
        <f aca="false">IF($A110="","",IF(AA110="","",LEFT(AA110,LEN(AA110)-1)))</f>
        <v/>
      </c>
      <c r="AC110" s="67" t="str">
        <f aca="false">IF($A110="","",IF(AA110="",0,LEN(AA110)-LEN(SUBSTITUTE(AA110,CHAR(10),""))))</f>
        <v/>
      </c>
    </row>
    <row r="111" customFormat="false" ht="15" hidden="false" customHeight="true" outlineLevel="0" collapsed="false">
      <c r="A111" s="33" t="str">
        <f aca="false">IF(Varian!$A26="","",Varian!$A26)</f>
        <v/>
      </c>
      <c r="B111" s="33" t="str">
        <f aca="false">IF($A111="","",Aturan!$A$22)</f>
        <v/>
      </c>
      <c r="C111" s="69" t="str">
        <f aca="false">IF($A111="","",IFERROR(IF(ISNUMBER(INDEX(CPU!$J$4:$J$64,MATCH(Varian!$J26,CPU!$A$4:$A$64,0))),INDEX(CPU!$J$4:$J$64,MATCH(Varian!$J26,CPU!$A$4:$A$64,0)),""),""))</f>
        <v/>
      </c>
      <c r="D111" s="69" t="str">
        <f aca="false">IF($A111="","",IFERROR(IF(ISNUMBER(INDEX(GPU!$G$4:$G$64,MATCH(Varian!$K26,GPU!$A$4:$A$64,0))),INDEX(GPU!$G$4:$G$64,MATCH(Varian!$K26,GPU!$A$4:$A$64,0)),""),""))</f>
        <v/>
      </c>
      <c r="E111" s="69" t="str">
        <f aca="false">IF($A111="","",IF(ISNUMBER(Varian!$M26),Varian!$M26,""))</f>
        <v/>
      </c>
      <c r="F111" s="69" t="str">
        <f aca="false">IF($A111="","",IF(ISNUMBER(Varian!$V26),Varian!$V26,""))</f>
        <v/>
      </c>
      <c r="G111" s="69" t="str">
        <f aca="false">IF($A111="","",IFERROR(INDEX(Aturan!$B$63:$B$66,MATCH(Varian!$AG26,Aturan!$A$63:$A$66,0)),""))</f>
        <v/>
      </c>
      <c r="H111" s="69" t="str">
        <f aca="false">IF($A111="","",IF(ISNUMBER(Varian!$AI26),Varian!$AI26,""))</f>
        <v/>
      </c>
      <c r="I111" s="33" t="str">
        <f aca="false">IF($A111="","",IF(Varian!$Q26="disolder","menempel di papan utama, tidak bisa ditambah",IF(OR(Varian!$Q26="slot",Varian!$Q26="setengah_disolder"),IF(Varian!$Q26="setengah_disolder","sebagian menempel, ","")&amp;IF(ISNUMBER(Varian!$U26),IF(AND(ISNUMBER(Varian!$M26),Varian!$U26&gt;Varian!$M26),"bisa dinaikkan lewat slot sampai "&amp;Varian!$U26&amp;" GB","sudah di batas maksimal "&amp;Varian!$U26&amp;" GB"),"ada slot, batas maksimalnya belum diketahui"),"belum diketahui apakah bisa ditambah")))</f>
        <v/>
      </c>
      <c r="J111" s="33" t="str">
        <f aca="false">IF($A111="","",IF(Varian!$Z26="ya","bisa diganti dengan yang lebih besar",IF(Varian!$Z26="tidak","menempel, tidak bisa diganti","belum diketahui apakah bisa diganti")))</f>
        <v/>
      </c>
      <c r="K111" s="70" t="str">
        <f aca="false">IF($A111="","",IF(AND(Aturan!$C$36="",Aturan!$D$36=""),"Tidak dinilai",IF(C111="","Belum ada data",IF(C111&lt;IF(Aturan!$C$36="",0,Aturan!$C$36),"Kurang",IF(C111&gt;=IF(Aturan!$D$36="",Aturan!$C$36,Aturan!$D$36),"Nyaman","Cukup")))))</f>
        <v/>
      </c>
      <c r="L111" s="70" t="str">
        <f aca="false">IF($A111="","",IF(AND(Aturan!$C$37="",Aturan!$D$37=""),"Tidak dinilai",IF(D111="","Belum ada data",IF(D111&lt;IF(Aturan!$C$37="",0,Aturan!$C$37),"Kurang",IF(D111&gt;=IF(Aturan!$D$37="",Aturan!$C$37,Aturan!$D$37),"Nyaman","Cukup")))))</f>
        <v/>
      </c>
      <c r="M111" s="70" t="str">
        <f aca="false">IF($A111="","",IF(AND(Aturan!$C$38="",Aturan!$D$38=""),"Tidak dinilai",IF(E111="","Belum ada data",IF(E111&lt;IF(Aturan!$C$38="",0,Aturan!$C$38),"Kurang",IF(E111&gt;=IF(Aturan!$D$38="",Aturan!$C$38,Aturan!$D$38),"Nyaman","Cukup")))))</f>
        <v/>
      </c>
      <c r="N111" s="70" t="str">
        <f aca="false">IF($A111="","",IF(AND(Aturan!$C$39="",Aturan!$D$39=""),"Tidak dinilai",IF(F111="","Belum ada data",IF(F111&lt;IF(Aturan!$C$39="",0,Aturan!$C$39),"Kurang",IF(F111&gt;=IF(Aturan!$D$39="",Aturan!$C$39,Aturan!$D$39),"Nyaman","Cukup")))))</f>
        <v/>
      </c>
      <c r="O111" s="70" t="str">
        <f aca="false">IF($A111="","",IF(AND(Aturan!$C$40="",Aturan!$D$40=""),"Tidak dinilai",IF(G111="","Belum ada data",IF(G111&lt;IF(Aturan!$C$40="",0,Aturan!$C$40),"Kurang",IF(G111&gt;=IF(Aturan!$D$40="",Aturan!$C$40,Aturan!$D$40),"Nyaman","Cukup")))))</f>
        <v/>
      </c>
      <c r="P111" s="70" t="str">
        <f aca="false">IF($A111="","",IF(AND(Aturan!$C$41="",Aturan!$D$41=""),"Tidak dinilai",IF(H111="","Belum ada data",IF(H111&lt;IF(Aturan!$C$41="",0,Aturan!$C$41),"Kurang",IF(H111&gt;=IF(Aturan!$D$41="",Aturan!$C$41,Aturan!$D$41),"Nyaman","Cukup")))))</f>
        <v/>
      </c>
      <c r="Q111" s="70" t="str">
        <f aca="false">IF($A111="","",IF(COUNTIF(K111:P111,"Tidak dinilai")=6,"Tidak dinilai",IF(COUNTIF(K111:P111,"Kurang")&gt;0,"Kurang cocok",IF(COUNTIF(K111:P111,"Belum ada data")&gt;0,"Data belum lengkap",IF(COUNTIF(K111:P111,"Cukup")&gt;0,"Bisa, dengan catatan","Cocok")))))</f>
        <v/>
      </c>
      <c r="R111" s="33" t="str">
        <f aca="false">IF($A111="","",IF(K111="Kurang","prosesor tingkat "&amp;C111&amp;" dari 5, di bawah batas minimal (tingkat "&amp;Aturan!$C$36&amp;")",IF(K111="Cukup","prosesor tingkat "&amp;C111&amp;" dari 5 cukup, nyamannya mulai tingkat "&amp;Aturan!$D$36,IF(K111="Belum ada data","tingkat prosesor belum diisi",""))))</f>
        <v/>
      </c>
      <c r="S111" s="33" t="str">
        <f aca="false">IF($A111="","",IF(L111="Kurang","grafis tingkat "&amp;D111&amp;" dari 5, di bawah batas minimal (tingkat "&amp;Aturan!$C$37&amp;")",IF(L111="Cukup","grafis tingkat "&amp;D111&amp;" dari 5 cukup, nyamannya mulai tingkat "&amp;Aturan!$D$37,IF(L111="Belum ada data","tingkat grafis belum diisi",""))))</f>
        <v/>
      </c>
      <c r="T111" s="33" t="str">
        <f aca="false">IF($A111="","",IF(M111="Kurang","RAM "&amp;E111&amp;" GB, di bawah batas minimal "&amp;Aturan!$C$38&amp;" GB ("&amp;I111&amp;")",IF(M111="Cukup","RAM "&amp;E111&amp;" GB cukup, nyamannya "&amp;Aturan!$D$38&amp;" GB atau lebih ("&amp;I111&amp;")",IF(M111="Belum ada data","ukuran RAM belum diisi",""))))</f>
        <v/>
      </c>
      <c r="U111" s="33" t="str">
        <f aca="false">IF($A111="","",IF(N111="Kurang","penyimpanan "&amp;F111&amp;" GB, di bawah batas minimal "&amp;Aturan!$C$39&amp;" GB ("&amp;J111&amp;")",IF(N111="Cukup","penyimpanan "&amp;F111&amp;" GB cukup, nyamannya "&amp;Aturan!$D$39&amp;" GB atau lebih ("&amp;J111&amp;")",IF(N111="Belum ada data","ukuran penyimpanan belum diisi",""))))</f>
        <v/>
      </c>
      <c r="V111" s="33" t="str">
        <f aca="false">IF($A111="","",IF(O111="Kurang","layar "&amp;Varian!$AG26&amp;", di bawah batas minimal ("&amp;IFERROR(INDEX(Aturan!$A$63:$A$66,MATCH(Aturan!$C$40,Aturan!$B$63:$B$66,0)),"peringkat "&amp;Aturan!$C$40)&amp;")",IF(O111="Cukup","layar "&amp;Varian!$AG26&amp;" cukup, nyamannya "&amp;IFERROR(INDEX(Aturan!$A$63:$A$66,MATCH(Aturan!$D$40,Aturan!$B$63:$B$66,0)),"peringkat "&amp;Aturan!$D$40),IF(O111="Belum ada data","jenis layar belum diketahui",""))))</f>
        <v/>
      </c>
      <c r="W111" s="33" t="str">
        <f aca="false">IF($A111="","",IF(P111="Kurang","layar "&amp;H111&amp;" Hz, di bawah batas minimal "&amp;Aturan!$C$41&amp;" Hz",IF(P111="Cukup","layar "&amp;H111&amp;" Hz cukup, nyamannya "&amp;Aturan!$D$41&amp;" Hz atau lebih",IF(P111="Belum ada data","refresh rate belum diketahui",""))))</f>
        <v/>
      </c>
      <c r="X111" s="33" t="str">
        <f aca="false">IF($A111="","",IF(K111="Kurang",R111&amp;"; ","")&amp;IF(L111="Kurang",S111&amp;"; ","")&amp;IF(M111="Kurang",T111&amp;"; ","")&amp;IF(N111="Kurang",U111&amp;"; ","")&amp;IF(O111="Kurang",V111&amp;"; ","")&amp;IF(P111="Kurang",W111&amp;"; ","")&amp;IF(K111="Belum ada data",R111&amp;"; ","")&amp;IF(L111="Belum ada data",S111&amp;"; ","")&amp;IF(M111="Belum ada data",T111&amp;"; ","")&amp;IF(N111="Belum ada data",U111&amp;"; ","")&amp;IF(O111="Belum ada data",V111&amp;"; ","")&amp;IF(P111="Belum ada data",W111&amp;"; ","")&amp;IF(K111="Cukup",R111&amp;"; ","")&amp;IF(L111="Cukup",S111&amp;"; ","")&amp;IF(M111="Cukup",T111&amp;"; ","")&amp;IF(N111="Cukup",U111&amp;"; ","")&amp;IF(O111="Cukup",V111&amp;"; ","")&amp;IF(P111="Cukup",W111&amp;"; ",""))</f>
        <v/>
      </c>
      <c r="Y111" s="33" t="str">
        <f aca="false">IF($A111="","",IF(K111="Nyaman","prosesor, ","")&amp;IF(L111="Nyaman","grafis, ","")&amp;IF(M111="Nyaman","RAM, ","")&amp;IF(N111="Nyaman","penyimpanan, ","")&amp;IF(O111="Nyaman","layar, ","")&amp;IF(P111="Nyaman","refresh rate, ",""))</f>
        <v/>
      </c>
      <c r="Z111" s="33" t="str">
        <f aca="false">IF($A111="","",IF(Q111="Tidak dinilai","Belum ada kriteria yang dinilai untuk kebutuhan ini.",IF(Q111="Cocok","Semua kriteria yang dinilai sudah nyaman: "&amp;LEFT(Y111,LEN(Y111)-2)&amp;".",UPPER(LEFT(X111,1))&amp;MID(X111,2,LEN(X111)-3)&amp;"."&amp;IF(Y111="",""," Sudah nyaman: "&amp;LEFT(Y111,LEN(Y111)-2)&amp;"."))))</f>
        <v/>
      </c>
      <c r="AA111" s="33"/>
      <c r="AB111" s="33"/>
      <c r="AC111" s="69"/>
    </row>
    <row r="112" customFormat="false" ht="15" hidden="false" customHeight="true" outlineLevel="0" collapsed="false">
      <c r="A112" s="33" t="str">
        <f aca="false">IF(Varian!$A26="","",Varian!$A26)</f>
        <v/>
      </c>
      <c r="B112" s="33" t="str">
        <f aca="false">IF($A112="","",Aturan!$A$23)</f>
        <v/>
      </c>
      <c r="C112" s="69" t="str">
        <f aca="false">IF($A112="","",IFERROR(IF(ISNUMBER(INDEX(CPU!$J$4:$J$64,MATCH(Varian!$J26,CPU!$A$4:$A$64,0))),INDEX(CPU!$J$4:$J$64,MATCH(Varian!$J26,CPU!$A$4:$A$64,0)),""),""))</f>
        <v/>
      </c>
      <c r="D112" s="69" t="str">
        <f aca="false">IF($A112="","",IFERROR(IF(ISNUMBER(INDEX(GPU!$G$4:$G$64,MATCH(Varian!$K26,GPU!$A$4:$A$64,0))),INDEX(GPU!$G$4:$G$64,MATCH(Varian!$K26,GPU!$A$4:$A$64,0)),""),""))</f>
        <v/>
      </c>
      <c r="E112" s="69" t="str">
        <f aca="false">IF($A112="","",IF(ISNUMBER(Varian!$M26),Varian!$M26,""))</f>
        <v/>
      </c>
      <c r="F112" s="69" t="str">
        <f aca="false">IF($A112="","",IF(ISNUMBER(Varian!$V26),Varian!$V26,""))</f>
        <v/>
      </c>
      <c r="G112" s="69" t="str">
        <f aca="false">IF($A112="","",IFERROR(INDEX(Aturan!$B$63:$B$66,MATCH(Varian!$AG26,Aturan!$A$63:$A$66,0)),""))</f>
        <v/>
      </c>
      <c r="H112" s="69" t="str">
        <f aca="false">IF($A112="","",IF(ISNUMBER(Varian!$AI26),Varian!$AI26,""))</f>
        <v/>
      </c>
      <c r="I112" s="33" t="str">
        <f aca="false">IF($A112="","",IF(Varian!$Q26="disolder","menempel di papan utama, tidak bisa ditambah",IF(OR(Varian!$Q26="slot",Varian!$Q26="setengah_disolder"),IF(Varian!$Q26="setengah_disolder","sebagian menempel, ","")&amp;IF(ISNUMBER(Varian!$U26),IF(AND(ISNUMBER(Varian!$M26),Varian!$U26&gt;Varian!$M26),"bisa dinaikkan lewat slot sampai "&amp;Varian!$U26&amp;" GB","sudah di batas maksimal "&amp;Varian!$U26&amp;" GB"),"ada slot, batas maksimalnya belum diketahui"),"belum diketahui apakah bisa ditambah")))</f>
        <v/>
      </c>
      <c r="J112" s="33" t="str">
        <f aca="false">IF($A112="","",IF(Varian!$Z26="ya","bisa diganti dengan yang lebih besar",IF(Varian!$Z26="tidak","menempel, tidak bisa diganti","belum diketahui apakah bisa diganti")))</f>
        <v/>
      </c>
      <c r="K112" s="70" t="str">
        <f aca="false">IF($A112="","",IF(AND(Aturan!$C$42="",Aturan!$D$42=""),"Tidak dinilai",IF(C112="","Belum ada data",IF(C112&lt;IF(Aturan!$C$42="",0,Aturan!$C$42),"Kurang",IF(C112&gt;=IF(Aturan!$D$42="",Aturan!$C$42,Aturan!$D$42),"Nyaman","Cukup")))))</f>
        <v/>
      </c>
      <c r="L112" s="70" t="str">
        <f aca="false">IF($A112="","",IF(AND(Aturan!$C$43="",Aturan!$D$43=""),"Tidak dinilai",IF(D112="","Belum ada data",IF(D112&lt;IF(Aturan!$C$43="",0,Aturan!$C$43),"Kurang",IF(D112&gt;=IF(Aturan!$D$43="",Aturan!$C$43,Aturan!$D$43),"Nyaman","Cukup")))))</f>
        <v/>
      </c>
      <c r="M112" s="70" t="str">
        <f aca="false">IF($A112="","",IF(AND(Aturan!$C$44="",Aturan!$D$44=""),"Tidak dinilai",IF(E112="","Belum ada data",IF(E112&lt;IF(Aturan!$C$44="",0,Aturan!$C$44),"Kurang",IF(E112&gt;=IF(Aturan!$D$44="",Aturan!$C$44,Aturan!$D$44),"Nyaman","Cukup")))))</f>
        <v/>
      </c>
      <c r="N112" s="70" t="str">
        <f aca="false">IF($A112="","",IF(AND(Aturan!$C$45="",Aturan!$D$45=""),"Tidak dinilai",IF(F112="","Belum ada data",IF(F112&lt;IF(Aturan!$C$45="",0,Aturan!$C$45),"Kurang",IF(F112&gt;=IF(Aturan!$D$45="",Aturan!$C$45,Aturan!$D$45),"Nyaman","Cukup")))))</f>
        <v/>
      </c>
      <c r="O112" s="70" t="str">
        <f aca="false">IF($A112="","",IF(AND(Aturan!$C$46="",Aturan!$D$46=""),"Tidak dinilai",IF(G112="","Belum ada data",IF(G112&lt;IF(Aturan!$C$46="",0,Aturan!$C$46),"Kurang",IF(G112&gt;=IF(Aturan!$D$46="",Aturan!$C$46,Aturan!$D$46),"Nyaman","Cukup")))))</f>
        <v/>
      </c>
      <c r="P112" s="70" t="str">
        <f aca="false">IF($A112="","",IF(AND(Aturan!$C$47="",Aturan!$D$47=""),"Tidak dinilai",IF(H112="","Belum ada data",IF(H112&lt;IF(Aturan!$C$47="",0,Aturan!$C$47),"Kurang",IF(H112&gt;=IF(Aturan!$D$47="",Aturan!$C$47,Aturan!$D$47),"Nyaman","Cukup")))))</f>
        <v/>
      </c>
      <c r="Q112" s="70" t="str">
        <f aca="false">IF($A112="","",IF(COUNTIF(K112:P112,"Tidak dinilai")=6,"Tidak dinilai",IF(COUNTIF(K112:P112,"Kurang")&gt;0,"Kurang cocok",IF(COUNTIF(K112:P112,"Belum ada data")&gt;0,"Data belum lengkap",IF(COUNTIF(K112:P112,"Cukup")&gt;0,"Bisa, dengan catatan","Cocok")))))</f>
        <v/>
      </c>
      <c r="R112" s="33" t="str">
        <f aca="false">IF($A112="","",IF(K112="Kurang","prosesor tingkat "&amp;C112&amp;" dari 5, di bawah batas minimal (tingkat "&amp;Aturan!$C$42&amp;")",IF(K112="Cukup","prosesor tingkat "&amp;C112&amp;" dari 5 cukup, nyamannya mulai tingkat "&amp;Aturan!$D$42,IF(K112="Belum ada data","tingkat prosesor belum diisi",""))))</f>
        <v/>
      </c>
      <c r="S112" s="33" t="str">
        <f aca="false">IF($A112="","",IF(L112="Kurang","grafis tingkat "&amp;D112&amp;" dari 5, di bawah batas minimal (tingkat "&amp;Aturan!$C$43&amp;")",IF(L112="Cukup","grafis tingkat "&amp;D112&amp;" dari 5 cukup, nyamannya mulai tingkat "&amp;Aturan!$D$43,IF(L112="Belum ada data","tingkat grafis belum diisi",""))))</f>
        <v/>
      </c>
      <c r="T112" s="33" t="str">
        <f aca="false">IF($A112="","",IF(M112="Kurang","RAM "&amp;E112&amp;" GB, di bawah batas minimal "&amp;Aturan!$C$44&amp;" GB ("&amp;I112&amp;")",IF(M112="Cukup","RAM "&amp;E112&amp;" GB cukup, nyamannya "&amp;Aturan!$D$44&amp;" GB atau lebih ("&amp;I112&amp;")",IF(M112="Belum ada data","ukuran RAM belum diisi",""))))</f>
        <v/>
      </c>
      <c r="U112" s="33" t="str">
        <f aca="false">IF($A112="","",IF(N112="Kurang","penyimpanan "&amp;F112&amp;" GB, di bawah batas minimal "&amp;Aturan!$C$45&amp;" GB ("&amp;J112&amp;")",IF(N112="Cukup","penyimpanan "&amp;F112&amp;" GB cukup, nyamannya "&amp;Aturan!$D$45&amp;" GB atau lebih ("&amp;J112&amp;")",IF(N112="Belum ada data","ukuran penyimpanan belum diisi",""))))</f>
        <v/>
      </c>
      <c r="V112" s="33" t="str">
        <f aca="false">IF($A112="","",IF(O112="Kurang","layar "&amp;Varian!$AG26&amp;", di bawah batas minimal ("&amp;IFERROR(INDEX(Aturan!$A$63:$A$66,MATCH(Aturan!$C$46,Aturan!$B$63:$B$66,0)),"peringkat "&amp;Aturan!$C$46)&amp;")",IF(O112="Cukup","layar "&amp;Varian!$AG26&amp;" cukup, nyamannya "&amp;IFERROR(INDEX(Aturan!$A$63:$A$66,MATCH(Aturan!$D$46,Aturan!$B$63:$B$66,0)),"peringkat "&amp;Aturan!$D$46),IF(O112="Belum ada data","jenis layar belum diketahui",""))))</f>
        <v/>
      </c>
      <c r="W112" s="33" t="str">
        <f aca="false">IF($A112="","",IF(P112="Kurang","layar "&amp;H112&amp;" Hz, di bawah batas minimal "&amp;Aturan!$C$47&amp;" Hz",IF(P112="Cukup","layar "&amp;H112&amp;" Hz cukup, nyamannya "&amp;Aturan!$D$47&amp;" Hz atau lebih",IF(P112="Belum ada data","refresh rate belum diketahui",""))))</f>
        <v/>
      </c>
      <c r="X112" s="33" t="str">
        <f aca="false">IF($A112="","",IF(K112="Kurang",R112&amp;"; ","")&amp;IF(L112="Kurang",S112&amp;"; ","")&amp;IF(M112="Kurang",T112&amp;"; ","")&amp;IF(N112="Kurang",U112&amp;"; ","")&amp;IF(O112="Kurang",V112&amp;"; ","")&amp;IF(P112="Kurang",W112&amp;"; ","")&amp;IF(K112="Belum ada data",R112&amp;"; ","")&amp;IF(L112="Belum ada data",S112&amp;"; ","")&amp;IF(M112="Belum ada data",T112&amp;"; ","")&amp;IF(N112="Belum ada data",U112&amp;"; ","")&amp;IF(O112="Belum ada data",V112&amp;"; ","")&amp;IF(P112="Belum ada data",W112&amp;"; ","")&amp;IF(K112="Cukup",R112&amp;"; ","")&amp;IF(L112="Cukup",S112&amp;"; ","")&amp;IF(M112="Cukup",T112&amp;"; ","")&amp;IF(N112="Cukup",U112&amp;"; ","")&amp;IF(O112="Cukup",V112&amp;"; ","")&amp;IF(P112="Cukup",W112&amp;"; ",""))</f>
        <v/>
      </c>
      <c r="Y112" s="33" t="str">
        <f aca="false">IF($A112="","",IF(K112="Nyaman","prosesor, ","")&amp;IF(L112="Nyaman","grafis, ","")&amp;IF(M112="Nyaman","RAM, ","")&amp;IF(N112="Nyaman","penyimpanan, ","")&amp;IF(O112="Nyaman","layar, ","")&amp;IF(P112="Nyaman","refresh rate, ",""))</f>
        <v/>
      </c>
      <c r="Z112" s="33" t="str">
        <f aca="false">IF($A112="","",IF(Q112="Tidak dinilai","Belum ada kriteria yang dinilai untuk kebutuhan ini.",IF(Q112="Cocok","Semua kriteria yang dinilai sudah nyaman: "&amp;LEFT(Y112,LEN(Y112)-2)&amp;".",UPPER(LEFT(X112,1))&amp;MID(X112,2,LEN(X112)-3)&amp;"."&amp;IF(Y112="",""," Sudah nyaman: "&amp;LEFT(Y112,LEN(Y112)-2)&amp;"."))))</f>
        <v/>
      </c>
      <c r="AA112" s="33"/>
      <c r="AB112" s="33"/>
      <c r="AC112" s="69"/>
    </row>
    <row r="113" customFormat="false" ht="15" hidden="false" customHeight="true" outlineLevel="0" collapsed="false">
      <c r="A113" s="33" t="str">
        <f aca="false">IF(Varian!$A26="","",Varian!$A26)</f>
        <v/>
      </c>
      <c r="B113" s="33" t="str">
        <f aca="false">IF($A113="","",Aturan!$A$24)</f>
        <v/>
      </c>
      <c r="C113" s="69" t="str">
        <f aca="false">IF($A113="","",IFERROR(IF(ISNUMBER(INDEX(CPU!$J$4:$J$64,MATCH(Varian!$J26,CPU!$A$4:$A$64,0))),INDEX(CPU!$J$4:$J$64,MATCH(Varian!$J26,CPU!$A$4:$A$64,0)),""),""))</f>
        <v/>
      </c>
      <c r="D113" s="69" t="str">
        <f aca="false">IF($A113="","",IFERROR(IF(ISNUMBER(INDEX(GPU!$G$4:$G$64,MATCH(Varian!$K26,GPU!$A$4:$A$64,0))),INDEX(GPU!$G$4:$G$64,MATCH(Varian!$K26,GPU!$A$4:$A$64,0)),""),""))</f>
        <v/>
      </c>
      <c r="E113" s="69" t="str">
        <f aca="false">IF($A113="","",IF(ISNUMBER(Varian!$M26),Varian!$M26,""))</f>
        <v/>
      </c>
      <c r="F113" s="69" t="str">
        <f aca="false">IF($A113="","",IF(ISNUMBER(Varian!$V26),Varian!$V26,""))</f>
        <v/>
      </c>
      <c r="G113" s="69" t="str">
        <f aca="false">IF($A113="","",IFERROR(INDEX(Aturan!$B$63:$B$66,MATCH(Varian!$AG26,Aturan!$A$63:$A$66,0)),""))</f>
        <v/>
      </c>
      <c r="H113" s="69" t="str">
        <f aca="false">IF($A113="","",IF(ISNUMBER(Varian!$AI26),Varian!$AI26,""))</f>
        <v/>
      </c>
      <c r="I113" s="33" t="str">
        <f aca="false">IF($A113="","",IF(Varian!$Q26="disolder","menempel di papan utama, tidak bisa ditambah",IF(OR(Varian!$Q26="slot",Varian!$Q26="setengah_disolder"),IF(Varian!$Q26="setengah_disolder","sebagian menempel, ","")&amp;IF(ISNUMBER(Varian!$U26),IF(AND(ISNUMBER(Varian!$M26),Varian!$U26&gt;Varian!$M26),"bisa dinaikkan lewat slot sampai "&amp;Varian!$U26&amp;" GB","sudah di batas maksimal "&amp;Varian!$U26&amp;" GB"),"ada slot, batas maksimalnya belum diketahui"),"belum diketahui apakah bisa ditambah")))</f>
        <v/>
      </c>
      <c r="J113" s="33" t="str">
        <f aca="false">IF($A113="","",IF(Varian!$Z26="ya","bisa diganti dengan yang lebih besar",IF(Varian!$Z26="tidak","menempel, tidak bisa diganti","belum diketahui apakah bisa diganti")))</f>
        <v/>
      </c>
      <c r="K113" s="70" t="str">
        <f aca="false">IF($A113="","",IF(AND(Aturan!$C$48="",Aturan!$D$48=""),"Tidak dinilai",IF(C113="","Belum ada data",IF(C113&lt;IF(Aturan!$C$48="",0,Aturan!$C$48),"Kurang",IF(C113&gt;=IF(Aturan!$D$48="",Aturan!$C$48,Aturan!$D$48),"Nyaman","Cukup")))))</f>
        <v/>
      </c>
      <c r="L113" s="70" t="str">
        <f aca="false">IF($A113="","",IF(AND(Aturan!$C$49="",Aturan!$D$49=""),"Tidak dinilai",IF(D113="","Belum ada data",IF(D113&lt;IF(Aturan!$C$49="",0,Aturan!$C$49),"Kurang",IF(D113&gt;=IF(Aturan!$D$49="",Aturan!$C$49,Aturan!$D$49),"Nyaman","Cukup")))))</f>
        <v/>
      </c>
      <c r="M113" s="70" t="str">
        <f aca="false">IF($A113="","",IF(AND(Aturan!$C$50="",Aturan!$D$50=""),"Tidak dinilai",IF(E113="","Belum ada data",IF(E113&lt;IF(Aturan!$C$50="",0,Aturan!$C$50),"Kurang",IF(E113&gt;=IF(Aturan!$D$50="",Aturan!$C$50,Aturan!$D$50),"Nyaman","Cukup")))))</f>
        <v/>
      </c>
      <c r="N113" s="70" t="str">
        <f aca="false">IF($A113="","",IF(AND(Aturan!$C$51="",Aturan!$D$51=""),"Tidak dinilai",IF(F113="","Belum ada data",IF(F113&lt;IF(Aturan!$C$51="",0,Aturan!$C$51),"Kurang",IF(F113&gt;=IF(Aturan!$D$51="",Aturan!$C$51,Aturan!$D$51),"Nyaman","Cukup")))))</f>
        <v/>
      </c>
      <c r="O113" s="70" t="str">
        <f aca="false">IF($A113="","",IF(AND(Aturan!$C$52="",Aturan!$D$52=""),"Tidak dinilai",IF(G113="","Belum ada data",IF(G113&lt;IF(Aturan!$C$52="",0,Aturan!$C$52),"Kurang",IF(G113&gt;=IF(Aturan!$D$52="",Aturan!$C$52,Aturan!$D$52),"Nyaman","Cukup")))))</f>
        <v/>
      </c>
      <c r="P113" s="70" t="str">
        <f aca="false">IF($A113="","",IF(AND(Aturan!$C$53="",Aturan!$D$53=""),"Tidak dinilai",IF(H113="","Belum ada data",IF(H113&lt;IF(Aturan!$C$53="",0,Aturan!$C$53),"Kurang",IF(H113&gt;=IF(Aturan!$D$53="",Aturan!$C$53,Aturan!$D$53),"Nyaman","Cukup")))))</f>
        <v/>
      </c>
      <c r="Q113" s="70" t="str">
        <f aca="false">IF($A113="","",IF(COUNTIF(K113:P113,"Tidak dinilai")=6,"Tidak dinilai",IF(COUNTIF(K113:P113,"Kurang")&gt;0,"Kurang cocok",IF(COUNTIF(K113:P113,"Belum ada data")&gt;0,"Data belum lengkap",IF(COUNTIF(K113:P113,"Cukup")&gt;0,"Bisa, dengan catatan","Cocok")))))</f>
        <v/>
      </c>
      <c r="R113" s="33" t="str">
        <f aca="false">IF($A113="","",IF(K113="Kurang","prosesor tingkat "&amp;C113&amp;" dari 5, di bawah batas minimal (tingkat "&amp;Aturan!$C$48&amp;")",IF(K113="Cukup","prosesor tingkat "&amp;C113&amp;" dari 5 cukup, nyamannya mulai tingkat "&amp;Aturan!$D$48,IF(K113="Belum ada data","tingkat prosesor belum diisi",""))))</f>
        <v/>
      </c>
      <c r="S113" s="33" t="str">
        <f aca="false">IF($A113="","",IF(L113="Kurang","grafis tingkat "&amp;D113&amp;" dari 5, di bawah batas minimal (tingkat "&amp;Aturan!$C$49&amp;")",IF(L113="Cukup","grafis tingkat "&amp;D113&amp;" dari 5 cukup, nyamannya mulai tingkat "&amp;Aturan!$D$49,IF(L113="Belum ada data","tingkat grafis belum diisi",""))))</f>
        <v/>
      </c>
      <c r="T113" s="33" t="str">
        <f aca="false">IF($A113="","",IF(M113="Kurang","RAM "&amp;E113&amp;" GB, di bawah batas minimal "&amp;Aturan!$C$50&amp;" GB ("&amp;I113&amp;")",IF(M113="Cukup","RAM "&amp;E113&amp;" GB cukup, nyamannya "&amp;Aturan!$D$50&amp;" GB atau lebih ("&amp;I113&amp;")",IF(M113="Belum ada data","ukuran RAM belum diisi",""))))</f>
        <v/>
      </c>
      <c r="U113" s="33" t="str">
        <f aca="false">IF($A113="","",IF(N113="Kurang","penyimpanan "&amp;F113&amp;" GB, di bawah batas minimal "&amp;Aturan!$C$51&amp;" GB ("&amp;J113&amp;")",IF(N113="Cukup","penyimpanan "&amp;F113&amp;" GB cukup, nyamannya "&amp;Aturan!$D$51&amp;" GB atau lebih ("&amp;J113&amp;")",IF(N113="Belum ada data","ukuran penyimpanan belum diisi",""))))</f>
        <v/>
      </c>
      <c r="V113" s="33" t="str">
        <f aca="false">IF($A113="","",IF(O113="Kurang","layar "&amp;Varian!$AG26&amp;", di bawah batas minimal ("&amp;IFERROR(INDEX(Aturan!$A$63:$A$66,MATCH(Aturan!$C$52,Aturan!$B$63:$B$66,0)),"peringkat "&amp;Aturan!$C$52)&amp;")",IF(O113="Cukup","layar "&amp;Varian!$AG26&amp;" cukup, nyamannya "&amp;IFERROR(INDEX(Aturan!$A$63:$A$66,MATCH(Aturan!$D$52,Aturan!$B$63:$B$66,0)),"peringkat "&amp;Aturan!$D$52),IF(O113="Belum ada data","jenis layar belum diketahui",""))))</f>
        <v/>
      </c>
      <c r="W113" s="33" t="str">
        <f aca="false">IF($A113="","",IF(P113="Kurang","layar "&amp;H113&amp;" Hz, di bawah batas minimal "&amp;Aturan!$C$53&amp;" Hz",IF(P113="Cukup","layar "&amp;H113&amp;" Hz cukup, nyamannya "&amp;Aturan!$D$53&amp;" Hz atau lebih",IF(P113="Belum ada data","refresh rate belum diketahui",""))))</f>
        <v/>
      </c>
      <c r="X113" s="33" t="str">
        <f aca="false">IF($A113="","",IF(K113="Kurang",R113&amp;"; ","")&amp;IF(L113="Kurang",S113&amp;"; ","")&amp;IF(M113="Kurang",T113&amp;"; ","")&amp;IF(N113="Kurang",U113&amp;"; ","")&amp;IF(O113="Kurang",V113&amp;"; ","")&amp;IF(P113="Kurang",W113&amp;"; ","")&amp;IF(K113="Belum ada data",R113&amp;"; ","")&amp;IF(L113="Belum ada data",S113&amp;"; ","")&amp;IF(M113="Belum ada data",T113&amp;"; ","")&amp;IF(N113="Belum ada data",U113&amp;"; ","")&amp;IF(O113="Belum ada data",V113&amp;"; ","")&amp;IF(P113="Belum ada data",W113&amp;"; ","")&amp;IF(K113="Cukup",R113&amp;"; ","")&amp;IF(L113="Cukup",S113&amp;"; ","")&amp;IF(M113="Cukup",T113&amp;"; ","")&amp;IF(N113="Cukup",U113&amp;"; ","")&amp;IF(O113="Cukup",V113&amp;"; ","")&amp;IF(P113="Cukup",W113&amp;"; ",""))</f>
        <v/>
      </c>
      <c r="Y113" s="33" t="str">
        <f aca="false">IF($A113="","",IF(K113="Nyaman","prosesor, ","")&amp;IF(L113="Nyaman","grafis, ","")&amp;IF(M113="Nyaman","RAM, ","")&amp;IF(N113="Nyaman","penyimpanan, ","")&amp;IF(O113="Nyaman","layar, ","")&amp;IF(P113="Nyaman","refresh rate, ",""))</f>
        <v/>
      </c>
      <c r="Z113" s="33" t="str">
        <f aca="false">IF($A113="","",IF(Q113="Tidak dinilai","Belum ada kriteria yang dinilai untuk kebutuhan ini.",IF(Q113="Cocok","Semua kriteria yang dinilai sudah nyaman: "&amp;LEFT(Y113,LEN(Y113)-2)&amp;".",UPPER(LEFT(X113,1))&amp;MID(X113,2,LEN(X113)-3)&amp;"."&amp;IF(Y113="",""," Sudah nyaman: "&amp;LEFT(Y113,LEN(Y113)-2)&amp;"."))))</f>
        <v/>
      </c>
      <c r="AA113" s="33"/>
      <c r="AB113" s="33"/>
      <c r="AC113" s="69"/>
    </row>
    <row r="114" customFormat="false" ht="15" hidden="false" customHeight="true" outlineLevel="0" collapsed="false">
      <c r="A114" s="33" t="str">
        <f aca="false">IF(Varian!$A26="","",Varian!$A26)</f>
        <v/>
      </c>
      <c r="B114" s="33" t="str">
        <f aca="false">IF($A114="","",Aturan!$A$25)</f>
        <v/>
      </c>
      <c r="C114" s="69" t="str">
        <f aca="false">IF($A114="","",IFERROR(IF(ISNUMBER(INDEX(CPU!$J$4:$J$64,MATCH(Varian!$J26,CPU!$A$4:$A$64,0))),INDEX(CPU!$J$4:$J$64,MATCH(Varian!$J26,CPU!$A$4:$A$64,0)),""),""))</f>
        <v/>
      </c>
      <c r="D114" s="69" t="str">
        <f aca="false">IF($A114="","",IFERROR(IF(ISNUMBER(INDEX(GPU!$G$4:$G$64,MATCH(Varian!$K26,GPU!$A$4:$A$64,0))),INDEX(GPU!$G$4:$G$64,MATCH(Varian!$K26,GPU!$A$4:$A$64,0)),""),""))</f>
        <v/>
      </c>
      <c r="E114" s="69" t="str">
        <f aca="false">IF($A114="","",IF(ISNUMBER(Varian!$M26),Varian!$M26,""))</f>
        <v/>
      </c>
      <c r="F114" s="69" t="str">
        <f aca="false">IF($A114="","",IF(ISNUMBER(Varian!$V26),Varian!$V26,""))</f>
        <v/>
      </c>
      <c r="G114" s="69" t="str">
        <f aca="false">IF($A114="","",IFERROR(INDEX(Aturan!$B$63:$B$66,MATCH(Varian!$AG26,Aturan!$A$63:$A$66,0)),""))</f>
        <v/>
      </c>
      <c r="H114" s="69" t="str">
        <f aca="false">IF($A114="","",IF(ISNUMBER(Varian!$AI26),Varian!$AI26,""))</f>
        <v/>
      </c>
      <c r="I114" s="33" t="str">
        <f aca="false">IF($A114="","",IF(Varian!$Q26="disolder","menempel di papan utama, tidak bisa ditambah",IF(OR(Varian!$Q26="slot",Varian!$Q26="setengah_disolder"),IF(Varian!$Q26="setengah_disolder","sebagian menempel, ","")&amp;IF(ISNUMBER(Varian!$U26),IF(AND(ISNUMBER(Varian!$M26),Varian!$U26&gt;Varian!$M26),"bisa dinaikkan lewat slot sampai "&amp;Varian!$U26&amp;" GB","sudah di batas maksimal "&amp;Varian!$U26&amp;" GB"),"ada slot, batas maksimalnya belum diketahui"),"belum diketahui apakah bisa ditambah")))</f>
        <v/>
      </c>
      <c r="J114" s="33" t="str">
        <f aca="false">IF($A114="","",IF(Varian!$Z26="ya","bisa diganti dengan yang lebih besar",IF(Varian!$Z26="tidak","menempel, tidak bisa diganti","belum diketahui apakah bisa diganti")))</f>
        <v/>
      </c>
      <c r="K114" s="70" t="str">
        <f aca="false">IF($A114="","",IF(AND(Aturan!$C$54="",Aturan!$D$54=""),"Tidak dinilai",IF(C114="","Belum ada data",IF(C114&lt;IF(Aturan!$C$54="",0,Aturan!$C$54),"Kurang",IF(C114&gt;=IF(Aturan!$D$54="",Aturan!$C$54,Aturan!$D$54),"Nyaman","Cukup")))))</f>
        <v/>
      </c>
      <c r="L114" s="70" t="str">
        <f aca="false">IF($A114="","",IF(AND(Aturan!$C$55="",Aturan!$D$55=""),"Tidak dinilai",IF(D114="","Belum ada data",IF(D114&lt;IF(Aturan!$C$55="",0,Aturan!$C$55),"Kurang",IF(D114&gt;=IF(Aturan!$D$55="",Aturan!$C$55,Aturan!$D$55),"Nyaman","Cukup")))))</f>
        <v/>
      </c>
      <c r="M114" s="70" t="str">
        <f aca="false">IF($A114="","",IF(AND(Aturan!$C$56="",Aturan!$D$56=""),"Tidak dinilai",IF(E114="","Belum ada data",IF(E114&lt;IF(Aturan!$C$56="",0,Aturan!$C$56),"Kurang",IF(E114&gt;=IF(Aturan!$D$56="",Aturan!$C$56,Aturan!$D$56),"Nyaman","Cukup")))))</f>
        <v/>
      </c>
      <c r="N114" s="70" t="str">
        <f aca="false">IF($A114="","",IF(AND(Aturan!$C$57="",Aturan!$D$57=""),"Tidak dinilai",IF(F114="","Belum ada data",IF(F114&lt;IF(Aturan!$C$57="",0,Aturan!$C$57),"Kurang",IF(F114&gt;=IF(Aturan!$D$57="",Aturan!$C$57,Aturan!$D$57),"Nyaman","Cukup")))))</f>
        <v/>
      </c>
      <c r="O114" s="70" t="str">
        <f aca="false">IF($A114="","",IF(AND(Aturan!$C$58="",Aturan!$D$58=""),"Tidak dinilai",IF(G114="","Belum ada data",IF(G114&lt;IF(Aturan!$C$58="",0,Aturan!$C$58),"Kurang",IF(G114&gt;=IF(Aturan!$D$58="",Aturan!$C$58,Aturan!$D$58),"Nyaman","Cukup")))))</f>
        <v/>
      </c>
      <c r="P114" s="70" t="str">
        <f aca="false">IF($A114="","",IF(AND(Aturan!$C$59="",Aturan!$D$59=""),"Tidak dinilai",IF(H114="","Belum ada data",IF(H114&lt;IF(Aturan!$C$59="",0,Aturan!$C$59),"Kurang",IF(H114&gt;=IF(Aturan!$D$59="",Aturan!$C$59,Aturan!$D$59),"Nyaman","Cukup")))))</f>
        <v/>
      </c>
      <c r="Q114" s="70" t="str">
        <f aca="false">IF($A114="","",IF(COUNTIF(K114:P114,"Tidak dinilai")=6,"Tidak dinilai",IF(COUNTIF(K114:P114,"Kurang")&gt;0,"Kurang cocok",IF(COUNTIF(K114:P114,"Belum ada data")&gt;0,"Data belum lengkap",IF(COUNTIF(K114:P114,"Cukup")&gt;0,"Bisa, dengan catatan","Cocok")))))</f>
        <v/>
      </c>
      <c r="R114" s="33" t="str">
        <f aca="false">IF($A114="","",IF(K114="Kurang","prosesor tingkat "&amp;C114&amp;" dari 5, di bawah batas minimal (tingkat "&amp;Aturan!$C$54&amp;")",IF(K114="Cukup","prosesor tingkat "&amp;C114&amp;" dari 5 cukup, nyamannya mulai tingkat "&amp;Aturan!$D$54,IF(K114="Belum ada data","tingkat prosesor belum diisi",""))))</f>
        <v/>
      </c>
      <c r="S114" s="33" t="str">
        <f aca="false">IF($A114="","",IF(L114="Kurang","grafis tingkat "&amp;D114&amp;" dari 5, di bawah batas minimal (tingkat "&amp;Aturan!$C$55&amp;")",IF(L114="Cukup","grafis tingkat "&amp;D114&amp;" dari 5 cukup, nyamannya mulai tingkat "&amp;Aturan!$D$55,IF(L114="Belum ada data","tingkat grafis belum diisi",""))))</f>
        <v/>
      </c>
      <c r="T114" s="33" t="str">
        <f aca="false">IF($A114="","",IF(M114="Kurang","RAM "&amp;E114&amp;" GB, di bawah batas minimal "&amp;Aturan!$C$56&amp;" GB ("&amp;I114&amp;")",IF(M114="Cukup","RAM "&amp;E114&amp;" GB cukup, nyamannya "&amp;Aturan!$D$56&amp;" GB atau lebih ("&amp;I114&amp;")",IF(M114="Belum ada data","ukuran RAM belum diisi",""))))</f>
        <v/>
      </c>
      <c r="U114" s="33" t="str">
        <f aca="false">IF($A114="","",IF(N114="Kurang","penyimpanan "&amp;F114&amp;" GB, di bawah batas minimal "&amp;Aturan!$C$57&amp;" GB ("&amp;J114&amp;")",IF(N114="Cukup","penyimpanan "&amp;F114&amp;" GB cukup, nyamannya "&amp;Aturan!$D$57&amp;" GB atau lebih ("&amp;J114&amp;")",IF(N114="Belum ada data","ukuran penyimpanan belum diisi",""))))</f>
        <v/>
      </c>
      <c r="V114" s="33" t="str">
        <f aca="false">IF($A114="","",IF(O114="Kurang","layar "&amp;Varian!$AG26&amp;", di bawah batas minimal ("&amp;IFERROR(INDEX(Aturan!$A$63:$A$66,MATCH(Aturan!$C$58,Aturan!$B$63:$B$66,0)),"peringkat "&amp;Aturan!$C$58)&amp;")",IF(O114="Cukup","layar "&amp;Varian!$AG26&amp;" cukup, nyamannya "&amp;IFERROR(INDEX(Aturan!$A$63:$A$66,MATCH(Aturan!$D$58,Aturan!$B$63:$B$66,0)),"peringkat "&amp;Aturan!$D$58),IF(O114="Belum ada data","jenis layar belum diketahui",""))))</f>
        <v/>
      </c>
      <c r="W114" s="33" t="str">
        <f aca="false">IF($A114="","",IF(P114="Kurang","layar "&amp;H114&amp;" Hz, di bawah batas minimal "&amp;Aturan!$C$59&amp;" Hz",IF(P114="Cukup","layar "&amp;H114&amp;" Hz cukup, nyamannya "&amp;Aturan!$D$59&amp;" Hz atau lebih",IF(P114="Belum ada data","refresh rate belum diketahui",""))))</f>
        <v/>
      </c>
      <c r="X114" s="33" t="str">
        <f aca="false">IF($A114="","",IF(K114="Kurang",R114&amp;"; ","")&amp;IF(L114="Kurang",S114&amp;"; ","")&amp;IF(M114="Kurang",T114&amp;"; ","")&amp;IF(N114="Kurang",U114&amp;"; ","")&amp;IF(O114="Kurang",V114&amp;"; ","")&amp;IF(P114="Kurang",W114&amp;"; ","")&amp;IF(K114="Belum ada data",R114&amp;"; ","")&amp;IF(L114="Belum ada data",S114&amp;"; ","")&amp;IF(M114="Belum ada data",T114&amp;"; ","")&amp;IF(N114="Belum ada data",U114&amp;"; ","")&amp;IF(O114="Belum ada data",V114&amp;"; ","")&amp;IF(P114="Belum ada data",W114&amp;"; ","")&amp;IF(K114="Cukup",R114&amp;"; ","")&amp;IF(L114="Cukup",S114&amp;"; ","")&amp;IF(M114="Cukup",T114&amp;"; ","")&amp;IF(N114="Cukup",U114&amp;"; ","")&amp;IF(O114="Cukup",V114&amp;"; ","")&amp;IF(P114="Cukup",W114&amp;"; ",""))</f>
        <v/>
      </c>
      <c r="Y114" s="33" t="str">
        <f aca="false">IF($A114="","",IF(K114="Nyaman","prosesor, ","")&amp;IF(L114="Nyaman","grafis, ","")&amp;IF(M114="Nyaman","RAM, ","")&amp;IF(N114="Nyaman","penyimpanan, ","")&amp;IF(O114="Nyaman","layar, ","")&amp;IF(P114="Nyaman","refresh rate, ",""))</f>
        <v/>
      </c>
      <c r="Z114" s="33" t="str">
        <f aca="false">IF($A114="","",IF(Q114="Tidak dinilai","Belum ada kriteria yang dinilai untuk kebutuhan ini.",IF(Q114="Cocok","Semua kriteria yang dinilai sudah nyaman: "&amp;LEFT(Y114,LEN(Y114)-2)&amp;".",UPPER(LEFT(X114,1))&amp;MID(X114,2,LEN(X114)-3)&amp;"."&amp;IF(Y114="",""," Sudah nyaman: "&amp;LEFT(Y114,LEN(Y114)-2)&amp;"."))))</f>
        <v/>
      </c>
      <c r="AA114" s="33"/>
      <c r="AB114" s="33"/>
      <c r="AC114" s="69"/>
    </row>
    <row r="115" customFormat="false" ht="15" hidden="false" customHeight="true" outlineLevel="0" collapsed="false">
      <c r="A115" s="66" t="str">
        <f aca="false">IF(Varian!$A27="","",Varian!$A27)</f>
        <v/>
      </c>
      <c r="B115" s="66" t="str">
        <f aca="false">IF($A115="","",Aturan!$A$21)</f>
        <v/>
      </c>
      <c r="C115" s="67" t="str">
        <f aca="false">IF($A115="","",IFERROR(IF(ISNUMBER(INDEX(CPU!$J$4:$J$64,MATCH(Varian!$J27,CPU!$A$4:$A$64,0))),INDEX(CPU!$J$4:$J$64,MATCH(Varian!$J27,CPU!$A$4:$A$64,0)),""),""))</f>
        <v/>
      </c>
      <c r="D115" s="67" t="str">
        <f aca="false">IF($A115="","",IFERROR(IF(ISNUMBER(INDEX(GPU!$G$4:$G$64,MATCH(Varian!$K27,GPU!$A$4:$A$64,0))),INDEX(GPU!$G$4:$G$64,MATCH(Varian!$K27,GPU!$A$4:$A$64,0)),""),""))</f>
        <v/>
      </c>
      <c r="E115" s="67" t="str">
        <f aca="false">IF($A115="","",IF(ISNUMBER(Varian!$M27),Varian!$M27,""))</f>
        <v/>
      </c>
      <c r="F115" s="67" t="str">
        <f aca="false">IF($A115="","",IF(ISNUMBER(Varian!$V27),Varian!$V27,""))</f>
        <v/>
      </c>
      <c r="G115" s="67" t="str">
        <f aca="false">IF($A115="","",IFERROR(INDEX(Aturan!$B$63:$B$66,MATCH(Varian!$AG27,Aturan!$A$63:$A$66,0)),""))</f>
        <v/>
      </c>
      <c r="H115" s="67" t="str">
        <f aca="false">IF($A115="","",IF(ISNUMBER(Varian!$AI27),Varian!$AI27,""))</f>
        <v/>
      </c>
      <c r="I115" s="66" t="str">
        <f aca="false">IF($A115="","",IF(Varian!$Q27="disolder","menempel di papan utama, tidak bisa ditambah",IF(OR(Varian!$Q27="slot",Varian!$Q27="setengah_disolder"),IF(Varian!$Q27="setengah_disolder","sebagian menempel, ","")&amp;IF(ISNUMBER(Varian!$U27),IF(AND(ISNUMBER(Varian!$M27),Varian!$U27&gt;Varian!$M27),"bisa dinaikkan lewat slot sampai "&amp;Varian!$U27&amp;" GB","sudah di batas maksimal "&amp;Varian!$U27&amp;" GB"),"ada slot, batas maksimalnya belum diketahui"),"belum diketahui apakah bisa ditambah")))</f>
        <v/>
      </c>
      <c r="J115" s="66" t="str">
        <f aca="false">IF($A115="","",IF(Varian!$Z27="ya","bisa diganti dengan yang lebih besar",IF(Varian!$Z27="tidak","menempel, tidak bisa diganti","belum diketahui apakah bisa diganti")))</f>
        <v/>
      </c>
      <c r="K115" s="68" t="str">
        <f aca="false">IF($A115="","",IF(AND(Aturan!$C$30="",Aturan!$D$30=""),"Tidak dinilai",IF(C115="","Belum ada data",IF(C115&lt;IF(Aturan!$C$30="",0,Aturan!$C$30),"Kurang",IF(C115&gt;=IF(Aturan!$D$30="",Aturan!$C$30,Aturan!$D$30),"Nyaman","Cukup")))))</f>
        <v/>
      </c>
      <c r="L115" s="68" t="str">
        <f aca="false">IF($A115="","",IF(AND(Aturan!$C$31="",Aturan!$D$31=""),"Tidak dinilai",IF(D115="","Belum ada data",IF(D115&lt;IF(Aturan!$C$31="",0,Aturan!$C$31),"Kurang",IF(D115&gt;=IF(Aturan!$D$31="",Aturan!$C$31,Aturan!$D$31),"Nyaman","Cukup")))))</f>
        <v/>
      </c>
      <c r="M115" s="68" t="str">
        <f aca="false">IF($A115="","",IF(AND(Aturan!$C$32="",Aturan!$D$32=""),"Tidak dinilai",IF(E115="","Belum ada data",IF(E115&lt;IF(Aturan!$C$32="",0,Aturan!$C$32),"Kurang",IF(E115&gt;=IF(Aturan!$D$32="",Aturan!$C$32,Aturan!$D$32),"Nyaman","Cukup")))))</f>
        <v/>
      </c>
      <c r="N115" s="68" t="str">
        <f aca="false">IF($A115="","",IF(AND(Aturan!$C$33="",Aturan!$D$33=""),"Tidak dinilai",IF(F115="","Belum ada data",IF(F115&lt;IF(Aturan!$C$33="",0,Aturan!$C$33),"Kurang",IF(F115&gt;=IF(Aturan!$D$33="",Aturan!$C$33,Aturan!$D$33),"Nyaman","Cukup")))))</f>
        <v/>
      </c>
      <c r="O115" s="68" t="str">
        <f aca="false">IF($A115="","",IF(AND(Aturan!$C$34="",Aturan!$D$34=""),"Tidak dinilai",IF(G115="","Belum ada data",IF(G115&lt;IF(Aturan!$C$34="",0,Aturan!$C$34),"Kurang",IF(G115&gt;=IF(Aturan!$D$34="",Aturan!$C$34,Aturan!$D$34),"Nyaman","Cukup")))))</f>
        <v/>
      </c>
      <c r="P115" s="68" t="str">
        <f aca="false">IF($A115="","",IF(AND(Aturan!$C$35="",Aturan!$D$35=""),"Tidak dinilai",IF(H115="","Belum ada data",IF(H115&lt;IF(Aturan!$C$35="",0,Aturan!$C$35),"Kurang",IF(H115&gt;=IF(Aturan!$D$35="",Aturan!$C$35,Aturan!$D$35),"Nyaman","Cukup")))))</f>
        <v/>
      </c>
      <c r="Q115" s="68" t="str">
        <f aca="false">IF($A115="","",IF(COUNTIF(K115:P115,"Tidak dinilai")=6,"Tidak dinilai",IF(COUNTIF(K115:P115,"Kurang")&gt;0,"Kurang cocok",IF(COUNTIF(K115:P115,"Belum ada data")&gt;0,"Data belum lengkap",IF(COUNTIF(K115:P115,"Cukup")&gt;0,"Bisa, dengan catatan","Cocok")))))</f>
        <v/>
      </c>
      <c r="R115" s="66" t="str">
        <f aca="false">IF($A115="","",IF(K115="Kurang","prosesor tingkat "&amp;C115&amp;" dari 5, di bawah batas minimal (tingkat "&amp;Aturan!$C$30&amp;")",IF(K115="Cukup","prosesor tingkat "&amp;C115&amp;" dari 5 cukup, nyamannya mulai tingkat "&amp;Aturan!$D$30,IF(K115="Belum ada data","tingkat prosesor belum diisi",""))))</f>
        <v/>
      </c>
      <c r="S115" s="66" t="str">
        <f aca="false">IF($A115="","",IF(L115="Kurang","grafis tingkat "&amp;D115&amp;" dari 5, di bawah batas minimal (tingkat "&amp;Aturan!$C$31&amp;")",IF(L115="Cukup","grafis tingkat "&amp;D115&amp;" dari 5 cukup, nyamannya mulai tingkat "&amp;Aturan!$D$31,IF(L115="Belum ada data","tingkat grafis belum diisi",""))))</f>
        <v/>
      </c>
      <c r="T115" s="66" t="str">
        <f aca="false">IF($A115="","",IF(M115="Kurang","RAM "&amp;E115&amp;" GB, di bawah batas minimal "&amp;Aturan!$C$32&amp;" GB ("&amp;I115&amp;")",IF(M115="Cukup","RAM "&amp;E115&amp;" GB cukup, nyamannya "&amp;Aturan!$D$32&amp;" GB atau lebih ("&amp;I115&amp;")",IF(M115="Belum ada data","ukuran RAM belum diisi",""))))</f>
        <v/>
      </c>
      <c r="U115" s="66" t="str">
        <f aca="false">IF($A115="","",IF(N115="Kurang","penyimpanan "&amp;F115&amp;" GB, di bawah batas minimal "&amp;Aturan!$C$33&amp;" GB ("&amp;J115&amp;")",IF(N115="Cukup","penyimpanan "&amp;F115&amp;" GB cukup, nyamannya "&amp;Aturan!$D$33&amp;" GB atau lebih ("&amp;J115&amp;")",IF(N115="Belum ada data","ukuran penyimpanan belum diisi",""))))</f>
        <v/>
      </c>
      <c r="V115" s="66" t="str">
        <f aca="false">IF($A115="","",IF(O115="Kurang","layar "&amp;Varian!$AG27&amp;", di bawah batas minimal ("&amp;IFERROR(INDEX(Aturan!$A$63:$A$66,MATCH(Aturan!$C$34,Aturan!$B$63:$B$66,0)),"peringkat "&amp;Aturan!$C$34)&amp;")",IF(O115="Cukup","layar "&amp;Varian!$AG27&amp;" cukup, nyamannya "&amp;IFERROR(INDEX(Aturan!$A$63:$A$66,MATCH(Aturan!$D$34,Aturan!$B$63:$B$66,0)),"peringkat "&amp;Aturan!$D$34),IF(O115="Belum ada data","jenis layar belum diketahui",""))))</f>
        <v/>
      </c>
      <c r="W115" s="66" t="str">
        <f aca="false">IF($A115="","",IF(P115="Kurang","layar "&amp;H115&amp;" Hz, di bawah batas minimal "&amp;Aturan!$C$35&amp;" Hz",IF(P115="Cukup","layar "&amp;H115&amp;" Hz cukup, nyamannya "&amp;Aturan!$D$35&amp;" Hz atau lebih",IF(P115="Belum ada data","refresh rate belum diketahui",""))))</f>
        <v/>
      </c>
      <c r="X115" s="66" t="str">
        <f aca="false">IF($A115="","",IF(K115="Kurang",R115&amp;"; ","")&amp;IF(L115="Kurang",S115&amp;"; ","")&amp;IF(M115="Kurang",T115&amp;"; ","")&amp;IF(N115="Kurang",U115&amp;"; ","")&amp;IF(O115="Kurang",V115&amp;"; ","")&amp;IF(P115="Kurang",W115&amp;"; ","")&amp;IF(K115="Belum ada data",R115&amp;"; ","")&amp;IF(L115="Belum ada data",S115&amp;"; ","")&amp;IF(M115="Belum ada data",T115&amp;"; ","")&amp;IF(N115="Belum ada data",U115&amp;"; ","")&amp;IF(O115="Belum ada data",V115&amp;"; ","")&amp;IF(P115="Belum ada data",W115&amp;"; ","")&amp;IF(K115="Cukup",R115&amp;"; ","")&amp;IF(L115="Cukup",S115&amp;"; ","")&amp;IF(M115="Cukup",T115&amp;"; ","")&amp;IF(N115="Cukup",U115&amp;"; ","")&amp;IF(O115="Cukup",V115&amp;"; ","")&amp;IF(P115="Cukup",W115&amp;"; ",""))</f>
        <v/>
      </c>
      <c r="Y115" s="66" t="str">
        <f aca="false">IF($A115="","",IF(K115="Nyaman","prosesor, ","")&amp;IF(L115="Nyaman","grafis, ","")&amp;IF(M115="Nyaman","RAM, ","")&amp;IF(N115="Nyaman","penyimpanan, ","")&amp;IF(O115="Nyaman","layar, ","")&amp;IF(P115="Nyaman","refresh rate, ",""))</f>
        <v/>
      </c>
      <c r="Z115" s="66" t="str">
        <f aca="false">IF($A115="","",IF(Q115="Tidak dinilai","Belum ada kriteria yang dinilai untuk kebutuhan ini.",IF(Q115="Cocok","Semua kriteria yang dinilai sudah nyaman: "&amp;LEFT(Y115,LEN(Y115)-2)&amp;".",UPPER(LEFT(X115,1))&amp;MID(X115,2,LEN(X115)-3)&amp;"."&amp;IF(Y115="",""," Sudah nyaman: "&amp;LEFT(Y115,LEN(Y115)-2)&amp;"."))))</f>
        <v/>
      </c>
      <c r="AA115" s="66" t="str">
        <f aca="false">IF($A115="","",IF(Varian!$AR27="Windows 10","• "&amp;Aturan!$E$71&amp;CHAR(10),"")&amp;IF(Varian!$BB27="tidak","• "&amp;Aturan!$E$72&amp;CHAR(10),"")&amp;IF(OR(Varian!$AD27="belum terverifikasi",Varian!$AD27="tidak diketahui"),"• "&amp;Aturan!$E$73&amp;CHAR(10),"")&amp;IF(Varian!$AH27="1366x768","• "&amp;Aturan!$E$74&amp;CHAR(10),"")&amp;IF(Varian!$AG27="TN","• "&amp;Aturan!$E$75&amp;CHAR(10),"")&amp;IF(AND(Varian!$Q27="disolder",ISNUMBER(Varian!$M27),Varian!$M27&lt;=8),"• "&amp;Aturan!$E$76&amp;CHAR(10),""))</f>
        <v/>
      </c>
      <c r="AB115" s="66" t="str">
        <f aca="false">IF($A115="","",IF(AA115="","",LEFT(AA115,LEN(AA115)-1)))</f>
        <v/>
      </c>
      <c r="AC115" s="67" t="str">
        <f aca="false">IF($A115="","",IF(AA115="",0,LEN(AA115)-LEN(SUBSTITUTE(AA115,CHAR(10),""))))</f>
        <v/>
      </c>
    </row>
    <row r="116" customFormat="false" ht="15" hidden="false" customHeight="true" outlineLevel="0" collapsed="false">
      <c r="A116" s="33" t="str">
        <f aca="false">IF(Varian!$A27="","",Varian!$A27)</f>
        <v/>
      </c>
      <c r="B116" s="33" t="str">
        <f aca="false">IF($A116="","",Aturan!$A$22)</f>
        <v/>
      </c>
      <c r="C116" s="69" t="str">
        <f aca="false">IF($A116="","",IFERROR(IF(ISNUMBER(INDEX(CPU!$J$4:$J$64,MATCH(Varian!$J27,CPU!$A$4:$A$64,0))),INDEX(CPU!$J$4:$J$64,MATCH(Varian!$J27,CPU!$A$4:$A$64,0)),""),""))</f>
        <v/>
      </c>
      <c r="D116" s="69" t="str">
        <f aca="false">IF($A116="","",IFERROR(IF(ISNUMBER(INDEX(GPU!$G$4:$G$64,MATCH(Varian!$K27,GPU!$A$4:$A$64,0))),INDEX(GPU!$G$4:$G$64,MATCH(Varian!$K27,GPU!$A$4:$A$64,0)),""),""))</f>
        <v/>
      </c>
      <c r="E116" s="69" t="str">
        <f aca="false">IF($A116="","",IF(ISNUMBER(Varian!$M27),Varian!$M27,""))</f>
        <v/>
      </c>
      <c r="F116" s="69" t="str">
        <f aca="false">IF($A116="","",IF(ISNUMBER(Varian!$V27),Varian!$V27,""))</f>
        <v/>
      </c>
      <c r="G116" s="69" t="str">
        <f aca="false">IF($A116="","",IFERROR(INDEX(Aturan!$B$63:$B$66,MATCH(Varian!$AG27,Aturan!$A$63:$A$66,0)),""))</f>
        <v/>
      </c>
      <c r="H116" s="69" t="str">
        <f aca="false">IF($A116="","",IF(ISNUMBER(Varian!$AI27),Varian!$AI27,""))</f>
        <v/>
      </c>
      <c r="I116" s="33" t="str">
        <f aca="false">IF($A116="","",IF(Varian!$Q27="disolder","menempel di papan utama, tidak bisa ditambah",IF(OR(Varian!$Q27="slot",Varian!$Q27="setengah_disolder"),IF(Varian!$Q27="setengah_disolder","sebagian menempel, ","")&amp;IF(ISNUMBER(Varian!$U27),IF(AND(ISNUMBER(Varian!$M27),Varian!$U27&gt;Varian!$M27),"bisa dinaikkan lewat slot sampai "&amp;Varian!$U27&amp;" GB","sudah di batas maksimal "&amp;Varian!$U27&amp;" GB"),"ada slot, batas maksimalnya belum diketahui"),"belum diketahui apakah bisa ditambah")))</f>
        <v/>
      </c>
      <c r="J116" s="33" t="str">
        <f aca="false">IF($A116="","",IF(Varian!$Z27="ya","bisa diganti dengan yang lebih besar",IF(Varian!$Z27="tidak","menempel, tidak bisa diganti","belum diketahui apakah bisa diganti")))</f>
        <v/>
      </c>
      <c r="K116" s="70" t="str">
        <f aca="false">IF($A116="","",IF(AND(Aturan!$C$36="",Aturan!$D$36=""),"Tidak dinilai",IF(C116="","Belum ada data",IF(C116&lt;IF(Aturan!$C$36="",0,Aturan!$C$36),"Kurang",IF(C116&gt;=IF(Aturan!$D$36="",Aturan!$C$36,Aturan!$D$36),"Nyaman","Cukup")))))</f>
        <v/>
      </c>
      <c r="L116" s="70" t="str">
        <f aca="false">IF($A116="","",IF(AND(Aturan!$C$37="",Aturan!$D$37=""),"Tidak dinilai",IF(D116="","Belum ada data",IF(D116&lt;IF(Aturan!$C$37="",0,Aturan!$C$37),"Kurang",IF(D116&gt;=IF(Aturan!$D$37="",Aturan!$C$37,Aturan!$D$37),"Nyaman","Cukup")))))</f>
        <v/>
      </c>
      <c r="M116" s="70" t="str">
        <f aca="false">IF($A116="","",IF(AND(Aturan!$C$38="",Aturan!$D$38=""),"Tidak dinilai",IF(E116="","Belum ada data",IF(E116&lt;IF(Aturan!$C$38="",0,Aturan!$C$38),"Kurang",IF(E116&gt;=IF(Aturan!$D$38="",Aturan!$C$38,Aturan!$D$38),"Nyaman","Cukup")))))</f>
        <v/>
      </c>
      <c r="N116" s="70" t="str">
        <f aca="false">IF($A116="","",IF(AND(Aturan!$C$39="",Aturan!$D$39=""),"Tidak dinilai",IF(F116="","Belum ada data",IF(F116&lt;IF(Aturan!$C$39="",0,Aturan!$C$39),"Kurang",IF(F116&gt;=IF(Aturan!$D$39="",Aturan!$C$39,Aturan!$D$39),"Nyaman","Cukup")))))</f>
        <v/>
      </c>
      <c r="O116" s="70" t="str">
        <f aca="false">IF($A116="","",IF(AND(Aturan!$C$40="",Aturan!$D$40=""),"Tidak dinilai",IF(G116="","Belum ada data",IF(G116&lt;IF(Aturan!$C$40="",0,Aturan!$C$40),"Kurang",IF(G116&gt;=IF(Aturan!$D$40="",Aturan!$C$40,Aturan!$D$40),"Nyaman","Cukup")))))</f>
        <v/>
      </c>
      <c r="P116" s="70" t="str">
        <f aca="false">IF($A116="","",IF(AND(Aturan!$C$41="",Aturan!$D$41=""),"Tidak dinilai",IF(H116="","Belum ada data",IF(H116&lt;IF(Aturan!$C$41="",0,Aturan!$C$41),"Kurang",IF(H116&gt;=IF(Aturan!$D$41="",Aturan!$C$41,Aturan!$D$41),"Nyaman","Cukup")))))</f>
        <v/>
      </c>
      <c r="Q116" s="70" t="str">
        <f aca="false">IF($A116="","",IF(COUNTIF(K116:P116,"Tidak dinilai")=6,"Tidak dinilai",IF(COUNTIF(K116:P116,"Kurang")&gt;0,"Kurang cocok",IF(COUNTIF(K116:P116,"Belum ada data")&gt;0,"Data belum lengkap",IF(COUNTIF(K116:P116,"Cukup")&gt;0,"Bisa, dengan catatan","Cocok")))))</f>
        <v/>
      </c>
      <c r="R116" s="33" t="str">
        <f aca="false">IF($A116="","",IF(K116="Kurang","prosesor tingkat "&amp;C116&amp;" dari 5, di bawah batas minimal (tingkat "&amp;Aturan!$C$36&amp;")",IF(K116="Cukup","prosesor tingkat "&amp;C116&amp;" dari 5 cukup, nyamannya mulai tingkat "&amp;Aturan!$D$36,IF(K116="Belum ada data","tingkat prosesor belum diisi",""))))</f>
        <v/>
      </c>
      <c r="S116" s="33" t="str">
        <f aca="false">IF($A116="","",IF(L116="Kurang","grafis tingkat "&amp;D116&amp;" dari 5, di bawah batas minimal (tingkat "&amp;Aturan!$C$37&amp;")",IF(L116="Cukup","grafis tingkat "&amp;D116&amp;" dari 5 cukup, nyamannya mulai tingkat "&amp;Aturan!$D$37,IF(L116="Belum ada data","tingkat grafis belum diisi",""))))</f>
        <v/>
      </c>
      <c r="T116" s="33" t="str">
        <f aca="false">IF($A116="","",IF(M116="Kurang","RAM "&amp;E116&amp;" GB, di bawah batas minimal "&amp;Aturan!$C$38&amp;" GB ("&amp;I116&amp;")",IF(M116="Cukup","RAM "&amp;E116&amp;" GB cukup, nyamannya "&amp;Aturan!$D$38&amp;" GB atau lebih ("&amp;I116&amp;")",IF(M116="Belum ada data","ukuran RAM belum diisi",""))))</f>
        <v/>
      </c>
      <c r="U116" s="33" t="str">
        <f aca="false">IF($A116="","",IF(N116="Kurang","penyimpanan "&amp;F116&amp;" GB, di bawah batas minimal "&amp;Aturan!$C$39&amp;" GB ("&amp;J116&amp;")",IF(N116="Cukup","penyimpanan "&amp;F116&amp;" GB cukup, nyamannya "&amp;Aturan!$D$39&amp;" GB atau lebih ("&amp;J116&amp;")",IF(N116="Belum ada data","ukuran penyimpanan belum diisi",""))))</f>
        <v/>
      </c>
      <c r="V116" s="33" t="str">
        <f aca="false">IF($A116="","",IF(O116="Kurang","layar "&amp;Varian!$AG27&amp;", di bawah batas minimal ("&amp;IFERROR(INDEX(Aturan!$A$63:$A$66,MATCH(Aturan!$C$40,Aturan!$B$63:$B$66,0)),"peringkat "&amp;Aturan!$C$40)&amp;")",IF(O116="Cukup","layar "&amp;Varian!$AG27&amp;" cukup, nyamannya "&amp;IFERROR(INDEX(Aturan!$A$63:$A$66,MATCH(Aturan!$D$40,Aturan!$B$63:$B$66,0)),"peringkat "&amp;Aturan!$D$40),IF(O116="Belum ada data","jenis layar belum diketahui",""))))</f>
        <v/>
      </c>
      <c r="W116" s="33" t="str">
        <f aca="false">IF($A116="","",IF(P116="Kurang","layar "&amp;H116&amp;" Hz, di bawah batas minimal "&amp;Aturan!$C$41&amp;" Hz",IF(P116="Cukup","layar "&amp;H116&amp;" Hz cukup, nyamannya "&amp;Aturan!$D$41&amp;" Hz atau lebih",IF(P116="Belum ada data","refresh rate belum diketahui",""))))</f>
        <v/>
      </c>
      <c r="X116" s="33" t="str">
        <f aca="false">IF($A116="","",IF(K116="Kurang",R116&amp;"; ","")&amp;IF(L116="Kurang",S116&amp;"; ","")&amp;IF(M116="Kurang",T116&amp;"; ","")&amp;IF(N116="Kurang",U116&amp;"; ","")&amp;IF(O116="Kurang",V116&amp;"; ","")&amp;IF(P116="Kurang",W116&amp;"; ","")&amp;IF(K116="Belum ada data",R116&amp;"; ","")&amp;IF(L116="Belum ada data",S116&amp;"; ","")&amp;IF(M116="Belum ada data",T116&amp;"; ","")&amp;IF(N116="Belum ada data",U116&amp;"; ","")&amp;IF(O116="Belum ada data",V116&amp;"; ","")&amp;IF(P116="Belum ada data",W116&amp;"; ","")&amp;IF(K116="Cukup",R116&amp;"; ","")&amp;IF(L116="Cukup",S116&amp;"; ","")&amp;IF(M116="Cukup",T116&amp;"; ","")&amp;IF(N116="Cukup",U116&amp;"; ","")&amp;IF(O116="Cukup",V116&amp;"; ","")&amp;IF(P116="Cukup",W116&amp;"; ",""))</f>
        <v/>
      </c>
      <c r="Y116" s="33" t="str">
        <f aca="false">IF($A116="","",IF(K116="Nyaman","prosesor, ","")&amp;IF(L116="Nyaman","grafis, ","")&amp;IF(M116="Nyaman","RAM, ","")&amp;IF(N116="Nyaman","penyimpanan, ","")&amp;IF(O116="Nyaman","layar, ","")&amp;IF(P116="Nyaman","refresh rate, ",""))</f>
        <v/>
      </c>
      <c r="Z116" s="33" t="str">
        <f aca="false">IF($A116="","",IF(Q116="Tidak dinilai","Belum ada kriteria yang dinilai untuk kebutuhan ini.",IF(Q116="Cocok","Semua kriteria yang dinilai sudah nyaman: "&amp;LEFT(Y116,LEN(Y116)-2)&amp;".",UPPER(LEFT(X116,1))&amp;MID(X116,2,LEN(X116)-3)&amp;"."&amp;IF(Y116="",""," Sudah nyaman: "&amp;LEFT(Y116,LEN(Y116)-2)&amp;"."))))</f>
        <v/>
      </c>
      <c r="AA116" s="33"/>
      <c r="AB116" s="33"/>
      <c r="AC116" s="69"/>
    </row>
    <row r="117" customFormat="false" ht="15" hidden="false" customHeight="true" outlineLevel="0" collapsed="false">
      <c r="A117" s="33" t="str">
        <f aca="false">IF(Varian!$A27="","",Varian!$A27)</f>
        <v/>
      </c>
      <c r="B117" s="33" t="str">
        <f aca="false">IF($A117="","",Aturan!$A$23)</f>
        <v/>
      </c>
      <c r="C117" s="69" t="str">
        <f aca="false">IF($A117="","",IFERROR(IF(ISNUMBER(INDEX(CPU!$J$4:$J$64,MATCH(Varian!$J27,CPU!$A$4:$A$64,0))),INDEX(CPU!$J$4:$J$64,MATCH(Varian!$J27,CPU!$A$4:$A$64,0)),""),""))</f>
        <v/>
      </c>
      <c r="D117" s="69" t="str">
        <f aca="false">IF($A117="","",IFERROR(IF(ISNUMBER(INDEX(GPU!$G$4:$G$64,MATCH(Varian!$K27,GPU!$A$4:$A$64,0))),INDEX(GPU!$G$4:$G$64,MATCH(Varian!$K27,GPU!$A$4:$A$64,0)),""),""))</f>
        <v/>
      </c>
      <c r="E117" s="69" t="str">
        <f aca="false">IF($A117="","",IF(ISNUMBER(Varian!$M27),Varian!$M27,""))</f>
        <v/>
      </c>
      <c r="F117" s="69" t="str">
        <f aca="false">IF($A117="","",IF(ISNUMBER(Varian!$V27),Varian!$V27,""))</f>
        <v/>
      </c>
      <c r="G117" s="69" t="str">
        <f aca="false">IF($A117="","",IFERROR(INDEX(Aturan!$B$63:$B$66,MATCH(Varian!$AG27,Aturan!$A$63:$A$66,0)),""))</f>
        <v/>
      </c>
      <c r="H117" s="69" t="str">
        <f aca="false">IF($A117="","",IF(ISNUMBER(Varian!$AI27),Varian!$AI27,""))</f>
        <v/>
      </c>
      <c r="I117" s="33" t="str">
        <f aca="false">IF($A117="","",IF(Varian!$Q27="disolder","menempel di papan utama, tidak bisa ditambah",IF(OR(Varian!$Q27="slot",Varian!$Q27="setengah_disolder"),IF(Varian!$Q27="setengah_disolder","sebagian menempel, ","")&amp;IF(ISNUMBER(Varian!$U27),IF(AND(ISNUMBER(Varian!$M27),Varian!$U27&gt;Varian!$M27),"bisa dinaikkan lewat slot sampai "&amp;Varian!$U27&amp;" GB","sudah di batas maksimal "&amp;Varian!$U27&amp;" GB"),"ada slot, batas maksimalnya belum diketahui"),"belum diketahui apakah bisa ditambah")))</f>
        <v/>
      </c>
      <c r="J117" s="33" t="str">
        <f aca="false">IF($A117="","",IF(Varian!$Z27="ya","bisa diganti dengan yang lebih besar",IF(Varian!$Z27="tidak","menempel, tidak bisa diganti","belum diketahui apakah bisa diganti")))</f>
        <v/>
      </c>
      <c r="K117" s="70" t="str">
        <f aca="false">IF($A117="","",IF(AND(Aturan!$C$42="",Aturan!$D$42=""),"Tidak dinilai",IF(C117="","Belum ada data",IF(C117&lt;IF(Aturan!$C$42="",0,Aturan!$C$42),"Kurang",IF(C117&gt;=IF(Aturan!$D$42="",Aturan!$C$42,Aturan!$D$42),"Nyaman","Cukup")))))</f>
        <v/>
      </c>
      <c r="L117" s="70" t="str">
        <f aca="false">IF($A117="","",IF(AND(Aturan!$C$43="",Aturan!$D$43=""),"Tidak dinilai",IF(D117="","Belum ada data",IF(D117&lt;IF(Aturan!$C$43="",0,Aturan!$C$43),"Kurang",IF(D117&gt;=IF(Aturan!$D$43="",Aturan!$C$43,Aturan!$D$43),"Nyaman","Cukup")))))</f>
        <v/>
      </c>
      <c r="M117" s="70" t="str">
        <f aca="false">IF($A117="","",IF(AND(Aturan!$C$44="",Aturan!$D$44=""),"Tidak dinilai",IF(E117="","Belum ada data",IF(E117&lt;IF(Aturan!$C$44="",0,Aturan!$C$44),"Kurang",IF(E117&gt;=IF(Aturan!$D$44="",Aturan!$C$44,Aturan!$D$44),"Nyaman","Cukup")))))</f>
        <v/>
      </c>
      <c r="N117" s="70" t="str">
        <f aca="false">IF($A117="","",IF(AND(Aturan!$C$45="",Aturan!$D$45=""),"Tidak dinilai",IF(F117="","Belum ada data",IF(F117&lt;IF(Aturan!$C$45="",0,Aturan!$C$45),"Kurang",IF(F117&gt;=IF(Aturan!$D$45="",Aturan!$C$45,Aturan!$D$45),"Nyaman","Cukup")))))</f>
        <v/>
      </c>
      <c r="O117" s="70" t="str">
        <f aca="false">IF($A117="","",IF(AND(Aturan!$C$46="",Aturan!$D$46=""),"Tidak dinilai",IF(G117="","Belum ada data",IF(G117&lt;IF(Aturan!$C$46="",0,Aturan!$C$46),"Kurang",IF(G117&gt;=IF(Aturan!$D$46="",Aturan!$C$46,Aturan!$D$46),"Nyaman","Cukup")))))</f>
        <v/>
      </c>
      <c r="P117" s="70" t="str">
        <f aca="false">IF($A117="","",IF(AND(Aturan!$C$47="",Aturan!$D$47=""),"Tidak dinilai",IF(H117="","Belum ada data",IF(H117&lt;IF(Aturan!$C$47="",0,Aturan!$C$47),"Kurang",IF(H117&gt;=IF(Aturan!$D$47="",Aturan!$C$47,Aturan!$D$47),"Nyaman","Cukup")))))</f>
        <v/>
      </c>
      <c r="Q117" s="70" t="str">
        <f aca="false">IF($A117="","",IF(COUNTIF(K117:P117,"Tidak dinilai")=6,"Tidak dinilai",IF(COUNTIF(K117:P117,"Kurang")&gt;0,"Kurang cocok",IF(COUNTIF(K117:P117,"Belum ada data")&gt;0,"Data belum lengkap",IF(COUNTIF(K117:P117,"Cukup")&gt;0,"Bisa, dengan catatan","Cocok")))))</f>
        <v/>
      </c>
      <c r="R117" s="33" t="str">
        <f aca="false">IF($A117="","",IF(K117="Kurang","prosesor tingkat "&amp;C117&amp;" dari 5, di bawah batas minimal (tingkat "&amp;Aturan!$C$42&amp;")",IF(K117="Cukup","prosesor tingkat "&amp;C117&amp;" dari 5 cukup, nyamannya mulai tingkat "&amp;Aturan!$D$42,IF(K117="Belum ada data","tingkat prosesor belum diisi",""))))</f>
        <v/>
      </c>
      <c r="S117" s="33" t="str">
        <f aca="false">IF($A117="","",IF(L117="Kurang","grafis tingkat "&amp;D117&amp;" dari 5, di bawah batas minimal (tingkat "&amp;Aturan!$C$43&amp;")",IF(L117="Cukup","grafis tingkat "&amp;D117&amp;" dari 5 cukup, nyamannya mulai tingkat "&amp;Aturan!$D$43,IF(L117="Belum ada data","tingkat grafis belum diisi",""))))</f>
        <v/>
      </c>
      <c r="T117" s="33" t="str">
        <f aca="false">IF($A117="","",IF(M117="Kurang","RAM "&amp;E117&amp;" GB, di bawah batas minimal "&amp;Aturan!$C$44&amp;" GB ("&amp;I117&amp;")",IF(M117="Cukup","RAM "&amp;E117&amp;" GB cukup, nyamannya "&amp;Aturan!$D$44&amp;" GB atau lebih ("&amp;I117&amp;")",IF(M117="Belum ada data","ukuran RAM belum diisi",""))))</f>
        <v/>
      </c>
      <c r="U117" s="33" t="str">
        <f aca="false">IF($A117="","",IF(N117="Kurang","penyimpanan "&amp;F117&amp;" GB, di bawah batas minimal "&amp;Aturan!$C$45&amp;" GB ("&amp;J117&amp;")",IF(N117="Cukup","penyimpanan "&amp;F117&amp;" GB cukup, nyamannya "&amp;Aturan!$D$45&amp;" GB atau lebih ("&amp;J117&amp;")",IF(N117="Belum ada data","ukuran penyimpanan belum diisi",""))))</f>
        <v/>
      </c>
      <c r="V117" s="33" t="str">
        <f aca="false">IF($A117="","",IF(O117="Kurang","layar "&amp;Varian!$AG27&amp;", di bawah batas minimal ("&amp;IFERROR(INDEX(Aturan!$A$63:$A$66,MATCH(Aturan!$C$46,Aturan!$B$63:$B$66,0)),"peringkat "&amp;Aturan!$C$46)&amp;")",IF(O117="Cukup","layar "&amp;Varian!$AG27&amp;" cukup, nyamannya "&amp;IFERROR(INDEX(Aturan!$A$63:$A$66,MATCH(Aturan!$D$46,Aturan!$B$63:$B$66,0)),"peringkat "&amp;Aturan!$D$46),IF(O117="Belum ada data","jenis layar belum diketahui",""))))</f>
        <v/>
      </c>
      <c r="W117" s="33" t="str">
        <f aca="false">IF($A117="","",IF(P117="Kurang","layar "&amp;H117&amp;" Hz, di bawah batas minimal "&amp;Aturan!$C$47&amp;" Hz",IF(P117="Cukup","layar "&amp;H117&amp;" Hz cukup, nyamannya "&amp;Aturan!$D$47&amp;" Hz atau lebih",IF(P117="Belum ada data","refresh rate belum diketahui",""))))</f>
        <v/>
      </c>
      <c r="X117" s="33" t="str">
        <f aca="false">IF($A117="","",IF(K117="Kurang",R117&amp;"; ","")&amp;IF(L117="Kurang",S117&amp;"; ","")&amp;IF(M117="Kurang",T117&amp;"; ","")&amp;IF(N117="Kurang",U117&amp;"; ","")&amp;IF(O117="Kurang",V117&amp;"; ","")&amp;IF(P117="Kurang",W117&amp;"; ","")&amp;IF(K117="Belum ada data",R117&amp;"; ","")&amp;IF(L117="Belum ada data",S117&amp;"; ","")&amp;IF(M117="Belum ada data",T117&amp;"; ","")&amp;IF(N117="Belum ada data",U117&amp;"; ","")&amp;IF(O117="Belum ada data",V117&amp;"; ","")&amp;IF(P117="Belum ada data",W117&amp;"; ","")&amp;IF(K117="Cukup",R117&amp;"; ","")&amp;IF(L117="Cukup",S117&amp;"; ","")&amp;IF(M117="Cukup",T117&amp;"; ","")&amp;IF(N117="Cukup",U117&amp;"; ","")&amp;IF(O117="Cukup",V117&amp;"; ","")&amp;IF(P117="Cukup",W117&amp;"; ",""))</f>
        <v/>
      </c>
      <c r="Y117" s="33" t="str">
        <f aca="false">IF($A117="","",IF(K117="Nyaman","prosesor, ","")&amp;IF(L117="Nyaman","grafis, ","")&amp;IF(M117="Nyaman","RAM, ","")&amp;IF(N117="Nyaman","penyimpanan, ","")&amp;IF(O117="Nyaman","layar, ","")&amp;IF(P117="Nyaman","refresh rate, ",""))</f>
        <v/>
      </c>
      <c r="Z117" s="33" t="str">
        <f aca="false">IF($A117="","",IF(Q117="Tidak dinilai","Belum ada kriteria yang dinilai untuk kebutuhan ini.",IF(Q117="Cocok","Semua kriteria yang dinilai sudah nyaman: "&amp;LEFT(Y117,LEN(Y117)-2)&amp;".",UPPER(LEFT(X117,1))&amp;MID(X117,2,LEN(X117)-3)&amp;"."&amp;IF(Y117="",""," Sudah nyaman: "&amp;LEFT(Y117,LEN(Y117)-2)&amp;"."))))</f>
        <v/>
      </c>
      <c r="AA117" s="33"/>
      <c r="AB117" s="33"/>
      <c r="AC117" s="69"/>
    </row>
    <row r="118" customFormat="false" ht="15" hidden="false" customHeight="true" outlineLevel="0" collapsed="false">
      <c r="A118" s="33" t="str">
        <f aca="false">IF(Varian!$A27="","",Varian!$A27)</f>
        <v/>
      </c>
      <c r="B118" s="33" t="str">
        <f aca="false">IF($A118="","",Aturan!$A$24)</f>
        <v/>
      </c>
      <c r="C118" s="69" t="str">
        <f aca="false">IF($A118="","",IFERROR(IF(ISNUMBER(INDEX(CPU!$J$4:$J$64,MATCH(Varian!$J27,CPU!$A$4:$A$64,0))),INDEX(CPU!$J$4:$J$64,MATCH(Varian!$J27,CPU!$A$4:$A$64,0)),""),""))</f>
        <v/>
      </c>
      <c r="D118" s="69" t="str">
        <f aca="false">IF($A118="","",IFERROR(IF(ISNUMBER(INDEX(GPU!$G$4:$G$64,MATCH(Varian!$K27,GPU!$A$4:$A$64,0))),INDEX(GPU!$G$4:$G$64,MATCH(Varian!$K27,GPU!$A$4:$A$64,0)),""),""))</f>
        <v/>
      </c>
      <c r="E118" s="69" t="str">
        <f aca="false">IF($A118="","",IF(ISNUMBER(Varian!$M27),Varian!$M27,""))</f>
        <v/>
      </c>
      <c r="F118" s="69" t="str">
        <f aca="false">IF($A118="","",IF(ISNUMBER(Varian!$V27),Varian!$V27,""))</f>
        <v/>
      </c>
      <c r="G118" s="69" t="str">
        <f aca="false">IF($A118="","",IFERROR(INDEX(Aturan!$B$63:$B$66,MATCH(Varian!$AG27,Aturan!$A$63:$A$66,0)),""))</f>
        <v/>
      </c>
      <c r="H118" s="69" t="str">
        <f aca="false">IF($A118="","",IF(ISNUMBER(Varian!$AI27),Varian!$AI27,""))</f>
        <v/>
      </c>
      <c r="I118" s="33" t="str">
        <f aca="false">IF($A118="","",IF(Varian!$Q27="disolder","menempel di papan utama, tidak bisa ditambah",IF(OR(Varian!$Q27="slot",Varian!$Q27="setengah_disolder"),IF(Varian!$Q27="setengah_disolder","sebagian menempel, ","")&amp;IF(ISNUMBER(Varian!$U27),IF(AND(ISNUMBER(Varian!$M27),Varian!$U27&gt;Varian!$M27),"bisa dinaikkan lewat slot sampai "&amp;Varian!$U27&amp;" GB","sudah di batas maksimal "&amp;Varian!$U27&amp;" GB"),"ada slot, batas maksimalnya belum diketahui"),"belum diketahui apakah bisa ditambah")))</f>
        <v/>
      </c>
      <c r="J118" s="33" t="str">
        <f aca="false">IF($A118="","",IF(Varian!$Z27="ya","bisa diganti dengan yang lebih besar",IF(Varian!$Z27="tidak","menempel, tidak bisa diganti","belum diketahui apakah bisa diganti")))</f>
        <v/>
      </c>
      <c r="K118" s="70" t="str">
        <f aca="false">IF($A118="","",IF(AND(Aturan!$C$48="",Aturan!$D$48=""),"Tidak dinilai",IF(C118="","Belum ada data",IF(C118&lt;IF(Aturan!$C$48="",0,Aturan!$C$48),"Kurang",IF(C118&gt;=IF(Aturan!$D$48="",Aturan!$C$48,Aturan!$D$48),"Nyaman","Cukup")))))</f>
        <v/>
      </c>
      <c r="L118" s="70" t="str">
        <f aca="false">IF($A118="","",IF(AND(Aturan!$C$49="",Aturan!$D$49=""),"Tidak dinilai",IF(D118="","Belum ada data",IF(D118&lt;IF(Aturan!$C$49="",0,Aturan!$C$49),"Kurang",IF(D118&gt;=IF(Aturan!$D$49="",Aturan!$C$49,Aturan!$D$49),"Nyaman","Cukup")))))</f>
        <v/>
      </c>
      <c r="M118" s="70" t="str">
        <f aca="false">IF($A118="","",IF(AND(Aturan!$C$50="",Aturan!$D$50=""),"Tidak dinilai",IF(E118="","Belum ada data",IF(E118&lt;IF(Aturan!$C$50="",0,Aturan!$C$50),"Kurang",IF(E118&gt;=IF(Aturan!$D$50="",Aturan!$C$50,Aturan!$D$50),"Nyaman","Cukup")))))</f>
        <v/>
      </c>
      <c r="N118" s="70" t="str">
        <f aca="false">IF($A118="","",IF(AND(Aturan!$C$51="",Aturan!$D$51=""),"Tidak dinilai",IF(F118="","Belum ada data",IF(F118&lt;IF(Aturan!$C$51="",0,Aturan!$C$51),"Kurang",IF(F118&gt;=IF(Aturan!$D$51="",Aturan!$C$51,Aturan!$D$51),"Nyaman","Cukup")))))</f>
        <v/>
      </c>
      <c r="O118" s="70" t="str">
        <f aca="false">IF($A118="","",IF(AND(Aturan!$C$52="",Aturan!$D$52=""),"Tidak dinilai",IF(G118="","Belum ada data",IF(G118&lt;IF(Aturan!$C$52="",0,Aturan!$C$52),"Kurang",IF(G118&gt;=IF(Aturan!$D$52="",Aturan!$C$52,Aturan!$D$52),"Nyaman","Cukup")))))</f>
        <v/>
      </c>
      <c r="P118" s="70" t="str">
        <f aca="false">IF($A118="","",IF(AND(Aturan!$C$53="",Aturan!$D$53=""),"Tidak dinilai",IF(H118="","Belum ada data",IF(H118&lt;IF(Aturan!$C$53="",0,Aturan!$C$53),"Kurang",IF(H118&gt;=IF(Aturan!$D$53="",Aturan!$C$53,Aturan!$D$53),"Nyaman","Cukup")))))</f>
        <v/>
      </c>
      <c r="Q118" s="70" t="str">
        <f aca="false">IF($A118="","",IF(COUNTIF(K118:P118,"Tidak dinilai")=6,"Tidak dinilai",IF(COUNTIF(K118:P118,"Kurang")&gt;0,"Kurang cocok",IF(COUNTIF(K118:P118,"Belum ada data")&gt;0,"Data belum lengkap",IF(COUNTIF(K118:P118,"Cukup")&gt;0,"Bisa, dengan catatan","Cocok")))))</f>
        <v/>
      </c>
      <c r="R118" s="33" t="str">
        <f aca="false">IF($A118="","",IF(K118="Kurang","prosesor tingkat "&amp;C118&amp;" dari 5, di bawah batas minimal (tingkat "&amp;Aturan!$C$48&amp;")",IF(K118="Cukup","prosesor tingkat "&amp;C118&amp;" dari 5 cukup, nyamannya mulai tingkat "&amp;Aturan!$D$48,IF(K118="Belum ada data","tingkat prosesor belum diisi",""))))</f>
        <v/>
      </c>
      <c r="S118" s="33" t="str">
        <f aca="false">IF($A118="","",IF(L118="Kurang","grafis tingkat "&amp;D118&amp;" dari 5, di bawah batas minimal (tingkat "&amp;Aturan!$C$49&amp;")",IF(L118="Cukup","grafis tingkat "&amp;D118&amp;" dari 5 cukup, nyamannya mulai tingkat "&amp;Aturan!$D$49,IF(L118="Belum ada data","tingkat grafis belum diisi",""))))</f>
        <v/>
      </c>
      <c r="T118" s="33" t="str">
        <f aca="false">IF($A118="","",IF(M118="Kurang","RAM "&amp;E118&amp;" GB, di bawah batas minimal "&amp;Aturan!$C$50&amp;" GB ("&amp;I118&amp;")",IF(M118="Cukup","RAM "&amp;E118&amp;" GB cukup, nyamannya "&amp;Aturan!$D$50&amp;" GB atau lebih ("&amp;I118&amp;")",IF(M118="Belum ada data","ukuran RAM belum diisi",""))))</f>
        <v/>
      </c>
      <c r="U118" s="33" t="str">
        <f aca="false">IF($A118="","",IF(N118="Kurang","penyimpanan "&amp;F118&amp;" GB, di bawah batas minimal "&amp;Aturan!$C$51&amp;" GB ("&amp;J118&amp;")",IF(N118="Cukup","penyimpanan "&amp;F118&amp;" GB cukup, nyamannya "&amp;Aturan!$D$51&amp;" GB atau lebih ("&amp;J118&amp;")",IF(N118="Belum ada data","ukuran penyimpanan belum diisi",""))))</f>
        <v/>
      </c>
      <c r="V118" s="33" t="str">
        <f aca="false">IF($A118="","",IF(O118="Kurang","layar "&amp;Varian!$AG27&amp;", di bawah batas minimal ("&amp;IFERROR(INDEX(Aturan!$A$63:$A$66,MATCH(Aturan!$C$52,Aturan!$B$63:$B$66,0)),"peringkat "&amp;Aturan!$C$52)&amp;")",IF(O118="Cukup","layar "&amp;Varian!$AG27&amp;" cukup, nyamannya "&amp;IFERROR(INDEX(Aturan!$A$63:$A$66,MATCH(Aturan!$D$52,Aturan!$B$63:$B$66,0)),"peringkat "&amp;Aturan!$D$52),IF(O118="Belum ada data","jenis layar belum diketahui",""))))</f>
        <v/>
      </c>
      <c r="W118" s="33" t="str">
        <f aca="false">IF($A118="","",IF(P118="Kurang","layar "&amp;H118&amp;" Hz, di bawah batas minimal "&amp;Aturan!$C$53&amp;" Hz",IF(P118="Cukup","layar "&amp;H118&amp;" Hz cukup, nyamannya "&amp;Aturan!$D$53&amp;" Hz atau lebih",IF(P118="Belum ada data","refresh rate belum diketahui",""))))</f>
        <v/>
      </c>
      <c r="X118" s="33" t="str">
        <f aca="false">IF($A118="","",IF(K118="Kurang",R118&amp;"; ","")&amp;IF(L118="Kurang",S118&amp;"; ","")&amp;IF(M118="Kurang",T118&amp;"; ","")&amp;IF(N118="Kurang",U118&amp;"; ","")&amp;IF(O118="Kurang",V118&amp;"; ","")&amp;IF(P118="Kurang",W118&amp;"; ","")&amp;IF(K118="Belum ada data",R118&amp;"; ","")&amp;IF(L118="Belum ada data",S118&amp;"; ","")&amp;IF(M118="Belum ada data",T118&amp;"; ","")&amp;IF(N118="Belum ada data",U118&amp;"; ","")&amp;IF(O118="Belum ada data",V118&amp;"; ","")&amp;IF(P118="Belum ada data",W118&amp;"; ","")&amp;IF(K118="Cukup",R118&amp;"; ","")&amp;IF(L118="Cukup",S118&amp;"; ","")&amp;IF(M118="Cukup",T118&amp;"; ","")&amp;IF(N118="Cukup",U118&amp;"; ","")&amp;IF(O118="Cukup",V118&amp;"; ","")&amp;IF(P118="Cukup",W118&amp;"; ",""))</f>
        <v/>
      </c>
      <c r="Y118" s="33" t="str">
        <f aca="false">IF($A118="","",IF(K118="Nyaman","prosesor, ","")&amp;IF(L118="Nyaman","grafis, ","")&amp;IF(M118="Nyaman","RAM, ","")&amp;IF(N118="Nyaman","penyimpanan, ","")&amp;IF(O118="Nyaman","layar, ","")&amp;IF(P118="Nyaman","refresh rate, ",""))</f>
        <v/>
      </c>
      <c r="Z118" s="33" t="str">
        <f aca="false">IF($A118="","",IF(Q118="Tidak dinilai","Belum ada kriteria yang dinilai untuk kebutuhan ini.",IF(Q118="Cocok","Semua kriteria yang dinilai sudah nyaman: "&amp;LEFT(Y118,LEN(Y118)-2)&amp;".",UPPER(LEFT(X118,1))&amp;MID(X118,2,LEN(X118)-3)&amp;"."&amp;IF(Y118="",""," Sudah nyaman: "&amp;LEFT(Y118,LEN(Y118)-2)&amp;"."))))</f>
        <v/>
      </c>
      <c r="AA118" s="33"/>
      <c r="AB118" s="33"/>
      <c r="AC118" s="69"/>
    </row>
    <row r="119" customFormat="false" ht="15" hidden="false" customHeight="true" outlineLevel="0" collapsed="false">
      <c r="A119" s="33" t="str">
        <f aca="false">IF(Varian!$A27="","",Varian!$A27)</f>
        <v/>
      </c>
      <c r="B119" s="33" t="str">
        <f aca="false">IF($A119="","",Aturan!$A$25)</f>
        <v/>
      </c>
      <c r="C119" s="69" t="str">
        <f aca="false">IF($A119="","",IFERROR(IF(ISNUMBER(INDEX(CPU!$J$4:$J$64,MATCH(Varian!$J27,CPU!$A$4:$A$64,0))),INDEX(CPU!$J$4:$J$64,MATCH(Varian!$J27,CPU!$A$4:$A$64,0)),""),""))</f>
        <v/>
      </c>
      <c r="D119" s="69" t="str">
        <f aca="false">IF($A119="","",IFERROR(IF(ISNUMBER(INDEX(GPU!$G$4:$G$64,MATCH(Varian!$K27,GPU!$A$4:$A$64,0))),INDEX(GPU!$G$4:$G$64,MATCH(Varian!$K27,GPU!$A$4:$A$64,0)),""),""))</f>
        <v/>
      </c>
      <c r="E119" s="69" t="str">
        <f aca="false">IF($A119="","",IF(ISNUMBER(Varian!$M27),Varian!$M27,""))</f>
        <v/>
      </c>
      <c r="F119" s="69" t="str">
        <f aca="false">IF($A119="","",IF(ISNUMBER(Varian!$V27),Varian!$V27,""))</f>
        <v/>
      </c>
      <c r="G119" s="69" t="str">
        <f aca="false">IF($A119="","",IFERROR(INDEX(Aturan!$B$63:$B$66,MATCH(Varian!$AG27,Aturan!$A$63:$A$66,0)),""))</f>
        <v/>
      </c>
      <c r="H119" s="69" t="str">
        <f aca="false">IF($A119="","",IF(ISNUMBER(Varian!$AI27),Varian!$AI27,""))</f>
        <v/>
      </c>
      <c r="I119" s="33" t="str">
        <f aca="false">IF($A119="","",IF(Varian!$Q27="disolder","menempel di papan utama, tidak bisa ditambah",IF(OR(Varian!$Q27="slot",Varian!$Q27="setengah_disolder"),IF(Varian!$Q27="setengah_disolder","sebagian menempel, ","")&amp;IF(ISNUMBER(Varian!$U27),IF(AND(ISNUMBER(Varian!$M27),Varian!$U27&gt;Varian!$M27),"bisa dinaikkan lewat slot sampai "&amp;Varian!$U27&amp;" GB","sudah di batas maksimal "&amp;Varian!$U27&amp;" GB"),"ada slot, batas maksimalnya belum diketahui"),"belum diketahui apakah bisa ditambah")))</f>
        <v/>
      </c>
      <c r="J119" s="33" t="str">
        <f aca="false">IF($A119="","",IF(Varian!$Z27="ya","bisa diganti dengan yang lebih besar",IF(Varian!$Z27="tidak","menempel, tidak bisa diganti","belum diketahui apakah bisa diganti")))</f>
        <v/>
      </c>
      <c r="K119" s="70" t="str">
        <f aca="false">IF($A119="","",IF(AND(Aturan!$C$54="",Aturan!$D$54=""),"Tidak dinilai",IF(C119="","Belum ada data",IF(C119&lt;IF(Aturan!$C$54="",0,Aturan!$C$54),"Kurang",IF(C119&gt;=IF(Aturan!$D$54="",Aturan!$C$54,Aturan!$D$54),"Nyaman","Cukup")))))</f>
        <v/>
      </c>
      <c r="L119" s="70" t="str">
        <f aca="false">IF($A119="","",IF(AND(Aturan!$C$55="",Aturan!$D$55=""),"Tidak dinilai",IF(D119="","Belum ada data",IF(D119&lt;IF(Aturan!$C$55="",0,Aturan!$C$55),"Kurang",IF(D119&gt;=IF(Aturan!$D$55="",Aturan!$C$55,Aturan!$D$55),"Nyaman","Cukup")))))</f>
        <v/>
      </c>
      <c r="M119" s="70" t="str">
        <f aca="false">IF($A119="","",IF(AND(Aturan!$C$56="",Aturan!$D$56=""),"Tidak dinilai",IF(E119="","Belum ada data",IF(E119&lt;IF(Aturan!$C$56="",0,Aturan!$C$56),"Kurang",IF(E119&gt;=IF(Aturan!$D$56="",Aturan!$C$56,Aturan!$D$56),"Nyaman","Cukup")))))</f>
        <v/>
      </c>
      <c r="N119" s="70" t="str">
        <f aca="false">IF($A119="","",IF(AND(Aturan!$C$57="",Aturan!$D$57=""),"Tidak dinilai",IF(F119="","Belum ada data",IF(F119&lt;IF(Aturan!$C$57="",0,Aturan!$C$57),"Kurang",IF(F119&gt;=IF(Aturan!$D$57="",Aturan!$C$57,Aturan!$D$57),"Nyaman","Cukup")))))</f>
        <v/>
      </c>
      <c r="O119" s="70" t="str">
        <f aca="false">IF($A119="","",IF(AND(Aturan!$C$58="",Aturan!$D$58=""),"Tidak dinilai",IF(G119="","Belum ada data",IF(G119&lt;IF(Aturan!$C$58="",0,Aturan!$C$58),"Kurang",IF(G119&gt;=IF(Aturan!$D$58="",Aturan!$C$58,Aturan!$D$58),"Nyaman","Cukup")))))</f>
        <v/>
      </c>
      <c r="P119" s="70" t="str">
        <f aca="false">IF($A119="","",IF(AND(Aturan!$C$59="",Aturan!$D$59=""),"Tidak dinilai",IF(H119="","Belum ada data",IF(H119&lt;IF(Aturan!$C$59="",0,Aturan!$C$59),"Kurang",IF(H119&gt;=IF(Aturan!$D$59="",Aturan!$C$59,Aturan!$D$59),"Nyaman","Cukup")))))</f>
        <v/>
      </c>
      <c r="Q119" s="70" t="str">
        <f aca="false">IF($A119="","",IF(COUNTIF(K119:P119,"Tidak dinilai")=6,"Tidak dinilai",IF(COUNTIF(K119:P119,"Kurang")&gt;0,"Kurang cocok",IF(COUNTIF(K119:P119,"Belum ada data")&gt;0,"Data belum lengkap",IF(COUNTIF(K119:P119,"Cukup")&gt;0,"Bisa, dengan catatan","Cocok")))))</f>
        <v/>
      </c>
      <c r="R119" s="33" t="str">
        <f aca="false">IF($A119="","",IF(K119="Kurang","prosesor tingkat "&amp;C119&amp;" dari 5, di bawah batas minimal (tingkat "&amp;Aturan!$C$54&amp;")",IF(K119="Cukup","prosesor tingkat "&amp;C119&amp;" dari 5 cukup, nyamannya mulai tingkat "&amp;Aturan!$D$54,IF(K119="Belum ada data","tingkat prosesor belum diisi",""))))</f>
        <v/>
      </c>
      <c r="S119" s="33" t="str">
        <f aca="false">IF($A119="","",IF(L119="Kurang","grafis tingkat "&amp;D119&amp;" dari 5, di bawah batas minimal (tingkat "&amp;Aturan!$C$55&amp;")",IF(L119="Cukup","grafis tingkat "&amp;D119&amp;" dari 5 cukup, nyamannya mulai tingkat "&amp;Aturan!$D$55,IF(L119="Belum ada data","tingkat grafis belum diisi",""))))</f>
        <v/>
      </c>
      <c r="T119" s="33" t="str">
        <f aca="false">IF($A119="","",IF(M119="Kurang","RAM "&amp;E119&amp;" GB, di bawah batas minimal "&amp;Aturan!$C$56&amp;" GB ("&amp;I119&amp;")",IF(M119="Cukup","RAM "&amp;E119&amp;" GB cukup, nyamannya "&amp;Aturan!$D$56&amp;" GB atau lebih ("&amp;I119&amp;")",IF(M119="Belum ada data","ukuran RAM belum diisi",""))))</f>
        <v/>
      </c>
      <c r="U119" s="33" t="str">
        <f aca="false">IF($A119="","",IF(N119="Kurang","penyimpanan "&amp;F119&amp;" GB, di bawah batas minimal "&amp;Aturan!$C$57&amp;" GB ("&amp;J119&amp;")",IF(N119="Cukup","penyimpanan "&amp;F119&amp;" GB cukup, nyamannya "&amp;Aturan!$D$57&amp;" GB atau lebih ("&amp;J119&amp;")",IF(N119="Belum ada data","ukuran penyimpanan belum diisi",""))))</f>
        <v/>
      </c>
      <c r="V119" s="33" t="str">
        <f aca="false">IF($A119="","",IF(O119="Kurang","layar "&amp;Varian!$AG27&amp;", di bawah batas minimal ("&amp;IFERROR(INDEX(Aturan!$A$63:$A$66,MATCH(Aturan!$C$58,Aturan!$B$63:$B$66,0)),"peringkat "&amp;Aturan!$C$58)&amp;")",IF(O119="Cukup","layar "&amp;Varian!$AG27&amp;" cukup, nyamannya "&amp;IFERROR(INDEX(Aturan!$A$63:$A$66,MATCH(Aturan!$D$58,Aturan!$B$63:$B$66,0)),"peringkat "&amp;Aturan!$D$58),IF(O119="Belum ada data","jenis layar belum diketahui",""))))</f>
        <v/>
      </c>
      <c r="W119" s="33" t="str">
        <f aca="false">IF($A119="","",IF(P119="Kurang","layar "&amp;H119&amp;" Hz, di bawah batas minimal "&amp;Aturan!$C$59&amp;" Hz",IF(P119="Cukup","layar "&amp;H119&amp;" Hz cukup, nyamannya "&amp;Aturan!$D$59&amp;" Hz atau lebih",IF(P119="Belum ada data","refresh rate belum diketahui",""))))</f>
        <v/>
      </c>
      <c r="X119" s="33" t="str">
        <f aca="false">IF($A119="","",IF(K119="Kurang",R119&amp;"; ","")&amp;IF(L119="Kurang",S119&amp;"; ","")&amp;IF(M119="Kurang",T119&amp;"; ","")&amp;IF(N119="Kurang",U119&amp;"; ","")&amp;IF(O119="Kurang",V119&amp;"; ","")&amp;IF(P119="Kurang",W119&amp;"; ","")&amp;IF(K119="Belum ada data",R119&amp;"; ","")&amp;IF(L119="Belum ada data",S119&amp;"; ","")&amp;IF(M119="Belum ada data",T119&amp;"; ","")&amp;IF(N119="Belum ada data",U119&amp;"; ","")&amp;IF(O119="Belum ada data",V119&amp;"; ","")&amp;IF(P119="Belum ada data",W119&amp;"; ","")&amp;IF(K119="Cukup",R119&amp;"; ","")&amp;IF(L119="Cukup",S119&amp;"; ","")&amp;IF(M119="Cukup",T119&amp;"; ","")&amp;IF(N119="Cukup",U119&amp;"; ","")&amp;IF(O119="Cukup",V119&amp;"; ","")&amp;IF(P119="Cukup",W119&amp;"; ",""))</f>
        <v/>
      </c>
      <c r="Y119" s="33" t="str">
        <f aca="false">IF($A119="","",IF(K119="Nyaman","prosesor, ","")&amp;IF(L119="Nyaman","grafis, ","")&amp;IF(M119="Nyaman","RAM, ","")&amp;IF(N119="Nyaman","penyimpanan, ","")&amp;IF(O119="Nyaman","layar, ","")&amp;IF(P119="Nyaman","refresh rate, ",""))</f>
        <v/>
      </c>
      <c r="Z119" s="33" t="str">
        <f aca="false">IF($A119="","",IF(Q119="Tidak dinilai","Belum ada kriteria yang dinilai untuk kebutuhan ini.",IF(Q119="Cocok","Semua kriteria yang dinilai sudah nyaman: "&amp;LEFT(Y119,LEN(Y119)-2)&amp;".",UPPER(LEFT(X119,1))&amp;MID(X119,2,LEN(X119)-3)&amp;"."&amp;IF(Y119="",""," Sudah nyaman: "&amp;LEFT(Y119,LEN(Y119)-2)&amp;"."))))</f>
        <v/>
      </c>
      <c r="AA119" s="33"/>
      <c r="AB119" s="33"/>
      <c r="AC119" s="69"/>
    </row>
    <row r="120" customFormat="false" ht="15" hidden="false" customHeight="true" outlineLevel="0" collapsed="false">
      <c r="A120" s="66" t="str">
        <f aca="false">IF(Varian!$A28="","",Varian!$A28)</f>
        <v/>
      </c>
      <c r="B120" s="66" t="str">
        <f aca="false">IF($A120="","",Aturan!$A$21)</f>
        <v/>
      </c>
      <c r="C120" s="67" t="str">
        <f aca="false">IF($A120="","",IFERROR(IF(ISNUMBER(INDEX(CPU!$J$4:$J$64,MATCH(Varian!$J28,CPU!$A$4:$A$64,0))),INDEX(CPU!$J$4:$J$64,MATCH(Varian!$J28,CPU!$A$4:$A$64,0)),""),""))</f>
        <v/>
      </c>
      <c r="D120" s="67" t="str">
        <f aca="false">IF($A120="","",IFERROR(IF(ISNUMBER(INDEX(GPU!$G$4:$G$64,MATCH(Varian!$K28,GPU!$A$4:$A$64,0))),INDEX(GPU!$G$4:$G$64,MATCH(Varian!$K28,GPU!$A$4:$A$64,0)),""),""))</f>
        <v/>
      </c>
      <c r="E120" s="67" t="str">
        <f aca="false">IF($A120="","",IF(ISNUMBER(Varian!$M28),Varian!$M28,""))</f>
        <v/>
      </c>
      <c r="F120" s="67" t="str">
        <f aca="false">IF($A120="","",IF(ISNUMBER(Varian!$V28),Varian!$V28,""))</f>
        <v/>
      </c>
      <c r="G120" s="67" t="str">
        <f aca="false">IF($A120="","",IFERROR(INDEX(Aturan!$B$63:$B$66,MATCH(Varian!$AG28,Aturan!$A$63:$A$66,0)),""))</f>
        <v/>
      </c>
      <c r="H120" s="67" t="str">
        <f aca="false">IF($A120="","",IF(ISNUMBER(Varian!$AI28),Varian!$AI28,""))</f>
        <v/>
      </c>
      <c r="I120" s="66" t="str">
        <f aca="false">IF($A120="","",IF(Varian!$Q28="disolder","menempel di papan utama, tidak bisa ditambah",IF(OR(Varian!$Q28="slot",Varian!$Q28="setengah_disolder"),IF(Varian!$Q28="setengah_disolder","sebagian menempel, ","")&amp;IF(ISNUMBER(Varian!$U28),IF(AND(ISNUMBER(Varian!$M28),Varian!$U28&gt;Varian!$M28),"bisa dinaikkan lewat slot sampai "&amp;Varian!$U28&amp;" GB","sudah di batas maksimal "&amp;Varian!$U28&amp;" GB"),"ada slot, batas maksimalnya belum diketahui"),"belum diketahui apakah bisa ditambah")))</f>
        <v/>
      </c>
      <c r="J120" s="66" t="str">
        <f aca="false">IF($A120="","",IF(Varian!$Z28="ya","bisa diganti dengan yang lebih besar",IF(Varian!$Z28="tidak","menempel, tidak bisa diganti","belum diketahui apakah bisa diganti")))</f>
        <v/>
      </c>
      <c r="K120" s="68" t="str">
        <f aca="false">IF($A120="","",IF(AND(Aturan!$C$30="",Aturan!$D$30=""),"Tidak dinilai",IF(C120="","Belum ada data",IF(C120&lt;IF(Aturan!$C$30="",0,Aturan!$C$30),"Kurang",IF(C120&gt;=IF(Aturan!$D$30="",Aturan!$C$30,Aturan!$D$30),"Nyaman","Cukup")))))</f>
        <v/>
      </c>
      <c r="L120" s="68" t="str">
        <f aca="false">IF($A120="","",IF(AND(Aturan!$C$31="",Aturan!$D$31=""),"Tidak dinilai",IF(D120="","Belum ada data",IF(D120&lt;IF(Aturan!$C$31="",0,Aturan!$C$31),"Kurang",IF(D120&gt;=IF(Aturan!$D$31="",Aturan!$C$31,Aturan!$D$31),"Nyaman","Cukup")))))</f>
        <v/>
      </c>
      <c r="M120" s="68" t="str">
        <f aca="false">IF($A120="","",IF(AND(Aturan!$C$32="",Aturan!$D$32=""),"Tidak dinilai",IF(E120="","Belum ada data",IF(E120&lt;IF(Aturan!$C$32="",0,Aturan!$C$32),"Kurang",IF(E120&gt;=IF(Aturan!$D$32="",Aturan!$C$32,Aturan!$D$32),"Nyaman","Cukup")))))</f>
        <v/>
      </c>
      <c r="N120" s="68" t="str">
        <f aca="false">IF($A120="","",IF(AND(Aturan!$C$33="",Aturan!$D$33=""),"Tidak dinilai",IF(F120="","Belum ada data",IF(F120&lt;IF(Aturan!$C$33="",0,Aturan!$C$33),"Kurang",IF(F120&gt;=IF(Aturan!$D$33="",Aturan!$C$33,Aturan!$D$33),"Nyaman","Cukup")))))</f>
        <v/>
      </c>
      <c r="O120" s="68" t="str">
        <f aca="false">IF($A120="","",IF(AND(Aturan!$C$34="",Aturan!$D$34=""),"Tidak dinilai",IF(G120="","Belum ada data",IF(G120&lt;IF(Aturan!$C$34="",0,Aturan!$C$34),"Kurang",IF(G120&gt;=IF(Aturan!$D$34="",Aturan!$C$34,Aturan!$D$34),"Nyaman","Cukup")))))</f>
        <v/>
      </c>
      <c r="P120" s="68" t="str">
        <f aca="false">IF($A120="","",IF(AND(Aturan!$C$35="",Aturan!$D$35=""),"Tidak dinilai",IF(H120="","Belum ada data",IF(H120&lt;IF(Aturan!$C$35="",0,Aturan!$C$35),"Kurang",IF(H120&gt;=IF(Aturan!$D$35="",Aturan!$C$35,Aturan!$D$35),"Nyaman","Cukup")))))</f>
        <v/>
      </c>
      <c r="Q120" s="68" t="str">
        <f aca="false">IF($A120="","",IF(COUNTIF(K120:P120,"Tidak dinilai")=6,"Tidak dinilai",IF(COUNTIF(K120:P120,"Kurang")&gt;0,"Kurang cocok",IF(COUNTIF(K120:P120,"Belum ada data")&gt;0,"Data belum lengkap",IF(COUNTIF(K120:P120,"Cukup")&gt;0,"Bisa, dengan catatan","Cocok")))))</f>
        <v/>
      </c>
      <c r="R120" s="66" t="str">
        <f aca="false">IF($A120="","",IF(K120="Kurang","prosesor tingkat "&amp;C120&amp;" dari 5, di bawah batas minimal (tingkat "&amp;Aturan!$C$30&amp;")",IF(K120="Cukup","prosesor tingkat "&amp;C120&amp;" dari 5 cukup, nyamannya mulai tingkat "&amp;Aturan!$D$30,IF(K120="Belum ada data","tingkat prosesor belum diisi",""))))</f>
        <v/>
      </c>
      <c r="S120" s="66" t="str">
        <f aca="false">IF($A120="","",IF(L120="Kurang","grafis tingkat "&amp;D120&amp;" dari 5, di bawah batas minimal (tingkat "&amp;Aturan!$C$31&amp;")",IF(L120="Cukup","grafis tingkat "&amp;D120&amp;" dari 5 cukup, nyamannya mulai tingkat "&amp;Aturan!$D$31,IF(L120="Belum ada data","tingkat grafis belum diisi",""))))</f>
        <v/>
      </c>
      <c r="T120" s="66" t="str">
        <f aca="false">IF($A120="","",IF(M120="Kurang","RAM "&amp;E120&amp;" GB, di bawah batas minimal "&amp;Aturan!$C$32&amp;" GB ("&amp;I120&amp;")",IF(M120="Cukup","RAM "&amp;E120&amp;" GB cukup, nyamannya "&amp;Aturan!$D$32&amp;" GB atau lebih ("&amp;I120&amp;")",IF(M120="Belum ada data","ukuran RAM belum diisi",""))))</f>
        <v/>
      </c>
      <c r="U120" s="66" t="str">
        <f aca="false">IF($A120="","",IF(N120="Kurang","penyimpanan "&amp;F120&amp;" GB, di bawah batas minimal "&amp;Aturan!$C$33&amp;" GB ("&amp;J120&amp;")",IF(N120="Cukup","penyimpanan "&amp;F120&amp;" GB cukup, nyamannya "&amp;Aturan!$D$33&amp;" GB atau lebih ("&amp;J120&amp;")",IF(N120="Belum ada data","ukuran penyimpanan belum diisi",""))))</f>
        <v/>
      </c>
      <c r="V120" s="66" t="str">
        <f aca="false">IF($A120="","",IF(O120="Kurang","layar "&amp;Varian!$AG28&amp;", di bawah batas minimal ("&amp;IFERROR(INDEX(Aturan!$A$63:$A$66,MATCH(Aturan!$C$34,Aturan!$B$63:$B$66,0)),"peringkat "&amp;Aturan!$C$34)&amp;")",IF(O120="Cukup","layar "&amp;Varian!$AG28&amp;" cukup, nyamannya "&amp;IFERROR(INDEX(Aturan!$A$63:$A$66,MATCH(Aturan!$D$34,Aturan!$B$63:$B$66,0)),"peringkat "&amp;Aturan!$D$34),IF(O120="Belum ada data","jenis layar belum diketahui",""))))</f>
        <v/>
      </c>
      <c r="W120" s="66" t="str">
        <f aca="false">IF($A120="","",IF(P120="Kurang","layar "&amp;H120&amp;" Hz, di bawah batas minimal "&amp;Aturan!$C$35&amp;" Hz",IF(P120="Cukup","layar "&amp;H120&amp;" Hz cukup, nyamannya "&amp;Aturan!$D$35&amp;" Hz atau lebih",IF(P120="Belum ada data","refresh rate belum diketahui",""))))</f>
        <v/>
      </c>
      <c r="X120" s="66" t="str">
        <f aca="false">IF($A120="","",IF(K120="Kurang",R120&amp;"; ","")&amp;IF(L120="Kurang",S120&amp;"; ","")&amp;IF(M120="Kurang",T120&amp;"; ","")&amp;IF(N120="Kurang",U120&amp;"; ","")&amp;IF(O120="Kurang",V120&amp;"; ","")&amp;IF(P120="Kurang",W120&amp;"; ","")&amp;IF(K120="Belum ada data",R120&amp;"; ","")&amp;IF(L120="Belum ada data",S120&amp;"; ","")&amp;IF(M120="Belum ada data",T120&amp;"; ","")&amp;IF(N120="Belum ada data",U120&amp;"; ","")&amp;IF(O120="Belum ada data",V120&amp;"; ","")&amp;IF(P120="Belum ada data",W120&amp;"; ","")&amp;IF(K120="Cukup",R120&amp;"; ","")&amp;IF(L120="Cukup",S120&amp;"; ","")&amp;IF(M120="Cukup",T120&amp;"; ","")&amp;IF(N120="Cukup",U120&amp;"; ","")&amp;IF(O120="Cukup",V120&amp;"; ","")&amp;IF(P120="Cukup",W120&amp;"; ",""))</f>
        <v/>
      </c>
      <c r="Y120" s="66" t="str">
        <f aca="false">IF($A120="","",IF(K120="Nyaman","prosesor, ","")&amp;IF(L120="Nyaman","grafis, ","")&amp;IF(M120="Nyaman","RAM, ","")&amp;IF(N120="Nyaman","penyimpanan, ","")&amp;IF(O120="Nyaman","layar, ","")&amp;IF(P120="Nyaman","refresh rate, ",""))</f>
        <v/>
      </c>
      <c r="Z120" s="66" t="str">
        <f aca="false">IF($A120="","",IF(Q120="Tidak dinilai","Belum ada kriteria yang dinilai untuk kebutuhan ini.",IF(Q120="Cocok","Semua kriteria yang dinilai sudah nyaman: "&amp;LEFT(Y120,LEN(Y120)-2)&amp;".",UPPER(LEFT(X120,1))&amp;MID(X120,2,LEN(X120)-3)&amp;"."&amp;IF(Y120="",""," Sudah nyaman: "&amp;LEFT(Y120,LEN(Y120)-2)&amp;"."))))</f>
        <v/>
      </c>
      <c r="AA120" s="66" t="str">
        <f aca="false">IF($A120="","",IF(Varian!$AR28="Windows 10","• "&amp;Aturan!$E$71&amp;CHAR(10),"")&amp;IF(Varian!$BB28="tidak","• "&amp;Aturan!$E$72&amp;CHAR(10),"")&amp;IF(OR(Varian!$AD28="belum terverifikasi",Varian!$AD28="tidak diketahui"),"• "&amp;Aturan!$E$73&amp;CHAR(10),"")&amp;IF(Varian!$AH28="1366x768","• "&amp;Aturan!$E$74&amp;CHAR(10),"")&amp;IF(Varian!$AG28="TN","• "&amp;Aturan!$E$75&amp;CHAR(10),"")&amp;IF(AND(Varian!$Q28="disolder",ISNUMBER(Varian!$M28),Varian!$M28&lt;=8),"• "&amp;Aturan!$E$76&amp;CHAR(10),""))</f>
        <v/>
      </c>
      <c r="AB120" s="66" t="str">
        <f aca="false">IF($A120="","",IF(AA120="","",LEFT(AA120,LEN(AA120)-1)))</f>
        <v/>
      </c>
      <c r="AC120" s="67" t="str">
        <f aca="false">IF($A120="","",IF(AA120="",0,LEN(AA120)-LEN(SUBSTITUTE(AA120,CHAR(10),""))))</f>
        <v/>
      </c>
    </row>
    <row r="121" customFormat="false" ht="15" hidden="false" customHeight="true" outlineLevel="0" collapsed="false">
      <c r="A121" s="33" t="str">
        <f aca="false">IF(Varian!$A28="","",Varian!$A28)</f>
        <v/>
      </c>
      <c r="B121" s="33" t="str">
        <f aca="false">IF($A121="","",Aturan!$A$22)</f>
        <v/>
      </c>
      <c r="C121" s="69" t="str">
        <f aca="false">IF($A121="","",IFERROR(IF(ISNUMBER(INDEX(CPU!$J$4:$J$64,MATCH(Varian!$J28,CPU!$A$4:$A$64,0))),INDEX(CPU!$J$4:$J$64,MATCH(Varian!$J28,CPU!$A$4:$A$64,0)),""),""))</f>
        <v/>
      </c>
      <c r="D121" s="69" t="str">
        <f aca="false">IF($A121="","",IFERROR(IF(ISNUMBER(INDEX(GPU!$G$4:$G$64,MATCH(Varian!$K28,GPU!$A$4:$A$64,0))),INDEX(GPU!$G$4:$G$64,MATCH(Varian!$K28,GPU!$A$4:$A$64,0)),""),""))</f>
        <v/>
      </c>
      <c r="E121" s="69" t="str">
        <f aca="false">IF($A121="","",IF(ISNUMBER(Varian!$M28),Varian!$M28,""))</f>
        <v/>
      </c>
      <c r="F121" s="69" t="str">
        <f aca="false">IF($A121="","",IF(ISNUMBER(Varian!$V28),Varian!$V28,""))</f>
        <v/>
      </c>
      <c r="G121" s="69" t="str">
        <f aca="false">IF($A121="","",IFERROR(INDEX(Aturan!$B$63:$B$66,MATCH(Varian!$AG28,Aturan!$A$63:$A$66,0)),""))</f>
        <v/>
      </c>
      <c r="H121" s="69" t="str">
        <f aca="false">IF($A121="","",IF(ISNUMBER(Varian!$AI28),Varian!$AI28,""))</f>
        <v/>
      </c>
      <c r="I121" s="33" t="str">
        <f aca="false">IF($A121="","",IF(Varian!$Q28="disolder","menempel di papan utama, tidak bisa ditambah",IF(OR(Varian!$Q28="slot",Varian!$Q28="setengah_disolder"),IF(Varian!$Q28="setengah_disolder","sebagian menempel, ","")&amp;IF(ISNUMBER(Varian!$U28),IF(AND(ISNUMBER(Varian!$M28),Varian!$U28&gt;Varian!$M28),"bisa dinaikkan lewat slot sampai "&amp;Varian!$U28&amp;" GB","sudah di batas maksimal "&amp;Varian!$U28&amp;" GB"),"ada slot, batas maksimalnya belum diketahui"),"belum diketahui apakah bisa ditambah")))</f>
        <v/>
      </c>
      <c r="J121" s="33" t="str">
        <f aca="false">IF($A121="","",IF(Varian!$Z28="ya","bisa diganti dengan yang lebih besar",IF(Varian!$Z28="tidak","menempel, tidak bisa diganti","belum diketahui apakah bisa diganti")))</f>
        <v/>
      </c>
      <c r="K121" s="70" t="str">
        <f aca="false">IF($A121="","",IF(AND(Aturan!$C$36="",Aturan!$D$36=""),"Tidak dinilai",IF(C121="","Belum ada data",IF(C121&lt;IF(Aturan!$C$36="",0,Aturan!$C$36),"Kurang",IF(C121&gt;=IF(Aturan!$D$36="",Aturan!$C$36,Aturan!$D$36),"Nyaman","Cukup")))))</f>
        <v/>
      </c>
      <c r="L121" s="70" t="str">
        <f aca="false">IF($A121="","",IF(AND(Aturan!$C$37="",Aturan!$D$37=""),"Tidak dinilai",IF(D121="","Belum ada data",IF(D121&lt;IF(Aturan!$C$37="",0,Aturan!$C$37),"Kurang",IF(D121&gt;=IF(Aturan!$D$37="",Aturan!$C$37,Aturan!$D$37),"Nyaman","Cukup")))))</f>
        <v/>
      </c>
      <c r="M121" s="70" t="str">
        <f aca="false">IF($A121="","",IF(AND(Aturan!$C$38="",Aturan!$D$38=""),"Tidak dinilai",IF(E121="","Belum ada data",IF(E121&lt;IF(Aturan!$C$38="",0,Aturan!$C$38),"Kurang",IF(E121&gt;=IF(Aturan!$D$38="",Aturan!$C$38,Aturan!$D$38),"Nyaman","Cukup")))))</f>
        <v/>
      </c>
      <c r="N121" s="70" t="str">
        <f aca="false">IF($A121="","",IF(AND(Aturan!$C$39="",Aturan!$D$39=""),"Tidak dinilai",IF(F121="","Belum ada data",IF(F121&lt;IF(Aturan!$C$39="",0,Aturan!$C$39),"Kurang",IF(F121&gt;=IF(Aturan!$D$39="",Aturan!$C$39,Aturan!$D$39),"Nyaman","Cukup")))))</f>
        <v/>
      </c>
      <c r="O121" s="70" t="str">
        <f aca="false">IF($A121="","",IF(AND(Aturan!$C$40="",Aturan!$D$40=""),"Tidak dinilai",IF(G121="","Belum ada data",IF(G121&lt;IF(Aturan!$C$40="",0,Aturan!$C$40),"Kurang",IF(G121&gt;=IF(Aturan!$D$40="",Aturan!$C$40,Aturan!$D$40),"Nyaman","Cukup")))))</f>
        <v/>
      </c>
      <c r="P121" s="70" t="str">
        <f aca="false">IF($A121="","",IF(AND(Aturan!$C$41="",Aturan!$D$41=""),"Tidak dinilai",IF(H121="","Belum ada data",IF(H121&lt;IF(Aturan!$C$41="",0,Aturan!$C$41),"Kurang",IF(H121&gt;=IF(Aturan!$D$41="",Aturan!$C$41,Aturan!$D$41),"Nyaman","Cukup")))))</f>
        <v/>
      </c>
      <c r="Q121" s="70" t="str">
        <f aca="false">IF($A121="","",IF(COUNTIF(K121:P121,"Tidak dinilai")=6,"Tidak dinilai",IF(COUNTIF(K121:P121,"Kurang")&gt;0,"Kurang cocok",IF(COUNTIF(K121:P121,"Belum ada data")&gt;0,"Data belum lengkap",IF(COUNTIF(K121:P121,"Cukup")&gt;0,"Bisa, dengan catatan","Cocok")))))</f>
        <v/>
      </c>
      <c r="R121" s="33" t="str">
        <f aca="false">IF($A121="","",IF(K121="Kurang","prosesor tingkat "&amp;C121&amp;" dari 5, di bawah batas minimal (tingkat "&amp;Aturan!$C$36&amp;")",IF(K121="Cukup","prosesor tingkat "&amp;C121&amp;" dari 5 cukup, nyamannya mulai tingkat "&amp;Aturan!$D$36,IF(K121="Belum ada data","tingkat prosesor belum diisi",""))))</f>
        <v/>
      </c>
      <c r="S121" s="33" t="str">
        <f aca="false">IF($A121="","",IF(L121="Kurang","grafis tingkat "&amp;D121&amp;" dari 5, di bawah batas minimal (tingkat "&amp;Aturan!$C$37&amp;")",IF(L121="Cukup","grafis tingkat "&amp;D121&amp;" dari 5 cukup, nyamannya mulai tingkat "&amp;Aturan!$D$37,IF(L121="Belum ada data","tingkat grafis belum diisi",""))))</f>
        <v/>
      </c>
      <c r="T121" s="33" t="str">
        <f aca="false">IF($A121="","",IF(M121="Kurang","RAM "&amp;E121&amp;" GB, di bawah batas minimal "&amp;Aturan!$C$38&amp;" GB ("&amp;I121&amp;")",IF(M121="Cukup","RAM "&amp;E121&amp;" GB cukup, nyamannya "&amp;Aturan!$D$38&amp;" GB atau lebih ("&amp;I121&amp;")",IF(M121="Belum ada data","ukuran RAM belum diisi",""))))</f>
        <v/>
      </c>
      <c r="U121" s="33" t="str">
        <f aca="false">IF($A121="","",IF(N121="Kurang","penyimpanan "&amp;F121&amp;" GB, di bawah batas minimal "&amp;Aturan!$C$39&amp;" GB ("&amp;J121&amp;")",IF(N121="Cukup","penyimpanan "&amp;F121&amp;" GB cukup, nyamannya "&amp;Aturan!$D$39&amp;" GB atau lebih ("&amp;J121&amp;")",IF(N121="Belum ada data","ukuran penyimpanan belum diisi",""))))</f>
        <v/>
      </c>
      <c r="V121" s="33" t="str">
        <f aca="false">IF($A121="","",IF(O121="Kurang","layar "&amp;Varian!$AG28&amp;", di bawah batas minimal ("&amp;IFERROR(INDEX(Aturan!$A$63:$A$66,MATCH(Aturan!$C$40,Aturan!$B$63:$B$66,0)),"peringkat "&amp;Aturan!$C$40)&amp;")",IF(O121="Cukup","layar "&amp;Varian!$AG28&amp;" cukup, nyamannya "&amp;IFERROR(INDEX(Aturan!$A$63:$A$66,MATCH(Aturan!$D$40,Aturan!$B$63:$B$66,0)),"peringkat "&amp;Aturan!$D$40),IF(O121="Belum ada data","jenis layar belum diketahui",""))))</f>
        <v/>
      </c>
      <c r="W121" s="33" t="str">
        <f aca="false">IF($A121="","",IF(P121="Kurang","layar "&amp;H121&amp;" Hz, di bawah batas minimal "&amp;Aturan!$C$41&amp;" Hz",IF(P121="Cukup","layar "&amp;H121&amp;" Hz cukup, nyamannya "&amp;Aturan!$D$41&amp;" Hz atau lebih",IF(P121="Belum ada data","refresh rate belum diketahui",""))))</f>
        <v/>
      </c>
      <c r="X121" s="33" t="str">
        <f aca="false">IF($A121="","",IF(K121="Kurang",R121&amp;"; ","")&amp;IF(L121="Kurang",S121&amp;"; ","")&amp;IF(M121="Kurang",T121&amp;"; ","")&amp;IF(N121="Kurang",U121&amp;"; ","")&amp;IF(O121="Kurang",V121&amp;"; ","")&amp;IF(P121="Kurang",W121&amp;"; ","")&amp;IF(K121="Belum ada data",R121&amp;"; ","")&amp;IF(L121="Belum ada data",S121&amp;"; ","")&amp;IF(M121="Belum ada data",T121&amp;"; ","")&amp;IF(N121="Belum ada data",U121&amp;"; ","")&amp;IF(O121="Belum ada data",V121&amp;"; ","")&amp;IF(P121="Belum ada data",W121&amp;"; ","")&amp;IF(K121="Cukup",R121&amp;"; ","")&amp;IF(L121="Cukup",S121&amp;"; ","")&amp;IF(M121="Cukup",T121&amp;"; ","")&amp;IF(N121="Cukup",U121&amp;"; ","")&amp;IF(O121="Cukup",V121&amp;"; ","")&amp;IF(P121="Cukup",W121&amp;"; ",""))</f>
        <v/>
      </c>
      <c r="Y121" s="33" t="str">
        <f aca="false">IF($A121="","",IF(K121="Nyaman","prosesor, ","")&amp;IF(L121="Nyaman","grafis, ","")&amp;IF(M121="Nyaman","RAM, ","")&amp;IF(N121="Nyaman","penyimpanan, ","")&amp;IF(O121="Nyaman","layar, ","")&amp;IF(P121="Nyaman","refresh rate, ",""))</f>
        <v/>
      </c>
      <c r="Z121" s="33" t="str">
        <f aca="false">IF($A121="","",IF(Q121="Tidak dinilai","Belum ada kriteria yang dinilai untuk kebutuhan ini.",IF(Q121="Cocok","Semua kriteria yang dinilai sudah nyaman: "&amp;LEFT(Y121,LEN(Y121)-2)&amp;".",UPPER(LEFT(X121,1))&amp;MID(X121,2,LEN(X121)-3)&amp;"."&amp;IF(Y121="",""," Sudah nyaman: "&amp;LEFT(Y121,LEN(Y121)-2)&amp;"."))))</f>
        <v/>
      </c>
      <c r="AA121" s="33"/>
      <c r="AB121" s="33"/>
      <c r="AC121" s="69"/>
    </row>
    <row r="122" customFormat="false" ht="15" hidden="false" customHeight="true" outlineLevel="0" collapsed="false">
      <c r="A122" s="33" t="str">
        <f aca="false">IF(Varian!$A28="","",Varian!$A28)</f>
        <v/>
      </c>
      <c r="B122" s="33" t="str">
        <f aca="false">IF($A122="","",Aturan!$A$23)</f>
        <v/>
      </c>
      <c r="C122" s="69" t="str">
        <f aca="false">IF($A122="","",IFERROR(IF(ISNUMBER(INDEX(CPU!$J$4:$J$64,MATCH(Varian!$J28,CPU!$A$4:$A$64,0))),INDEX(CPU!$J$4:$J$64,MATCH(Varian!$J28,CPU!$A$4:$A$64,0)),""),""))</f>
        <v/>
      </c>
      <c r="D122" s="69" t="str">
        <f aca="false">IF($A122="","",IFERROR(IF(ISNUMBER(INDEX(GPU!$G$4:$G$64,MATCH(Varian!$K28,GPU!$A$4:$A$64,0))),INDEX(GPU!$G$4:$G$64,MATCH(Varian!$K28,GPU!$A$4:$A$64,0)),""),""))</f>
        <v/>
      </c>
      <c r="E122" s="69" t="str">
        <f aca="false">IF($A122="","",IF(ISNUMBER(Varian!$M28),Varian!$M28,""))</f>
        <v/>
      </c>
      <c r="F122" s="69" t="str">
        <f aca="false">IF($A122="","",IF(ISNUMBER(Varian!$V28),Varian!$V28,""))</f>
        <v/>
      </c>
      <c r="G122" s="69" t="str">
        <f aca="false">IF($A122="","",IFERROR(INDEX(Aturan!$B$63:$B$66,MATCH(Varian!$AG28,Aturan!$A$63:$A$66,0)),""))</f>
        <v/>
      </c>
      <c r="H122" s="69" t="str">
        <f aca="false">IF($A122="","",IF(ISNUMBER(Varian!$AI28),Varian!$AI28,""))</f>
        <v/>
      </c>
      <c r="I122" s="33" t="str">
        <f aca="false">IF($A122="","",IF(Varian!$Q28="disolder","menempel di papan utama, tidak bisa ditambah",IF(OR(Varian!$Q28="slot",Varian!$Q28="setengah_disolder"),IF(Varian!$Q28="setengah_disolder","sebagian menempel, ","")&amp;IF(ISNUMBER(Varian!$U28),IF(AND(ISNUMBER(Varian!$M28),Varian!$U28&gt;Varian!$M28),"bisa dinaikkan lewat slot sampai "&amp;Varian!$U28&amp;" GB","sudah di batas maksimal "&amp;Varian!$U28&amp;" GB"),"ada slot, batas maksimalnya belum diketahui"),"belum diketahui apakah bisa ditambah")))</f>
        <v/>
      </c>
      <c r="J122" s="33" t="str">
        <f aca="false">IF($A122="","",IF(Varian!$Z28="ya","bisa diganti dengan yang lebih besar",IF(Varian!$Z28="tidak","menempel, tidak bisa diganti","belum diketahui apakah bisa diganti")))</f>
        <v/>
      </c>
      <c r="K122" s="70" t="str">
        <f aca="false">IF($A122="","",IF(AND(Aturan!$C$42="",Aturan!$D$42=""),"Tidak dinilai",IF(C122="","Belum ada data",IF(C122&lt;IF(Aturan!$C$42="",0,Aturan!$C$42),"Kurang",IF(C122&gt;=IF(Aturan!$D$42="",Aturan!$C$42,Aturan!$D$42),"Nyaman","Cukup")))))</f>
        <v/>
      </c>
      <c r="L122" s="70" t="str">
        <f aca="false">IF($A122="","",IF(AND(Aturan!$C$43="",Aturan!$D$43=""),"Tidak dinilai",IF(D122="","Belum ada data",IF(D122&lt;IF(Aturan!$C$43="",0,Aturan!$C$43),"Kurang",IF(D122&gt;=IF(Aturan!$D$43="",Aturan!$C$43,Aturan!$D$43),"Nyaman","Cukup")))))</f>
        <v/>
      </c>
      <c r="M122" s="70" t="str">
        <f aca="false">IF($A122="","",IF(AND(Aturan!$C$44="",Aturan!$D$44=""),"Tidak dinilai",IF(E122="","Belum ada data",IF(E122&lt;IF(Aturan!$C$44="",0,Aturan!$C$44),"Kurang",IF(E122&gt;=IF(Aturan!$D$44="",Aturan!$C$44,Aturan!$D$44),"Nyaman","Cukup")))))</f>
        <v/>
      </c>
      <c r="N122" s="70" t="str">
        <f aca="false">IF($A122="","",IF(AND(Aturan!$C$45="",Aturan!$D$45=""),"Tidak dinilai",IF(F122="","Belum ada data",IF(F122&lt;IF(Aturan!$C$45="",0,Aturan!$C$45),"Kurang",IF(F122&gt;=IF(Aturan!$D$45="",Aturan!$C$45,Aturan!$D$45),"Nyaman","Cukup")))))</f>
        <v/>
      </c>
      <c r="O122" s="70" t="str">
        <f aca="false">IF($A122="","",IF(AND(Aturan!$C$46="",Aturan!$D$46=""),"Tidak dinilai",IF(G122="","Belum ada data",IF(G122&lt;IF(Aturan!$C$46="",0,Aturan!$C$46),"Kurang",IF(G122&gt;=IF(Aturan!$D$46="",Aturan!$C$46,Aturan!$D$46),"Nyaman","Cukup")))))</f>
        <v/>
      </c>
      <c r="P122" s="70" t="str">
        <f aca="false">IF($A122="","",IF(AND(Aturan!$C$47="",Aturan!$D$47=""),"Tidak dinilai",IF(H122="","Belum ada data",IF(H122&lt;IF(Aturan!$C$47="",0,Aturan!$C$47),"Kurang",IF(H122&gt;=IF(Aturan!$D$47="",Aturan!$C$47,Aturan!$D$47),"Nyaman","Cukup")))))</f>
        <v/>
      </c>
      <c r="Q122" s="70" t="str">
        <f aca="false">IF($A122="","",IF(COUNTIF(K122:P122,"Tidak dinilai")=6,"Tidak dinilai",IF(COUNTIF(K122:P122,"Kurang")&gt;0,"Kurang cocok",IF(COUNTIF(K122:P122,"Belum ada data")&gt;0,"Data belum lengkap",IF(COUNTIF(K122:P122,"Cukup")&gt;0,"Bisa, dengan catatan","Cocok")))))</f>
        <v/>
      </c>
      <c r="R122" s="33" t="str">
        <f aca="false">IF($A122="","",IF(K122="Kurang","prosesor tingkat "&amp;C122&amp;" dari 5, di bawah batas minimal (tingkat "&amp;Aturan!$C$42&amp;")",IF(K122="Cukup","prosesor tingkat "&amp;C122&amp;" dari 5 cukup, nyamannya mulai tingkat "&amp;Aturan!$D$42,IF(K122="Belum ada data","tingkat prosesor belum diisi",""))))</f>
        <v/>
      </c>
      <c r="S122" s="33" t="str">
        <f aca="false">IF($A122="","",IF(L122="Kurang","grafis tingkat "&amp;D122&amp;" dari 5, di bawah batas minimal (tingkat "&amp;Aturan!$C$43&amp;")",IF(L122="Cukup","grafis tingkat "&amp;D122&amp;" dari 5 cukup, nyamannya mulai tingkat "&amp;Aturan!$D$43,IF(L122="Belum ada data","tingkat grafis belum diisi",""))))</f>
        <v/>
      </c>
      <c r="T122" s="33" t="str">
        <f aca="false">IF($A122="","",IF(M122="Kurang","RAM "&amp;E122&amp;" GB, di bawah batas minimal "&amp;Aturan!$C$44&amp;" GB ("&amp;I122&amp;")",IF(M122="Cukup","RAM "&amp;E122&amp;" GB cukup, nyamannya "&amp;Aturan!$D$44&amp;" GB atau lebih ("&amp;I122&amp;")",IF(M122="Belum ada data","ukuran RAM belum diisi",""))))</f>
        <v/>
      </c>
      <c r="U122" s="33" t="str">
        <f aca="false">IF($A122="","",IF(N122="Kurang","penyimpanan "&amp;F122&amp;" GB, di bawah batas minimal "&amp;Aturan!$C$45&amp;" GB ("&amp;J122&amp;")",IF(N122="Cukup","penyimpanan "&amp;F122&amp;" GB cukup, nyamannya "&amp;Aturan!$D$45&amp;" GB atau lebih ("&amp;J122&amp;")",IF(N122="Belum ada data","ukuran penyimpanan belum diisi",""))))</f>
        <v/>
      </c>
      <c r="V122" s="33" t="str">
        <f aca="false">IF($A122="","",IF(O122="Kurang","layar "&amp;Varian!$AG28&amp;", di bawah batas minimal ("&amp;IFERROR(INDEX(Aturan!$A$63:$A$66,MATCH(Aturan!$C$46,Aturan!$B$63:$B$66,0)),"peringkat "&amp;Aturan!$C$46)&amp;")",IF(O122="Cukup","layar "&amp;Varian!$AG28&amp;" cukup, nyamannya "&amp;IFERROR(INDEX(Aturan!$A$63:$A$66,MATCH(Aturan!$D$46,Aturan!$B$63:$B$66,0)),"peringkat "&amp;Aturan!$D$46),IF(O122="Belum ada data","jenis layar belum diketahui",""))))</f>
        <v/>
      </c>
      <c r="W122" s="33" t="str">
        <f aca="false">IF($A122="","",IF(P122="Kurang","layar "&amp;H122&amp;" Hz, di bawah batas minimal "&amp;Aturan!$C$47&amp;" Hz",IF(P122="Cukup","layar "&amp;H122&amp;" Hz cukup, nyamannya "&amp;Aturan!$D$47&amp;" Hz atau lebih",IF(P122="Belum ada data","refresh rate belum diketahui",""))))</f>
        <v/>
      </c>
      <c r="X122" s="33" t="str">
        <f aca="false">IF($A122="","",IF(K122="Kurang",R122&amp;"; ","")&amp;IF(L122="Kurang",S122&amp;"; ","")&amp;IF(M122="Kurang",T122&amp;"; ","")&amp;IF(N122="Kurang",U122&amp;"; ","")&amp;IF(O122="Kurang",V122&amp;"; ","")&amp;IF(P122="Kurang",W122&amp;"; ","")&amp;IF(K122="Belum ada data",R122&amp;"; ","")&amp;IF(L122="Belum ada data",S122&amp;"; ","")&amp;IF(M122="Belum ada data",T122&amp;"; ","")&amp;IF(N122="Belum ada data",U122&amp;"; ","")&amp;IF(O122="Belum ada data",V122&amp;"; ","")&amp;IF(P122="Belum ada data",W122&amp;"; ","")&amp;IF(K122="Cukup",R122&amp;"; ","")&amp;IF(L122="Cukup",S122&amp;"; ","")&amp;IF(M122="Cukup",T122&amp;"; ","")&amp;IF(N122="Cukup",U122&amp;"; ","")&amp;IF(O122="Cukup",V122&amp;"; ","")&amp;IF(P122="Cukup",W122&amp;"; ",""))</f>
        <v/>
      </c>
      <c r="Y122" s="33" t="str">
        <f aca="false">IF($A122="","",IF(K122="Nyaman","prosesor, ","")&amp;IF(L122="Nyaman","grafis, ","")&amp;IF(M122="Nyaman","RAM, ","")&amp;IF(N122="Nyaman","penyimpanan, ","")&amp;IF(O122="Nyaman","layar, ","")&amp;IF(P122="Nyaman","refresh rate, ",""))</f>
        <v/>
      </c>
      <c r="Z122" s="33" t="str">
        <f aca="false">IF($A122="","",IF(Q122="Tidak dinilai","Belum ada kriteria yang dinilai untuk kebutuhan ini.",IF(Q122="Cocok","Semua kriteria yang dinilai sudah nyaman: "&amp;LEFT(Y122,LEN(Y122)-2)&amp;".",UPPER(LEFT(X122,1))&amp;MID(X122,2,LEN(X122)-3)&amp;"."&amp;IF(Y122="",""," Sudah nyaman: "&amp;LEFT(Y122,LEN(Y122)-2)&amp;"."))))</f>
        <v/>
      </c>
      <c r="AA122" s="33"/>
      <c r="AB122" s="33"/>
      <c r="AC122" s="69"/>
    </row>
    <row r="123" customFormat="false" ht="15" hidden="false" customHeight="true" outlineLevel="0" collapsed="false">
      <c r="A123" s="33" t="str">
        <f aca="false">IF(Varian!$A28="","",Varian!$A28)</f>
        <v/>
      </c>
      <c r="B123" s="33" t="str">
        <f aca="false">IF($A123="","",Aturan!$A$24)</f>
        <v/>
      </c>
      <c r="C123" s="69" t="str">
        <f aca="false">IF($A123="","",IFERROR(IF(ISNUMBER(INDEX(CPU!$J$4:$J$64,MATCH(Varian!$J28,CPU!$A$4:$A$64,0))),INDEX(CPU!$J$4:$J$64,MATCH(Varian!$J28,CPU!$A$4:$A$64,0)),""),""))</f>
        <v/>
      </c>
      <c r="D123" s="69" t="str">
        <f aca="false">IF($A123="","",IFERROR(IF(ISNUMBER(INDEX(GPU!$G$4:$G$64,MATCH(Varian!$K28,GPU!$A$4:$A$64,0))),INDEX(GPU!$G$4:$G$64,MATCH(Varian!$K28,GPU!$A$4:$A$64,0)),""),""))</f>
        <v/>
      </c>
      <c r="E123" s="69" t="str">
        <f aca="false">IF($A123="","",IF(ISNUMBER(Varian!$M28),Varian!$M28,""))</f>
        <v/>
      </c>
      <c r="F123" s="69" t="str">
        <f aca="false">IF($A123="","",IF(ISNUMBER(Varian!$V28),Varian!$V28,""))</f>
        <v/>
      </c>
      <c r="G123" s="69" t="str">
        <f aca="false">IF($A123="","",IFERROR(INDEX(Aturan!$B$63:$B$66,MATCH(Varian!$AG28,Aturan!$A$63:$A$66,0)),""))</f>
        <v/>
      </c>
      <c r="H123" s="69" t="str">
        <f aca="false">IF($A123="","",IF(ISNUMBER(Varian!$AI28),Varian!$AI28,""))</f>
        <v/>
      </c>
      <c r="I123" s="33" t="str">
        <f aca="false">IF($A123="","",IF(Varian!$Q28="disolder","menempel di papan utama, tidak bisa ditambah",IF(OR(Varian!$Q28="slot",Varian!$Q28="setengah_disolder"),IF(Varian!$Q28="setengah_disolder","sebagian menempel, ","")&amp;IF(ISNUMBER(Varian!$U28),IF(AND(ISNUMBER(Varian!$M28),Varian!$U28&gt;Varian!$M28),"bisa dinaikkan lewat slot sampai "&amp;Varian!$U28&amp;" GB","sudah di batas maksimal "&amp;Varian!$U28&amp;" GB"),"ada slot, batas maksimalnya belum diketahui"),"belum diketahui apakah bisa ditambah")))</f>
        <v/>
      </c>
      <c r="J123" s="33" t="str">
        <f aca="false">IF($A123="","",IF(Varian!$Z28="ya","bisa diganti dengan yang lebih besar",IF(Varian!$Z28="tidak","menempel, tidak bisa diganti","belum diketahui apakah bisa diganti")))</f>
        <v/>
      </c>
      <c r="K123" s="70" t="str">
        <f aca="false">IF($A123="","",IF(AND(Aturan!$C$48="",Aturan!$D$48=""),"Tidak dinilai",IF(C123="","Belum ada data",IF(C123&lt;IF(Aturan!$C$48="",0,Aturan!$C$48),"Kurang",IF(C123&gt;=IF(Aturan!$D$48="",Aturan!$C$48,Aturan!$D$48),"Nyaman","Cukup")))))</f>
        <v/>
      </c>
      <c r="L123" s="70" t="str">
        <f aca="false">IF($A123="","",IF(AND(Aturan!$C$49="",Aturan!$D$49=""),"Tidak dinilai",IF(D123="","Belum ada data",IF(D123&lt;IF(Aturan!$C$49="",0,Aturan!$C$49),"Kurang",IF(D123&gt;=IF(Aturan!$D$49="",Aturan!$C$49,Aturan!$D$49),"Nyaman","Cukup")))))</f>
        <v/>
      </c>
      <c r="M123" s="70" t="str">
        <f aca="false">IF($A123="","",IF(AND(Aturan!$C$50="",Aturan!$D$50=""),"Tidak dinilai",IF(E123="","Belum ada data",IF(E123&lt;IF(Aturan!$C$50="",0,Aturan!$C$50),"Kurang",IF(E123&gt;=IF(Aturan!$D$50="",Aturan!$C$50,Aturan!$D$50),"Nyaman","Cukup")))))</f>
        <v/>
      </c>
      <c r="N123" s="70" t="str">
        <f aca="false">IF($A123="","",IF(AND(Aturan!$C$51="",Aturan!$D$51=""),"Tidak dinilai",IF(F123="","Belum ada data",IF(F123&lt;IF(Aturan!$C$51="",0,Aturan!$C$51),"Kurang",IF(F123&gt;=IF(Aturan!$D$51="",Aturan!$C$51,Aturan!$D$51),"Nyaman","Cukup")))))</f>
        <v/>
      </c>
      <c r="O123" s="70" t="str">
        <f aca="false">IF($A123="","",IF(AND(Aturan!$C$52="",Aturan!$D$52=""),"Tidak dinilai",IF(G123="","Belum ada data",IF(G123&lt;IF(Aturan!$C$52="",0,Aturan!$C$52),"Kurang",IF(G123&gt;=IF(Aturan!$D$52="",Aturan!$C$52,Aturan!$D$52),"Nyaman","Cukup")))))</f>
        <v/>
      </c>
      <c r="P123" s="70" t="str">
        <f aca="false">IF($A123="","",IF(AND(Aturan!$C$53="",Aturan!$D$53=""),"Tidak dinilai",IF(H123="","Belum ada data",IF(H123&lt;IF(Aturan!$C$53="",0,Aturan!$C$53),"Kurang",IF(H123&gt;=IF(Aturan!$D$53="",Aturan!$C$53,Aturan!$D$53),"Nyaman","Cukup")))))</f>
        <v/>
      </c>
      <c r="Q123" s="70" t="str">
        <f aca="false">IF($A123="","",IF(COUNTIF(K123:P123,"Tidak dinilai")=6,"Tidak dinilai",IF(COUNTIF(K123:P123,"Kurang")&gt;0,"Kurang cocok",IF(COUNTIF(K123:P123,"Belum ada data")&gt;0,"Data belum lengkap",IF(COUNTIF(K123:P123,"Cukup")&gt;0,"Bisa, dengan catatan","Cocok")))))</f>
        <v/>
      </c>
      <c r="R123" s="33" t="str">
        <f aca="false">IF($A123="","",IF(K123="Kurang","prosesor tingkat "&amp;C123&amp;" dari 5, di bawah batas minimal (tingkat "&amp;Aturan!$C$48&amp;")",IF(K123="Cukup","prosesor tingkat "&amp;C123&amp;" dari 5 cukup, nyamannya mulai tingkat "&amp;Aturan!$D$48,IF(K123="Belum ada data","tingkat prosesor belum diisi",""))))</f>
        <v/>
      </c>
      <c r="S123" s="33" t="str">
        <f aca="false">IF($A123="","",IF(L123="Kurang","grafis tingkat "&amp;D123&amp;" dari 5, di bawah batas minimal (tingkat "&amp;Aturan!$C$49&amp;")",IF(L123="Cukup","grafis tingkat "&amp;D123&amp;" dari 5 cukup, nyamannya mulai tingkat "&amp;Aturan!$D$49,IF(L123="Belum ada data","tingkat grafis belum diisi",""))))</f>
        <v/>
      </c>
      <c r="T123" s="33" t="str">
        <f aca="false">IF($A123="","",IF(M123="Kurang","RAM "&amp;E123&amp;" GB, di bawah batas minimal "&amp;Aturan!$C$50&amp;" GB ("&amp;I123&amp;")",IF(M123="Cukup","RAM "&amp;E123&amp;" GB cukup, nyamannya "&amp;Aturan!$D$50&amp;" GB atau lebih ("&amp;I123&amp;")",IF(M123="Belum ada data","ukuran RAM belum diisi",""))))</f>
        <v/>
      </c>
      <c r="U123" s="33" t="str">
        <f aca="false">IF($A123="","",IF(N123="Kurang","penyimpanan "&amp;F123&amp;" GB, di bawah batas minimal "&amp;Aturan!$C$51&amp;" GB ("&amp;J123&amp;")",IF(N123="Cukup","penyimpanan "&amp;F123&amp;" GB cukup, nyamannya "&amp;Aturan!$D$51&amp;" GB atau lebih ("&amp;J123&amp;")",IF(N123="Belum ada data","ukuran penyimpanan belum diisi",""))))</f>
        <v/>
      </c>
      <c r="V123" s="33" t="str">
        <f aca="false">IF($A123="","",IF(O123="Kurang","layar "&amp;Varian!$AG28&amp;", di bawah batas minimal ("&amp;IFERROR(INDEX(Aturan!$A$63:$A$66,MATCH(Aturan!$C$52,Aturan!$B$63:$B$66,0)),"peringkat "&amp;Aturan!$C$52)&amp;")",IF(O123="Cukup","layar "&amp;Varian!$AG28&amp;" cukup, nyamannya "&amp;IFERROR(INDEX(Aturan!$A$63:$A$66,MATCH(Aturan!$D$52,Aturan!$B$63:$B$66,0)),"peringkat "&amp;Aturan!$D$52),IF(O123="Belum ada data","jenis layar belum diketahui",""))))</f>
        <v/>
      </c>
      <c r="W123" s="33" t="str">
        <f aca="false">IF($A123="","",IF(P123="Kurang","layar "&amp;H123&amp;" Hz, di bawah batas minimal "&amp;Aturan!$C$53&amp;" Hz",IF(P123="Cukup","layar "&amp;H123&amp;" Hz cukup, nyamannya "&amp;Aturan!$D$53&amp;" Hz atau lebih",IF(P123="Belum ada data","refresh rate belum diketahui",""))))</f>
        <v/>
      </c>
      <c r="X123" s="33" t="str">
        <f aca="false">IF($A123="","",IF(K123="Kurang",R123&amp;"; ","")&amp;IF(L123="Kurang",S123&amp;"; ","")&amp;IF(M123="Kurang",T123&amp;"; ","")&amp;IF(N123="Kurang",U123&amp;"; ","")&amp;IF(O123="Kurang",V123&amp;"; ","")&amp;IF(P123="Kurang",W123&amp;"; ","")&amp;IF(K123="Belum ada data",R123&amp;"; ","")&amp;IF(L123="Belum ada data",S123&amp;"; ","")&amp;IF(M123="Belum ada data",T123&amp;"; ","")&amp;IF(N123="Belum ada data",U123&amp;"; ","")&amp;IF(O123="Belum ada data",V123&amp;"; ","")&amp;IF(P123="Belum ada data",W123&amp;"; ","")&amp;IF(K123="Cukup",R123&amp;"; ","")&amp;IF(L123="Cukup",S123&amp;"; ","")&amp;IF(M123="Cukup",T123&amp;"; ","")&amp;IF(N123="Cukup",U123&amp;"; ","")&amp;IF(O123="Cukup",V123&amp;"; ","")&amp;IF(P123="Cukup",W123&amp;"; ",""))</f>
        <v/>
      </c>
      <c r="Y123" s="33" t="str">
        <f aca="false">IF($A123="","",IF(K123="Nyaman","prosesor, ","")&amp;IF(L123="Nyaman","grafis, ","")&amp;IF(M123="Nyaman","RAM, ","")&amp;IF(N123="Nyaman","penyimpanan, ","")&amp;IF(O123="Nyaman","layar, ","")&amp;IF(P123="Nyaman","refresh rate, ",""))</f>
        <v/>
      </c>
      <c r="Z123" s="33" t="str">
        <f aca="false">IF($A123="","",IF(Q123="Tidak dinilai","Belum ada kriteria yang dinilai untuk kebutuhan ini.",IF(Q123="Cocok","Semua kriteria yang dinilai sudah nyaman: "&amp;LEFT(Y123,LEN(Y123)-2)&amp;".",UPPER(LEFT(X123,1))&amp;MID(X123,2,LEN(X123)-3)&amp;"."&amp;IF(Y123="",""," Sudah nyaman: "&amp;LEFT(Y123,LEN(Y123)-2)&amp;"."))))</f>
        <v/>
      </c>
      <c r="AA123" s="33"/>
      <c r="AB123" s="33"/>
      <c r="AC123" s="69"/>
    </row>
    <row r="124" customFormat="false" ht="15" hidden="false" customHeight="true" outlineLevel="0" collapsed="false">
      <c r="A124" s="33" t="str">
        <f aca="false">IF(Varian!$A28="","",Varian!$A28)</f>
        <v/>
      </c>
      <c r="B124" s="33" t="str">
        <f aca="false">IF($A124="","",Aturan!$A$25)</f>
        <v/>
      </c>
      <c r="C124" s="69" t="str">
        <f aca="false">IF($A124="","",IFERROR(IF(ISNUMBER(INDEX(CPU!$J$4:$J$64,MATCH(Varian!$J28,CPU!$A$4:$A$64,0))),INDEX(CPU!$J$4:$J$64,MATCH(Varian!$J28,CPU!$A$4:$A$64,0)),""),""))</f>
        <v/>
      </c>
      <c r="D124" s="69" t="str">
        <f aca="false">IF($A124="","",IFERROR(IF(ISNUMBER(INDEX(GPU!$G$4:$G$64,MATCH(Varian!$K28,GPU!$A$4:$A$64,0))),INDEX(GPU!$G$4:$G$64,MATCH(Varian!$K28,GPU!$A$4:$A$64,0)),""),""))</f>
        <v/>
      </c>
      <c r="E124" s="69" t="str">
        <f aca="false">IF($A124="","",IF(ISNUMBER(Varian!$M28),Varian!$M28,""))</f>
        <v/>
      </c>
      <c r="F124" s="69" t="str">
        <f aca="false">IF($A124="","",IF(ISNUMBER(Varian!$V28),Varian!$V28,""))</f>
        <v/>
      </c>
      <c r="G124" s="69" t="str">
        <f aca="false">IF($A124="","",IFERROR(INDEX(Aturan!$B$63:$B$66,MATCH(Varian!$AG28,Aturan!$A$63:$A$66,0)),""))</f>
        <v/>
      </c>
      <c r="H124" s="69" t="str">
        <f aca="false">IF($A124="","",IF(ISNUMBER(Varian!$AI28),Varian!$AI28,""))</f>
        <v/>
      </c>
      <c r="I124" s="33" t="str">
        <f aca="false">IF($A124="","",IF(Varian!$Q28="disolder","menempel di papan utama, tidak bisa ditambah",IF(OR(Varian!$Q28="slot",Varian!$Q28="setengah_disolder"),IF(Varian!$Q28="setengah_disolder","sebagian menempel, ","")&amp;IF(ISNUMBER(Varian!$U28),IF(AND(ISNUMBER(Varian!$M28),Varian!$U28&gt;Varian!$M28),"bisa dinaikkan lewat slot sampai "&amp;Varian!$U28&amp;" GB","sudah di batas maksimal "&amp;Varian!$U28&amp;" GB"),"ada slot, batas maksimalnya belum diketahui"),"belum diketahui apakah bisa ditambah")))</f>
        <v/>
      </c>
      <c r="J124" s="33" t="str">
        <f aca="false">IF($A124="","",IF(Varian!$Z28="ya","bisa diganti dengan yang lebih besar",IF(Varian!$Z28="tidak","menempel, tidak bisa diganti","belum diketahui apakah bisa diganti")))</f>
        <v/>
      </c>
      <c r="K124" s="70" t="str">
        <f aca="false">IF($A124="","",IF(AND(Aturan!$C$54="",Aturan!$D$54=""),"Tidak dinilai",IF(C124="","Belum ada data",IF(C124&lt;IF(Aturan!$C$54="",0,Aturan!$C$54),"Kurang",IF(C124&gt;=IF(Aturan!$D$54="",Aturan!$C$54,Aturan!$D$54),"Nyaman","Cukup")))))</f>
        <v/>
      </c>
      <c r="L124" s="70" t="str">
        <f aca="false">IF($A124="","",IF(AND(Aturan!$C$55="",Aturan!$D$55=""),"Tidak dinilai",IF(D124="","Belum ada data",IF(D124&lt;IF(Aturan!$C$55="",0,Aturan!$C$55),"Kurang",IF(D124&gt;=IF(Aturan!$D$55="",Aturan!$C$55,Aturan!$D$55),"Nyaman","Cukup")))))</f>
        <v/>
      </c>
      <c r="M124" s="70" t="str">
        <f aca="false">IF($A124="","",IF(AND(Aturan!$C$56="",Aturan!$D$56=""),"Tidak dinilai",IF(E124="","Belum ada data",IF(E124&lt;IF(Aturan!$C$56="",0,Aturan!$C$56),"Kurang",IF(E124&gt;=IF(Aturan!$D$56="",Aturan!$C$56,Aturan!$D$56),"Nyaman","Cukup")))))</f>
        <v/>
      </c>
      <c r="N124" s="70" t="str">
        <f aca="false">IF($A124="","",IF(AND(Aturan!$C$57="",Aturan!$D$57=""),"Tidak dinilai",IF(F124="","Belum ada data",IF(F124&lt;IF(Aturan!$C$57="",0,Aturan!$C$57),"Kurang",IF(F124&gt;=IF(Aturan!$D$57="",Aturan!$C$57,Aturan!$D$57),"Nyaman","Cukup")))))</f>
        <v/>
      </c>
      <c r="O124" s="70" t="str">
        <f aca="false">IF($A124="","",IF(AND(Aturan!$C$58="",Aturan!$D$58=""),"Tidak dinilai",IF(G124="","Belum ada data",IF(G124&lt;IF(Aturan!$C$58="",0,Aturan!$C$58),"Kurang",IF(G124&gt;=IF(Aturan!$D$58="",Aturan!$C$58,Aturan!$D$58),"Nyaman","Cukup")))))</f>
        <v/>
      </c>
      <c r="P124" s="70" t="str">
        <f aca="false">IF($A124="","",IF(AND(Aturan!$C$59="",Aturan!$D$59=""),"Tidak dinilai",IF(H124="","Belum ada data",IF(H124&lt;IF(Aturan!$C$59="",0,Aturan!$C$59),"Kurang",IF(H124&gt;=IF(Aturan!$D$59="",Aturan!$C$59,Aturan!$D$59),"Nyaman","Cukup")))))</f>
        <v/>
      </c>
      <c r="Q124" s="70" t="str">
        <f aca="false">IF($A124="","",IF(COUNTIF(K124:P124,"Tidak dinilai")=6,"Tidak dinilai",IF(COUNTIF(K124:P124,"Kurang")&gt;0,"Kurang cocok",IF(COUNTIF(K124:P124,"Belum ada data")&gt;0,"Data belum lengkap",IF(COUNTIF(K124:P124,"Cukup")&gt;0,"Bisa, dengan catatan","Cocok")))))</f>
        <v/>
      </c>
      <c r="R124" s="33" t="str">
        <f aca="false">IF($A124="","",IF(K124="Kurang","prosesor tingkat "&amp;C124&amp;" dari 5, di bawah batas minimal (tingkat "&amp;Aturan!$C$54&amp;")",IF(K124="Cukup","prosesor tingkat "&amp;C124&amp;" dari 5 cukup, nyamannya mulai tingkat "&amp;Aturan!$D$54,IF(K124="Belum ada data","tingkat prosesor belum diisi",""))))</f>
        <v/>
      </c>
      <c r="S124" s="33" t="str">
        <f aca="false">IF($A124="","",IF(L124="Kurang","grafis tingkat "&amp;D124&amp;" dari 5, di bawah batas minimal (tingkat "&amp;Aturan!$C$55&amp;")",IF(L124="Cukup","grafis tingkat "&amp;D124&amp;" dari 5 cukup, nyamannya mulai tingkat "&amp;Aturan!$D$55,IF(L124="Belum ada data","tingkat grafis belum diisi",""))))</f>
        <v/>
      </c>
      <c r="T124" s="33" t="str">
        <f aca="false">IF($A124="","",IF(M124="Kurang","RAM "&amp;E124&amp;" GB, di bawah batas minimal "&amp;Aturan!$C$56&amp;" GB ("&amp;I124&amp;")",IF(M124="Cukup","RAM "&amp;E124&amp;" GB cukup, nyamannya "&amp;Aturan!$D$56&amp;" GB atau lebih ("&amp;I124&amp;")",IF(M124="Belum ada data","ukuran RAM belum diisi",""))))</f>
        <v/>
      </c>
      <c r="U124" s="33" t="str">
        <f aca="false">IF($A124="","",IF(N124="Kurang","penyimpanan "&amp;F124&amp;" GB, di bawah batas minimal "&amp;Aturan!$C$57&amp;" GB ("&amp;J124&amp;")",IF(N124="Cukup","penyimpanan "&amp;F124&amp;" GB cukup, nyamannya "&amp;Aturan!$D$57&amp;" GB atau lebih ("&amp;J124&amp;")",IF(N124="Belum ada data","ukuran penyimpanan belum diisi",""))))</f>
        <v/>
      </c>
      <c r="V124" s="33" t="str">
        <f aca="false">IF($A124="","",IF(O124="Kurang","layar "&amp;Varian!$AG28&amp;", di bawah batas minimal ("&amp;IFERROR(INDEX(Aturan!$A$63:$A$66,MATCH(Aturan!$C$58,Aturan!$B$63:$B$66,0)),"peringkat "&amp;Aturan!$C$58)&amp;")",IF(O124="Cukup","layar "&amp;Varian!$AG28&amp;" cukup, nyamannya "&amp;IFERROR(INDEX(Aturan!$A$63:$A$66,MATCH(Aturan!$D$58,Aturan!$B$63:$B$66,0)),"peringkat "&amp;Aturan!$D$58),IF(O124="Belum ada data","jenis layar belum diketahui",""))))</f>
        <v/>
      </c>
      <c r="W124" s="33" t="str">
        <f aca="false">IF($A124="","",IF(P124="Kurang","layar "&amp;H124&amp;" Hz, di bawah batas minimal "&amp;Aturan!$C$59&amp;" Hz",IF(P124="Cukup","layar "&amp;H124&amp;" Hz cukup, nyamannya "&amp;Aturan!$D$59&amp;" Hz atau lebih",IF(P124="Belum ada data","refresh rate belum diketahui",""))))</f>
        <v/>
      </c>
      <c r="X124" s="33" t="str">
        <f aca="false">IF($A124="","",IF(K124="Kurang",R124&amp;"; ","")&amp;IF(L124="Kurang",S124&amp;"; ","")&amp;IF(M124="Kurang",T124&amp;"; ","")&amp;IF(N124="Kurang",U124&amp;"; ","")&amp;IF(O124="Kurang",V124&amp;"; ","")&amp;IF(P124="Kurang",W124&amp;"; ","")&amp;IF(K124="Belum ada data",R124&amp;"; ","")&amp;IF(L124="Belum ada data",S124&amp;"; ","")&amp;IF(M124="Belum ada data",T124&amp;"; ","")&amp;IF(N124="Belum ada data",U124&amp;"; ","")&amp;IF(O124="Belum ada data",V124&amp;"; ","")&amp;IF(P124="Belum ada data",W124&amp;"; ","")&amp;IF(K124="Cukup",R124&amp;"; ","")&amp;IF(L124="Cukup",S124&amp;"; ","")&amp;IF(M124="Cukup",T124&amp;"; ","")&amp;IF(N124="Cukup",U124&amp;"; ","")&amp;IF(O124="Cukup",V124&amp;"; ","")&amp;IF(P124="Cukup",W124&amp;"; ",""))</f>
        <v/>
      </c>
      <c r="Y124" s="33" t="str">
        <f aca="false">IF($A124="","",IF(K124="Nyaman","prosesor, ","")&amp;IF(L124="Nyaman","grafis, ","")&amp;IF(M124="Nyaman","RAM, ","")&amp;IF(N124="Nyaman","penyimpanan, ","")&amp;IF(O124="Nyaman","layar, ","")&amp;IF(P124="Nyaman","refresh rate, ",""))</f>
        <v/>
      </c>
      <c r="Z124" s="33" t="str">
        <f aca="false">IF($A124="","",IF(Q124="Tidak dinilai","Belum ada kriteria yang dinilai untuk kebutuhan ini.",IF(Q124="Cocok","Semua kriteria yang dinilai sudah nyaman: "&amp;LEFT(Y124,LEN(Y124)-2)&amp;".",UPPER(LEFT(X124,1))&amp;MID(X124,2,LEN(X124)-3)&amp;"."&amp;IF(Y124="",""," Sudah nyaman: "&amp;LEFT(Y124,LEN(Y124)-2)&amp;"."))))</f>
        <v/>
      </c>
      <c r="AA124" s="33"/>
      <c r="AB124" s="33"/>
      <c r="AC124" s="69"/>
    </row>
    <row r="125" customFormat="false" ht="15" hidden="false" customHeight="true" outlineLevel="0" collapsed="false">
      <c r="A125" s="66" t="str">
        <f aca="false">IF(Varian!$A29="","",Varian!$A29)</f>
        <v/>
      </c>
      <c r="B125" s="66" t="str">
        <f aca="false">IF($A125="","",Aturan!$A$21)</f>
        <v/>
      </c>
      <c r="C125" s="67" t="str">
        <f aca="false">IF($A125="","",IFERROR(IF(ISNUMBER(INDEX(CPU!$J$4:$J$64,MATCH(Varian!$J29,CPU!$A$4:$A$64,0))),INDEX(CPU!$J$4:$J$64,MATCH(Varian!$J29,CPU!$A$4:$A$64,0)),""),""))</f>
        <v/>
      </c>
      <c r="D125" s="67" t="str">
        <f aca="false">IF($A125="","",IFERROR(IF(ISNUMBER(INDEX(GPU!$G$4:$G$64,MATCH(Varian!$K29,GPU!$A$4:$A$64,0))),INDEX(GPU!$G$4:$G$64,MATCH(Varian!$K29,GPU!$A$4:$A$64,0)),""),""))</f>
        <v/>
      </c>
      <c r="E125" s="67" t="str">
        <f aca="false">IF($A125="","",IF(ISNUMBER(Varian!$M29),Varian!$M29,""))</f>
        <v/>
      </c>
      <c r="F125" s="67" t="str">
        <f aca="false">IF($A125="","",IF(ISNUMBER(Varian!$V29),Varian!$V29,""))</f>
        <v/>
      </c>
      <c r="G125" s="67" t="str">
        <f aca="false">IF($A125="","",IFERROR(INDEX(Aturan!$B$63:$B$66,MATCH(Varian!$AG29,Aturan!$A$63:$A$66,0)),""))</f>
        <v/>
      </c>
      <c r="H125" s="67" t="str">
        <f aca="false">IF($A125="","",IF(ISNUMBER(Varian!$AI29),Varian!$AI29,""))</f>
        <v/>
      </c>
      <c r="I125" s="66" t="str">
        <f aca="false">IF($A125="","",IF(Varian!$Q29="disolder","menempel di papan utama, tidak bisa ditambah",IF(OR(Varian!$Q29="slot",Varian!$Q29="setengah_disolder"),IF(Varian!$Q29="setengah_disolder","sebagian menempel, ","")&amp;IF(ISNUMBER(Varian!$U29),IF(AND(ISNUMBER(Varian!$M29),Varian!$U29&gt;Varian!$M29),"bisa dinaikkan lewat slot sampai "&amp;Varian!$U29&amp;" GB","sudah di batas maksimal "&amp;Varian!$U29&amp;" GB"),"ada slot, batas maksimalnya belum diketahui"),"belum diketahui apakah bisa ditambah")))</f>
        <v/>
      </c>
      <c r="J125" s="66" t="str">
        <f aca="false">IF($A125="","",IF(Varian!$Z29="ya","bisa diganti dengan yang lebih besar",IF(Varian!$Z29="tidak","menempel, tidak bisa diganti","belum diketahui apakah bisa diganti")))</f>
        <v/>
      </c>
      <c r="K125" s="68" t="str">
        <f aca="false">IF($A125="","",IF(AND(Aturan!$C$30="",Aturan!$D$30=""),"Tidak dinilai",IF(C125="","Belum ada data",IF(C125&lt;IF(Aturan!$C$30="",0,Aturan!$C$30),"Kurang",IF(C125&gt;=IF(Aturan!$D$30="",Aturan!$C$30,Aturan!$D$30),"Nyaman","Cukup")))))</f>
        <v/>
      </c>
      <c r="L125" s="68" t="str">
        <f aca="false">IF($A125="","",IF(AND(Aturan!$C$31="",Aturan!$D$31=""),"Tidak dinilai",IF(D125="","Belum ada data",IF(D125&lt;IF(Aturan!$C$31="",0,Aturan!$C$31),"Kurang",IF(D125&gt;=IF(Aturan!$D$31="",Aturan!$C$31,Aturan!$D$31),"Nyaman","Cukup")))))</f>
        <v/>
      </c>
      <c r="M125" s="68" t="str">
        <f aca="false">IF($A125="","",IF(AND(Aturan!$C$32="",Aturan!$D$32=""),"Tidak dinilai",IF(E125="","Belum ada data",IF(E125&lt;IF(Aturan!$C$32="",0,Aturan!$C$32),"Kurang",IF(E125&gt;=IF(Aturan!$D$32="",Aturan!$C$32,Aturan!$D$32),"Nyaman","Cukup")))))</f>
        <v/>
      </c>
      <c r="N125" s="68" t="str">
        <f aca="false">IF($A125="","",IF(AND(Aturan!$C$33="",Aturan!$D$33=""),"Tidak dinilai",IF(F125="","Belum ada data",IF(F125&lt;IF(Aturan!$C$33="",0,Aturan!$C$33),"Kurang",IF(F125&gt;=IF(Aturan!$D$33="",Aturan!$C$33,Aturan!$D$33),"Nyaman","Cukup")))))</f>
        <v/>
      </c>
      <c r="O125" s="68" t="str">
        <f aca="false">IF($A125="","",IF(AND(Aturan!$C$34="",Aturan!$D$34=""),"Tidak dinilai",IF(G125="","Belum ada data",IF(G125&lt;IF(Aturan!$C$34="",0,Aturan!$C$34),"Kurang",IF(G125&gt;=IF(Aturan!$D$34="",Aturan!$C$34,Aturan!$D$34),"Nyaman","Cukup")))))</f>
        <v/>
      </c>
      <c r="P125" s="68" t="str">
        <f aca="false">IF($A125="","",IF(AND(Aturan!$C$35="",Aturan!$D$35=""),"Tidak dinilai",IF(H125="","Belum ada data",IF(H125&lt;IF(Aturan!$C$35="",0,Aturan!$C$35),"Kurang",IF(H125&gt;=IF(Aturan!$D$35="",Aturan!$C$35,Aturan!$D$35),"Nyaman","Cukup")))))</f>
        <v/>
      </c>
      <c r="Q125" s="68" t="str">
        <f aca="false">IF($A125="","",IF(COUNTIF(K125:P125,"Tidak dinilai")=6,"Tidak dinilai",IF(COUNTIF(K125:P125,"Kurang")&gt;0,"Kurang cocok",IF(COUNTIF(K125:P125,"Belum ada data")&gt;0,"Data belum lengkap",IF(COUNTIF(K125:P125,"Cukup")&gt;0,"Bisa, dengan catatan","Cocok")))))</f>
        <v/>
      </c>
      <c r="R125" s="66" t="str">
        <f aca="false">IF($A125="","",IF(K125="Kurang","prosesor tingkat "&amp;C125&amp;" dari 5, di bawah batas minimal (tingkat "&amp;Aturan!$C$30&amp;")",IF(K125="Cukup","prosesor tingkat "&amp;C125&amp;" dari 5 cukup, nyamannya mulai tingkat "&amp;Aturan!$D$30,IF(K125="Belum ada data","tingkat prosesor belum diisi",""))))</f>
        <v/>
      </c>
      <c r="S125" s="66" t="str">
        <f aca="false">IF($A125="","",IF(L125="Kurang","grafis tingkat "&amp;D125&amp;" dari 5, di bawah batas minimal (tingkat "&amp;Aturan!$C$31&amp;")",IF(L125="Cukup","grafis tingkat "&amp;D125&amp;" dari 5 cukup, nyamannya mulai tingkat "&amp;Aturan!$D$31,IF(L125="Belum ada data","tingkat grafis belum diisi",""))))</f>
        <v/>
      </c>
      <c r="T125" s="66" t="str">
        <f aca="false">IF($A125="","",IF(M125="Kurang","RAM "&amp;E125&amp;" GB, di bawah batas minimal "&amp;Aturan!$C$32&amp;" GB ("&amp;I125&amp;")",IF(M125="Cukup","RAM "&amp;E125&amp;" GB cukup, nyamannya "&amp;Aturan!$D$32&amp;" GB atau lebih ("&amp;I125&amp;")",IF(M125="Belum ada data","ukuran RAM belum diisi",""))))</f>
        <v/>
      </c>
      <c r="U125" s="66" t="str">
        <f aca="false">IF($A125="","",IF(N125="Kurang","penyimpanan "&amp;F125&amp;" GB, di bawah batas minimal "&amp;Aturan!$C$33&amp;" GB ("&amp;J125&amp;")",IF(N125="Cukup","penyimpanan "&amp;F125&amp;" GB cukup, nyamannya "&amp;Aturan!$D$33&amp;" GB atau lebih ("&amp;J125&amp;")",IF(N125="Belum ada data","ukuran penyimpanan belum diisi",""))))</f>
        <v/>
      </c>
      <c r="V125" s="66" t="str">
        <f aca="false">IF($A125="","",IF(O125="Kurang","layar "&amp;Varian!$AG29&amp;", di bawah batas minimal ("&amp;IFERROR(INDEX(Aturan!$A$63:$A$66,MATCH(Aturan!$C$34,Aturan!$B$63:$B$66,0)),"peringkat "&amp;Aturan!$C$34)&amp;")",IF(O125="Cukup","layar "&amp;Varian!$AG29&amp;" cukup, nyamannya "&amp;IFERROR(INDEX(Aturan!$A$63:$A$66,MATCH(Aturan!$D$34,Aturan!$B$63:$B$66,0)),"peringkat "&amp;Aturan!$D$34),IF(O125="Belum ada data","jenis layar belum diketahui",""))))</f>
        <v/>
      </c>
      <c r="W125" s="66" t="str">
        <f aca="false">IF($A125="","",IF(P125="Kurang","layar "&amp;H125&amp;" Hz, di bawah batas minimal "&amp;Aturan!$C$35&amp;" Hz",IF(P125="Cukup","layar "&amp;H125&amp;" Hz cukup, nyamannya "&amp;Aturan!$D$35&amp;" Hz atau lebih",IF(P125="Belum ada data","refresh rate belum diketahui",""))))</f>
        <v/>
      </c>
      <c r="X125" s="66" t="str">
        <f aca="false">IF($A125="","",IF(K125="Kurang",R125&amp;"; ","")&amp;IF(L125="Kurang",S125&amp;"; ","")&amp;IF(M125="Kurang",T125&amp;"; ","")&amp;IF(N125="Kurang",U125&amp;"; ","")&amp;IF(O125="Kurang",V125&amp;"; ","")&amp;IF(P125="Kurang",W125&amp;"; ","")&amp;IF(K125="Belum ada data",R125&amp;"; ","")&amp;IF(L125="Belum ada data",S125&amp;"; ","")&amp;IF(M125="Belum ada data",T125&amp;"; ","")&amp;IF(N125="Belum ada data",U125&amp;"; ","")&amp;IF(O125="Belum ada data",V125&amp;"; ","")&amp;IF(P125="Belum ada data",W125&amp;"; ","")&amp;IF(K125="Cukup",R125&amp;"; ","")&amp;IF(L125="Cukup",S125&amp;"; ","")&amp;IF(M125="Cukup",T125&amp;"; ","")&amp;IF(N125="Cukup",U125&amp;"; ","")&amp;IF(O125="Cukup",V125&amp;"; ","")&amp;IF(P125="Cukup",W125&amp;"; ",""))</f>
        <v/>
      </c>
      <c r="Y125" s="66" t="str">
        <f aca="false">IF($A125="","",IF(K125="Nyaman","prosesor, ","")&amp;IF(L125="Nyaman","grafis, ","")&amp;IF(M125="Nyaman","RAM, ","")&amp;IF(N125="Nyaman","penyimpanan, ","")&amp;IF(O125="Nyaman","layar, ","")&amp;IF(P125="Nyaman","refresh rate, ",""))</f>
        <v/>
      </c>
      <c r="Z125" s="66" t="str">
        <f aca="false">IF($A125="","",IF(Q125="Tidak dinilai","Belum ada kriteria yang dinilai untuk kebutuhan ini.",IF(Q125="Cocok","Semua kriteria yang dinilai sudah nyaman: "&amp;LEFT(Y125,LEN(Y125)-2)&amp;".",UPPER(LEFT(X125,1))&amp;MID(X125,2,LEN(X125)-3)&amp;"."&amp;IF(Y125="",""," Sudah nyaman: "&amp;LEFT(Y125,LEN(Y125)-2)&amp;"."))))</f>
        <v/>
      </c>
      <c r="AA125" s="66" t="str">
        <f aca="false">IF($A125="","",IF(Varian!$AR29="Windows 10","• "&amp;Aturan!$E$71&amp;CHAR(10),"")&amp;IF(Varian!$BB29="tidak","• "&amp;Aturan!$E$72&amp;CHAR(10),"")&amp;IF(OR(Varian!$AD29="belum terverifikasi",Varian!$AD29="tidak diketahui"),"• "&amp;Aturan!$E$73&amp;CHAR(10),"")&amp;IF(Varian!$AH29="1366x768","• "&amp;Aturan!$E$74&amp;CHAR(10),"")&amp;IF(Varian!$AG29="TN","• "&amp;Aturan!$E$75&amp;CHAR(10),"")&amp;IF(AND(Varian!$Q29="disolder",ISNUMBER(Varian!$M29),Varian!$M29&lt;=8),"• "&amp;Aturan!$E$76&amp;CHAR(10),""))</f>
        <v/>
      </c>
      <c r="AB125" s="66" t="str">
        <f aca="false">IF($A125="","",IF(AA125="","",LEFT(AA125,LEN(AA125)-1)))</f>
        <v/>
      </c>
      <c r="AC125" s="67" t="str">
        <f aca="false">IF($A125="","",IF(AA125="",0,LEN(AA125)-LEN(SUBSTITUTE(AA125,CHAR(10),""))))</f>
        <v/>
      </c>
    </row>
    <row r="126" customFormat="false" ht="15" hidden="false" customHeight="true" outlineLevel="0" collapsed="false">
      <c r="A126" s="33" t="str">
        <f aca="false">IF(Varian!$A29="","",Varian!$A29)</f>
        <v/>
      </c>
      <c r="B126" s="33" t="str">
        <f aca="false">IF($A126="","",Aturan!$A$22)</f>
        <v/>
      </c>
      <c r="C126" s="69" t="str">
        <f aca="false">IF($A126="","",IFERROR(IF(ISNUMBER(INDEX(CPU!$J$4:$J$64,MATCH(Varian!$J29,CPU!$A$4:$A$64,0))),INDEX(CPU!$J$4:$J$64,MATCH(Varian!$J29,CPU!$A$4:$A$64,0)),""),""))</f>
        <v/>
      </c>
      <c r="D126" s="69" t="str">
        <f aca="false">IF($A126="","",IFERROR(IF(ISNUMBER(INDEX(GPU!$G$4:$G$64,MATCH(Varian!$K29,GPU!$A$4:$A$64,0))),INDEX(GPU!$G$4:$G$64,MATCH(Varian!$K29,GPU!$A$4:$A$64,0)),""),""))</f>
        <v/>
      </c>
      <c r="E126" s="69" t="str">
        <f aca="false">IF($A126="","",IF(ISNUMBER(Varian!$M29),Varian!$M29,""))</f>
        <v/>
      </c>
      <c r="F126" s="69" t="str">
        <f aca="false">IF($A126="","",IF(ISNUMBER(Varian!$V29),Varian!$V29,""))</f>
        <v/>
      </c>
      <c r="G126" s="69" t="str">
        <f aca="false">IF($A126="","",IFERROR(INDEX(Aturan!$B$63:$B$66,MATCH(Varian!$AG29,Aturan!$A$63:$A$66,0)),""))</f>
        <v/>
      </c>
      <c r="H126" s="69" t="str">
        <f aca="false">IF($A126="","",IF(ISNUMBER(Varian!$AI29),Varian!$AI29,""))</f>
        <v/>
      </c>
      <c r="I126" s="33" t="str">
        <f aca="false">IF($A126="","",IF(Varian!$Q29="disolder","menempel di papan utama, tidak bisa ditambah",IF(OR(Varian!$Q29="slot",Varian!$Q29="setengah_disolder"),IF(Varian!$Q29="setengah_disolder","sebagian menempel, ","")&amp;IF(ISNUMBER(Varian!$U29),IF(AND(ISNUMBER(Varian!$M29),Varian!$U29&gt;Varian!$M29),"bisa dinaikkan lewat slot sampai "&amp;Varian!$U29&amp;" GB","sudah di batas maksimal "&amp;Varian!$U29&amp;" GB"),"ada slot, batas maksimalnya belum diketahui"),"belum diketahui apakah bisa ditambah")))</f>
        <v/>
      </c>
      <c r="J126" s="33" t="str">
        <f aca="false">IF($A126="","",IF(Varian!$Z29="ya","bisa diganti dengan yang lebih besar",IF(Varian!$Z29="tidak","menempel, tidak bisa diganti","belum diketahui apakah bisa diganti")))</f>
        <v/>
      </c>
      <c r="K126" s="70" t="str">
        <f aca="false">IF($A126="","",IF(AND(Aturan!$C$36="",Aturan!$D$36=""),"Tidak dinilai",IF(C126="","Belum ada data",IF(C126&lt;IF(Aturan!$C$36="",0,Aturan!$C$36),"Kurang",IF(C126&gt;=IF(Aturan!$D$36="",Aturan!$C$36,Aturan!$D$36),"Nyaman","Cukup")))))</f>
        <v/>
      </c>
      <c r="L126" s="70" t="str">
        <f aca="false">IF($A126="","",IF(AND(Aturan!$C$37="",Aturan!$D$37=""),"Tidak dinilai",IF(D126="","Belum ada data",IF(D126&lt;IF(Aturan!$C$37="",0,Aturan!$C$37),"Kurang",IF(D126&gt;=IF(Aturan!$D$37="",Aturan!$C$37,Aturan!$D$37),"Nyaman","Cukup")))))</f>
        <v/>
      </c>
      <c r="M126" s="70" t="str">
        <f aca="false">IF($A126="","",IF(AND(Aturan!$C$38="",Aturan!$D$38=""),"Tidak dinilai",IF(E126="","Belum ada data",IF(E126&lt;IF(Aturan!$C$38="",0,Aturan!$C$38),"Kurang",IF(E126&gt;=IF(Aturan!$D$38="",Aturan!$C$38,Aturan!$D$38),"Nyaman","Cukup")))))</f>
        <v/>
      </c>
      <c r="N126" s="70" t="str">
        <f aca="false">IF($A126="","",IF(AND(Aturan!$C$39="",Aturan!$D$39=""),"Tidak dinilai",IF(F126="","Belum ada data",IF(F126&lt;IF(Aturan!$C$39="",0,Aturan!$C$39),"Kurang",IF(F126&gt;=IF(Aturan!$D$39="",Aturan!$C$39,Aturan!$D$39),"Nyaman","Cukup")))))</f>
        <v/>
      </c>
      <c r="O126" s="70" t="str">
        <f aca="false">IF($A126="","",IF(AND(Aturan!$C$40="",Aturan!$D$40=""),"Tidak dinilai",IF(G126="","Belum ada data",IF(G126&lt;IF(Aturan!$C$40="",0,Aturan!$C$40),"Kurang",IF(G126&gt;=IF(Aturan!$D$40="",Aturan!$C$40,Aturan!$D$40),"Nyaman","Cukup")))))</f>
        <v/>
      </c>
      <c r="P126" s="70" t="str">
        <f aca="false">IF($A126="","",IF(AND(Aturan!$C$41="",Aturan!$D$41=""),"Tidak dinilai",IF(H126="","Belum ada data",IF(H126&lt;IF(Aturan!$C$41="",0,Aturan!$C$41),"Kurang",IF(H126&gt;=IF(Aturan!$D$41="",Aturan!$C$41,Aturan!$D$41),"Nyaman","Cukup")))))</f>
        <v/>
      </c>
      <c r="Q126" s="70" t="str">
        <f aca="false">IF($A126="","",IF(COUNTIF(K126:P126,"Tidak dinilai")=6,"Tidak dinilai",IF(COUNTIF(K126:P126,"Kurang")&gt;0,"Kurang cocok",IF(COUNTIF(K126:P126,"Belum ada data")&gt;0,"Data belum lengkap",IF(COUNTIF(K126:P126,"Cukup")&gt;0,"Bisa, dengan catatan","Cocok")))))</f>
        <v/>
      </c>
      <c r="R126" s="33" t="str">
        <f aca="false">IF($A126="","",IF(K126="Kurang","prosesor tingkat "&amp;C126&amp;" dari 5, di bawah batas minimal (tingkat "&amp;Aturan!$C$36&amp;")",IF(K126="Cukup","prosesor tingkat "&amp;C126&amp;" dari 5 cukup, nyamannya mulai tingkat "&amp;Aturan!$D$36,IF(K126="Belum ada data","tingkat prosesor belum diisi",""))))</f>
        <v/>
      </c>
      <c r="S126" s="33" t="str">
        <f aca="false">IF($A126="","",IF(L126="Kurang","grafis tingkat "&amp;D126&amp;" dari 5, di bawah batas minimal (tingkat "&amp;Aturan!$C$37&amp;")",IF(L126="Cukup","grafis tingkat "&amp;D126&amp;" dari 5 cukup, nyamannya mulai tingkat "&amp;Aturan!$D$37,IF(L126="Belum ada data","tingkat grafis belum diisi",""))))</f>
        <v/>
      </c>
      <c r="T126" s="33" t="str">
        <f aca="false">IF($A126="","",IF(M126="Kurang","RAM "&amp;E126&amp;" GB, di bawah batas minimal "&amp;Aturan!$C$38&amp;" GB ("&amp;I126&amp;")",IF(M126="Cukup","RAM "&amp;E126&amp;" GB cukup, nyamannya "&amp;Aturan!$D$38&amp;" GB atau lebih ("&amp;I126&amp;")",IF(M126="Belum ada data","ukuran RAM belum diisi",""))))</f>
        <v/>
      </c>
      <c r="U126" s="33" t="str">
        <f aca="false">IF($A126="","",IF(N126="Kurang","penyimpanan "&amp;F126&amp;" GB, di bawah batas minimal "&amp;Aturan!$C$39&amp;" GB ("&amp;J126&amp;")",IF(N126="Cukup","penyimpanan "&amp;F126&amp;" GB cukup, nyamannya "&amp;Aturan!$D$39&amp;" GB atau lebih ("&amp;J126&amp;")",IF(N126="Belum ada data","ukuran penyimpanan belum diisi",""))))</f>
        <v/>
      </c>
      <c r="V126" s="33" t="str">
        <f aca="false">IF($A126="","",IF(O126="Kurang","layar "&amp;Varian!$AG29&amp;", di bawah batas minimal ("&amp;IFERROR(INDEX(Aturan!$A$63:$A$66,MATCH(Aturan!$C$40,Aturan!$B$63:$B$66,0)),"peringkat "&amp;Aturan!$C$40)&amp;")",IF(O126="Cukup","layar "&amp;Varian!$AG29&amp;" cukup, nyamannya "&amp;IFERROR(INDEX(Aturan!$A$63:$A$66,MATCH(Aturan!$D$40,Aturan!$B$63:$B$66,0)),"peringkat "&amp;Aturan!$D$40),IF(O126="Belum ada data","jenis layar belum diketahui",""))))</f>
        <v/>
      </c>
      <c r="W126" s="33" t="str">
        <f aca="false">IF($A126="","",IF(P126="Kurang","layar "&amp;H126&amp;" Hz, di bawah batas minimal "&amp;Aturan!$C$41&amp;" Hz",IF(P126="Cukup","layar "&amp;H126&amp;" Hz cukup, nyamannya "&amp;Aturan!$D$41&amp;" Hz atau lebih",IF(P126="Belum ada data","refresh rate belum diketahui",""))))</f>
        <v/>
      </c>
      <c r="X126" s="33" t="str">
        <f aca="false">IF($A126="","",IF(K126="Kurang",R126&amp;"; ","")&amp;IF(L126="Kurang",S126&amp;"; ","")&amp;IF(M126="Kurang",T126&amp;"; ","")&amp;IF(N126="Kurang",U126&amp;"; ","")&amp;IF(O126="Kurang",V126&amp;"; ","")&amp;IF(P126="Kurang",W126&amp;"; ","")&amp;IF(K126="Belum ada data",R126&amp;"; ","")&amp;IF(L126="Belum ada data",S126&amp;"; ","")&amp;IF(M126="Belum ada data",T126&amp;"; ","")&amp;IF(N126="Belum ada data",U126&amp;"; ","")&amp;IF(O126="Belum ada data",V126&amp;"; ","")&amp;IF(P126="Belum ada data",W126&amp;"; ","")&amp;IF(K126="Cukup",R126&amp;"; ","")&amp;IF(L126="Cukup",S126&amp;"; ","")&amp;IF(M126="Cukup",T126&amp;"; ","")&amp;IF(N126="Cukup",U126&amp;"; ","")&amp;IF(O126="Cukup",V126&amp;"; ","")&amp;IF(P126="Cukup",W126&amp;"; ",""))</f>
        <v/>
      </c>
      <c r="Y126" s="33" t="str">
        <f aca="false">IF($A126="","",IF(K126="Nyaman","prosesor, ","")&amp;IF(L126="Nyaman","grafis, ","")&amp;IF(M126="Nyaman","RAM, ","")&amp;IF(N126="Nyaman","penyimpanan, ","")&amp;IF(O126="Nyaman","layar, ","")&amp;IF(P126="Nyaman","refresh rate, ",""))</f>
        <v/>
      </c>
      <c r="Z126" s="33" t="str">
        <f aca="false">IF($A126="","",IF(Q126="Tidak dinilai","Belum ada kriteria yang dinilai untuk kebutuhan ini.",IF(Q126="Cocok","Semua kriteria yang dinilai sudah nyaman: "&amp;LEFT(Y126,LEN(Y126)-2)&amp;".",UPPER(LEFT(X126,1))&amp;MID(X126,2,LEN(X126)-3)&amp;"."&amp;IF(Y126="",""," Sudah nyaman: "&amp;LEFT(Y126,LEN(Y126)-2)&amp;"."))))</f>
        <v/>
      </c>
      <c r="AA126" s="33"/>
      <c r="AB126" s="33"/>
      <c r="AC126" s="69"/>
    </row>
    <row r="127" customFormat="false" ht="15" hidden="false" customHeight="true" outlineLevel="0" collapsed="false">
      <c r="A127" s="33" t="str">
        <f aca="false">IF(Varian!$A29="","",Varian!$A29)</f>
        <v/>
      </c>
      <c r="B127" s="33" t="str">
        <f aca="false">IF($A127="","",Aturan!$A$23)</f>
        <v/>
      </c>
      <c r="C127" s="69" t="str">
        <f aca="false">IF($A127="","",IFERROR(IF(ISNUMBER(INDEX(CPU!$J$4:$J$64,MATCH(Varian!$J29,CPU!$A$4:$A$64,0))),INDEX(CPU!$J$4:$J$64,MATCH(Varian!$J29,CPU!$A$4:$A$64,0)),""),""))</f>
        <v/>
      </c>
      <c r="D127" s="69" t="str">
        <f aca="false">IF($A127="","",IFERROR(IF(ISNUMBER(INDEX(GPU!$G$4:$G$64,MATCH(Varian!$K29,GPU!$A$4:$A$64,0))),INDEX(GPU!$G$4:$G$64,MATCH(Varian!$K29,GPU!$A$4:$A$64,0)),""),""))</f>
        <v/>
      </c>
      <c r="E127" s="69" t="str">
        <f aca="false">IF($A127="","",IF(ISNUMBER(Varian!$M29),Varian!$M29,""))</f>
        <v/>
      </c>
      <c r="F127" s="69" t="str">
        <f aca="false">IF($A127="","",IF(ISNUMBER(Varian!$V29),Varian!$V29,""))</f>
        <v/>
      </c>
      <c r="G127" s="69" t="str">
        <f aca="false">IF($A127="","",IFERROR(INDEX(Aturan!$B$63:$B$66,MATCH(Varian!$AG29,Aturan!$A$63:$A$66,0)),""))</f>
        <v/>
      </c>
      <c r="H127" s="69" t="str">
        <f aca="false">IF($A127="","",IF(ISNUMBER(Varian!$AI29),Varian!$AI29,""))</f>
        <v/>
      </c>
      <c r="I127" s="33" t="str">
        <f aca="false">IF($A127="","",IF(Varian!$Q29="disolder","menempel di papan utama, tidak bisa ditambah",IF(OR(Varian!$Q29="slot",Varian!$Q29="setengah_disolder"),IF(Varian!$Q29="setengah_disolder","sebagian menempel, ","")&amp;IF(ISNUMBER(Varian!$U29),IF(AND(ISNUMBER(Varian!$M29),Varian!$U29&gt;Varian!$M29),"bisa dinaikkan lewat slot sampai "&amp;Varian!$U29&amp;" GB","sudah di batas maksimal "&amp;Varian!$U29&amp;" GB"),"ada slot, batas maksimalnya belum diketahui"),"belum diketahui apakah bisa ditambah")))</f>
        <v/>
      </c>
      <c r="J127" s="33" t="str">
        <f aca="false">IF($A127="","",IF(Varian!$Z29="ya","bisa diganti dengan yang lebih besar",IF(Varian!$Z29="tidak","menempel, tidak bisa diganti","belum diketahui apakah bisa diganti")))</f>
        <v/>
      </c>
      <c r="K127" s="70" t="str">
        <f aca="false">IF($A127="","",IF(AND(Aturan!$C$42="",Aturan!$D$42=""),"Tidak dinilai",IF(C127="","Belum ada data",IF(C127&lt;IF(Aturan!$C$42="",0,Aturan!$C$42),"Kurang",IF(C127&gt;=IF(Aturan!$D$42="",Aturan!$C$42,Aturan!$D$42),"Nyaman","Cukup")))))</f>
        <v/>
      </c>
      <c r="L127" s="70" t="str">
        <f aca="false">IF($A127="","",IF(AND(Aturan!$C$43="",Aturan!$D$43=""),"Tidak dinilai",IF(D127="","Belum ada data",IF(D127&lt;IF(Aturan!$C$43="",0,Aturan!$C$43),"Kurang",IF(D127&gt;=IF(Aturan!$D$43="",Aturan!$C$43,Aturan!$D$43),"Nyaman","Cukup")))))</f>
        <v/>
      </c>
      <c r="M127" s="70" t="str">
        <f aca="false">IF($A127="","",IF(AND(Aturan!$C$44="",Aturan!$D$44=""),"Tidak dinilai",IF(E127="","Belum ada data",IF(E127&lt;IF(Aturan!$C$44="",0,Aturan!$C$44),"Kurang",IF(E127&gt;=IF(Aturan!$D$44="",Aturan!$C$44,Aturan!$D$44),"Nyaman","Cukup")))))</f>
        <v/>
      </c>
      <c r="N127" s="70" t="str">
        <f aca="false">IF($A127="","",IF(AND(Aturan!$C$45="",Aturan!$D$45=""),"Tidak dinilai",IF(F127="","Belum ada data",IF(F127&lt;IF(Aturan!$C$45="",0,Aturan!$C$45),"Kurang",IF(F127&gt;=IF(Aturan!$D$45="",Aturan!$C$45,Aturan!$D$45),"Nyaman","Cukup")))))</f>
        <v/>
      </c>
      <c r="O127" s="70" t="str">
        <f aca="false">IF($A127="","",IF(AND(Aturan!$C$46="",Aturan!$D$46=""),"Tidak dinilai",IF(G127="","Belum ada data",IF(G127&lt;IF(Aturan!$C$46="",0,Aturan!$C$46),"Kurang",IF(G127&gt;=IF(Aturan!$D$46="",Aturan!$C$46,Aturan!$D$46),"Nyaman","Cukup")))))</f>
        <v/>
      </c>
      <c r="P127" s="70" t="str">
        <f aca="false">IF($A127="","",IF(AND(Aturan!$C$47="",Aturan!$D$47=""),"Tidak dinilai",IF(H127="","Belum ada data",IF(H127&lt;IF(Aturan!$C$47="",0,Aturan!$C$47),"Kurang",IF(H127&gt;=IF(Aturan!$D$47="",Aturan!$C$47,Aturan!$D$47),"Nyaman","Cukup")))))</f>
        <v/>
      </c>
      <c r="Q127" s="70" t="str">
        <f aca="false">IF($A127="","",IF(COUNTIF(K127:P127,"Tidak dinilai")=6,"Tidak dinilai",IF(COUNTIF(K127:P127,"Kurang")&gt;0,"Kurang cocok",IF(COUNTIF(K127:P127,"Belum ada data")&gt;0,"Data belum lengkap",IF(COUNTIF(K127:P127,"Cukup")&gt;0,"Bisa, dengan catatan","Cocok")))))</f>
        <v/>
      </c>
      <c r="R127" s="33" t="str">
        <f aca="false">IF($A127="","",IF(K127="Kurang","prosesor tingkat "&amp;C127&amp;" dari 5, di bawah batas minimal (tingkat "&amp;Aturan!$C$42&amp;")",IF(K127="Cukup","prosesor tingkat "&amp;C127&amp;" dari 5 cukup, nyamannya mulai tingkat "&amp;Aturan!$D$42,IF(K127="Belum ada data","tingkat prosesor belum diisi",""))))</f>
        <v/>
      </c>
      <c r="S127" s="33" t="str">
        <f aca="false">IF($A127="","",IF(L127="Kurang","grafis tingkat "&amp;D127&amp;" dari 5, di bawah batas minimal (tingkat "&amp;Aturan!$C$43&amp;")",IF(L127="Cukup","grafis tingkat "&amp;D127&amp;" dari 5 cukup, nyamannya mulai tingkat "&amp;Aturan!$D$43,IF(L127="Belum ada data","tingkat grafis belum diisi",""))))</f>
        <v/>
      </c>
      <c r="T127" s="33" t="str">
        <f aca="false">IF($A127="","",IF(M127="Kurang","RAM "&amp;E127&amp;" GB, di bawah batas minimal "&amp;Aturan!$C$44&amp;" GB ("&amp;I127&amp;")",IF(M127="Cukup","RAM "&amp;E127&amp;" GB cukup, nyamannya "&amp;Aturan!$D$44&amp;" GB atau lebih ("&amp;I127&amp;")",IF(M127="Belum ada data","ukuran RAM belum diisi",""))))</f>
        <v/>
      </c>
      <c r="U127" s="33" t="str">
        <f aca="false">IF($A127="","",IF(N127="Kurang","penyimpanan "&amp;F127&amp;" GB, di bawah batas minimal "&amp;Aturan!$C$45&amp;" GB ("&amp;J127&amp;")",IF(N127="Cukup","penyimpanan "&amp;F127&amp;" GB cukup, nyamannya "&amp;Aturan!$D$45&amp;" GB atau lebih ("&amp;J127&amp;")",IF(N127="Belum ada data","ukuran penyimpanan belum diisi",""))))</f>
        <v/>
      </c>
      <c r="V127" s="33" t="str">
        <f aca="false">IF($A127="","",IF(O127="Kurang","layar "&amp;Varian!$AG29&amp;", di bawah batas minimal ("&amp;IFERROR(INDEX(Aturan!$A$63:$A$66,MATCH(Aturan!$C$46,Aturan!$B$63:$B$66,0)),"peringkat "&amp;Aturan!$C$46)&amp;")",IF(O127="Cukup","layar "&amp;Varian!$AG29&amp;" cukup, nyamannya "&amp;IFERROR(INDEX(Aturan!$A$63:$A$66,MATCH(Aturan!$D$46,Aturan!$B$63:$B$66,0)),"peringkat "&amp;Aturan!$D$46),IF(O127="Belum ada data","jenis layar belum diketahui",""))))</f>
        <v/>
      </c>
      <c r="W127" s="33" t="str">
        <f aca="false">IF($A127="","",IF(P127="Kurang","layar "&amp;H127&amp;" Hz, di bawah batas minimal "&amp;Aturan!$C$47&amp;" Hz",IF(P127="Cukup","layar "&amp;H127&amp;" Hz cukup, nyamannya "&amp;Aturan!$D$47&amp;" Hz atau lebih",IF(P127="Belum ada data","refresh rate belum diketahui",""))))</f>
        <v/>
      </c>
      <c r="X127" s="33" t="str">
        <f aca="false">IF($A127="","",IF(K127="Kurang",R127&amp;"; ","")&amp;IF(L127="Kurang",S127&amp;"; ","")&amp;IF(M127="Kurang",T127&amp;"; ","")&amp;IF(N127="Kurang",U127&amp;"; ","")&amp;IF(O127="Kurang",V127&amp;"; ","")&amp;IF(P127="Kurang",W127&amp;"; ","")&amp;IF(K127="Belum ada data",R127&amp;"; ","")&amp;IF(L127="Belum ada data",S127&amp;"; ","")&amp;IF(M127="Belum ada data",T127&amp;"; ","")&amp;IF(N127="Belum ada data",U127&amp;"; ","")&amp;IF(O127="Belum ada data",V127&amp;"; ","")&amp;IF(P127="Belum ada data",W127&amp;"; ","")&amp;IF(K127="Cukup",R127&amp;"; ","")&amp;IF(L127="Cukup",S127&amp;"; ","")&amp;IF(M127="Cukup",T127&amp;"; ","")&amp;IF(N127="Cukup",U127&amp;"; ","")&amp;IF(O127="Cukup",V127&amp;"; ","")&amp;IF(P127="Cukup",W127&amp;"; ",""))</f>
        <v/>
      </c>
      <c r="Y127" s="33" t="str">
        <f aca="false">IF($A127="","",IF(K127="Nyaman","prosesor, ","")&amp;IF(L127="Nyaman","grafis, ","")&amp;IF(M127="Nyaman","RAM, ","")&amp;IF(N127="Nyaman","penyimpanan, ","")&amp;IF(O127="Nyaman","layar, ","")&amp;IF(P127="Nyaman","refresh rate, ",""))</f>
        <v/>
      </c>
      <c r="Z127" s="33" t="str">
        <f aca="false">IF($A127="","",IF(Q127="Tidak dinilai","Belum ada kriteria yang dinilai untuk kebutuhan ini.",IF(Q127="Cocok","Semua kriteria yang dinilai sudah nyaman: "&amp;LEFT(Y127,LEN(Y127)-2)&amp;".",UPPER(LEFT(X127,1))&amp;MID(X127,2,LEN(X127)-3)&amp;"."&amp;IF(Y127="",""," Sudah nyaman: "&amp;LEFT(Y127,LEN(Y127)-2)&amp;"."))))</f>
        <v/>
      </c>
      <c r="AA127" s="33"/>
      <c r="AB127" s="33"/>
      <c r="AC127" s="69"/>
    </row>
    <row r="128" customFormat="false" ht="15" hidden="false" customHeight="true" outlineLevel="0" collapsed="false">
      <c r="A128" s="33" t="str">
        <f aca="false">IF(Varian!$A29="","",Varian!$A29)</f>
        <v/>
      </c>
      <c r="B128" s="33" t="str">
        <f aca="false">IF($A128="","",Aturan!$A$24)</f>
        <v/>
      </c>
      <c r="C128" s="69" t="str">
        <f aca="false">IF($A128="","",IFERROR(IF(ISNUMBER(INDEX(CPU!$J$4:$J$64,MATCH(Varian!$J29,CPU!$A$4:$A$64,0))),INDEX(CPU!$J$4:$J$64,MATCH(Varian!$J29,CPU!$A$4:$A$64,0)),""),""))</f>
        <v/>
      </c>
      <c r="D128" s="69" t="str">
        <f aca="false">IF($A128="","",IFERROR(IF(ISNUMBER(INDEX(GPU!$G$4:$G$64,MATCH(Varian!$K29,GPU!$A$4:$A$64,0))),INDEX(GPU!$G$4:$G$64,MATCH(Varian!$K29,GPU!$A$4:$A$64,0)),""),""))</f>
        <v/>
      </c>
      <c r="E128" s="69" t="str">
        <f aca="false">IF($A128="","",IF(ISNUMBER(Varian!$M29),Varian!$M29,""))</f>
        <v/>
      </c>
      <c r="F128" s="69" t="str">
        <f aca="false">IF($A128="","",IF(ISNUMBER(Varian!$V29),Varian!$V29,""))</f>
        <v/>
      </c>
      <c r="G128" s="69" t="str">
        <f aca="false">IF($A128="","",IFERROR(INDEX(Aturan!$B$63:$B$66,MATCH(Varian!$AG29,Aturan!$A$63:$A$66,0)),""))</f>
        <v/>
      </c>
      <c r="H128" s="69" t="str">
        <f aca="false">IF($A128="","",IF(ISNUMBER(Varian!$AI29),Varian!$AI29,""))</f>
        <v/>
      </c>
      <c r="I128" s="33" t="str">
        <f aca="false">IF($A128="","",IF(Varian!$Q29="disolder","menempel di papan utama, tidak bisa ditambah",IF(OR(Varian!$Q29="slot",Varian!$Q29="setengah_disolder"),IF(Varian!$Q29="setengah_disolder","sebagian menempel, ","")&amp;IF(ISNUMBER(Varian!$U29),IF(AND(ISNUMBER(Varian!$M29),Varian!$U29&gt;Varian!$M29),"bisa dinaikkan lewat slot sampai "&amp;Varian!$U29&amp;" GB","sudah di batas maksimal "&amp;Varian!$U29&amp;" GB"),"ada slot, batas maksimalnya belum diketahui"),"belum diketahui apakah bisa ditambah")))</f>
        <v/>
      </c>
      <c r="J128" s="33" t="str">
        <f aca="false">IF($A128="","",IF(Varian!$Z29="ya","bisa diganti dengan yang lebih besar",IF(Varian!$Z29="tidak","menempel, tidak bisa diganti","belum diketahui apakah bisa diganti")))</f>
        <v/>
      </c>
      <c r="K128" s="70" t="str">
        <f aca="false">IF($A128="","",IF(AND(Aturan!$C$48="",Aturan!$D$48=""),"Tidak dinilai",IF(C128="","Belum ada data",IF(C128&lt;IF(Aturan!$C$48="",0,Aturan!$C$48),"Kurang",IF(C128&gt;=IF(Aturan!$D$48="",Aturan!$C$48,Aturan!$D$48),"Nyaman","Cukup")))))</f>
        <v/>
      </c>
      <c r="L128" s="70" t="str">
        <f aca="false">IF($A128="","",IF(AND(Aturan!$C$49="",Aturan!$D$49=""),"Tidak dinilai",IF(D128="","Belum ada data",IF(D128&lt;IF(Aturan!$C$49="",0,Aturan!$C$49),"Kurang",IF(D128&gt;=IF(Aturan!$D$49="",Aturan!$C$49,Aturan!$D$49),"Nyaman","Cukup")))))</f>
        <v/>
      </c>
      <c r="M128" s="70" t="str">
        <f aca="false">IF($A128="","",IF(AND(Aturan!$C$50="",Aturan!$D$50=""),"Tidak dinilai",IF(E128="","Belum ada data",IF(E128&lt;IF(Aturan!$C$50="",0,Aturan!$C$50),"Kurang",IF(E128&gt;=IF(Aturan!$D$50="",Aturan!$C$50,Aturan!$D$50),"Nyaman","Cukup")))))</f>
        <v/>
      </c>
      <c r="N128" s="70" t="str">
        <f aca="false">IF($A128="","",IF(AND(Aturan!$C$51="",Aturan!$D$51=""),"Tidak dinilai",IF(F128="","Belum ada data",IF(F128&lt;IF(Aturan!$C$51="",0,Aturan!$C$51),"Kurang",IF(F128&gt;=IF(Aturan!$D$51="",Aturan!$C$51,Aturan!$D$51),"Nyaman","Cukup")))))</f>
        <v/>
      </c>
      <c r="O128" s="70" t="str">
        <f aca="false">IF($A128="","",IF(AND(Aturan!$C$52="",Aturan!$D$52=""),"Tidak dinilai",IF(G128="","Belum ada data",IF(G128&lt;IF(Aturan!$C$52="",0,Aturan!$C$52),"Kurang",IF(G128&gt;=IF(Aturan!$D$52="",Aturan!$C$52,Aturan!$D$52),"Nyaman","Cukup")))))</f>
        <v/>
      </c>
      <c r="P128" s="70" t="str">
        <f aca="false">IF($A128="","",IF(AND(Aturan!$C$53="",Aturan!$D$53=""),"Tidak dinilai",IF(H128="","Belum ada data",IF(H128&lt;IF(Aturan!$C$53="",0,Aturan!$C$53),"Kurang",IF(H128&gt;=IF(Aturan!$D$53="",Aturan!$C$53,Aturan!$D$53),"Nyaman","Cukup")))))</f>
        <v/>
      </c>
      <c r="Q128" s="70" t="str">
        <f aca="false">IF($A128="","",IF(COUNTIF(K128:P128,"Tidak dinilai")=6,"Tidak dinilai",IF(COUNTIF(K128:P128,"Kurang")&gt;0,"Kurang cocok",IF(COUNTIF(K128:P128,"Belum ada data")&gt;0,"Data belum lengkap",IF(COUNTIF(K128:P128,"Cukup")&gt;0,"Bisa, dengan catatan","Cocok")))))</f>
        <v/>
      </c>
      <c r="R128" s="33" t="str">
        <f aca="false">IF($A128="","",IF(K128="Kurang","prosesor tingkat "&amp;C128&amp;" dari 5, di bawah batas minimal (tingkat "&amp;Aturan!$C$48&amp;")",IF(K128="Cukup","prosesor tingkat "&amp;C128&amp;" dari 5 cukup, nyamannya mulai tingkat "&amp;Aturan!$D$48,IF(K128="Belum ada data","tingkat prosesor belum diisi",""))))</f>
        <v/>
      </c>
      <c r="S128" s="33" t="str">
        <f aca="false">IF($A128="","",IF(L128="Kurang","grafis tingkat "&amp;D128&amp;" dari 5, di bawah batas minimal (tingkat "&amp;Aturan!$C$49&amp;")",IF(L128="Cukup","grafis tingkat "&amp;D128&amp;" dari 5 cukup, nyamannya mulai tingkat "&amp;Aturan!$D$49,IF(L128="Belum ada data","tingkat grafis belum diisi",""))))</f>
        <v/>
      </c>
      <c r="T128" s="33" t="str">
        <f aca="false">IF($A128="","",IF(M128="Kurang","RAM "&amp;E128&amp;" GB, di bawah batas minimal "&amp;Aturan!$C$50&amp;" GB ("&amp;I128&amp;")",IF(M128="Cukup","RAM "&amp;E128&amp;" GB cukup, nyamannya "&amp;Aturan!$D$50&amp;" GB atau lebih ("&amp;I128&amp;")",IF(M128="Belum ada data","ukuran RAM belum diisi",""))))</f>
        <v/>
      </c>
      <c r="U128" s="33" t="str">
        <f aca="false">IF($A128="","",IF(N128="Kurang","penyimpanan "&amp;F128&amp;" GB, di bawah batas minimal "&amp;Aturan!$C$51&amp;" GB ("&amp;J128&amp;")",IF(N128="Cukup","penyimpanan "&amp;F128&amp;" GB cukup, nyamannya "&amp;Aturan!$D$51&amp;" GB atau lebih ("&amp;J128&amp;")",IF(N128="Belum ada data","ukuran penyimpanan belum diisi",""))))</f>
        <v/>
      </c>
      <c r="V128" s="33" t="str">
        <f aca="false">IF($A128="","",IF(O128="Kurang","layar "&amp;Varian!$AG29&amp;", di bawah batas minimal ("&amp;IFERROR(INDEX(Aturan!$A$63:$A$66,MATCH(Aturan!$C$52,Aturan!$B$63:$B$66,0)),"peringkat "&amp;Aturan!$C$52)&amp;")",IF(O128="Cukup","layar "&amp;Varian!$AG29&amp;" cukup, nyamannya "&amp;IFERROR(INDEX(Aturan!$A$63:$A$66,MATCH(Aturan!$D$52,Aturan!$B$63:$B$66,0)),"peringkat "&amp;Aturan!$D$52),IF(O128="Belum ada data","jenis layar belum diketahui",""))))</f>
        <v/>
      </c>
      <c r="W128" s="33" t="str">
        <f aca="false">IF($A128="","",IF(P128="Kurang","layar "&amp;H128&amp;" Hz, di bawah batas minimal "&amp;Aturan!$C$53&amp;" Hz",IF(P128="Cukup","layar "&amp;H128&amp;" Hz cukup, nyamannya "&amp;Aturan!$D$53&amp;" Hz atau lebih",IF(P128="Belum ada data","refresh rate belum diketahui",""))))</f>
        <v/>
      </c>
      <c r="X128" s="33" t="str">
        <f aca="false">IF($A128="","",IF(K128="Kurang",R128&amp;"; ","")&amp;IF(L128="Kurang",S128&amp;"; ","")&amp;IF(M128="Kurang",T128&amp;"; ","")&amp;IF(N128="Kurang",U128&amp;"; ","")&amp;IF(O128="Kurang",V128&amp;"; ","")&amp;IF(P128="Kurang",W128&amp;"; ","")&amp;IF(K128="Belum ada data",R128&amp;"; ","")&amp;IF(L128="Belum ada data",S128&amp;"; ","")&amp;IF(M128="Belum ada data",T128&amp;"; ","")&amp;IF(N128="Belum ada data",U128&amp;"; ","")&amp;IF(O128="Belum ada data",V128&amp;"; ","")&amp;IF(P128="Belum ada data",W128&amp;"; ","")&amp;IF(K128="Cukup",R128&amp;"; ","")&amp;IF(L128="Cukup",S128&amp;"; ","")&amp;IF(M128="Cukup",T128&amp;"; ","")&amp;IF(N128="Cukup",U128&amp;"; ","")&amp;IF(O128="Cukup",V128&amp;"; ","")&amp;IF(P128="Cukup",W128&amp;"; ",""))</f>
        <v/>
      </c>
      <c r="Y128" s="33" t="str">
        <f aca="false">IF($A128="","",IF(K128="Nyaman","prosesor, ","")&amp;IF(L128="Nyaman","grafis, ","")&amp;IF(M128="Nyaman","RAM, ","")&amp;IF(N128="Nyaman","penyimpanan, ","")&amp;IF(O128="Nyaman","layar, ","")&amp;IF(P128="Nyaman","refresh rate, ",""))</f>
        <v/>
      </c>
      <c r="Z128" s="33" t="str">
        <f aca="false">IF($A128="","",IF(Q128="Tidak dinilai","Belum ada kriteria yang dinilai untuk kebutuhan ini.",IF(Q128="Cocok","Semua kriteria yang dinilai sudah nyaman: "&amp;LEFT(Y128,LEN(Y128)-2)&amp;".",UPPER(LEFT(X128,1))&amp;MID(X128,2,LEN(X128)-3)&amp;"."&amp;IF(Y128="",""," Sudah nyaman: "&amp;LEFT(Y128,LEN(Y128)-2)&amp;"."))))</f>
        <v/>
      </c>
      <c r="AA128" s="33"/>
      <c r="AB128" s="33"/>
      <c r="AC128" s="69"/>
    </row>
    <row r="129" customFormat="false" ht="15" hidden="false" customHeight="true" outlineLevel="0" collapsed="false">
      <c r="A129" s="33" t="str">
        <f aca="false">IF(Varian!$A29="","",Varian!$A29)</f>
        <v/>
      </c>
      <c r="B129" s="33" t="str">
        <f aca="false">IF($A129="","",Aturan!$A$25)</f>
        <v/>
      </c>
      <c r="C129" s="69" t="str">
        <f aca="false">IF($A129="","",IFERROR(IF(ISNUMBER(INDEX(CPU!$J$4:$J$64,MATCH(Varian!$J29,CPU!$A$4:$A$64,0))),INDEX(CPU!$J$4:$J$64,MATCH(Varian!$J29,CPU!$A$4:$A$64,0)),""),""))</f>
        <v/>
      </c>
      <c r="D129" s="69" t="str">
        <f aca="false">IF($A129="","",IFERROR(IF(ISNUMBER(INDEX(GPU!$G$4:$G$64,MATCH(Varian!$K29,GPU!$A$4:$A$64,0))),INDEX(GPU!$G$4:$G$64,MATCH(Varian!$K29,GPU!$A$4:$A$64,0)),""),""))</f>
        <v/>
      </c>
      <c r="E129" s="69" t="str">
        <f aca="false">IF($A129="","",IF(ISNUMBER(Varian!$M29),Varian!$M29,""))</f>
        <v/>
      </c>
      <c r="F129" s="69" t="str">
        <f aca="false">IF($A129="","",IF(ISNUMBER(Varian!$V29),Varian!$V29,""))</f>
        <v/>
      </c>
      <c r="G129" s="69" t="str">
        <f aca="false">IF($A129="","",IFERROR(INDEX(Aturan!$B$63:$B$66,MATCH(Varian!$AG29,Aturan!$A$63:$A$66,0)),""))</f>
        <v/>
      </c>
      <c r="H129" s="69" t="str">
        <f aca="false">IF($A129="","",IF(ISNUMBER(Varian!$AI29),Varian!$AI29,""))</f>
        <v/>
      </c>
      <c r="I129" s="33" t="str">
        <f aca="false">IF($A129="","",IF(Varian!$Q29="disolder","menempel di papan utama, tidak bisa ditambah",IF(OR(Varian!$Q29="slot",Varian!$Q29="setengah_disolder"),IF(Varian!$Q29="setengah_disolder","sebagian menempel, ","")&amp;IF(ISNUMBER(Varian!$U29),IF(AND(ISNUMBER(Varian!$M29),Varian!$U29&gt;Varian!$M29),"bisa dinaikkan lewat slot sampai "&amp;Varian!$U29&amp;" GB","sudah di batas maksimal "&amp;Varian!$U29&amp;" GB"),"ada slot, batas maksimalnya belum diketahui"),"belum diketahui apakah bisa ditambah")))</f>
        <v/>
      </c>
      <c r="J129" s="33" t="str">
        <f aca="false">IF($A129="","",IF(Varian!$Z29="ya","bisa diganti dengan yang lebih besar",IF(Varian!$Z29="tidak","menempel, tidak bisa diganti","belum diketahui apakah bisa diganti")))</f>
        <v/>
      </c>
      <c r="K129" s="70" t="str">
        <f aca="false">IF($A129="","",IF(AND(Aturan!$C$54="",Aturan!$D$54=""),"Tidak dinilai",IF(C129="","Belum ada data",IF(C129&lt;IF(Aturan!$C$54="",0,Aturan!$C$54),"Kurang",IF(C129&gt;=IF(Aturan!$D$54="",Aturan!$C$54,Aturan!$D$54),"Nyaman","Cukup")))))</f>
        <v/>
      </c>
      <c r="L129" s="70" t="str">
        <f aca="false">IF($A129="","",IF(AND(Aturan!$C$55="",Aturan!$D$55=""),"Tidak dinilai",IF(D129="","Belum ada data",IF(D129&lt;IF(Aturan!$C$55="",0,Aturan!$C$55),"Kurang",IF(D129&gt;=IF(Aturan!$D$55="",Aturan!$C$55,Aturan!$D$55),"Nyaman","Cukup")))))</f>
        <v/>
      </c>
      <c r="M129" s="70" t="str">
        <f aca="false">IF($A129="","",IF(AND(Aturan!$C$56="",Aturan!$D$56=""),"Tidak dinilai",IF(E129="","Belum ada data",IF(E129&lt;IF(Aturan!$C$56="",0,Aturan!$C$56),"Kurang",IF(E129&gt;=IF(Aturan!$D$56="",Aturan!$C$56,Aturan!$D$56),"Nyaman","Cukup")))))</f>
        <v/>
      </c>
      <c r="N129" s="70" t="str">
        <f aca="false">IF($A129="","",IF(AND(Aturan!$C$57="",Aturan!$D$57=""),"Tidak dinilai",IF(F129="","Belum ada data",IF(F129&lt;IF(Aturan!$C$57="",0,Aturan!$C$57),"Kurang",IF(F129&gt;=IF(Aturan!$D$57="",Aturan!$C$57,Aturan!$D$57),"Nyaman","Cukup")))))</f>
        <v/>
      </c>
      <c r="O129" s="70" t="str">
        <f aca="false">IF($A129="","",IF(AND(Aturan!$C$58="",Aturan!$D$58=""),"Tidak dinilai",IF(G129="","Belum ada data",IF(G129&lt;IF(Aturan!$C$58="",0,Aturan!$C$58),"Kurang",IF(G129&gt;=IF(Aturan!$D$58="",Aturan!$C$58,Aturan!$D$58),"Nyaman","Cukup")))))</f>
        <v/>
      </c>
      <c r="P129" s="70" t="str">
        <f aca="false">IF($A129="","",IF(AND(Aturan!$C$59="",Aturan!$D$59=""),"Tidak dinilai",IF(H129="","Belum ada data",IF(H129&lt;IF(Aturan!$C$59="",0,Aturan!$C$59),"Kurang",IF(H129&gt;=IF(Aturan!$D$59="",Aturan!$C$59,Aturan!$D$59),"Nyaman","Cukup")))))</f>
        <v/>
      </c>
      <c r="Q129" s="70" t="str">
        <f aca="false">IF($A129="","",IF(COUNTIF(K129:P129,"Tidak dinilai")=6,"Tidak dinilai",IF(COUNTIF(K129:P129,"Kurang")&gt;0,"Kurang cocok",IF(COUNTIF(K129:P129,"Belum ada data")&gt;0,"Data belum lengkap",IF(COUNTIF(K129:P129,"Cukup")&gt;0,"Bisa, dengan catatan","Cocok")))))</f>
        <v/>
      </c>
      <c r="R129" s="33" t="str">
        <f aca="false">IF($A129="","",IF(K129="Kurang","prosesor tingkat "&amp;C129&amp;" dari 5, di bawah batas minimal (tingkat "&amp;Aturan!$C$54&amp;")",IF(K129="Cukup","prosesor tingkat "&amp;C129&amp;" dari 5 cukup, nyamannya mulai tingkat "&amp;Aturan!$D$54,IF(K129="Belum ada data","tingkat prosesor belum diisi",""))))</f>
        <v/>
      </c>
      <c r="S129" s="33" t="str">
        <f aca="false">IF($A129="","",IF(L129="Kurang","grafis tingkat "&amp;D129&amp;" dari 5, di bawah batas minimal (tingkat "&amp;Aturan!$C$55&amp;")",IF(L129="Cukup","grafis tingkat "&amp;D129&amp;" dari 5 cukup, nyamannya mulai tingkat "&amp;Aturan!$D$55,IF(L129="Belum ada data","tingkat grafis belum diisi",""))))</f>
        <v/>
      </c>
      <c r="T129" s="33" t="str">
        <f aca="false">IF($A129="","",IF(M129="Kurang","RAM "&amp;E129&amp;" GB, di bawah batas minimal "&amp;Aturan!$C$56&amp;" GB ("&amp;I129&amp;")",IF(M129="Cukup","RAM "&amp;E129&amp;" GB cukup, nyamannya "&amp;Aturan!$D$56&amp;" GB atau lebih ("&amp;I129&amp;")",IF(M129="Belum ada data","ukuran RAM belum diisi",""))))</f>
        <v/>
      </c>
      <c r="U129" s="33" t="str">
        <f aca="false">IF($A129="","",IF(N129="Kurang","penyimpanan "&amp;F129&amp;" GB, di bawah batas minimal "&amp;Aturan!$C$57&amp;" GB ("&amp;J129&amp;")",IF(N129="Cukup","penyimpanan "&amp;F129&amp;" GB cukup, nyamannya "&amp;Aturan!$D$57&amp;" GB atau lebih ("&amp;J129&amp;")",IF(N129="Belum ada data","ukuran penyimpanan belum diisi",""))))</f>
        <v/>
      </c>
      <c r="V129" s="33" t="str">
        <f aca="false">IF($A129="","",IF(O129="Kurang","layar "&amp;Varian!$AG29&amp;", di bawah batas minimal ("&amp;IFERROR(INDEX(Aturan!$A$63:$A$66,MATCH(Aturan!$C$58,Aturan!$B$63:$B$66,0)),"peringkat "&amp;Aturan!$C$58)&amp;")",IF(O129="Cukup","layar "&amp;Varian!$AG29&amp;" cukup, nyamannya "&amp;IFERROR(INDEX(Aturan!$A$63:$A$66,MATCH(Aturan!$D$58,Aturan!$B$63:$B$66,0)),"peringkat "&amp;Aturan!$D$58),IF(O129="Belum ada data","jenis layar belum diketahui",""))))</f>
        <v/>
      </c>
      <c r="W129" s="33" t="str">
        <f aca="false">IF($A129="","",IF(P129="Kurang","layar "&amp;H129&amp;" Hz, di bawah batas minimal "&amp;Aturan!$C$59&amp;" Hz",IF(P129="Cukup","layar "&amp;H129&amp;" Hz cukup, nyamannya "&amp;Aturan!$D$59&amp;" Hz atau lebih",IF(P129="Belum ada data","refresh rate belum diketahui",""))))</f>
        <v/>
      </c>
      <c r="X129" s="33" t="str">
        <f aca="false">IF($A129="","",IF(K129="Kurang",R129&amp;"; ","")&amp;IF(L129="Kurang",S129&amp;"; ","")&amp;IF(M129="Kurang",T129&amp;"; ","")&amp;IF(N129="Kurang",U129&amp;"; ","")&amp;IF(O129="Kurang",V129&amp;"; ","")&amp;IF(P129="Kurang",W129&amp;"; ","")&amp;IF(K129="Belum ada data",R129&amp;"; ","")&amp;IF(L129="Belum ada data",S129&amp;"; ","")&amp;IF(M129="Belum ada data",T129&amp;"; ","")&amp;IF(N129="Belum ada data",U129&amp;"; ","")&amp;IF(O129="Belum ada data",V129&amp;"; ","")&amp;IF(P129="Belum ada data",W129&amp;"; ","")&amp;IF(K129="Cukup",R129&amp;"; ","")&amp;IF(L129="Cukup",S129&amp;"; ","")&amp;IF(M129="Cukup",T129&amp;"; ","")&amp;IF(N129="Cukup",U129&amp;"; ","")&amp;IF(O129="Cukup",V129&amp;"; ","")&amp;IF(P129="Cukup",W129&amp;"; ",""))</f>
        <v/>
      </c>
      <c r="Y129" s="33" t="str">
        <f aca="false">IF($A129="","",IF(K129="Nyaman","prosesor, ","")&amp;IF(L129="Nyaman","grafis, ","")&amp;IF(M129="Nyaman","RAM, ","")&amp;IF(N129="Nyaman","penyimpanan, ","")&amp;IF(O129="Nyaman","layar, ","")&amp;IF(P129="Nyaman","refresh rate, ",""))</f>
        <v/>
      </c>
      <c r="Z129" s="33" t="str">
        <f aca="false">IF($A129="","",IF(Q129="Tidak dinilai","Belum ada kriteria yang dinilai untuk kebutuhan ini.",IF(Q129="Cocok","Semua kriteria yang dinilai sudah nyaman: "&amp;LEFT(Y129,LEN(Y129)-2)&amp;".",UPPER(LEFT(X129,1))&amp;MID(X129,2,LEN(X129)-3)&amp;"."&amp;IF(Y129="",""," Sudah nyaman: "&amp;LEFT(Y129,LEN(Y129)-2)&amp;"."))))</f>
        <v/>
      </c>
      <c r="AA129" s="33"/>
      <c r="AB129" s="33"/>
      <c r="AC129" s="69"/>
    </row>
    <row r="130" customFormat="false" ht="15" hidden="false" customHeight="true" outlineLevel="0" collapsed="false">
      <c r="A130" s="66" t="str">
        <f aca="false">IF(Varian!$A30="","",Varian!$A30)</f>
        <v/>
      </c>
      <c r="B130" s="66" t="str">
        <f aca="false">IF($A130="","",Aturan!$A$21)</f>
        <v/>
      </c>
      <c r="C130" s="67" t="str">
        <f aca="false">IF($A130="","",IFERROR(IF(ISNUMBER(INDEX(CPU!$J$4:$J$64,MATCH(Varian!$J30,CPU!$A$4:$A$64,0))),INDEX(CPU!$J$4:$J$64,MATCH(Varian!$J30,CPU!$A$4:$A$64,0)),""),""))</f>
        <v/>
      </c>
      <c r="D130" s="67" t="str">
        <f aca="false">IF($A130="","",IFERROR(IF(ISNUMBER(INDEX(GPU!$G$4:$G$64,MATCH(Varian!$K30,GPU!$A$4:$A$64,0))),INDEX(GPU!$G$4:$G$64,MATCH(Varian!$K30,GPU!$A$4:$A$64,0)),""),""))</f>
        <v/>
      </c>
      <c r="E130" s="67" t="str">
        <f aca="false">IF($A130="","",IF(ISNUMBER(Varian!$M30),Varian!$M30,""))</f>
        <v/>
      </c>
      <c r="F130" s="67" t="str">
        <f aca="false">IF($A130="","",IF(ISNUMBER(Varian!$V30),Varian!$V30,""))</f>
        <v/>
      </c>
      <c r="G130" s="67" t="str">
        <f aca="false">IF($A130="","",IFERROR(INDEX(Aturan!$B$63:$B$66,MATCH(Varian!$AG30,Aturan!$A$63:$A$66,0)),""))</f>
        <v/>
      </c>
      <c r="H130" s="67" t="str">
        <f aca="false">IF($A130="","",IF(ISNUMBER(Varian!$AI30),Varian!$AI30,""))</f>
        <v/>
      </c>
      <c r="I130" s="66" t="str">
        <f aca="false">IF($A130="","",IF(Varian!$Q30="disolder","menempel di papan utama, tidak bisa ditambah",IF(OR(Varian!$Q30="slot",Varian!$Q30="setengah_disolder"),IF(Varian!$Q30="setengah_disolder","sebagian menempel, ","")&amp;IF(ISNUMBER(Varian!$U30),IF(AND(ISNUMBER(Varian!$M30),Varian!$U30&gt;Varian!$M30),"bisa dinaikkan lewat slot sampai "&amp;Varian!$U30&amp;" GB","sudah di batas maksimal "&amp;Varian!$U30&amp;" GB"),"ada slot, batas maksimalnya belum diketahui"),"belum diketahui apakah bisa ditambah")))</f>
        <v/>
      </c>
      <c r="J130" s="66" t="str">
        <f aca="false">IF($A130="","",IF(Varian!$Z30="ya","bisa diganti dengan yang lebih besar",IF(Varian!$Z30="tidak","menempel, tidak bisa diganti","belum diketahui apakah bisa diganti")))</f>
        <v/>
      </c>
      <c r="K130" s="68" t="str">
        <f aca="false">IF($A130="","",IF(AND(Aturan!$C$30="",Aturan!$D$30=""),"Tidak dinilai",IF(C130="","Belum ada data",IF(C130&lt;IF(Aturan!$C$30="",0,Aturan!$C$30),"Kurang",IF(C130&gt;=IF(Aturan!$D$30="",Aturan!$C$30,Aturan!$D$30),"Nyaman","Cukup")))))</f>
        <v/>
      </c>
      <c r="L130" s="68" t="str">
        <f aca="false">IF($A130="","",IF(AND(Aturan!$C$31="",Aturan!$D$31=""),"Tidak dinilai",IF(D130="","Belum ada data",IF(D130&lt;IF(Aturan!$C$31="",0,Aturan!$C$31),"Kurang",IF(D130&gt;=IF(Aturan!$D$31="",Aturan!$C$31,Aturan!$D$31),"Nyaman","Cukup")))))</f>
        <v/>
      </c>
      <c r="M130" s="68" t="str">
        <f aca="false">IF($A130="","",IF(AND(Aturan!$C$32="",Aturan!$D$32=""),"Tidak dinilai",IF(E130="","Belum ada data",IF(E130&lt;IF(Aturan!$C$32="",0,Aturan!$C$32),"Kurang",IF(E130&gt;=IF(Aturan!$D$32="",Aturan!$C$32,Aturan!$D$32),"Nyaman","Cukup")))))</f>
        <v/>
      </c>
      <c r="N130" s="68" t="str">
        <f aca="false">IF($A130="","",IF(AND(Aturan!$C$33="",Aturan!$D$33=""),"Tidak dinilai",IF(F130="","Belum ada data",IF(F130&lt;IF(Aturan!$C$33="",0,Aturan!$C$33),"Kurang",IF(F130&gt;=IF(Aturan!$D$33="",Aturan!$C$33,Aturan!$D$33),"Nyaman","Cukup")))))</f>
        <v/>
      </c>
      <c r="O130" s="68" t="str">
        <f aca="false">IF($A130="","",IF(AND(Aturan!$C$34="",Aturan!$D$34=""),"Tidak dinilai",IF(G130="","Belum ada data",IF(G130&lt;IF(Aturan!$C$34="",0,Aturan!$C$34),"Kurang",IF(G130&gt;=IF(Aturan!$D$34="",Aturan!$C$34,Aturan!$D$34),"Nyaman","Cukup")))))</f>
        <v/>
      </c>
      <c r="P130" s="68" t="str">
        <f aca="false">IF($A130="","",IF(AND(Aturan!$C$35="",Aturan!$D$35=""),"Tidak dinilai",IF(H130="","Belum ada data",IF(H130&lt;IF(Aturan!$C$35="",0,Aturan!$C$35),"Kurang",IF(H130&gt;=IF(Aturan!$D$35="",Aturan!$C$35,Aturan!$D$35),"Nyaman","Cukup")))))</f>
        <v/>
      </c>
      <c r="Q130" s="68" t="str">
        <f aca="false">IF($A130="","",IF(COUNTIF(K130:P130,"Tidak dinilai")=6,"Tidak dinilai",IF(COUNTIF(K130:P130,"Kurang")&gt;0,"Kurang cocok",IF(COUNTIF(K130:P130,"Belum ada data")&gt;0,"Data belum lengkap",IF(COUNTIF(K130:P130,"Cukup")&gt;0,"Bisa, dengan catatan","Cocok")))))</f>
        <v/>
      </c>
      <c r="R130" s="66" t="str">
        <f aca="false">IF($A130="","",IF(K130="Kurang","prosesor tingkat "&amp;C130&amp;" dari 5, di bawah batas minimal (tingkat "&amp;Aturan!$C$30&amp;")",IF(K130="Cukup","prosesor tingkat "&amp;C130&amp;" dari 5 cukup, nyamannya mulai tingkat "&amp;Aturan!$D$30,IF(K130="Belum ada data","tingkat prosesor belum diisi",""))))</f>
        <v/>
      </c>
      <c r="S130" s="66" t="str">
        <f aca="false">IF($A130="","",IF(L130="Kurang","grafis tingkat "&amp;D130&amp;" dari 5, di bawah batas minimal (tingkat "&amp;Aturan!$C$31&amp;")",IF(L130="Cukup","grafis tingkat "&amp;D130&amp;" dari 5 cukup, nyamannya mulai tingkat "&amp;Aturan!$D$31,IF(L130="Belum ada data","tingkat grafis belum diisi",""))))</f>
        <v/>
      </c>
      <c r="T130" s="66" t="str">
        <f aca="false">IF($A130="","",IF(M130="Kurang","RAM "&amp;E130&amp;" GB, di bawah batas minimal "&amp;Aturan!$C$32&amp;" GB ("&amp;I130&amp;")",IF(M130="Cukup","RAM "&amp;E130&amp;" GB cukup, nyamannya "&amp;Aturan!$D$32&amp;" GB atau lebih ("&amp;I130&amp;")",IF(M130="Belum ada data","ukuran RAM belum diisi",""))))</f>
        <v/>
      </c>
      <c r="U130" s="66" t="str">
        <f aca="false">IF($A130="","",IF(N130="Kurang","penyimpanan "&amp;F130&amp;" GB, di bawah batas minimal "&amp;Aturan!$C$33&amp;" GB ("&amp;J130&amp;")",IF(N130="Cukup","penyimpanan "&amp;F130&amp;" GB cukup, nyamannya "&amp;Aturan!$D$33&amp;" GB atau lebih ("&amp;J130&amp;")",IF(N130="Belum ada data","ukuran penyimpanan belum diisi",""))))</f>
        <v/>
      </c>
      <c r="V130" s="66" t="str">
        <f aca="false">IF($A130="","",IF(O130="Kurang","layar "&amp;Varian!$AG30&amp;", di bawah batas minimal ("&amp;IFERROR(INDEX(Aturan!$A$63:$A$66,MATCH(Aturan!$C$34,Aturan!$B$63:$B$66,0)),"peringkat "&amp;Aturan!$C$34)&amp;")",IF(O130="Cukup","layar "&amp;Varian!$AG30&amp;" cukup, nyamannya "&amp;IFERROR(INDEX(Aturan!$A$63:$A$66,MATCH(Aturan!$D$34,Aturan!$B$63:$B$66,0)),"peringkat "&amp;Aturan!$D$34),IF(O130="Belum ada data","jenis layar belum diketahui",""))))</f>
        <v/>
      </c>
      <c r="W130" s="66" t="str">
        <f aca="false">IF($A130="","",IF(P130="Kurang","layar "&amp;H130&amp;" Hz, di bawah batas minimal "&amp;Aturan!$C$35&amp;" Hz",IF(P130="Cukup","layar "&amp;H130&amp;" Hz cukup, nyamannya "&amp;Aturan!$D$35&amp;" Hz atau lebih",IF(P130="Belum ada data","refresh rate belum diketahui",""))))</f>
        <v/>
      </c>
      <c r="X130" s="66" t="str">
        <f aca="false">IF($A130="","",IF(K130="Kurang",R130&amp;"; ","")&amp;IF(L130="Kurang",S130&amp;"; ","")&amp;IF(M130="Kurang",T130&amp;"; ","")&amp;IF(N130="Kurang",U130&amp;"; ","")&amp;IF(O130="Kurang",V130&amp;"; ","")&amp;IF(P130="Kurang",W130&amp;"; ","")&amp;IF(K130="Belum ada data",R130&amp;"; ","")&amp;IF(L130="Belum ada data",S130&amp;"; ","")&amp;IF(M130="Belum ada data",T130&amp;"; ","")&amp;IF(N130="Belum ada data",U130&amp;"; ","")&amp;IF(O130="Belum ada data",V130&amp;"; ","")&amp;IF(P130="Belum ada data",W130&amp;"; ","")&amp;IF(K130="Cukup",R130&amp;"; ","")&amp;IF(L130="Cukup",S130&amp;"; ","")&amp;IF(M130="Cukup",T130&amp;"; ","")&amp;IF(N130="Cukup",U130&amp;"; ","")&amp;IF(O130="Cukup",V130&amp;"; ","")&amp;IF(P130="Cukup",W130&amp;"; ",""))</f>
        <v/>
      </c>
      <c r="Y130" s="66" t="str">
        <f aca="false">IF($A130="","",IF(K130="Nyaman","prosesor, ","")&amp;IF(L130="Nyaman","grafis, ","")&amp;IF(M130="Nyaman","RAM, ","")&amp;IF(N130="Nyaman","penyimpanan, ","")&amp;IF(O130="Nyaman","layar, ","")&amp;IF(P130="Nyaman","refresh rate, ",""))</f>
        <v/>
      </c>
      <c r="Z130" s="66" t="str">
        <f aca="false">IF($A130="","",IF(Q130="Tidak dinilai","Belum ada kriteria yang dinilai untuk kebutuhan ini.",IF(Q130="Cocok","Semua kriteria yang dinilai sudah nyaman: "&amp;LEFT(Y130,LEN(Y130)-2)&amp;".",UPPER(LEFT(X130,1))&amp;MID(X130,2,LEN(X130)-3)&amp;"."&amp;IF(Y130="",""," Sudah nyaman: "&amp;LEFT(Y130,LEN(Y130)-2)&amp;"."))))</f>
        <v/>
      </c>
      <c r="AA130" s="66" t="str">
        <f aca="false">IF($A130="","",IF(Varian!$AR30="Windows 10","• "&amp;Aturan!$E$71&amp;CHAR(10),"")&amp;IF(Varian!$BB30="tidak","• "&amp;Aturan!$E$72&amp;CHAR(10),"")&amp;IF(OR(Varian!$AD30="belum terverifikasi",Varian!$AD30="tidak diketahui"),"• "&amp;Aturan!$E$73&amp;CHAR(10),"")&amp;IF(Varian!$AH30="1366x768","• "&amp;Aturan!$E$74&amp;CHAR(10),"")&amp;IF(Varian!$AG30="TN","• "&amp;Aturan!$E$75&amp;CHAR(10),"")&amp;IF(AND(Varian!$Q30="disolder",ISNUMBER(Varian!$M30),Varian!$M30&lt;=8),"• "&amp;Aturan!$E$76&amp;CHAR(10),""))</f>
        <v/>
      </c>
      <c r="AB130" s="66" t="str">
        <f aca="false">IF($A130="","",IF(AA130="","",LEFT(AA130,LEN(AA130)-1)))</f>
        <v/>
      </c>
      <c r="AC130" s="67" t="str">
        <f aca="false">IF($A130="","",IF(AA130="",0,LEN(AA130)-LEN(SUBSTITUTE(AA130,CHAR(10),""))))</f>
        <v/>
      </c>
    </row>
    <row r="131" customFormat="false" ht="15" hidden="false" customHeight="true" outlineLevel="0" collapsed="false">
      <c r="A131" s="33" t="str">
        <f aca="false">IF(Varian!$A30="","",Varian!$A30)</f>
        <v/>
      </c>
      <c r="B131" s="33" t="str">
        <f aca="false">IF($A131="","",Aturan!$A$22)</f>
        <v/>
      </c>
      <c r="C131" s="69" t="str">
        <f aca="false">IF($A131="","",IFERROR(IF(ISNUMBER(INDEX(CPU!$J$4:$J$64,MATCH(Varian!$J30,CPU!$A$4:$A$64,0))),INDEX(CPU!$J$4:$J$64,MATCH(Varian!$J30,CPU!$A$4:$A$64,0)),""),""))</f>
        <v/>
      </c>
      <c r="D131" s="69" t="str">
        <f aca="false">IF($A131="","",IFERROR(IF(ISNUMBER(INDEX(GPU!$G$4:$G$64,MATCH(Varian!$K30,GPU!$A$4:$A$64,0))),INDEX(GPU!$G$4:$G$64,MATCH(Varian!$K30,GPU!$A$4:$A$64,0)),""),""))</f>
        <v/>
      </c>
      <c r="E131" s="69" t="str">
        <f aca="false">IF($A131="","",IF(ISNUMBER(Varian!$M30),Varian!$M30,""))</f>
        <v/>
      </c>
      <c r="F131" s="69" t="str">
        <f aca="false">IF($A131="","",IF(ISNUMBER(Varian!$V30),Varian!$V30,""))</f>
        <v/>
      </c>
      <c r="G131" s="69" t="str">
        <f aca="false">IF($A131="","",IFERROR(INDEX(Aturan!$B$63:$B$66,MATCH(Varian!$AG30,Aturan!$A$63:$A$66,0)),""))</f>
        <v/>
      </c>
      <c r="H131" s="69" t="str">
        <f aca="false">IF($A131="","",IF(ISNUMBER(Varian!$AI30),Varian!$AI30,""))</f>
        <v/>
      </c>
      <c r="I131" s="33" t="str">
        <f aca="false">IF($A131="","",IF(Varian!$Q30="disolder","menempel di papan utama, tidak bisa ditambah",IF(OR(Varian!$Q30="slot",Varian!$Q30="setengah_disolder"),IF(Varian!$Q30="setengah_disolder","sebagian menempel, ","")&amp;IF(ISNUMBER(Varian!$U30),IF(AND(ISNUMBER(Varian!$M30),Varian!$U30&gt;Varian!$M30),"bisa dinaikkan lewat slot sampai "&amp;Varian!$U30&amp;" GB","sudah di batas maksimal "&amp;Varian!$U30&amp;" GB"),"ada slot, batas maksimalnya belum diketahui"),"belum diketahui apakah bisa ditambah")))</f>
        <v/>
      </c>
      <c r="J131" s="33" t="str">
        <f aca="false">IF($A131="","",IF(Varian!$Z30="ya","bisa diganti dengan yang lebih besar",IF(Varian!$Z30="tidak","menempel, tidak bisa diganti","belum diketahui apakah bisa diganti")))</f>
        <v/>
      </c>
      <c r="K131" s="70" t="str">
        <f aca="false">IF($A131="","",IF(AND(Aturan!$C$36="",Aturan!$D$36=""),"Tidak dinilai",IF(C131="","Belum ada data",IF(C131&lt;IF(Aturan!$C$36="",0,Aturan!$C$36),"Kurang",IF(C131&gt;=IF(Aturan!$D$36="",Aturan!$C$36,Aturan!$D$36),"Nyaman","Cukup")))))</f>
        <v/>
      </c>
      <c r="L131" s="70" t="str">
        <f aca="false">IF($A131="","",IF(AND(Aturan!$C$37="",Aturan!$D$37=""),"Tidak dinilai",IF(D131="","Belum ada data",IF(D131&lt;IF(Aturan!$C$37="",0,Aturan!$C$37),"Kurang",IF(D131&gt;=IF(Aturan!$D$37="",Aturan!$C$37,Aturan!$D$37),"Nyaman","Cukup")))))</f>
        <v/>
      </c>
      <c r="M131" s="70" t="str">
        <f aca="false">IF($A131="","",IF(AND(Aturan!$C$38="",Aturan!$D$38=""),"Tidak dinilai",IF(E131="","Belum ada data",IF(E131&lt;IF(Aturan!$C$38="",0,Aturan!$C$38),"Kurang",IF(E131&gt;=IF(Aturan!$D$38="",Aturan!$C$38,Aturan!$D$38),"Nyaman","Cukup")))))</f>
        <v/>
      </c>
      <c r="N131" s="70" t="str">
        <f aca="false">IF($A131="","",IF(AND(Aturan!$C$39="",Aturan!$D$39=""),"Tidak dinilai",IF(F131="","Belum ada data",IF(F131&lt;IF(Aturan!$C$39="",0,Aturan!$C$39),"Kurang",IF(F131&gt;=IF(Aturan!$D$39="",Aturan!$C$39,Aturan!$D$39),"Nyaman","Cukup")))))</f>
        <v/>
      </c>
      <c r="O131" s="70" t="str">
        <f aca="false">IF($A131="","",IF(AND(Aturan!$C$40="",Aturan!$D$40=""),"Tidak dinilai",IF(G131="","Belum ada data",IF(G131&lt;IF(Aturan!$C$40="",0,Aturan!$C$40),"Kurang",IF(G131&gt;=IF(Aturan!$D$40="",Aturan!$C$40,Aturan!$D$40),"Nyaman","Cukup")))))</f>
        <v/>
      </c>
      <c r="P131" s="70" t="str">
        <f aca="false">IF($A131="","",IF(AND(Aturan!$C$41="",Aturan!$D$41=""),"Tidak dinilai",IF(H131="","Belum ada data",IF(H131&lt;IF(Aturan!$C$41="",0,Aturan!$C$41),"Kurang",IF(H131&gt;=IF(Aturan!$D$41="",Aturan!$C$41,Aturan!$D$41),"Nyaman","Cukup")))))</f>
        <v/>
      </c>
      <c r="Q131" s="70" t="str">
        <f aca="false">IF($A131="","",IF(COUNTIF(K131:P131,"Tidak dinilai")=6,"Tidak dinilai",IF(COUNTIF(K131:P131,"Kurang")&gt;0,"Kurang cocok",IF(COUNTIF(K131:P131,"Belum ada data")&gt;0,"Data belum lengkap",IF(COUNTIF(K131:P131,"Cukup")&gt;0,"Bisa, dengan catatan","Cocok")))))</f>
        <v/>
      </c>
      <c r="R131" s="33" t="str">
        <f aca="false">IF($A131="","",IF(K131="Kurang","prosesor tingkat "&amp;C131&amp;" dari 5, di bawah batas minimal (tingkat "&amp;Aturan!$C$36&amp;")",IF(K131="Cukup","prosesor tingkat "&amp;C131&amp;" dari 5 cukup, nyamannya mulai tingkat "&amp;Aturan!$D$36,IF(K131="Belum ada data","tingkat prosesor belum diisi",""))))</f>
        <v/>
      </c>
      <c r="S131" s="33" t="str">
        <f aca="false">IF($A131="","",IF(L131="Kurang","grafis tingkat "&amp;D131&amp;" dari 5, di bawah batas minimal (tingkat "&amp;Aturan!$C$37&amp;")",IF(L131="Cukup","grafis tingkat "&amp;D131&amp;" dari 5 cukup, nyamannya mulai tingkat "&amp;Aturan!$D$37,IF(L131="Belum ada data","tingkat grafis belum diisi",""))))</f>
        <v/>
      </c>
      <c r="T131" s="33" t="str">
        <f aca="false">IF($A131="","",IF(M131="Kurang","RAM "&amp;E131&amp;" GB, di bawah batas minimal "&amp;Aturan!$C$38&amp;" GB ("&amp;I131&amp;")",IF(M131="Cukup","RAM "&amp;E131&amp;" GB cukup, nyamannya "&amp;Aturan!$D$38&amp;" GB atau lebih ("&amp;I131&amp;")",IF(M131="Belum ada data","ukuran RAM belum diisi",""))))</f>
        <v/>
      </c>
      <c r="U131" s="33" t="str">
        <f aca="false">IF($A131="","",IF(N131="Kurang","penyimpanan "&amp;F131&amp;" GB, di bawah batas minimal "&amp;Aturan!$C$39&amp;" GB ("&amp;J131&amp;")",IF(N131="Cukup","penyimpanan "&amp;F131&amp;" GB cukup, nyamannya "&amp;Aturan!$D$39&amp;" GB atau lebih ("&amp;J131&amp;")",IF(N131="Belum ada data","ukuran penyimpanan belum diisi",""))))</f>
        <v/>
      </c>
      <c r="V131" s="33" t="str">
        <f aca="false">IF($A131="","",IF(O131="Kurang","layar "&amp;Varian!$AG30&amp;", di bawah batas minimal ("&amp;IFERROR(INDEX(Aturan!$A$63:$A$66,MATCH(Aturan!$C$40,Aturan!$B$63:$B$66,0)),"peringkat "&amp;Aturan!$C$40)&amp;")",IF(O131="Cukup","layar "&amp;Varian!$AG30&amp;" cukup, nyamannya "&amp;IFERROR(INDEX(Aturan!$A$63:$A$66,MATCH(Aturan!$D$40,Aturan!$B$63:$B$66,0)),"peringkat "&amp;Aturan!$D$40),IF(O131="Belum ada data","jenis layar belum diketahui",""))))</f>
        <v/>
      </c>
      <c r="W131" s="33" t="str">
        <f aca="false">IF($A131="","",IF(P131="Kurang","layar "&amp;H131&amp;" Hz, di bawah batas minimal "&amp;Aturan!$C$41&amp;" Hz",IF(P131="Cukup","layar "&amp;H131&amp;" Hz cukup, nyamannya "&amp;Aturan!$D$41&amp;" Hz atau lebih",IF(P131="Belum ada data","refresh rate belum diketahui",""))))</f>
        <v/>
      </c>
      <c r="X131" s="33" t="str">
        <f aca="false">IF($A131="","",IF(K131="Kurang",R131&amp;"; ","")&amp;IF(L131="Kurang",S131&amp;"; ","")&amp;IF(M131="Kurang",T131&amp;"; ","")&amp;IF(N131="Kurang",U131&amp;"; ","")&amp;IF(O131="Kurang",V131&amp;"; ","")&amp;IF(P131="Kurang",W131&amp;"; ","")&amp;IF(K131="Belum ada data",R131&amp;"; ","")&amp;IF(L131="Belum ada data",S131&amp;"; ","")&amp;IF(M131="Belum ada data",T131&amp;"; ","")&amp;IF(N131="Belum ada data",U131&amp;"; ","")&amp;IF(O131="Belum ada data",V131&amp;"; ","")&amp;IF(P131="Belum ada data",W131&amp;"; ","")&amp;IF(K131="Cukup",R131&amp;"; ","")&amp;IF(L131="Cukup",S131&amp;"; ","")&amp;IF(M131="Cukup",T131&amp;"; ","")&amp;IF(N131="Cukup",U131&amp;"; ","")&amp;IF(O131="Cukup",V131&amp;"; ","")&amp;IF(P131="Cukup",W131&amp;"; ",""))</f>
        <v/>
      </c>
      <c r="Y131" s="33" t="str">
        <f aca="false">IF($A131="","",IF(K131="Nyaman","prosesor, ","")&amp;IF(L131="Nyaman","grafis, ","")&amp;IF(M131="Nyaman","RAM, ","")&amp;IF(N131="Nyaman","penyimpanan, ","")&amp;IF(O131="Nyaman","layar, ","")&amp;IF(P131="Nyaman","refresh rate, ",""))</f>
        <v/>
      </c>
      <c r="Z131" s="33" t="str">
        <f aca="false">IF($A131="","",IF(Q131="Tidak dinilai","Belum ada kriteria yang dinilai untuk kebutuhan ini.",IF(Q131="Cocok","Semua kriteria yang dinilai sudah nyaman: "&amp;LEFT(Y131,LEN(Y131)-2)&amp;".",UPPER(LEFT(X131,1))&amp;MID(X131,2,LEN(X131)-3)&amp;"."&amp;IF(Y131="",""," Sudah nyaman: "&amp;LEFT(Y131,LEN(Y131)-2)&amp;"."))))</f>
        <v/>
      </c>
      <c r="AA131" s="33"/>
      <c r="AB131" s="33"/>
      <c r="AC131" s="69"/>
    </row>
    <row r="132" customFormat="false" ht="15" hidden="false" customHeight="true" outlineLevel="0" collapsed="false">
      <c r="A132" s="33" t="str">
        <f aca="false">IF(Varian!$A30="","",Varian!$A30)</f>
        <v/>
      </c>
      <c r="B132" s="33" t="str">
        <f aca="false">IF($A132="","",Aturan!$A$23)</f>
        <v/>
      </c>
      <c r="C132" s="69" t="str">
        <f aca="false">IF($A132="","",IFERROR(IF(ISNUMBER(INDEX(CPU!$J$4:$J$64,MATCH(Varian!$J30,CPU!$A$4:$A$64,0))),INDEX(CPU!$J$4:$J$64,MATCH(Varian!$J30,CPU!$A$4:$A$64,0)),""),""))</f>
        <v/>
      </c>
      <c r="D132" s="69" t="str">
        <f aca="false">IF($A132="","",IFERROR(IF(ISNUMBER(INDEX(GPU!$G$4:$G$64,MATCH(Varian!$K30,GPU!$A$4:$A$64,0))),INDEX(GPU!$G$4:$G$64,MATCH(Varian!$K30,GPU!$A$4:$A$64,0)),""),""))</f>
        <v/>
      </c>
      <c r="E132" s="69" t="str">
        <f aca="false">IF($A132="","",IF(ISNUMBER(Varian!$M30),Varian!$M30,""))</f>
        <v/>
      </c>
      <c r="F132" s="69" t="str">
        <f aca="false">IF($A132="","",IF(ISNUMBER(Varian!$V30),Varian!$V30,""))</f>
        <v/>
      </c>
      <c r="G132" s="69" t="str">
        <f aca="false">IF($A132="","",IFERROR(INDEX(Aturan!$B$63:$B$66,MATCH(Varian!$AG30,Aturan!$A$63:$A$66,0)),""))</f>
        <v/>
      </c>
      <c r="H132" s="69" t="str">
        <f aca="false">IF($A132="","",IF(ISNUMBER(Varian!$AI30),Varian!$AI30,""))</f>
        <v/>
      </c>
      <c r="I132" s="33" t="str">
        <f aca="false">IF($A132="","",IF(Varian!$Q30="disolder","menempel di papan utama, tidak bisa ditambah",IF(OR(Varian!$Q30="slot",Varian!$Q30="setengah_disolder"),IF(Varian!$Q30="setengah_disolder","sebagian menempel, ","")&amp;IF(ISNUMBER(Varian!$U30),IF(AND(ISNUMBER(Varian!$M30),Varian!$U30&gt;Varian!$M30),"bisa dinaikkan lewat slot sampai "&amp;Varian!$U30&amp;" GB","sudah di batas maksimal "&amp;Varian!$U30&amp;" GB"),"ada slot, batas maksimalnya belum diketahui"),"belum diketahui apakah bisa ditambah")))</f>
        <v/>
      </c>
      <c r="J132" s="33" t="str">
        <f aca="false">IF($A132="","",IF(Varian!$Z30="ya","bisa diganti dengan yang lebih besar",IF(Varian!$Z30="tidak","menempel, tidak bisa diganti","belum diketahui apakah bisa diganti")))</f>
        <v/>
      </c>
      <c r="K132" s="70" t="str">
        <f aca="false">IF($A132="","",IF(AND(Aturan!$C$42="",Aturan!$D$42=""),"Tidak dinilai",IF(C132="","Belum ada data",IF(C132&lt;IF(Aturan!$C$42="",0,Aturan!$C$42),"Kurang",IF(C132&gt;=IF(Aturan!$D$42="",Aturan!$C$42,Aturan!$D$42),"Nyaman","Cukup")))))</f>
        <v/>
      </c>
      <c r="L132" s="70" t="str">
        <f aca="false">IF($A132="","",IF(AND(Aturan!$C$43="",Aturan!$D$43=""),"Tidak dinilai",IF(D132="","Belum ada data",IF(D132&lt;IF(Aturan!$C$43="",0,Aturan!$C$43),"Kurang",IF(D132&gt;=IF(Aturan!$D$43="",Aturan!$C$43,Aturan!$D$43),"Nyaman","Cukup")))))</f>
        <v/>
      </c>
      <c r="M132" s="70" t="str">
        <f aca="false">IF($A132="","",IF(AND(Aturan!$C$44="",Aturan!$D$44=""),"Tidak dinilai",IF(E132="","Belum ada data",IF(E132&lt;IF(Aturan!$C$44="",0,Aturan!$C$44),"Kurang",IF(E132&gt;=IF(Aturan!$D$44="",Aturan!$C$44,Aturan!$D$44),"Nyaman","Cukup")))))</f>
        <v/>
      </c>
      <c r="N132" s="70" t="str">
        <f aca="false">IF($A132="","",IF(AND(Aturan!$C$45="",Aturan!$D$45=""),"Tidak dinilai",IF(F132="","Belum ada data",IF(F132&lt;IF(Aturan!$C$45="",0,Aturan!$C$45),"Kurang",IF(F132&gt;=IF(Aturan!$D$45="",Aturan!$C$45,Aturan!$D$45),"Nyaman","Cukup")))))</f>
        <v/>
      </c>
      <c r="O132" s="70" t="str">
        <f aca="false">IF($A132="","",IF(AND(Aturan!$C$46="",Aturan!$D$46=""),"Tidak dinilai",IF(G132="","Belum ada data",IF(G132&lt;IF(Aturan!$C$46="",0,Aturan!$C$46),"Kurang",IF(G132&gt;=IF(Aturan!$D$46="",Aturan!$C$46,Aturan!$D$46),"Nyaman","Cukup")))))</f>
        <v/>
      </c>
      <c r="P132" s="70" t="str">
        <f aca="false">IF($A132="","",IF(AND(Aturan!$C$47="",Aturan!$D$47=""),"Tidak dinilai",IF(H132="","Belum ada data",IF(H132&lt;IF(Aturan!$C$47="",0,Aturan!$C$47),"Kurang",IF(H132&gt;=IF(Aturan!$D$47="",Aturan!$C$47,Aturan!$D$47),"Nyaman","Cukup")))))</f>
        <v/>
      </c>
      <c r="Q132" s="70" t="str">
        <f aca="false">IF($A132="","",IF(COUNTIF(K132:P132,"Tidak dinilai")=6,"Tidak dinilai",IF(COUNTIF(K132:P132,"Kurang")&gt;0,"Kurang cocok",IF(COUNTIF(K132:P132,"Belum ada data")&gt;0,"Data belum lengkap",IF(COUNTIF(K132:P132,"Cukup")&gt;0,"Bisa, dengan catatan","Cocok")))))</f>
        <v/>
      </c>
      <c r="R132" s="33" t="str">
        <f aca="false">IF($A132="","",IF(K132="Kurang","prosesor tingkat "&amp;C132&amp;" dari 5, di bawah batas minimal (tingkat "&amp;Aturan!$C$42&amp;")",IF(K132="Cukup","prosesor tingkat "&amp;C132&amp;" dari 5 cukup, nyamannya mulai tingkat "&amp;Aturan!$D$42,IF(K132="Belum ada data","tingkat prosesor belum diisi",""))))</f>
        <v/>
      </c>
      <c r="S132" s="33" t="str">
        <f aca="false">IF($A132="","",IF(L132="Kurang","grafis tingkat "&amp;D132&amp;" dari 5, di bawah batas minimal (tingkat "&amp;Aturan!$C$43&amp;")",IF(L132="Cukup","grafis tingkat "&amp;D132&amp;" dari 5 cukup, nyamannya mulai tingkat "&amp;Aturan!$D$43,IF(L132="Belum ada data","tingkat grafis belum diisi",""))))</f>
        <v/>
      </c>
      <c r="T132" s="33" t="str">
        <f aca="false">IF($A132="","",IF(M132="Kurang","RAM "&amp;E132&amp;" GB, di bawah batas minimal "&amp;Aturan!$C$44&amp;" GB ("&amp;I132&amp;")",IF(M132="Cukup","RAM "&amp;E132&amp;" GB cukup, nyamannya "&amp;Aturan!$D$44&amp;" GB atau lebih ("&amp;I132&amp;")",IF(M132="Belum ada data","ukuran RAM belum diisi",""))))</f>
        <v/>
      </c>
      <c r="U132" s="33" t="str">
        <f aca="false">IF($A132="","",IF(N132="Kurang","penyimpanan "&amp;F132&amp;" GB, di bawah batas minimal "&amp;Aturan!$C$45&amp;" GB ("&amp;J132&amp;")",IF(N132="Cukup","penyimpanan "&amp;F132&amp;" GB cukup, nyamannya "&amp;Aturan!$D$45&amp;" GB atau lebih ("&amp;J132&amp;")",IF(N132="Belum ada data","ukuran penyimpanan belum diisi",""))))</f>
        <v/>
      </c>
      <c r="V132" s="33" t="str">
        <f aca="false">IF($A132="","",IF(O132="Kurang","layar "&amp;Varian!$AG30&amp;", di bawah batas minimal ("&amp;IFERROR(INDEX(Aturan!$A$63:$A$66,MATCH(Aturan!$C$46,Aturan!$B$63:$B$66,0)),"peringkat "&amp;Aturan!$C$46)&amp;")",IF(O132="Cukup","layar "&amp;Varian!$AG30&amp;" cukup, nyamannya "&amp;IFERROR(INDEX(Aturan!$A$63:$A$66,MATCH(Aturan!$D$46,Aturan!$B$63:$B$66,0)),"peringkat "&amp;Aturan!$D$46),IF(O132="Belum ada data","jenis layar belum diketahui",""))))</f>
        <v/>
      </c>
      <c r="W132" s="33" t="str">
        <f aca="false">IF($A132="","",IF(P132="Kurang","layar "&amp;H132&amp;" Hz, di bawah batas minimal "&amp;Aturan!$C$47&amp;" Hz",IF(P132="Cukup","layar "&amp;H132&amp;" Hz cukup, nyamannya "&amp;Aturan!$D$47&amp;" Hz atau lebih",IF(P132="Belum ada data","refresh rate belum diketahui",""))))</f>
        <v/>
      </c>
      <c r="X132" s="33" t="str">
        <f aca="false">IF($A132="","",IF(K132="Kurang",R132&amp;"; ","")&amp;IF(L132="Kurang",S132&amp;"; ","")&amp;IF(M132="Kurang",T132&amp;"; ","")&amp;IF(N132="Kurang",U132&amp;"; ","")&amp;IF(O132="Kurang",V132&amp;"; ","")&amp;IF(P132="Kurang",W132&amp;"; ","")&amp;IF(K132="Belum ada data",R132&amp;"; ","")&amp;IF(L132="Belum ada data",S132&amp;"; ","")&amp;IF(M132="Belum ada data",T132&amp;"; ","")&amp;IF(N132="Belum ada data",U132&amp;"; ","")&amp;IF(O132="Belum ada data",V132&amp;"; ","")&amp;IF(P132="Belum ada data",W132&amp;"; ","")&amp;IF(K132="Cukup",R132&amp;"; ","")&amp;IF(L132="Cukup",S132&amp;"; ","")&amp;IF(M132="Cukup",T132&amp;"; ","")&amp;IF(N132="Cukup",U132&amp;"; ","")&amp;IF(O132="Cukup",V132&amp;"; ","")&amp;IF(P132="Cukup",W132&amp;"; ",""))</f>
        <v/>
      </c>
      <c r="Y132" s="33" t="str">
        <f aca="false">IF($A132="","",IF(K132="Nyaman","prosesor, ","")&amp;IF(L132="Nyaman","grafis, ","")&amp;IF(M132="Nyaman","RAM, ","")&amp;IF(N132="Nyaman","penyimpanan, ","")&amp;IF(O132="Nyaman","layar, ","")&amp;IF(P132="Nyaman","refresh rate, ",""))</f>
        <v/>
      </c>
      <c r="Z132" s="33" t="str">
        <f aca="false">IF($A132="","",IF(Q132="Tidak dinilai","Belum ada kriteria yang dinilai untuk kebutuhan ini.",IF(Q132="Cocok","Semua kriteria yang dinilai sudah nyaman: "&amp;LEFT(Y132,LEN(Y132)-2)&amp;".",UPPER(LEFT(X132,1))&amp;MID(X132,2,LEN(X132)-3)&amp;"."&amp;IF(Y132="",""," Sudah nyaman: "&amp;LEFT(Y132,LEN(Y132)-2)&amp;"."))))</f>
        <v/>
      </c>
      <c r="AA132" s="33"/>
      <c r="AB132" s="33"/>
      <c r="AC132" s="69"/>
    </row>
    <row r="133" customFormat="false" ht="15" hidden="false" customHeight="true" outlineLevel="0" collapsed="false">
      <c r="A133" s="33" t="str">
        <f aca="false">IF(Varian!$A30="","",Varian!$A30)</f>
        <v/>
      </c>
      <c r="B133" s="33" t="str">
        <f aca="false">IF($A133="","",Aturan!$A$24)</f>
        <v/>
      </c>
      <c r="C133" s="69" t="str">
        <f aca="false">IF($A133="","",IFERROR(IF(ISNUMBER(INDEX(CPU!$J$4:$J$64,MATCH(Varian!$J30,CPU!$A$4:$A$64,0))),INDEX(CPU!$J$4:$J$64,MATCH(Varian!$J30,CPU!$A$4:$A$64,0)),""),""))</f>
        <v/>
      </c>
      <c r="D133" s="69" t="str">
        <f aca="false">IF($A133="","",IFERROR(IF(ISNUMBER(INDEX(GPU!$G$4:$G$64,MATCH(Varian!$K30,GPU!$A$4:$A$64,0))),INDEX(GPU!$G$4:$G$64,MATCH(Varian!$K30,GPU!$A$4:$A$64,0)),""),""))</f>
        <v/>
      </c>
      <c r="E133" s="69" t="str">
        <f aca="false">IF($A133="","",IF(ISNUMBER(Varian!$M30),Varian!$M30,""))</f>
        <v/>
      </c>
      <c r="F133" s="69" t="str">
        <f aca="false">IF($A133="","",IF(ISNUMBER(Varian!$V30),Varian!$V30,""))</f>
        <v/>
      </c>
      <c r="G133" s="69" t="str">
        <f aca="false">IF($A133="","",IFERROR(INDEX(Aturan!$B$63:$B$66,MATCH(Varian!$AG30,Aturan!$A$63:$A$66,0)),""))</f>
        <v/>
      </c>
      <c r="H133" s="69" t="str">
        <f aca="false">IF($A133="","",IF(ISNUMBER(Varian!$AI30),Varian!$AI30,""))</f>
        <v/>
      </c>
      <c r="I133" s="33" t="str">
        <f aca="false">IF($A133="","",IF(Varian!$Q30="disolder","menempel di papan utama, tidak bisa ditambah",IF(OR(Varian!$Q30="slot",Varian!$Q30="setengah_disolder"),IF(Varian!$Q30="setengah_disolder","sebagian menempel, ","")&amp;IF(ISNUMBER(Varian!$U30),IF(AND(ISNUMBER(Varian!$M30),Varian!$U30&gt;Varian!$M30),"bisa dinaikkan lewat slot sampai "&amp;Varian!$U30&amp;" GB","sudah di batas maksimal "&amp;Varian!$U30&amp;" GB"),"ada slot, batas maksimalnya belum diketahui"),"belum diketahui apakah bisa ditambah")))</f>
        <v/>
      </c>
      <c r="J133" s="33" t="str">
        <f aca="false">IF($A133="","",IF(Varian!$Z30="ya","bisa diganti dengan yang lebih besar",IF(Varian!$Z30="tidak","menempel, tidak bisa diganti","belum diketahui apakah bisa diganti")))</f>
        <v/>
      </c>
      <c r="K133" s="70" t="str">
        <f aca="false">IF($A133="","",IF(AND(Aturan!$C$48="",Aturan!$D$48=""),"Tidak dinilai",IF(C133="","Belum ada data",IF(C133&lt;IF(Aturan!$C$48="",0,Aturan!$C$48),"Kurang",IF(C133&gt;=IF(Aturan!$D$48="",Aturan!$C$48,Aturan!$D$48),"Nyaman","Cukup")))))</f>
        <v/>
      </c>
      <c r="L133" s="70" t="str">
        <f aca="false">IF($A133="","",IF(AND(Aturan!$C$49="",Aturan!$D$49=""),"Tidak dinilai",IF(D133="","Belum ada data",IF(D133&lt;IF(Aturan!$C$49="",0,Aturan!$C$49),"Kurang",IF(D133&gt;=IF(Aturan!$D$49="",Aturan!$C$49,Aturan!$D$49),"Nyaman","Cukup")))))</f>
        <v/>
      </c>
      <c r="M133" s="70" t="str">
        <f aca="false">IF($A133="","",IF(AND(Aturan!$C$50="",Aturan!$D$50=""),"Tidak dinilai",IF(E133="","Belum ada data",IF(E133&lt;IF(Aturan!$C$50="",0,Aturan!$C$50),"Kurang",IF(E133&gt;=IF(Aturan!$D$50="",Aturan!$C$50,Aturan!$D$50),"Nyaman","Cukup")))))</f>
        <v/>
      </c>
      <c r="N133" s="70" t="str">
        <f aca="false">IF($A133="","",IF(AND(Aturan!$C$51="",Aturan!$D$51=""),"Tidak dinilai",IF(F133="","Belum ada data",IF(F133&lt;IF(Aturan!$C$51="",0,Aturan!$C$51),"Kurang",IF(F133&gt;=IF(Aturan!$D$51="",Aturan!$C$51,Aturan!$D$51),"Nyaman","Cukup")))))</f>
        <v/>
      </c>
      <c r="O133" s="70" t="str">
        <f aca="false">IF($A133="","",IF(AND(Aturan!$C$52="",Aturan!$D$52=""),"Tidak dinilai",IF(G133="","Belum ada data",IF(G133&lt;IF(Aturan!$C$52="",0,Aturan!$C$52),"Kurang",IF(G133&gt;=IF(Aturan!$D$52="",Aturan!$C$52,Aturan!$D$52),"Nyaman","Cukup")))))</f>
        <v/>
      </c>
      <c r="P133" s="70" t="str">
        <f aca="false">IF($A133="","",IF(AND(Aturan!$C$53="",Aturan!$D$53=""),"Tidak dinilai",IF(H133="","Belum ada data",IF(H133&lt;IF(Aturan!$C$53="",0,Aturan!$C$53),"Kurang",IF(H133&gt;=IF(Aturan!$D$53="",Aturan!$C$53,Aturan!$D$53),"Nyaman","Cukup")))))</f>
        <v/>
      </c>
      <c r="Q133" s="70" t="str">
        <f aca="false">IF($A133="","",IF(COUNTIF(K133:P133,"Tidak dinilai")=6,"Tidak dinilai",IF(COUNTIF(K133:P133,"Kurang")&gt;0,"Kurang cocok",IF(COUNTIF(K133:P133,"Belum ada data")&gt;0,"Data belum lengkap",IF(COUNTIF(K133:P133,"Cukup")&gt;0,"Bisa, dengan catatan","Cocok")))))</f>
        <v/>
      </c>
      <c r="R133" s="33" t="str">
        <f aca="false">IF($A133="","",IF(K133="Kurang","prosesor tingkat "&amp;C133&amp;" dari 5, di bawah batas minimal (tingkat "&amp;Aturan!$C$48&amp;")",IF(K133="Cukup","prosesor tingkat "&amp;C133&amp;" dari 5 cukup, nyamannya mulai tingkat "&amp;Aturan!$D$48,IF(K133="Belum ada data","tingkat prosesor belum diisi",""))))</f>
        <v/>
      </c>
      <c r="S133" s="33" t="str">
        <f aca="false">IF($A133="","",IF(L133="Kurang","grafis tingkat "&amp;D133&amp;" dari 5, di bawah batas minimal (tingkat "&amp;Aturan!$C$49&amp;")",IF(L133="Cukup","grafis tingkat "&amp;D133&amp;" dari 5 cukup, nyamannya mulai tingkat "&amp;Aturan!$D$49,IF(L133="Belum ada data","tingkat grafis belum diisi",""))))</f>
        <v/>
      </c>
      <c r="T133" s="33" t="str">
        <f aca="false">IF($A133="","",IF(M133="Kurang","RAM "&amp;E133&amp;" GB, di bawah batas minimal "&amp;Aturan!$C$50&amp;" GB ("&amp;I133&amp;")",IF(M133="Cukup","RAM "&amp;E133&amp;" GB cukup, nyamannya "&amp;Aturan!$D$50&amp;" GB atau lebih ("&amp;I133&amp;")",IF(M133="Belum ada data","ukuran RAM belum diisi",""))))</f>
        <v/>
      </c>
      <c r="U133" s="33" t="str">
        <f aca="false">IF($A133="","",IF(N133="Kurang","penyimpanan "&amp;F133&amp;" GB, di bawah batas minimal "&amp;Aturan!$C$51&amp;" GB ("&amp;J133&amp;")",IF(N133="Cukup","penyimpanan "&amp;F133&amp;" GB cukup, nyamannya "&amp;Aturan!$D$51&amp;" GB atau lebih ("&amp;J133&amp;")",IF(N133="Belum ada data","ukuran penyimpanan belum diisi",""))))</f>
        <v/>
      </c>
      <c r="V133" s="33" t="str">
        <f aca="false">IF($A133="","",IF(O133="Kurang","layar "&amp;Varian!$AG30&amp;", di bawah batas minimal ("&amp;IFERROR(INDEX(Aturan!$A$63:$A$66,MATCH(Aturan!$C$52,Aturan!$B$63:$B$66,0)),"peringkat "&amp;Aturan!$C$52)&amp;")",IF(O133="Cukup","layar "&amp;Varian!$AG30&amp;" cukup, nyamannya "&amp;IFERROR(INDEX(Aturan!$A$63:$A$66,MATCH(Aturan!$D$52,Aturan!$B$63:$B$66,0)),"peringkat "&amp;Aturan!$D$52),IF(O133="Belum ada data","jenis layar belum diketahui",""))))</f>
        <v/>
      </c>
      <c r="W133" s="33" t="str">
        <f aca="false">IF($A133="","",IF(P133="Kurang","layar "&amp;H133&amp;" Hz, di bawah batas minimal "&amp;Aturan!$C$53&amp;" Hz",IF(P133="Cukup","layar "&amp;H133&amp;" Hz cukup, nyamannya "&amp;Aturan!$D$53&amp;" Hz atau lebih",IF(P133="Belum ada data","refresh rate belum diketahui",""))))</f>
        <v/>
      </c>
      <c r="X133" s="33" t="str">
        <f aca="false">IF($A133="","",IF(K133="Kurang",R133&amp;"; ","")&amp;IF(L133="Kurang",S133&amp;"; ","")&amp;IF(M133="Kurang",T133&amp;"; ","")&amp;IF(N133="Kurang",U133&amp;"; ","")&amp;IF(O133="Kurang",V133&amp;"; ","")&amp;IF(P133="Kurang",W133&amp;"; ","")&amp;IF(K133="Belum ada data",R133&amp;"; ","")&amp;IF(L133="Belum ada data",S133&amp;"; ","")&amp;IF(M133="Belum ada data",T133&amp;"; ","")&amp;IF(N133="Belum ada data",U133&amp;"; ","")&amp;IF(O133="Belum ada data",V133&amp;"; ","")&amp;IF(P133="Belum ada data",W133&amp;"; ","")&amp;IF(K133="Cukup",R133&amp;"; ","")&amp;IF(L133="Cukup",S133&amp;"; ","")&amp;IF(M133="Cukup",T133&amp;"; ","")&amp;IF(N133="Cukup",U133&amp;"; ","")&amp;IF(O133="Cukup",V133&amp;"; ","")&amp;IF(P133="Cukup",W133&amp;"; ",""))</f>
        <v/>
      </c>
      <c r="Y133" s="33" t="str">
        <f aca="false">IF($A133="","",IF(K133="Nyaman","prosesor, ","")&amp;IF(L133="Nyaman","grafis, ","")&amp;IF(M133="Nyaman","RAM, ","")&amp;IF(N133="Nyaman","penyimpanan, ","")&amp;IF(O133="Nyaman","layar, ","")&amp;IF(P133="Nyaman","refresh rate, ",""))</f>
        <v/>
      </c>
      <c r="Z133" s="33" t="str">
        <f aca="false">IF($A133="","",IF(Q133="Tidak dinilai","Belum ada kriteria yang dinilai untuk kebutuhan ini.",IF(Q133="Cocok","Semua kriteria yang dinilai sudah nyaman: "&amp;LEFT(Y133,LEN(Y133)-2)&amp;".",UPPER(LEFT(X133,1))&amp;MID(X133,2,LEN(X133)-3)&amp;"."&amp;IF(Y133="",""," Sudah nyaman: "&amp;LEFT(Y133,LEN(Y133)-2)&amp;"."))))</f>
        <v/>
      </c>
      <c r="AA133" s="33"/>
      <c r="AB133" s="33"/>
      <c r="AC133" s="69"/>
    </row>
    <row r="134" customFormat="false" ht="15" hidden="false" customHeight="true" outlineLevel="0" collapsed="false">
      <c r="A134" s="33" t="str">
        <f aca="false">IF(Varian!$A30="","",Varian!$A30)</f>
        <v/>
      </c>
      <c r="B134" s="33" t="str">
        <f aca="false">IF($A134="","",Aturan!$A$25)</f>
        <v/>
      </c>
      <c r="C134" s="69" t="str">
        <f aca="false">IF($A134="","",IFERROR(IF(ISNUMBER(INDEX(CPU!$J$4:$J$64,MATCH(Varian!$J30,CPU!$A$4:$A$64,0))),INDEX(CPU!$J$4:$J$64,MATCH(Varian!$J30,CPU!$A$4:$A$64,0)),""),""))</f>
        <v/>
      </c>
      <c r="D134" s="69" t="str">
        <f aca="false">IF($A134="","",IFERROR(IF(ISNUMBER(INDEX(GPU!$G$4:$G$64,MATCH(Varian!$K30,GPU!$A$4:$A$64,0))),INDEX(GPU!$G$4:$G$64,MATCH(Varian!$K30,GPU!$A$4:$A$64,0)),""),""))</f>
        <v/>
      </c>
      <c r="E134" s="69" t="str">
        <f aca="false">IF($A134="","",IF(ISNUMBER(Varian!$M30),Varian!$M30,""))</f>
        <v/>
      </c>
      <c r="F134" s="69" t="str">
        <f aca="false">IF($A134="","",IF(ISNUMBER(Varian!$V30),Varian!$V30,""))</f>
        <v/>
      </c>
      <c r="G134" s="69" t="str">
        <f aca="false">IF($A134="","",IFERROR(INDEX(Aturan!$B$63:$B$66,MATCH(Varian!$AG30,Aturan!$A$63:$A$66,0)),""))</f>
        <v/>
      </c>
      <c r="H134" s="69" t="str">
        <f aca="false">IF($A134="","",IF(ISNUMBER(Varian!$AI30),Varian!$AI30,""))</f>
        <v/>
      </c>
      <c r="I134" s="33" t="str">
        <f aca="false">IF($A134="","",IF(Varian!$Q30="disolder","menempel di papan utama, tidak bisa ditambah",IF(OR(Varian!$Q30="slot",Varian!$Q30="setengah_disolder"),IF(Varian!$Q30="setengah_disolder","sebagian menempel, ","")&amp;IF(ISNUMBER(Varian!$U30),IF(AND(ISNUMBER(Varian!$M30),Varian!$U30&gt;Varian!$M30),"bisa dinaikkan lewat slot sampai "&amp;Varian!$U30&amp;" GB","sudah di batas maksimal "&amp;Varian!$U30&amp;" GB"),"ada slot, batas maksimalnya belum diketahui"),"belum diketahui apakah bisa ditambah")))</f>
        <v/>
      </c>
      <c r="J134" s="33" t="str">
        <f aca="false">IF($A134="","",IF(Varian!$Z30="ya","bisa diganti dengan yang lebih besar",IF(Varian!$Z30="tidak","menempel, tidak bisa diganti","belum diketahui apakah bisa diganti")))</f>
        <v/>
      </c>
      <c r="K134" s="70" t="str">
        <f aca="false">IF($A134="","",IF(AND(Aturan!$C$54="",Aturan!$D$54=""),"Tidak dinilai",IF(C134="","Belum ada data",IF(C134&lt;IF(Aturan!$C$54="",0,Aturan!$C$54),"Kurang",IF(C134&gt;=IF(Aturan!$D$54="",Aturan!$C$54,Aturan!$D$54),"Nyaman","Cukup")))))</f>
        <v/>
      </c>
      <c r="L134" s="70" t="str">
        <f aca="false">IF($A134="","",IF(AND(Aturan!$C$55="",Aturan!$D$55=""),"Tidak dinilai",IF(D134="","Belum ada data",IF(D134&lt;IF(Aturan!$C$55="",0,Aturan!$C$55),"Kurang",IF(D134&gt;=IF(Aturan!$D$55="",Aturan!$C$55,Aturan!$D$55),"Nyaman","Cukup")))))</f>
        <v/>
      </c>
      <c r="M134" s="70" t="str">
        <f aca="false">IF($A134="","",IF(AND(Aturan!$C$56="",Aturan!$D$56=""),"Tidak dinilai",IF(E134="","Belum ada data",IF(E134&lt;IF(Aturan!$C$56="",0,Aturan!$C$56),"Kurang",IF(E134&gt;=IF(Aturan!$D$56="",Aturan!$C$56,Aturan!$D$56),"Nyaman","Cukup")))))</f>
        <v/>
      </c>
      <c r="N134" s="70" t="str">
        <f aca="false">IF($A134="","",IF(AND(Aturan!$C$57="",Aturan!$D$57=""),"Tidak dinilai",IF(F134="","Belum ada data",IF(F134&lt;IF(Aturan!$C$57="",0,Aturan!$C$57),"Kurang",IF(F134&gt;=IF(Aturan!$D$57="",Aturan!$C$57,Aturan!$D$57),"Nyaman","Cukup")))))</f>
        <v/>
      </c>
      <c r="O134" s="70" t="str">
        <f aca="false">IF($A134="","",IF(AND(Aturan!$C$58="",Aturan!$D$58=""),"Tidak dinilai",IF(G134="","Belum ada data",IF(G134&lt;IF(Aturan!$C$58="",0,Aturan!$C$58),"Kurang",IF(G134&gt;=IF(Aturan!$D$58="",Aturan!$C$58,Aturan!$D$58),"Nyaman","Cukup")))))</f>
        <v/>
      </c>
      <c r="P134" s="70" t="str">
        <f aca="false">IF($A134="","",IF(AND(Aturan!$C$59="",Aturan!$D$59=""),"Tidak dinilai",IF(H134="","Belum ada data",IF(H134&lt;IF(Aturan!$C$59="",0,Aturan!$C$59),"Kurang",IF(H134&gt;=IF(Aturan!$D$59="",Aturan!$C$59,Aturan!$D$59),"Nyaman","Cukup")))))</f>
        <v/>
      </c>
      <c r="Q134" s="70" t="str">
        <f aca="false">IF($A134="","",IF(COUNTIF(K134:P134,"Tidak dinilai")=6,"Tidak dinilai",IF(COUNTIF(K134:P134,"Kurang")&gt;0,"Kurang cocok",IF(COUNTIF(K134:P134,"Belum ada data")&gt;0,"Data belum lengkap",IF(COUNTIF(K134:P134,"Cukup")&gt;0,"Bisa, dengan catatan","Cocok")))))</f>
        <v/>
      </c>
      <c r="R134" s="33" t="str">
        <f aca="false">IF($A134="","",IF(K134="Kurang","prosesor tingkat "&amp;C134&amp;" dari 5, di bawah batas minimal (tingkat "&amp;Aturan!$C$54&amp;")",IF(K134="Cukup","prosesor tingkat "&amp;C134&amp;" dari 5 cukup, nyamannya mulai tingkat "&amp;Aturan!$D$54,IF(K134="Belum ada data","tingkat prosesor belum diisi",""))))</f>
        <v/>
      </c>
      <c r="S134" s="33" t="str">
        <f aca="false">IF($A134="","",IF(L134="Kurang","grafis tingkat "&amp;D134&amp;" dari 5, di bawah batas minimal (tingkat "&amp;Aturan!$C$55&amp;")",IF(L134="Cukup","grafis tingkat "&amp;D134&amp;" dari 5 cukup, nyamannya mulai tingkat "&amp;Aturan!$D$55,IF(L134="Belum ada data","tingkat grafis belum diisi",""))))</f>
        <v/>
      </c>
      <c r="T134" s="33" t="str">
        <f aca="false">IF($A134="","",IF(M134="Kurang","RAM "&amp;E134&amp;" GB, di bawah batas minimal "&amp;Aturan!$C$56&amp;" GB ("&amp;I134&amp;")",IF(M134="Cukup","RAM "&amp;E134&amp;" GB cukup, nyamannya "&amp;Aturan!$D$56&amp;" GB atau lebih ("&amp;I134&amp;")",IF(M134="Belum ada data","ukuran RAM belum diisi",""))))</f>
        <v/>
      </c>
      <c r="U134" s="33" t="str">
        <f aca="false">IF($A134="","",IF(N134="Kurang","penyimpanan "&amp;F134&amp;" GB, di bawah batas minimal "&amp;Aturan!$C$57&amp;" GB ("&amp;J134&amp;")",IF(N134="Cukup","penyimpanan "&amp;F134&amp;" GB cukup, nyamannya "&amp;Aturan!$D$57&amp;" GB atau lebih ("&amp;J134&amp;")",IF(N134="Belum ada data","ukuran penyimpanan belum diisi",""))))</f>
        <v/>
      </c>
      <c r="V134" s="33" t="str">
        <f aca="false">IF($A134="","",IF(O134="Kurang","layar "&amp;Varian!$AG30&amp;", di bawah batas minimal ("&amp;IFERROR(INDEX(Aturan!$A$63:$A$66,MATCH(Aturan!$C$58,Aturan!$B$63:$B$66,0)),"peringkat "&amp;Aturan!$C$58)&amp;")",IF(O134="Cukup","layar "&amp;Varian!$AG30&amp;" cukup, nyamannya "&amp;IFERROR(INDEX(Aturan!$A$63:$A$66,MATCH(Aturan!$D$58,Aturan!$B$63:$B$66,0)),"peringkat "&amp;Aturan!$D$58),IF(O134="Belum ada data","jenis layar belum diketahui",""))))</f>
        <v/>
      </c>
      <c r="W134" s="33" t="str">
        <f aca="false">IF($A134="","",IF(P134="Kurang","layar "&amp;H134&amp;" Hz, di bawah batas minimal "&amp;Aturan!$C$59&amp;" Hz",IF(P134="Cukup","layar "&amp;H134&amp;" Hz cukup, nyamannya "&amp;Aturan!$D$59&amp;" Hz atau lebih",IF(P134="Belum ada data","refresh rate belum diketahui",""))))</f>
        <v/>
      </c>
      <c r="X134" s="33" t="str">
        <f aca="false">IF($A134="","",IF(K134="Kurang",R134&amp;"; ","")&amp;IF(L134="Kurang",S134&amp;"; ","")&amp;IF(M134="Kurang",T134&amp;"; ","")&amp;IF(N134="Kurang",U134&amp;"; ","")&amp;IF(O134="Kurang",V134&amp;"; ","")&amp;IF(P134="Kurang",W134&amp;"; ","")&amp;IF(K134="Belum ada data",R134&amp;"; ","")&amp;IF(L134="Belum ada data",S134&amp;"; ","")&amp;IF(M134="Belum ada data",T134&amp;"; ","")&amp;IF(N134="Belum ada data",U134&amp;"; ","")&amp;IF(O134="Belum ada data",V134&amp;"; ","")&amp;IF(P134="Belum ada data",W134&amp;"; ","")&amp;IF(K134="Cukup",R134&amp;"; ","")&amp;IF(L134="Cukup",S134&amp;"; ","")&amp;IF(M134="Cukup",T134&amp;"; ","")&amp;IF(N134="Cukup",U134&amp;"; ","")&amp;IF(O134="Cukup",V134&amp;"; ","")&amp;IF(P134="Cukup",W134&amp;"; ",""))</f>
        <v/>
      </c>
      <c r="Y134" s="33" t="str">
        <f aca="false">IF($A134="","",IF(K134="Nyaman","prosesor, ","")&amp;IF(L134="Nyaman","grafis, ","")&amp;IF(M134="Nyaman","RAM, ","")&amp;IF(N134="Nyaman","penyimpanan, ","")&amp;IF(O134="Nyaman","layar, ","")&amp;IF(P134="Nyaman","refresh rate, ",""))</f>
        <v/>
      </c>
      <c r="Z134" s="33" t="str">
        <f aca="false">IF($A134="","",IF(Q134="Tidak dinilai","Belum ada kriteria yang dinilai untuk kebutuhan ini.",IF(Q134="Cocok","Semua kriteria yang dinilai sudah nyaman: "&amp;LEFT(Y134,LEN(Y134)-2)&amp;".",UPPER(LEFT(X134,1))&amp;MID(X134,2,LEN(X134)-3)&amp;"."&amp;IF(Y134="",""," Sudah nyaman: "&amp;LEFT(Y134,LEN(Y134)-2)&amp;"."))))</f>
        <v/>
      </c>
      <c r="AA134" s="33"/>
      <c r="AB134" s="33"/>
      <c r="AC134" s="69"/>
    </row>
    <row r="135" customFormat="false" ht="15" hidden="false" customHeight="true" outlineLevel="0" collapsed="false">
      <c r="A135" s="66" t="str">
        <f aca="false">IF(Varian!$A31="","",Varian!$A31)</f>
        <v/>
      </c>
      <c r="B135" s="66" t="str">
        <f aca="false">IF($A135="","",Aturan!$A$21)</f>
        <v/>
      </c>
      <c r="C135" s="67" t="str">
        <f aca="false">IF($A135="","",IFERROR(IF(ISNUMBER(INDEX(CPU!$J$4:$J$64,MATCH(Varian!$J31,CPU!$A$4:$A$64,0))),INDEX(CPU!$J$4:$J$64,MATCH(Varian!$J31,CPU!$A$4:$A$64,0)),""),""))</f>
        <v/>
      </c>
      <c r="D135" s="67" t="str">
        <f aca="false">IF($A135="","",IFERROR(IF(ISNUMBER(INDEX(GPU!$G$4:$G$64,MATCH(Varian!$K31,GPU!$A$4:$A$64,0))),INDEX(GPU!$G$4:$G$64,MATCH(Varian!$K31,GPU!$A$4:$A$64,0)),""),""))</f>
        <v/>
      </c>
      <c r="E135" s="67" t="str">
        <f aca="false">IF($A135="","",IF(ISNUMBER(Varian!$M31),Varian!$M31,""))</f>
        <v/>
      </c>
      <c r="F135" s="67" t="str">
        <f aca="false">IF($A135="","",IF(ISNUMBER(Varian!$V31),Varian!$V31,""))</f>
        <v/>
      </c>
      <c r="G135" s="67" t="str">
        <f aca="false">IF($A135="","",IFERROR(INDEX(Aturan!$B$63:$B$66,MATCH(Varian!$AG31,Aturan!$A$63:$A$66,0)),""))</f>
        <v/>
      </c>
      <c r="H135" s="67" t="str">
        <f aca="false">IF($A135="","",IF(ISNUMBER(Varian!$AI31),Varian!$AI31,""))</f>
        <v/>
      </c>
      <c r="I135" s="66" t="str">
        <f aca="false">IF($A135="","",IF(Varian!$Q31="disolder","menempel di papan utama, tidak bisa ditambah",IF(OR(Varian!$Q31="slot",Varian!$Q31="setengah_disolder"),IF(Varian!$Q31="setengah_disolder","sebagian menempel, ","")&amp;IF(ISNUMBER(Varian!$U31),IF(AND(ISNUMBER(Varian!$M31),Varian!$U31&gt;Varian!$M31),"bisa dinaikkan lewat slot sampai "&amp;Varian!$U31&amp;" GB","sudah di batas maksimal "&amp;Varian!$U31&amp;" GB"),"ada slot, batas maksimalnya belum diketahui"),"belum diketahui apakah bisa ditambah")))</f>
        <v/>
      </c>
      <c r="J135" s="66" t="str">
        <f aca="false">IF($A135="","",IF(Varian!$Z31="ya","bisa diganti dengan yang lebih besar",IF(Varian!$Z31="tidak","menempel, tidak bisa diganti","belum diketahui apakah bisa diganti")))</f>
        <v/>
      </c>
      <c r="K135" s="68" t="str">
        <f aca="false">IF($A135="","",IF(AND(Aturan!$C$30="",Aturan!$D$30=""),"Tidak dinilai",IF(C135="","Belum ada data",IF(C135&lt;IF(Aturan!$C$30="",0,Aturan!$C$30),"Kurang",IF(C135&gt;=IF(Aturan!$D$30="",Aturan!$C$30,Aturan!$D$30),"Nyaman","Cukup")))))</f>
        <v/>
      </c>
      <c r="L135" s="68" t="str">
        <f aca="false">IF($A135="","",IF(AND(Aturan!$C$31="",Aturan!$D$31=""),"Tidak dinilai",IF(D135="","Belum ada data",IF(D135&lt;IF(Aturan!$C$31="",0,Aturan!$C$31),"Kurang",IF(D135&gt;=IF(Aturan!$D$31="",Aturan!$C$31,Aturan!$D$31),"Nyaman","Cukup")))))</f>
        <v/>
      </c>
      <c r="M135" s="68" t="str">
        <f aca="false">IF($A135="","",IF(AND(Aturan!$C$32="",Aturan!$D$32=""),"Tidak dinilai",IF(E135="","Belum ada data",IF(E135&lt;IF(Aturan!$C$32="",0,Aturan!$C$32),"Kurang",IF(E135&gt;=IF(Aturan!$D$32="",Aturan!$C$32,Aturan!$D$32),"Nyaman","Cukup")))))</f>
        <v/>
      </c>
      <c r="N135" s="68" t="str">
        <f aca="false">IF($A135="","",IF(AND(Aturan!$C$33="",Aturan!$D$33=""),"Tidak dinilai",IF(F135="","Belum ada data",IF(F135&lt;IF(Aturan!$C$33="",0,Aturan!$C$33),"Kurang",IF(F135&gt;=IF(Aturan!$D$33="",Aturan!$C$33,Aturan!$D$33),"Nyaman","Cukup")))))</f>
        <v/>
      </c>
      <c r="O135" s="68" t="str">
        <f aca="false">IF($A135="","",IF(AND(Aturan!$C$34="",Aturan!$D$34=""),"Tidak dinilai",IF(G135="","Belum ada data",IF(G135&lt;IF(Aturan!$C$34="",0,Aturan!$C$34),"Kurang",IF(G135&gt;=IF(Aturan!$D$34="",Aturan!$C$34,Aturan!$D$34),"Nyaman","Cukup")))))</f>
        <v/>
      </c>
      <c r="P135" s="68" t="str">
        <f aca="false">IF($A135="","",IF(AND(Aturan!$C$35="",Aturan!$D$35=""),"Tidak dinilai",IF(H135="","Belum ada data",IF(H135&lt;IF(Aturan!$C$35="",0,Aturan!$C$35),"Kurang",IF(H135&gt;=IF(Aturan!$D$35="",Aturan!$C$35,Aturan!$D$35),"Nyaman","Cukup")))))</f>
        <v/>
      </c>
      <c r="Q135" s="68" t="str">
        <f aca="false">IF($A135="","",IF(COUNTIF(K135:P135,"Tidak dinilai")=6,"Tidak dinilai",IF(COUNTIF(K135:P135,"Kurang")&gt;0,"Kurang cocok",IF(COUNTIF(K135:P135,"Belum ada data")&gt;0,"Data belum lengkap",IF(COUNTIF(K135:P135,"Cukup")&gt;0,"Bisa, dengan catatan","Cocok")))))</f>
        <v/>
      </c>
      <c r="R135" s="66" t="str">
        <f aca="false">IF($A135="","",IF(K135="Kurang","prosesor tingkat "&amp;C135&amp;" dari 5, di bawah batas minimal (tingkat "&amp;Aturan!$C$30&amp;")",IF(K135="Cukup","prosesor tingkat "&amp;C135&amp;" dari 5 cukup, nyamannya mulai tingkat "&amp;Aturan!$D$30,IF(K135="Belum ada data","tingkat prosesor belum diisi",""))))</f>
        <v/>
      </c>
      <c r="S135" s="66" t="str">
        <f aca="false">IF($A135="","",IF(L135="Kurang","grafis tingkat "&amp;D135&amp;" dari 5, di bawah batas minimal (tingkat "&amp;Aturan!$C$31&amp;")",IF(L135="Cukup","grafis tingkat "&amp;D135&amp;" dari 5 cukup, nyamannya mulai tingkat "&amp;Aturan!$D$31,IF(L135="Belum ada data","tingkat grafis belum diisi",""))))</f>
        <v/>
      </c>
      <c r="T135" s="66" t="str">
        <f aca="false">IF($A135="","",IF(M135="Kurang","RAM "&amp;E135&amp;" GB, di bawah batas minimal "&amp;Aturan!$C$32&amp;" GB ("&amp;I135&amp;")",IF(M135="Cukup","RAM "&amp;E135&amp;" GB cukup, nyamannya "&amp;Aturan!$D$32&amp;" GB atau lebih ("&amp;I135&amp;")",IF(M135="Belum ada data","ukuran RAM belum diisi",""))))</f>
        <v/>
      </c>
      <c r="U135" s="66" t="str">
        <f aca="false">IF($A135="","",IF(N135="Kurang","penyimpanan "&amp;F135&amp;" GB, di bawah batas minimal "&amp;Aturan!$C$33&amp;" GB ("&amp;J135&amp;")",IF(N135="Cukup","penyimpanan "&amp;F135&amp;" GB cukup, nyamannya "&amp;Aturan!$D$33&amp;" GB atau lebih ("&amp;J135&amp;")",IF(N135="Belum ada data","ukuran penyimpanan belum diisi",""))))</f>
        <v/>
      </c>
      <c r="V135" s="66" t="str">
        <f aca="false">IF($A135="","",IF(O135="Kurang","layar "&amp;Varian!$AG31&amp;", di bawah batas minimal ("&amp;IFERROR(INDEX(Aturan!$A$63:$A$66,MATCH(Aturan!$C$34,Aturan!$B$63:$B$66,0)),"peringkat "&amp;Aturan!$C$34)&amp;")",IF(O135="Cukup","layar "&amp;Varian!$AG31&amp;" cukup, nyamannya "&amp;IFERROR(INDEX(Aturan!$A$63:$A$66,MATCH(Aturan!$D$34,Aturan!$B$63:$B$66,0)),"peringkat "&amp;Aturan!$D$34),IF(O135="Belum ada data","jenis layar belum diketahui",""))))</f>
        <v/>
      </c>
      <c r="W135" s="66" t="str">
        <f aca="false">IF($A135="","",IF(P135="Kurang","layar "&amp;H135&amp;" Hz, di bawah batas minimal "&amp;Aturan!$C$35&amp;" Hz",IF(P135="Cukup","layar "&amp;H135&amp;" Hz cukup, nyamannya "&amp;Aturan!$D$35&amp;" Hz atau lebih",IF(P135="Belum ada data","refresh rate belum diketahui",""))))</f>
        <v/>
      </c>
      <c r="X135" s="66" t="str">
        <f aca="false">IF($A135="","",IF(K135="Kurang",R135&amp;"; ","")&amp;IF(L135="Kurang",S135&amp;"; ","")&amp;IF(M135="Kurang",T135&amp;"; ","")&amp;IF(N135="Kurang",U135&amp;"; ","")&amp;IF(O135="Kurang",V135&amp;"; ","")&amp;IF(P135="Kurang",W135&amp;"; ","")&amp;IF(K135="Belum ada data",R135&amp;"; ","")&amp;IF(L135="Belum ada data",S135&amp;"; ","")&amp;IF(M135="Belum ada data",T135&amp;"; ","")&amp;IF(N135="Belum ada data",U135&amp;"; ","")&amp;IF(O135="Belum ada data",V135&amp;"; ","")&amp;IF(P135="Belum ada data",W135&amp;"; ","")&amp;IF(K135="Cukup",R135&amp;"; ","")&amp;IF(L135="Cukup",S135&amp;"; ","")&amp;IF(M135="Cukup",T135&amp;"; ","")&amp;IF(N135="Cukup",U135&amp;"; ","")&amp;IF(O135="Cukup",V135&amp;"; ","")&amp;IF(P135="Cukup",W135&amp;"; ",""))</f>
        <v/>
      </c>
      <c r="Y135" s="66" t="str">
        <f aca="false">IF($A135="","",IF(K135="Nyaman","prosesor, ","")&amp;IF(L135="Nyaman","grafis, ","")&amp;IF(M135="Nyaman","RAM, ","")&amp;IF(N135="Nyaman","penyimpanan, ","")&amp;IF(O135="Nyaman","layar, ","")&amp;IF(P135="Nyaman","refresh rate, ",""))</f>
        <v/>
      </c>
      <c r="Z135" s="66" t="str">
        <f aca="false">IF($A135="","",IF(Q135="Tidak dinilai","Belum ada kriteria yang dinilai untuk kebutuhan ini.",IF(Q135="Cocok","Semua kriteria yang dinilai sudah nyaman: "&amp;LEFT(Y135,LEN(Y135)-2)&amp;".",UPPER(LEFT(X135,1))&amp;MID(X135,2,LEN(X135)-3)&amp;"."&amp;IF(Y135="",""," Sudah nyaman: "&amp;LEFT(Y135,LEN(Y135)-2)&amp;"."))))</f>
        <v/>
      </c>
      <c r="AA135" s="66" t="str">
        <f aca="false">IF($A135="","",IF(Varian!$AR31="Windows 10","• "&amp;Aturan!$E$71&amp;CHAR(10),"")&amp;IF(Varian!$BB31="tidak","• "&amp;Aturan!$E$72&amp;CHAR(10),"")&amp;IF(OR(Varian!$AD31="belum terverifikasi",Varian!$AD31="tidak diketahui"),"• "&amp;Aturan!$E$73&amp;CHAR(10),"")&amp;IF(Varian!$AH31="1366x768","• "&amp;Aturan!$E$74&amp;CHAR(10),"")&amp;IF(Varian!$AG31="TN","• "&amp;Aturan!$E$75&amp;CHAR(10),"")&amp;IF(AND(Varian!$Q31="disolder",ISNUMBER(Varian!$M31),Varian!$M31&lt;=8),"• "&amp;Aturan!$E$76&amp;CHAR(10),""))</f>
        <v/>
      </c>
      <c r="AB135" s="66" t="str">
        <f aca="false">IF($A135="","",IF(AA135="","",LEFT(AA135,LEN(AA135)-1)))</f>
        <v/>
      </c>
      <c r="AC135" s="67" t="str">
        <f aca="false">IF($A135="","",IF(AA135="",0,LEN(AA135)-LEN(SUBSTITUTE(AA135,CHAR(10),""))))</f>
        <v/>
      </c>
    </row>
    <row r="136" customFormat="false" ht="15" hidden="false" customHeight="true" outlineLevel="0" collapsed="false">
      <c r="A136" s="33" t="str">
        <f aca="false">IF(Varian!$A31="","",Varian!$A31)</f>
        <v/>
      </c>
      <c r="B136" s="33" t="str">
        <f aca="false">IF($A136="","",Aturan!$A$22)</f>
        <v/>
      </c>
      <c r="C136" s="69" t="str">
        <f aca="false">IF($A136="","",IFERROR(IF(ISNUMBER(INDEX(CPU!$J$4:$J$64,MATCH(Varian!$J31,CPU!$A$4:$A$64,0))),INDEX(CPU!$J$4:$J$64,MATCH(Varian!$J31,CPU!$A$4:$A$64,0)),""),""))</f>
        <v/>
      </c>
      <c r="D136" s="69" t="str">
        <f aca="false">IF($A136="","",IFERROR(IF(ISNUMBER(INDEX(GPU!$G$4:$G$64,MATCH(Varian!$K31,GPU!$A$4:$A$64,0))),INDEX(GPU!$G$4:$G$64,MATCH(Varian!$K31,GPU!$A$4:$A$64,0)),""),""))</f>
        <v/>
      </c>
      <c r="E136" s="69" t="str">
        <f aca="false">IF($A136="","",IF(ISNUMBER(Varian!$M31),Varian!$M31,""))</f>
        <v/>
      </c>
      <c r="F136" s="69" t="str">
        <f aca="false">IF($A136="","",IF(ISNUMBER(Varian!$V31),Varian!$V31,""))</f>
        <v/>
      </c>
      <c r="G136" s="69" t="str">
        <f aca="false">IF($A136="","",IFERROR(INDEX(Aturan!$B$63:$B$66,MATCH(Varian!$AG31,Aturan!$A$63:$A$66,0)),""))</f>
        <v/>
      </c>
      <c r="H136" s="69" t="str">
        <f aca="false">IF($A136="","",IF(ISNUMBER(Varian!$AI31),Varian!$AI31,""))</f>
        <v/>
      </c>
      <c r="I136" s="33" t="str">
        <f aca="false">IF($A136="","",IF(Varian!$Q31="disolder","menempel di papan utama, tidak bisa ditambah",IF(OR(Varian!$Q31="slot",Varian!$Q31="setengah_disolder"),IF(Varian!$Q31="setengah_disolder","sebagian menempel, ","")&amp;IF(ISNUMBER(Varian!$U31),IF(AND(ISNUMBER(Varian!$M31),Varian!$U31&gt;Varian!$M31),"bisa dinaikkan lewat slot sampai "&amp;Varian!$U31&amp;" GB","sudah di batas maksimal "&amp;Varian!$U31&amp;" GB"),"ada slot, batas maksimalnya belum diketahui"),"belum diketahui apakah bisa ditambah")))</f>
        <v/>
      </c>
      <c r="J136" s="33" t="str">
        <f aca="false">IF($A136="","",IF(Varian!$Z31="ya","bisa diganti dengan yang lebih besar",IF(Varian!$Z31="tidak","menempel, tidak bisa diganti","belum diketahui apakah bisa diganti")))</f>
        <v/>
      </c>
      <c r="K136" s="70" t="str">
        <f aca="false">IF($A136="","",IF(AND(Aturan!$C$36="",Aturan!$D$36=""),"Tidak dinilai",IF(C136="","Belum ada data",IF(C136&lt;IF(Aturan!$C$36="",0,Aturan!$C$36),"Kurang",IF(C136&gt;=IF(Aturan!$D$36="",Aturan!$C$36,Aturan!$D$36),"Nyaman","Cukup")))))</f>
        <v/>
      </c>
      <c r="L136" s="70" t="str">
        <f aca="false">IF($A136="","",IF(AND(Aturan!$C$37="",Aturan!$D$37=""),"Tidak dinilai",IF(D136="","Belum ada data",IF(D136&lt;IF(Aturan!$C$37="",0,Aturan!$C$37),"Kurang",IF(D136&gt;=IF(Aturan!$D$37="",Aturan!$C$37,Aturan!$D$37),"Nyaman","Cukup")))))</f>
        <v/>
      </c>
      <c r="M136" s="70" t="str">
        <f aca="false">IF($A136="","",IF(AND(Aturan!$C$38="",Aturan!$D$38=""),"Tidak dinilai",IF(E136="","Belum ada data",IF(E136&lt;IF(Aturan!$C$38="",0,Aturan!$C$38),"Kurang",IF(E136&gt;=IF(Aturan!$D$38="",Aturan!$C$38,Aturan!$D$38),"Nyaman","Cukup")))))</f>
        <v/>
      </c>
      <c r="N136" s="70" t="str">
        <f aca="false">IF($A136="","",IF(AND(Aturan!$C$39="",Aturan!$D$39=""),"Tidak dinilai",IF(F136="","Belum ada data",IF(F136&lt;IF(Aturan!$C$39="",0,Aturan!$C$39),"Kurang",IF(F136&gt;=IF(Aturan!$D$39="",Aturan!$C$39,Aturan!$D$39),"Nyaman","Cukup")))))</f>
        <v/>
      </c>
      <c r="O136" s="70" t="str">
        <f aca="false">IF($A136="","",IF(AND(Aturan!$C$40="",Aturan!$D$40=""),"Tidak dinilai",IF(G136="","Belum ada data",IF(G136&lt;IF(Aturan!$C$40="",0,Aturan!$C$40),"Kurang",IF(G136&gt;=IF(Aturan!$D$40="",Aturan!$C$40,Aturan!$D$40),"Nyaman","Cukup")))))</f>
        <v/>
      </c>
      <c r="P136" s="70" t="str">
        <f aca="false">IF($A136="","",IF(AND(Aturan!$C$41="",Aturan!$D$41=""),"Tidak dinilai",IF(H136="","Belum ada data",IF(H136&lt;IF(Aturan!$C$41="",0,Aturan!$C$41),"Kurang",IF(H136&gt;=IF(Aturan!$D$41="",Aturan!$C$41,Aturan!$D$41),"Nyaman","Cukup")))))</f>
        <v/>
      </c>
      <c r="Q136" s="70" t="str">
        <f aca="false">IF($A136="","",IF(COUNTIF(K136:P136,"Tidak dinilai")=6,"Tidak dinilai",IF(COUNTIF(K136:P136,"Kurang")&gt;0,"Kurang cocok",IF(COUNTIF(K136:P136,"Belum ada data")&gt;0,"Data belum lengkap",IF(COUNTIF(K136:P136,"Cukup")&gt;0,"Bisa, dengan catatan","Cocok")))))</f>
        <v/>
      </c>
      <c r="R136" s="33" t="str">
        <f aca="false">IF($A136="","",IF(K136="Kurang","prosesor tingkat "&amp;C136&amp;" dari 5, di bawah batas minimal (tingkat "&amp;Aturan!$C$36&amp;")",IF(K136="Cukup","prosesor tingkat "&amp;C136&amp;" dari 5 cukup, nyamannya mulai tingkat "&amp;Aturan!$D$36,IF(K136="Belum ada data","tingkat prosesor belum diisi",""))))</f>
        <v/>
      </c>
      <c r="S136" s="33" t="str">
        <f aca="false">IF($A136="","",IF(L136="Kurang","grafis tingkat "&amp;D136&amp;" dari 5, di bawah batas minimal (tingkat "&amp;Aturan!$C$37&amp;")",IF(L136="Cukup","grafis tingkat "&amp;D136&amp;" dari 5 cukup, nyamannya mulai tingkat "&amp;Aturan!$D$37,IF(L136="Belum ada data","tingkat grafis belum diisi",""))))</f>
        <v/>
      </c>
      <c r="T136" s="33" t="str">
        <f aca="false">IF($A136="","",IF(M136="Kurang","RAM "&amp;E136&amp;" GB, di bawah batas minimal "&amp;Aturan!$C$38&amp;" GB ("&amp;I136&amp;")",IF(M136="Cukup","RAM "&amp;E136&amp;" GB cukup, nyamannya "&amp;Aturan!$D$38&amp;" GB atau lebih ("&amp;I136&amp;")",IF(M136="Belum ada data","ukuran RAM belum diisi",""))))</f>
        <v/>
      </c>
      <c r="U136" s="33" t="str">
        <f aca="false">IF($A136="","",IF(N136="Kurang","penyimpanan "&amp;F136&amp;" GB, di bawah batas minimal "&amp;Aturan!$C$39&amp;" GB ("&amp;J136&amp;")",IF(N136="Cukup","penyimpanan "&amp;F136&amp;" GB cukup, nyamannya "&amp;Aturan!$D$39&amp;" GB atau lebih ("&amp;J136&amp;")",IF(N136="Belum ada data","ukuran penyimpanan belum diisi",""))))</f>
        <v/>
      </c>
      <c r="V136" s="33" t="str">
        <f aca="false">IF($A136="","",IF(O136="Kurang","layar "&amp;Varian!$AG31&amp;", di bawah batas minimal ("&amp;IFERROR(INDEX(Aturan!$A$63:$A$66,MATCH(Aturan!$C$40,Aturan!$B$63:$B$66,0)),"peringkat "&amp;Aturan!$C$40)&amp;")",IF(O136="Cukup","layar "&amp;Varian!$AG31&amp;" cukup, nyamannya "&amp;IFERROR(INDEX(Aturan!$A$63:$A$66,MATCH(Aturan!$D$40,Aturan!$B$63:$B$66,0)),"peringkat "&amp;Aturan!$D$40),IF(O136="Belum ada data","jenis layar belum diketahui",""))))</f>
        <v/>
      </c>
      <c r="W136" s="33" t="str">
        <f aca="false">IF($A136="","",IF(P136="Kurang","layar "&amp;H136&amp;" Hz, di bawah batas minimal "&amp;Aturan!$C$41&amp;" Hz",IF(P136="Cukup","layar "&amp;H136&amp;" Hz cukup, nyamannya "&amp;Aturan!$D$41&amp;" Hz atau lebih",IF(P136="Belum ada data","refresh rate belum diketahui",""))))</f>
        <v/>
      </c>
      <c r="X136" s="33" t="str">
        <f aca="false">IF($A136="","",IF(K136="Kurang",R136&amp;"; ","")&amp;IF(L136="Kurang",S136&amp;"; ","")&amp;IF(M136="Kurang",T136&amp;"; ","")&amp;IF(N136="Kurang",U136&amp;"; ","")&amp;IF(O136="Kurang",V136&amp;"; ","")&amp;IF(P136="Kurang",W136&amp;"; ","")&amp;IF(K136="Belum ada data",R136&amp;"; ","")&amp;IF(L136="Belum ada data",S136&amp;"; ","")&amp;IF(M136="Belum ada data",T136&amp;"; ","")&amp;IF(N136="Belum ada data",U136&amp;"; ","")&amp;IF(O136="Belum ada data",V136&amp;"; ","")&amp;IF(P136="Belum ada data",W136&amp;"; ","")&amp;IF(K136="Cukup",R136&amp;"; ","")&amp;IF(L136="Cukup",S136&amp;"; ","")&amp;IF(M136="Cukup",T136&amp;"; ","")&amp;IF(N136="Cukup",U136&amp;"; ","")&amp;IF(O136="Cukup",V136&amp;"; ","")&amp;IF(P136="Cukup",W136&amp;"; ",""))</f>
        <v/>
      </c>
      <c r="Y136" s="33" t="str">
        <f aca="false">IF($A136="","",IF(K136="Nyaman","prosesor, ","")&amp;IF(L136="Nyaman","grafis, ","")&amp;IF(M136="Nyaman","RAM, ","")&amp;IF(N136="Nyaman","penyimpanan, ","")&amp;IF(O136="Nyaman","layar, ","")&amp;IF(P136="Nyaman","refresh rate, ",""))</f>
        <v/>
      </c>
      <c r="Z136" s="33" t="str">
        <f aca="false">IF($A136="","",IF(Q136="Tidak dinilai","Belum ada kriteria yang dinilai untuk kebutuhan ini.",IF(Q136="Cocok","Semua kriteria yang dinilai sudah nyaman: "&amp;LEFT(Y136,LEN(Y136)-2)&amp;".",UPPER(LEFT(X136,1))&amp;MID(X136,2,LEN(X136)-3)&amp;"."&amp;IF(Y136="",""," Sudah nyaman: "&amp;LEFT(Y136,LEN(Y136)-2)&amp;"."))))</f>
        <v/>
      </c>
      <c r="AA136" s="33"/>
      <c r="AB136" s="33"/>
      <c r="AC136" s="69"/>
    </row>
    <row r="137" customFormat="false" ht="15" hidden="false" customHeight="true" outlineLevel="0" collapsed="false">
      <c r="A137" s="33" t="str">
        <f aca="false">IF(Varian!$A31="","",Varian!$A31)</f>
        <v/>
      </c>
      <c r="B137" s="33" t="str">
        <f aca="false">IF($A137="","",Aturan!$A$23)</f>
        <v/>
      </c>
      <c r="C137" s="69" t="str">
        <f aca="false">IF($A137="","",IFERROR(IF(ISNUMBER(INDEX(CPU!$J$4:$J$64,MATCH(Varian!$J31,CPU!$A$4:$A$64,0))),INDEX(CPU!$J$4:$J$64,MATCH(Varian!$J31,CPU!$A$4:$A$64,0)),""),""))</f>
        <v/>
      </c>
      <c r="D137" s="69" t="str">
        <f aca="false">IF($A137="","",IFERROR(IF(ISNUMBER(INDEX(GPU!$G$4:$G$64,MATCH(Varian!$K31,GPU!$A$4:$A$64,0))),INDEX(GPU!$G$4:$G$64,MATCH(Varian!$K31,GPU!$A$4:$A$64,0)),""),""))</f>
        <v/>
      </c>
      <c r="E137" s="69" t="str">
        <f aca="false">IF($A137="","",IF(ISNUMBER(Varian!$M31),Varian!$M31,""))</f>
        <v/>
      </c>
      <c r="F137" s="69" t="str">
        <f aca="false">IF($A137="","",IF(ISNUMBER(Varian!$V31),Varian!$V31,""))</f>
        <v/>
      </c>
      <c r="G137" s="69" t="str">
        <f aca="false">IF($A137="","",IFERROR(INDEX(Aturan!$B$63:$B$66,MATCH(Varian!$AG31,Aturan!$A$63:$A$66,0)),""))</f>
        <v/>
      </c>
      <c r="H137" s="69" t="str">
        <f aca="false">IF($A137="","",IF(ISNUMBER(Varian!$AI31),Varian!$AI31,""))</f>
        <v/>
      </c>
      <c r="I137" s="33" t="str">
        <f aca="false">IF($A137="","",IF(Varian!$Q31="disolder","menempel di papan utama, tidak bisa ditambah",IF(OR(Varian!$Q31="slot",Varian!$Q31="setengah_disolder"),IF(Varian!$Q31="setengah_disolder","sebagian menempel, ","")&amp;IF(ISNUMBER(Varian!$U31),IF(AND(ISNUMBER(Varian!$M31),Varian!$U31&gt;Varian!$M31),"bisa dinaikkan lewat slot sampai "&amp;Varian!$U31&amp;" GB","sudah di batas maksimal "&amp;Varian!$U31&amp;" GB"),"ada slot, batas maksimalnya belum diketahui"),"belum diketahui apakah bisa ditambah")))</f>
        <v/>
      </c>
      <c r="J137" s="33" t="str">
        <f aca="false">IF($A137="","",IF(Varian!$Z31="ya","bisa diganti dengan yang lebih besar",IF(Varian!$Z31="tidak","menempel, tidak bisa diganti","belum diketahui apakah bisa diganti")))</f>
        <v/>
      </c>
      <c r="K137" s="70" t="str">
        <f aca="false">IF($A137="","",IF(AND(Aturan!$C$42="",Aturan!$D$42=""),"Tidak dinilai",IF(C137="","Belum ada data",IF(C137&lt;IF(Aturan!$C$42="",0,Aturan!$C$42),"Kurang",IF(C137&gt;=IF(Aturan!$D$42="",Aturan!$C$42,Aturan!$D$42),"Nyaman","Cukup")))))</f>
        <v/>
      </c>
      <c r="L137" s="70" t="str">
        <f aca="false">IF($A137="","",IF(AND(Aturan!$C$43="",Aturan!$D$43=""),"Tidak dinilai",IF(D137="","Belum ada data",IF(D137&lt;IF(Aturan!$C$43="",0,Aturan!$C$43),"Kurang",IF(D137&gt;=IF(Aturan!$D$43="",Aturan!$C$43,Aturan!$D$43),"Nyaman","Cukup")))))</f>
        <v/>
      </c>
      <c r="M137" s="70" t="str">
        <f aca="false">IF($A137="","",IF(AND(Aturan!$C$44="",Aturan!$D$44=""),"Tidak dinilai",IF(E137="","Belum ada data",IF(E137&lt;IF(Aturan!$C$44="",0,Aturan!$C$44),"Kurang",IF(E137&gt;=IF(Aturan!$D$44="",Aturan!$C$44,Aturan!$D$44),"Nyaman","Cukup")))))</f>
        <v/>
      </c>
      <c r="N137" s="70" t="str">
        <f aca="false">IF($A137="","",IF(AND(Aturan!$C$45="",Aturan!$D$45=""),"Tidak dinilai",IF(F137="","Belum ada data",IF(F137&lt;IF(Aturan!$C$45="",0,Aturan!$C$45),"Kurang",IF(F137&gt;=IF(Aturan!$D$45="",Aturan!$C$45,Aturan!$D$45),"Nyaman","Cukup")))))</f>
        <v/>
      </c>
      <c r="O137" s="70" t="str">
        <f aca="false">IF($A137="","",IF(AND(Aturan!$C$46="",Aturan!$D$46=""),"Tidak dinilai",IF(G137="","Belum ada data",IF(G137&lt;IF(Aturan!$C$46="",0,Aturan!$C$46),"Kurang",IF(G137&gt;=IF(Aturan!$D$46="",Aturan!$C$46,Aturan!$D$46),"Nyaman","Cukup")))))</f>
        <v/>
      </c>
      <c r="P137" s="70" t="str">
        <f aca="false">IF($A137="","",IF(AND(Aturan!$C$47="",Aturan!$D$47=""),"Tidak dinilai",IF(H137="","Belum ada data",IF(H137&lt;IF(Aturan!$C$47="",0,Aturan!$C$47),"Kurang",IF(H137&gt;=IF(Aturan!$D$47="",Aturan!$C$47,Aturan!$D$47),"Nyaman","Cukup")))))</f>
        <v/>
      </c>
      <c r="Q137" s="70" t="str">
        <f aca="false">IF($A137="","",IF(COUNTIF(K137:P137,"Tidak dinilai")=6,"Tidak dinilai",IF(COUNTIF(K137:P137,"Kurang")&gt;0,"Kurang cocok",IF(COUNTIF(K137:P137,"Belum ada data")&gt;0,"Data belum lengkap",IF(COUNTIF(K137:P137,"Cukup")&gt;0,"Bisa, dengan catatan","Cocok")))))</f>
        <v/>
      </c>
      <c r="R137" s="33" t="str">
        <f aca="false">IF($A137="","",IF(K137="Kurang","prosesor tingkat "&amp;C137&amp;" dari 5, di bawah batas minimal (tingkat "&amp;Aturan!$C$42&amp;")",IF(K137="Cukup","prosesor tingkat "&amp;C137&amp;" dari 5 cukup, nyamannya mulai tingkat "&amp;Aturan!$D$42,IF(K137="Belum ada data","tingkat prosesor belum diisi",""))))</f>
        <v/>
      </c>
      <c r="S137" s="33" t="str">
        <f aca="false">IF($A137="","",IF(L137="Kurang","grafis tingkat "&amp;D137&amp;" dari 5, di bawah batas minimal (tingkat "&amp;Aturan!$C$43&amp;")",IF(L137="Cukup","grafis tingkat "&amp;D137&amp;" dari 5 cukup, nyamannya mulai tingkat "&amp;Aturan!$D$43,IF(L137="Belum ada data","tingkat grafis belum diisi",""))))</f>
        <v/>
      </c>
      <c r="T137" s="33" t="str">
        <f aca="false">IF($A137="","",IF(M137="Kurang","RAM "&amp;E137&amp;" GB, di bawah batas minimal "&amp;Aturan!$C$44&amp;" GB ("&amp;I137&amp;")",IF(M137="Cukup","RAM "&amp;E137&amp;" GB cukup, nyamannya "&amp;Aturan!$D$44&amp;" GB atau lebih ("&amp;I137&amp;")",IF(M137="Belum ada data","ukuran RAM belum diisi",""))))</f>
        <v/>
      </c>
      <c r="U137" s="33" t="str">
        <f aca="false">IF($A137="","",IF(N137="Kurang","penyimpanan "&amp;F137&amp;" GB, di bawah batas minimal "&amp;Aturan!$C$45&amp;" GB ("&amp;J137&amp;")",IF(N137="Cukup","penyimpanan "&amp;F137&amp;" GB cukup, nyamannya "&amp;Aturan!$D$45&amp;" GB atau lebih ("&amp;J137&amp;")",IF(N137="Belum ada data","ukuran penyimpanan belum diisi",""))))</f>
        <v/>
      </c>
      <c r="V137" s="33" t="str">
        <f aca="false">IF($A137="","",IF(O137="Kurang","layar "&amp;Varian!$AG31&amp;", di bawah batas minimal ("&amp;IFERROR(INDEX(Aturan!$A$63:$A$66,MATCH(Aturan!$C$46,Aturan!$B$63:$B$66,0)),"peringkat "&amp;Aturan!$C$46)&amp;")",IF(O137="Cukup","layar "&amp;Varian!$AG31&amp;" cukup, nyamannya "&amp;IFERROR(INDEX(Aturan!$A$63:$A$66,MATCH(Aturan!$D$46,Aturan!$B$63:$B$66,0)),"peringkat "&amp;Aturan!$D$46),IF(O137="Belum ada data","jenis layar belum diketahui",""))))</f>
        <v/>
      </c>
      <c r="W137" s="33" t="str">
        <f aca="false">IF($A137="","",IF(P137="Kurang","layar "&amp;H137&amp;" Hz, di bawah batas minimal "&amp;Aturan!$C$47&amp;" Hz",IF(P137="Cukup","layar "&amp;H137&amp;" Hz cukup, nyamannya "&amp;Aturan!$D$47&amp;" Hz atau lebih",IF(P137="Belum ada data","refresh rate belum diketahui",""))))</f>
        <v/>
      </c>
      <c r="X137" s="33" t="str">
        <f aca="false">IF($A137="","",IF(K137="Kurang",R137&amp;"; ","")&amp;IF(L137="Kurang",S137&amp;"; ","")&amp;IF(M137="Kurang",T137&amp;"; ","")&amp;IF(N137="Kurang",U137&amp;"; ","")&amp;IF(O137="Kurang",V137&amp;"; ","")&amp;IF(P137="Kurang",W137&amp;"; ","")&amp;IF(K137="Belum ada data",R137&amp;"; ","")&amp;IF(L137="Belum ada data",S137&amp;"; ","")&amp;IF(M137="Belum ada data",T137&amp;"; ","")&amp;IF(N137="Belum ada data",U137&amp;"; ","")&amp;IF(O137="Belum ada data",V137&amp;"; ","")&amp;IF(P137="Belum ada data",W137&amp;"; ","")&amp;IF(K137="Cukup",R137&amp;"; ","")&amp;IF(L137="Cukup",S137&amp;"; ","")&amp;IF(M137="Cukup",T137&amp;"; ","")&amp;IF(N137="Cukup",U137&amp;"; ","")&amp;IF(O137="Cukup",V137&amp;"; ","")&amp;IF(P137="Cukup",W137&amp;"; ",""))</f>
        <v/>
      </c>
      <c r="Y137" s="33" t="str">
        <f aca="false">IF($A137="","",IF(K137="Nyaman","prosesor, ","")&amp;IF(L137="Nyaman","grafis, ","")&amp;IF(M137="Nyaman","RAM, ","")&amp;IF(N137="Nyaman","penyimpanan, ","")&amp;IF(O137="Nyaman","layar, ","")&amp;IF(P137="Nyaman","refresh rate, ",""))</f>
        <v/>
      </c>
      <c r="Z137" s="33" t="str">
        <f aca="false">IF($A137="","",IF(Q137="Tidak dinilai","Belum ada kriteria yang dinilai untuk kebutuhan ini.",IF(Q137="Cocok","Semua kriteria yang dinilai sudah nyaman: "&amp;LEFT(Y137,LEN(Y137)-2)&amp;".",UPPER(LEFT(X137,1))&amp;MID(X137,2,LEN(X137)-3)&amp;"."&amp;IF(Y137="",""," Sudah nyaman: "&amp;LEFT(Y137,LEN(Y137)-2)&amp;"."))))</f>
        <v/>
      </c>
      <c r="AA137" s="33"/>
      <c r="AB137" s="33"/>
      <c r="AC137" s="69"/>
    </row>
    <row r="138" customFormat="false" ht="15" hidden="false" customHeight="true" outlineLevel="0" collapsed="false">
      <c r="A138" s="33" t="str">
        <f aca="false">IF(Varian!$A31="","",Varian!$A31)</f>
        <v/>
      </c>
      <c r="B138" s="33" t="str">
        <f aca="false">IF($A138="","",Aturan!$A$24)</f>
        <v/>
      </c>
      <c r="C138" s="69" t="str">
        <f aca="false">IF($A138="","",IFERROR(IF(ISNUMBER(INDEX(CPU!$J$4:$J$64,MATCH(Varian!$J31,CPU!$A$4:$A$64,0))),INDEX(CPU!$J$4:$J$64,MATCH(Varian!$J31,CPU!$A$4:$A$64,0)),""),""))</f>
        <v/>
      </c>
      <c r="D138" s="69" t="str">
        <f aca="false">IF($A138="","",IFERROR(IF(ISNUMBER(INDEX(GPU!$G$4:$G$64,MATCH(Varian!$K31,GPU!$A$4:$A$64,0))),INDEX(GPU!$G$4:$G$64,MATCH(Varian!$K31,GPU!$A$4:$A$64,0)),""),""))</f>
        <v/>
      </c>
      <c r="E138" s="69" t="str">
        <f aca="false">IF($A138="","",IF(ISNUMBER(Varian!$M31),Varian!$M31,""))</f>
        <v/>
      </c>
      <c r="F138" s="69" t="str">
        <f aca="false">IF($A138="","",IF(ISNUMBER(Varian!$V31),Varian!$V31,""))</f>
        <v/>
      </c>
      <c r="G138" s="69" t="str">
        <f aca="false">IF($A138="","",IFERROR(INDEX(Aturan!$B$63:$B$66,MATCH(Varian!$AG31,Aturan!$A$63:$A$66,0)),""))</f>
        <v/>
      </c>
      <c r="H138" s="69" t="str">
        <f aca="false">IF($A138="","",IF(ISNUMBER(Varian!$AI31),Varian!$AI31,""))</f>
        <v/>
      </c>
      <c r="I138" s="33" t="str">
        <f aca="false">IF($A138="","",IF(Varian!$Q31="disolder","menempel di papan utama, tidak bisa ditambah",IF(OR(Varian!$Q31="slot",Varian!$Q31="setengah_disolder"),IF(Varian!$Q31="setengah_disolder","sebagian menempel, ","")&amp;IF(ISNUMBER(Varian!$U31),IF(AND(ISNUMBER(Varian!$M31),Varian!$U31&gt;Varian!$M31),"bisa dinaikkan lewat slot sampai "&amp;Varian!$U31&amp;" GB","sudah di batas maksimal "&amp;Varian!$U31&amp;" GB"),"ada slot, batas maksimalnya belum diketahui"),"belum diketahui apakah bisa ditambah")))</f>
        <v/>
      </c>
      <c r="J138" s="33" t="str">
        <f aca="false">IF($A138="","",IF(Varian!$Z31="ya","bisa diganti dengan yang lebih besar",IF(Varian!$Z31="tidak","menempel, tidak bisa diganti","belum diketahui apakah bisa diganti")))</f>
        <v/>
      </c>
      <c r="K138" s="70" t="str">
        <f aca="false">IF($A138="","",IF(AND(Aturan!$C$48="",Aturan!$D$48=""),"Tidak dinilai",IF(C138="","Belum ada data",IF(C138&lt;IF(Aturan!$C$48="",0,Aturan!$C$48),"Kurang",IF(C138&gt;=IF(Aturan!$D$48="",Aturan!$C$48,Aturan!$D$48),"Nyaman","Cukup")))))</f>
        <v/>
      </c>
      <c r="L138" s="70" t="str">
        <f aca="false">IF($A138="","",IF(AND(Aturan!$C$49="",Aturan!$D$49=""),"Tidak dinilai",IF(D138="","Belum ada data",IF(D138&lt;IF(Aturan!$C$49="",0,Aturan!$C$49),"Kurang",IF(D138&gt;=IF(Aturan!$D$49="",Aturan!$C$49,Aturan!$D$49),"Nyaman","Cukup")))))</f>
        <v/>
      </c>
      <c r="M138" s="70" t="str">
        <f aca="false">IF($A138="","",IF(AND(Aturan!$C$50="",Aturan!$D$50=""),"Tidak dinilai",IF(E138="","Belum ada data",IF(E138&lt;IF(Aturan!$C$50="",0,Aturan!$C$50),"Kurang",IF(E138&gt;=IF(Aturan!$D$50="",Aturan!$C$50,Aturan!$D$50),"Nyaman","Cukup")))))</f>
        <v/>
      </c>
      <c r="N138" s="70" t="str">
        <f aca="false">IF($A138="","",IF(AND(Aturan!$C$51="",Aturan!$D$51=""),"Tidak dinilai",IF(F138="","Belum ada data",IF(F138&lt;IF(Aturan!$C$51="",0,Aturan!$C$51),"Kurang",IF(F138&gt;=IF(Aturan!$D$51="",Aturan!$C$51,Aturan!$D$51),"Nyaman","Cukup")))))</f>
        <v/>
      </c>
      <c r="O138" s="70" t="str">
        <f aca="false">IF($A138="","",IF(AND(Aturan!$C$52="",Aturan!$D$52=""),"Tidak dinilai",IF(G138="","Belum ada data",IF(G138&lt;IF(Aturan!$C$52="",0,Aturan!$C$52),"Kurang",IF(G138&gt;=IF(Aturan!$D$52="",Aturan!$C$52,Aturan!$D$52),"Nyaman","Cukup")))))</f>
        <v/>
      </c>
      <c r="P138" s="70" t="str">
        <f aca="false">IF($A138="","",IF(AND(Aturan!$C$53="",Aturan!$D$53=""),"Tidak dinilai",IF(H138="","Belum ada data",IF(H138&lt;IF(Aturan!$C$53="",0,Aturan!$C$53),"Kurang",IF(H138&gt;=IF(Aturan!$D$53="",Aturan!$C$53,Aturan!$D$53),"Nyaman","Cukup")))))</f>
        <v/>
      </c>
      <c r="Q138" s="70" t="str">
        <f aca="false">IF($A138="","",IF(COUNTIF(K138:P138,"Tidak dinilai")=6,"Tidak dinilai",IF(COUNTIF(K138:P138,"Kurang")&gt;0,"Kurang cocok",IF(COUNTIF(K138:P138,"Belum ada data")&gt;0,"Data belum lengkap",IF(COUNTIF(K138:P138,"Cukup")&gt;0,"Bisa, dengan catatan","Cocok")))))</f>
        <v/>
      </c>
      <c r="R138" s="33" t="str">
        <f aca="false">IF($A138="","",IF(K138="Kurang","prosesor tingkat "&amp;C138&amp;" dari 5, di bawah batas minimal (tingkat "&amp;Aturan!$C$48&amp;")",IF(K138="Cukup","prosesor tingkat "&amp;C138&amp;" dari 5 cukup, nyamannya mulai tingkat "&amp;Aturan!$D$48,IF(K138="Belum ada data","tingkat prosesor belum diisi",""))))</f>
        <v/>
      </c>
      <c r="S138" s="33" t="str">
        <f aca="false">IF($A138="","",IF(L138="Kurang","grafis tingkat "&amp;D138&amp;" dari 5, di bawah batas minimal (tingkat "&amp;Aturan!$C$49&amp;")",IF(L138="Cukup","grafis tingkat "&amp;D138&amp;" dari 5 cukup, nyamannya mulai tingkat "&amp;Aturan!$D$49,IF(L138="Belum ada data","tingkat grafis belum diisi",""))))</f>
        <v/>
      </c>
      <c r="T138" s="33" t="str">
        <f aca="false">IF($A138="","",IF(M138="Kurang","RAM "&amp;E138&amp;" GB, di bawah batas minimal "&amp;Aturan!$C$50&amp;" GB ("&amp;I138&amp;")",IF(M138="Cukup","RAM "&amp;E138&amp;" GB cukup, nyamannya "&amp;Aturan!$D$50&amp;" GB atau lebih ("&amp;I138&amp;")",IF(M138="Belum ada data","ukuran RAM belum diisi",""))))</f>
        <v/>
      </c>
      <c r="U138" s="33" t="str">
        <f aca="false">IF($A138="","",IF(N138="Kurang","penyimpanan "&amp;F138&amp;" GB, di bawah batas minimal "&amp;Aturan!$C$51&amp;" GB ("&amp;J138&amp;")",IF(N138="Cukup","penyimpanan "&amp;F138&amp;" GB cukup, nyamannya "&amp;Aturan!$D$51&amp;" GB atau lebih ("&amp;J138&amp;")",IF(N138="Belum ada data","ukuran penyimpanan belum diisi",""))))</f>
        <v/>
      </c>
      <c r="V138" s="33" t="str">
        <f aca="false">IF($A138="","",IF(O138="Kurang","layar "&amp;Varian!$AG31&amp;", di bawah batas minimal ("&amp;IFERROR(INDEX(Aturan!$A$63:$A$66,MATCH(Aturan!$C$52,Aturan!$B$63:$B$66,0)),"peringkat "&amp;Aturan!$C$52)&amp;")",IF(O138="Cukup","layar "&amp;Varian!$AG31&amp;" cukup, nyamannya "&amp;IFERROR(INDEX(Aturan!$A$63:$A$66,MATCH(Aturan!$D$52,Aturan!$B$63:$B$66,0)),"peringkat "&amp;Aturan!$D$52),IF(O138="Belum ada data","jenis layar belum diketahui",""))))</f>
        <v/>
      </c>
      <c r="W138" s="33" t="str">
        <f aca="false">IF($A138="","",IF(P138="Kurang","layar "&amp;H138&amp;" Hz, di bawah batas minimal "&amp;Aturan!$C$53&amp;" Hz",IF(P138="Cukup","layar "&amp;H138&amp;" Hz cukup, nyamannya "&amp;Aturan!$D$53&amp;" Hz atau lebih",IF(P138="Belum ada data","refresh rate belum diketahui",""))))</f>
        <v/>
      </c>
      <c r="X138" s="33" t="str">
        <f aca="false">IF($A138="","",IF(K138="Kurang",R138&amp;"; ","")&amp;IF(L138="Kurang",S138&amp;"; ","")&amp;IF(M138="Kurang",T138&amp;"; ","")&amp;IF(N138="Kurang",U138&amp;"; ","")&amp;IF(O138="Kurang",V138&amp;"; ","")&amp;IF(P138="Kurang",W138&amp;"; ","")&amp;IF(K138="Belum ada data",R138&amp;"; ","")&amp;IF(L138="Belum ada data",S138&amp;"; ","")&amp;IF(M138="Belum ada data",T138&amp;"; ","")&amp;IF(N138="Belum ada data",U138&amp;"; ","")&amp;IF(O138="Belum ada data",V138&amp;"; ","")&amp;IF(P138="Belum ada data",W138&amp;"; ","")&amp;IF(K138="Cukup",R138&amp;"; ","")&amp;IF(L138="Cukup",S138&amp;"; ","")&amp;IF(M138="Cukup",T138&amp;"; ","")&amp;IF(N138="Cukup",U138&amp;"; ","")&amp;IF(O138="Cukup",V138&amp;"; ","")&amp;IF(P138="Cukup",W138&amp;"; ",""))</f>
        <v/>
      </c>
      <c r="Y138" s="33" t="str">
        <f aca="false">IF($A138="","",IF(K138="Nyaman","prosesor, ","")&amp;IF(L138="Nyaman","grafis, ","")&amp;IF(M138="Nyaman","RAM, ","")&amp;IF(N138="Nyaman","penyimpanan, ","")&amp;IF(O138="Nyaman","layar, ","")&amp;IF(P138="Nyaman","refresh rate, ",""))</f>
        <v/>
      </c>
      <c r="Z138" s="33" t="str">
        <f aca="false">IF($A138="","",IF(Q138="Tidak dinilai","Belum ada kriteria yang dinilai untuk kebutuhan ini.",IF(Q138="Cocok","Semua kriteria yang dinilai sudah nyaman: "&amp;LEFT(Y138,LEN(Y138)-2)&amp;".",UPPER(LEFT(X138,1))&amp;MID(X138,2,LEN(X138)-3)&amp;"."&amp;IF(Y138="",""," Sudah nyaman: "&amp;LEFT(Y138,LEN(Y138)-2)&amp;"."))))</f>
        <v/>
      </c>
      <c r="AA138" s="33"/>
      <c r="AB138" s="33"/>
      <c r="AC138" s="69"/>
    </row>
    <row r="139" customFormat="false" ht="15" hidden="false" customHeight="true" outlineLevel="0" collapsed="false">
      <c r="A139" s="33" t="str">
        <f aca="false">IF(Varian!$A31="","",Varian!$A31)</f>
        <v/>
      </c>
      <c r="B139" s="33" t="str">
        <f aca="false">IF($A139="","",Aturan!$A$25)</f>
        <v/>
      </c>
      <c r="C139" s="69" t="str">
        <f aca="false">IF($A139="","",IFERROR(IF(ISNUMBER(INDEX(CPU!$J$4:$J$64,MATCH(Varian!$J31,CPU!$A$4:$A$64,0))),INDEX(CPU!$J$4:$J$64,MATCH(Varian!$J31,CPU!$A$4:$A$64,0)),""),""))</f>
        <v/>
      </c>
      <c r="D139" s="69" t="str">
        <f aca="false">IF($A139="","",IFERROR(IF(ISNUMBER(INDEX(GPU!$G$4:$G$64,MATCH(Varian!$K31,GPU!$A$4:$A$64,0))),INDEX(GPU!$G$4:$G$64,MATCH(Varian!$K31,GPU!$A$4:$A$64,0)),""),""))</f>
        <v/>
      </c>
      <c r="E139" s="69" t="str">
        <f aca="false">IF($A139="","",IF(ISNUMBER(Varian!$M31),Varian!$M31,""))</f>
        <v/>
      </c>
      <c r="F139" s="69" t="str">
        <f aca="false">IF($A139="","",IF(ISNUMBER(Varian!$V31),Varian!$V31,""))</f>
        <v/>
      </c>
      <c r="G139" s="69" t="str">
        <f aca="false">IF($A139="","",IFERROR(INDEX(Aturan!$B$63:$B$66,MATCH(Varian!$AG31,Aturan!$A$63:$A$66,0)),""))</f>
        <v/>
      </c>
      <c r="H139" s="69" t="str">
        <f aca="false">IF($A139="","",IF(ISNUMBER(Varian!$AI31),Varian!$AI31,""))</f>
        <v/>
      </c>
      <c r="I139" s="33" t="str">
        <f aca="false">IF($A139="","",IF(Varian!$Q31="disolder","menempel di papan utama, tidak bisa ditambah",IF(OR(Varian!$Q31="slot",Varian!$Q31="setengah_disolder"),IF(Varian!$Q31="setengah_disolder","sebagian menempel, ","")&amp;IF(ISNUMBER(Varian!$U31),IF(AND(ISNUMBER(Varian!$M31),Varian!$U31&gt;Varian!$M31),"bisa dinaikkan lewat slot sampai "&amp;Varian!$U31&amp;" GB","sudah di batas maksimal "&amp;Varian!$U31&amp;" GB"),"ada slot, batas maksimalnya belum diketahui"),"belum diketahui apakah bisa ditambah")))</f>
        <v/>
      </c>
      <c r="J139" s="33" t="str">
        <f aca="false">IF($A139="","",IF(Varian!$Z31="ya","bisa diganti dengan yang lebih besar",IF(Varian!$Z31="tidak","menempel, tidak bisa diganti","belum diketahui apakah bisa diganti")))</f>
        <v/>
      </c>
      <c r="K139" s="70" t="str">
        <f aca="false">IF($A139="","",IF(AND(Aturan!$C$54="",Aturan!$D$54=""),"Tidak dinilai",IF(C139="","Belum ada data",IF(C139&lt;IF(Aturan!$C$54="",0,Aturan!$C$54),"Kurang",IF(C139&gt;=IF(Aturan!$D$54="",Aturan!$C$54,Aturan!$D$54),"Nyaman","Cukup")))))</f>
        <v/>
      </c>
      <c r="L139" s="70" t="str">
        <f aca="false">IF($A139="","",IF(AND(Aturan!$C$55="",Aturan!$D$55=""),"Tidak dinilai",IF(D139="","Belum ada data",IF(D139&lt;IF(Aturan!$C$55="",0,Aturan!$C$55),"Kurang",IF(D139&gt;=IF(Aturan!$D$55="",Aturan!$C$55,Aturan!$D$55),"Nyaman","Cukup")))))</f>
        <v/>
      </c>
      <c r="M139" s="70" t="str">
        <f aca="false">IF($A139="","",IF(AND(Aturan!$C$56="",Aturan!$D$56=""),"Tidak dinilai",IF(E139="","Belum ada data",IF(E139&lt;IF(Aturan!$C$56="",0,Aturan!$C$56),"Kurang",IF(E139&gt;=IF(Aturan!$D$56="",Aturan!$C$56,Aturan!$D$56),"Nyaman","Cukup")))))</f>
        <v/>
      </c>
      <c r="N139" s="70" t="str">
        <f aca="false">IF($A139="","",IF(AND(Aturan!$C$57="",Aturan!$D$57=""),"Tidak dinilai",IF(F139="","Belum ada data",IF(F139&lt;IF(Aturan!$C$57="",0,Aturan!$C$57),"Kurang",IF(F139&gt;=IF(Aturan!$D$57="",Aturan!$C$57,Aturan!$D$57),"Nyaman","Cukup")))))</f>
        <v/>
      </c>
      <c r="O139" s="70" t="str">
        <f aca="false">IF($A139="","",IF(AND(Aturan!$C$58="",Aturan!$D$58=""),"Tidak dinilai",IF(G139="","Belum ada data",IF(G139&lt;IF(Aturan!$C$58="",0,Aturan!$C$58),"Kurang",IF(G139&gt;=IF(Aturan!$D$58="",Aturan!$C$58,Aturan!$D$58),"Nyaman","Cukup")))))</f>
        <v/>
      </c>
      <c r="P139" s="70" t="str">
        <f aca="false">IF($A139="","",IF(AND(Aturan!$C$59="",Aturan!$D$59=""),"Tidak dinilai",IF(H139="","Belum ada data",IF(H139&lt;IF(Aturan!$C$59="",0,Aturan!$C$59),"Kurang",IF(H139&gt;=IF(Aturan!$D$59="",Aturan!$C$59,Aturan!$D$59),"Nyaman","Cukup")))))</f>
        <v/>
      </c>
      <c r="Q139" s="70" t="str">
        <f aca="false">IF($A139="","",IF(COUNTIF(K139:P139,"Tidak dinilai")=6,"Tidak dinilai",IF(COUNTIF(K139:P139,"Kurang")&gt;0,"Kurang cocok",IF(COUNTIF(K139:P139,"Belum ada data")&gt;0,"Data belum lengkap",IF(COUNTIF(K139:P139,"Cukup")&gt;0,"Bisa, dengan catatan","Cocok")))))</f>
        <v/>
      </c>
      <c r="R139" s="33" t="str">
        <f aca="false">IF($A139="","",IF(K139="Kurang","prosesor tingkat "&amp;C139&amp;" dari 5, di bawah batas minimal (tingkat "&amp;Aturan!$C$54&amp;")",IF(K139="Cukup","prosesor tingkat "&amp;C139&amp;" dari 5 cukup, nyamannya mulai tingkat "&amp;Aturan!$D$54,IF(K139="Belum ada data","tingkat prosesor belum diisi",""))))</f>
        <v/>
      </c>
      <c r="S139" s="33" t="str">
        <f aca="false">IF($A139="","",IF(L139="Kurang","grafis tingkat "&amp;D139&amp;" dari 5, di bawah batas minimal (tingkat "&amp;Aturan!$C$55&amp;")",IF(L139="Cukup","grafis tingkat "&amp;D139&amp;" dari 5 cukup, nyamannya mulai tingkat "&amp;Aturan!$D$55,IF(L139="Belum ada data","tingkat grafis belum diisi",""))))</f>
        <v/>
      </c>
      <c r="T139" s="33" t="str">
        <f aca="false">IF($A139="","",IF(M139="Kurang","RAM "&amp;E139&amp;" GB, di bawah batas minimal "&amp;Aturan!$C$56&amp;" GB ("&amp;I139&amp;")",IF(M139="Cukup","RAM "&amp;E139&amp;" GB cukup, nyamannya "&amp;Aturan!$D$56&amp;" GB atau lebih ("&amp;I139&amp;")",IF(M139="Belum ada data","ukuran RAM belum diisi",""))))</f>
        <v/>
      </c>
      <c r="U139" s="33" t="str">
        <f aca="false">IF($A139="","",IF(N139="Kurang","penyimpanan "&amp;F139&amp;" GB, di bawah batas minimal "&amp;Aturan!$C$57&amp;" GB ("&amp;J139&amp;")",IF(N139="Cukup","penyimpanan "&amp;F139&amp;" GB cukup, nyamannya "&amp;Aturan!$D$57&amp;" GB atau lebih ("&amp;J139&amp;")",IF(N139="Belum ada data","ukuran penyimpanan belum diisi",""))))</f>
        <v/>
      </c>
      <c r="V139" s="33" t="str">
        <f aca="false">IF($A139="","",IF(O139="Kurang","layar "&amp;Varian!$AG31&amp;", di bawah batas minimal ("&amp;IFERROR(INDEX(Aturan!$A$63:$A$66,MATCH(Aturan!$C$58,Aturan!$B$63:$B$66,0)),"peringkat "&amp;Aturan!$C$58)&amp;")",IF(O139="Cukup","layar "&amp;Varian!$AG31&amp;" cukup, nyamannya "&amp;IFERROR(INDEX(Aturan!$A$63:$A$66,MATCH(Aturan!$D$58,Aturan!$B$63:$B$66,0)),"peringkat "&amp;Aturan!$D$58),IF(O139="Belum ada data","jenis layar belum diketahui",""))))</f>
        <v/>
      </c>
      <c r="W139" s="33" t="str">
        <f aca="false">IF($A139="","",IF(P139="Kurang","layar "&amp;H139&amp;" Hz, di bawah batas minimal "&amp;Aturan!$C$59&amp;" Hz",IF(P139="Cukup","layar "&amp;H139&amp;" Hz cukup, nyamannya "&amp;Aturan!$D$59&amp;" Hz atau lebih",IF(P139="Belum ada data","refresh rate belum diketahui",""))))</f>
        <v/>
      </c>
      <c r="X139" s="33" t="str">
        <f aca="false">IF($A139="","",IF(K139="Kurang",R139&amp;"; ","")&amp;IF(L139="Kurang",S139&amp;"; ","")&amp;IF(M139="Kurang",T139&amp;"; ","")&amp;IF(N139="Kurang",U139&amp;"; ","")&amp;IF(O139="Kurang",V139&amp;"; ","")&amp;IF(P139="Kurang",W139&amp;"; ","")&amp;IF(K139="Belum ada data",R139&amp;"; ","")&amp;IF(L139="Belum ada data",S139&amp;"; ","")&amp;IF(M139="Belum ada data",T139&amp;"; ","")&amp;IF(N139="Belum ada data",U139&amp;"; ","")&amp;IF(O139="Belum ada data",V139&amp;"; ","")&amp;IF(P139="Belum ada data",W139&amp;"; ","")&amp;IF(K139="Cukup",R139&amp;"; ","")&amp;IF(L139="Cukup",S139&amp;"; ","")&amp;IF(M139="Cukup",T139&amp;"; ","")&amp;IF(N139="Cukup",U139&amp;"; ","")&amp;IF(O139="Cukup",V139&amp;"; ","")&amp;IF(P139="Cukup",W139&amp;"; ",""))</f>
        <v/>
      </c>
      <c r="Y139" s="33" t="str">
        <f aca="false">IF($A139="","",IF(K139="Nyaman","prosesor, ","")&amp;IF(L139="Nyaman","grafis, ","")&amp;IF(M139="Nyaman","RAM, ","")&amp;IF(N139="Nyaman","penyimpanan, ","")&amp;IF(O139="Nyaman","layar, ","")&amp;IF(P139="Nyaman","refresh rate, ",""))</f>
        <v/>
      </c>
      <c r="Z139" s="33" t="str">
        <f aca="false">IF($A139="","",IF(Q139="Tidak dinilai","Belum ada kriteria yang dinilai untuk kebutuhan ini.",IF(Q139="Cocok","Semua kriteria yang dinilai sudah nyaman: "&amp;LEFT(Y139,LEN(Y139)-2)&amp;".",UPPER(LEFT(X139,1))&amp;MID(X139,2,LEN(X139)-3)&amp;"."&amp;IF(Y139="",""," Sudah nyaman: "&amp;LEFT(Y139,LEN(Y139)-2)&amp;"."))))</f>
        <v/>
      </c>
      <c r="AA139" s="33"/>
      <c r="AB139" s="33"/>
      <c r="AC139" s="69"/>
    </row>
    <row r="140" customFormat="false" ht="15" hidden="false" customHeight="true" outlineLevel="0" collapsed="false">
      <c r="A140" s="66" t="str">
        <f aca="false">IF(Varian!$A32="","",Varian!$A32)</f>
        <v/>
      </c>
      <c r="B140" s="66" t="str">
        <f aca="false">IF($A140="","",Aturan!$A$21)</f>
        <v/>
      </c>
      <c r="C140" s="67" t="str">
        <f aca="false">IF($A140="","",IFERROR(IF(ISNUMBER(INDEX(CPU!$J$4:$J$64,MATCH(Varian!$J32,CPU!$A$4:$A$64,0))),INDEX(CPU!$J$4:$J$64,MATCH(Varian!$J32,CPU!$A$4:$A$64,0)),""),""))</f>
        <v/>
      </c>
      <c r="D140" s="67" t="str">
        <f aca="false">IF($A140="","",IFERROR(IF(ISNUMBER(INDEX(GPU!$G$4:$G$64,MATCH(Varian!$K32,GPU!$A$4:$A$64,0))),INDEX(GPU!$G$4:$G$64,MATCH(Varian!$K32,GPU!$A$4:$A$64,0)),""),""))</f>
        <v/>
      </c>
      <c r="E140" s="67" t="str">
        <f aca="false">IF($A140="","",IF(ISNUMBER(Varian!$M32),Varian!$M32,""))</f>
        <v/>
      </c>
      <c r="F140" s="67" t="str">
        <f aca="false">IF($A140="","",IF(ISNUMBER(Varian!$V32),Varian!$V32,""))</f>
        <v/>
      </c>
      <c r="G140" s="67" t="str">
        <f aca="false">IF($A140="","",IFERROR(INDEX(Aturan!$B$63:$B$66,MATCH(Varian!$AG32,Aturan!$A$63:$A$66,0)),""))</f>
        <v/>
      </c>
      <c r="H140" s="67" t="str">
        <f aca="false">IF($A140="","",IF(ISNUMBER(Varian!$AI32),Varian!$AI32,""))</f>
        <v/>
      </c>
      <c r="I140" s="66" t="str">
        <f aca="false">IF($A140="","",IF(Varian!$Q32="disolder","menempel di papan utama, tidak bisa ditambah",IF(OR(Varian!$Q32="slot",Varian!$Q32="setengah_disolder"),IF(Varian!$Q32="setengah_disolder","sebagian menempel, ","")&amp;IF(ISNUMBER(Varian!$U32),IF(AND(ISNUMBER(Varian!$M32),Varian!$U32&gt;Varian!$M32),"bisa dinaikkan lewat slot sampai "&amp;Varian!$U32&amp;" GB","sudah di batas maksimal "&amp;Varian!$U32&amp;" GB"),"ada slot, batas maksimalnya belum diketahui"),"belum diketahui apakah bisa ditambah")))</f>
        <v/>
      </c>
      <c r="J140" s="66" t="str">
        <f aca="false">IF($A140="","",IF(Varian!$Z32="ya","bisa diganti dengan yang lebih besar",IF(Varian!$Z32="tidak","menempel, tidak bisa diganti","belum diketahui apakah bisa diganti")))</f>
        <v/>
      </c>
      <c r="K140" s="68" t="str">
        <f aca="false">IF($A140="","",IF(AND(Aturan!$C$30="",Aturan!$D$30=""),"Tidak dinilai",IF(C140="","Belum ada data",IF(C140&lt;IF(Aturan!$C$30="",0,Aturan!$C$30),"Kurang",IF(C140&gt;=IF(Aturan!$D$30="",Aturan!$C$30,Aturan!$D$30),"Nyaman","Cukup")))))</f>
        <v/>
      </c>
      <c r="L140" s="68" t="str">
        <f aca="false">IF($A140="","",IF(AND(Aturan!$C$31="",Aturan!$D$31=""),"Tidak dinilai",IF(D140="","Belum ada data",IF(D140&lt;IF(Aturan!$C$31="",0,Aturan!$C$31),"Kurang",IF(D140&gt;=IF(Aturan!$D$31="",Aturan!$C$31,Aturan!$D$31),"Nyaman","Cukup")))))</f>
        <v/>
      </c>
      <c r="M140" s="68" t="str">
        <f aca="false">IF($A140="","",IF(AND(Aturan!$C$32="",Aturan!$D$32=""),"Tidak dinilai",IF(E140="","Belum ada data",IF(E140&lt;IF(Aturan!$C$32="",0,Aturan!$C$32),"Kurang",IF(E140&gt;=IF(Aturan!$D$32="",Aturan!$C$32,Aturan!$D$32),"Nyaman","Cukup")))))</f>
        <v/>
      </c>
      <c r="N140" s="68" t="str">
        <f aca="false">IF($A140="","",IF(AND(Aturan!$C$33="",Aturan!$D$33=""),"Tidak dinilai",IF(F140="","Belum ada data",IF(F140&lt;IF(Aturan!$C$33="",0,Aturan!$C$33),"Kurang",IF(F140&gt;=IF(Aturan!$D$33="",Aturan!$C$33,Aturan!$D$33),"Nyaman","Cukup")))))</f>
        <v/>
      </c>
      <c r="O140" s="68" t="str">
        <f aca="false">IF($A140="","",IF(AND(Aturan!$C$34="",Aturan!$D$34=""),"Tidak dinilai",IF(G140="","Belum ada data",IF(G140&lt;IF(Aturan!$C$34="",0,Aturan!$C$34),"Kurang",IF(G140&gt;=IF(Aturan!$D$34="",Aturan!$C$34,Aturan!$D$34),"Nyaman","Cukup")))))</f>
        <v/>
      </c>
      <c r="P140" s="68" t="str">
        <f aca="false">IF($A140="","",IF(AND(Aturan!$C$35="",Aturan!$D$35=""),"Tidak dinilai",IF(H140="","Belum ada data",IF(H140&lt;IF(Aturan!$C$35="",0,Aturan!$C$35),"Kurang",IF(H140&gt;=IF(Aturan!$D$35="",Aturan!$C$35,Aturan!$D$35),"Nyaman","Cukup")))))</f>
        <v/>
      </c>
      <c r="Q140" s="68" t="str">
        <f aca="false">IF($A140="","",IF(COUNTIF(K140:P140,"Tidak dinilai")=6,"Tidak dinilai",IF(COUNTIF(K140:P140,"Kurang")&gt;0,"Kurang cocok",IF(COUNTIF(K140:P140,"Belum ada data")&gt;0,"Data belum lengkap",IF(COUNTIF(K140:P140,"Cukup")&gt;0,"Bisa, dengan catatan","Cocok")))))</f>
        <v/>
      </c>
      <c r="R140" s="66" t="str">
        <f aca="false">IF($A140="","",IF(K140="Kurang","prosesor tingkat "&amp;C140&amp;" dari 5, di bawah batas minimal (tingkat "&amp;Aturan!$C$30&amp;")",IF(K140="Cukup","prosesor tingkat "&amp;C140&amp;" dari 5 cukup, nyamannya mulai tingkat "&amp;Aturan!$D$30,IF(K140="Belum ada data","tingkat prosesor belum diisi",""))))</f>
        <v/>
      </c>
      <c r="S140" s="66" t="str">
        <f aca="false">IF($A140="","",IF(L140="Kurang","grafis tingkat "&amp;D140&amp;" dari 5, di bawah batas minimal (tingkat "&amp;Aturan!$C$31&amp;")",IF(L140="Cukup","grafis tingkat "&amp;D140&amp;" dari 5 cukup, nyamannya mulai tingkat "&amp;Aturan!$D$31,IF(L140="Belum ada data","tingkat grafis belum diisi",""))))</f>
        <v/>
      </c>
      <c r="T140" s="66" t="str">
        <f aca="false">IF($A140="","",IF(M140="Kurang","RAM "&amp;E140&amp;" GB, di bawah batas minimal "&amp;Aturan!$C$32&amp;" GB ("&amp;I140&amp;")",IF(M140="Cukup","RAM "&amp;E140&amp;" GB cukup, nyamannya "&amp;Aturan!$D$32&amp;" GB atau lebih ("&amp;I140&amp;")",IF(M140="Belum ada data","ukuran RAM belum diisi",""))))</f>
        <v/>
      </c>
      <c r="U140" s="66" t="str">
        <f aca="false">IF($A140="","",IF(N140="Kurang","penyimpanan "&amp;F140&amp;" GB, di bawah batas minimal "&amp;Aturan!$C$33&amp;" GB ("&amp;J140&amp;")",IF(N140="Cukup","penyimpanan "&amp;F140&amp;" GB cukup, nyamannya "&amp;Aturan!$D$33&amp;" GB atau lebih ("&amp;J140&amp;")",IF(N140="Belum ada data","ukuran penyimpanan belum diisi",""))))</f>
        <v/>
      </c>
      <c r="V140" s="66" t="str">
        <f aca="false">IF($A140="","",IF(O140="Kurang","layar "&amp;Varian!$AG32&amp;", di bawah batas minimal ("&amp;IFERROR(INDEX(Aturan!$A$63:$A$66,MATCH(Aturan!$C$34,Aturan!$B$63:$B$66,0)),"peringkat "&amp;Aturan!$C$34)&amp;")",IF(O140="Cukup","layar "&amp;Varian!$AG32&amp;" cukup, nyamannya "&amp;IFERROR(INDEX(Aturan!$A$63:$A$66,MATCH(Aturan!$D$34,Aturan!$B$63:$B$66,0)),"peringkat "&amp;Aturan!$D$34),IF(O140="Belum ada data","jenis layar belum diketahui",""))))</f>
        <v/>
      </c>
      <c r="W140" s="66" t="str">
        <f aca="false">IF($A140="","",IF(P140="Kurang","layar "&amp;H140&amp;" Hz, di bawah batas minimal "&amp;Aturan!$C$35&amp;" Hz",IF(P140="Cukup","layar "&amp;H140&amp;" Hz cukup, nyamannya "&amp;Aturan!$D$35&amp;" Hz atau lebih",IF(P140="Belum ada data","refresh rate belum diketahui",""))))</f>
        <v/>
      </c>
      <c r="X140" s="66" t="str">
        <f aca="false">IF($A140="","",IF(K140="Kurang",R140&amp;"; ","")&amp;IF(L140="Kurang",S140&amp;"; ","")&amp;IF(M140="Kurang",T140&amp;"; ","")&amp;IF(N140="Kurang",U140&amp;"; ","")&amp;IF(O140="Kurang",V140&amp;"; ","")&amp;IF(P140="Kurang",W140&amp;"; ","")&amp;IF(K140="Belum ada data",R140&amp;"; ","")&amp;IF(L140="Belum ada data",S140&amp;"; ","")&amp;IF(M140="Belum ada data",T140&amp;"; ","")&amp;IF(N140="Belum ada data",U140&amp;"; ","")&amp;IF(O140="Belum ada data",V140&amp;"; ","")&amp;IF(P140="Belum ada data",W140&amp;"; ","")&amp;IF(K140="Cukup",R140&amp;"; ","")&amp;IF(L140="Cukup",S140&amp;"; ","")&amp;IF(M140="Cukup",T140&amp;"; ","")&amp;IF(N140="Cukup",U140&amp;"; ","")&amp;IF(O140="Cukup",V140&amp;"; ","")&amp;IF(P140="Cukup",W140&amp;"; ",""))</f>
        <v/>
      </c>
      <c r="Y140" s="66" t="str">
        <f aca="false">IF($A140="","",IF(K140="Nyaman","prosesor, ","")&amp;IF(L140="Nyaman","grafis, ","")&amp;IF(M140="Nyaman","RAM, ","")&amp;IF(N140="Nyaman","penyimpanan, ","")&amp;IF(O140="Nyaman","layar, ","")&amp;IF(P140="Nyaman","refresh rate, ",""))</f>
        <v/>
      </c>
      <c r="Z140" s="66" t="str">
        <f aca="false">IF($A140="","",IF(Q140="Tidak dinilai","Belum ada kriteria yang dinilai untuk kebutuhan ini.",IF(Q140="Cocok","Semua kriteria yang dinilai sudah nyaman: "&amp;LEFT(Y140,LEN(Y140)-2)&amp;".",UPPER(LEFT(X140,1))&amp;MID(X140,2,LEN(X140)-3)&amp;"."&amp;IF(Y140="",""," Sudah nyaman: "&amp;LEFT(Y140,LEN(Y140)-2)&amp;"."))))</f>
        <v/>
      </c>
      <c r="AA140" s="66" t="str">
        <f aca="false">IF($A140="","",IF(Varian!$AR32="Windows 10","• "&amp;Aturan!$E$71&amp;CHAR(10),"")&amp;IF(Varian!$BB32="tidak","• "&amp;Aturan!$E$72&amp;CHAR(10),"")&amp;IF(OR(Varian!$AD32="belum terverifikasi",Varian!$AD32="tidak diketahui"),"• "&amp;Aturan!$E$73&amp;CHAR(10),"")&amp;IF(Varian!$AH32="1366x768","• "&amp;Aturan!$E$74&amp;CHAR(10),"")&amp;IF(Varian!$AG32="TN","• "&amp;Aturan!$E$75&amp;CHAR(10),"")&amp;IF(AND(Varian!$Q32="disolder",ISNUMBER(Varian!$M32),Varian!$M32&lt;=8),"• "&amp;Aturan!$E$76&amp;CHAR(10),""))</f>
        <v/>
      </c>
      <c r="AB140" s="66" t="str">
        <f aca="false">IF($A140="","",IF(AA140="","",LEFT(AA140,LEN(AA140)-1)))</f>
        <v/>
      </c>
      <c r="AC140" s="67" t="str">
        <f aca="false">IF($A140="","",IF(AA140="",0,LEN(AA140)-LEN(SUBSTITUTE(AA140,CHAR(10),""))))</f>
        <v/>
      </c>
    </row>
    <row r="141" customFormat="false" ht="15" hidden="false" customHeight="true" outlineLevel="0" collapsed="false">
      <c r="A141" s="33" t="str">
        <f aca="false">IF(Varian!$A32="","",Varian!$A32)</f>
        <v/>
      </c>
      <c r="B141" s="33" t="str">
        <f aca="false">IF($A141="","",Aturan!$A$22)</f>
        <v/>
      </c>
      <c r="C141" s="69" t="str">
        <f aca="false">IF($A141="","",IFERROR(IF(ISNUMBER(INDEX(CPU!$J$4:$J$64,MATCH(Varian!$J32,CPU!$A$4:$A$64,0))),INDEX(CPU!$J$4:$J$64,MATCH(Varian!$J32,CPU!$A$4:$A$64,0)),""),""))</f>
        <v/>
      </c>
      <c r="D141" s="69" t="str">
        <f aca="false">IF($A141="","",IFERROR(IF(ISNUMBER(INDEX(GPU!$G$4:$G$64,MATCH(Varian!$K32,GPU!$A$4:$A$64,0))),INDEX(GPU!$G$4:$G$64,MATCH(Varian!$K32,GPU!$A$4:$A$64,0)),""),""))</f>
        <v/>
      </c>
      <c r="E141" s="69" t="str">
        <f aca="false">IF($A141="","",IF(ISNUMBER(Varian!$M32),Varian!$M32,""))</f>
        <v/>
      </c>
      <c r="F141" s="69" t="str">
        <f aca="false">IF($A141="","",IF(ISNUMBER(Varian!$V32),Varian!$V32,""))</f>
        <v/>
      </c>
      <c r="G141" s="69" t="str">
        <f aca="false">IF($A141="","",IFERROR(INDEX(Aturan!$B$63:$B$66,MATCH(Varian!$AG32,Aturan!$A$63:$A$66,0)),""))</f>
        <v/>
      </c>
      <c r="H141" s="69" t="str">
        <f aca="false">IF($A141="","",IF(ISNUMBER(Varian!$AI32),Varian!$AI32,""))</f>
        <v/>
      </c>
      <c r="I141" s="33" t="str">
        <f aca="false">IF($A141="","",IF(Varian!$Q32="disolder","menempel di papan utama, tidak bisa ditambah",IF(OR(Varian!$Q32="slot",Varian!$Q32="setengah_disolder"),IF(Varian!$Q32="setengah_disolder","sebagian menempel, ","")&amp;IF(ISNUMBER(Varian!$U32),IF(AND(ISNUMBER(Varian!$M32),Varian!$U32&gt;Varian!$M32),"bisa dinaikkan lewat slot sampai "&amp;Varian!$U32&amp;" GB","sudah di batas maksimal "&amp;Varian!$U32&amp;" GB"),"ada slot, batas maksimalnya belum diketahui"),"belum diketahui apakah bisa ditambah")))</f>
        <v/>
      </c>
      <c r="J141" s="33" t="str">
        <f aca="false">IF($A141="","",IF(Varian!$Z32="ya","bisa diganti dengan yang lebih besar",IF(Varian!$Z32="tidak","menempel, tidak bisa diganti","belum diketahui apakah bisa diganti")))</f>
        <v/>
      </c>
      <c r="K141" s="70" t="str">
        <f aca="false">IF($A141="","",IF(AND(Aturan!$C$36="",Aturan!$D$36=""),"Tidak dinilai",IF(C141="","Belum ada data",IF(C141&lt;IF(Aturan!$C$36="",0,Aturan!$C$36),"Kurang",IF(C141&gt;=IF(Aturan!$D$36="",Aturan!$C$36,Aturan!$D$36),"Nyaman","Cukup")))))</f>
        <v/>
      </c>
      <c r="L141" s="70" t="str">
        <f aca="false">IF($A141="","",IF(AND(Aturan!$C$37="",Aturan!$D$37=""),"Tidak dinilai",IF(D141="","Belum ada data",IF(D141&lt;IF(Aturan!$C$37="",0,Aturan!$C$37),"Kurang",IF(D141&gt;=IF(Aturan!$D$37="",Aturan!$C$37,Aturan!$D$37),"Nyaman","Cukup")))))</f>
        <v/>
      </c>
      <c r="M141" s="70" t="str">
        <f aca="false">IF($A141="","",IF(AND(Aturan!$C$38="",Aturan!$D$38=""),"Tidak dinilai",IF(E141="","Belum ada data",IF(E141&lt;IF(Aturan!$C$38="",0,Aturan!$C$38),"Kurang",IF(E141&gt;=IF(Aturan!$D$38="",Aturan!$C$38,Aturan!$D$38),"Nyaman","Cukup")))))</f>
        <v/>
      </c>
      <c r="N141" s="70" t="str">
        <f aca="false">IF($A141="","",IF(AND(Aturan!$C$39="",Aturan!$D$39=""),"Tidak dinilai",IF(F141="","Belum ada data",IF(F141&lt;IF(Aturan!$C$39="",0,Aturan!$C$39),"Kurang",IF(F141&gt;=IF(Aturan!$D$39="",Aturan!$C$39,Aturan!$D$39),"Nyaman","Cukup")))))</f>
        <v/>
      </c>
      <c r="O141" s="70" t="str">
        <f aca="false">IF($A141="","",IF(AND(Aturan!$C$40="",Aturan!$D$40=""),"Tidak dinilai",IF(G141="","Belum ada data",IF(G141&lt;IF(Aturan!$C$40="",0,Aturan!$C$40),"Kurang",IF(G141&gt;=IF(Aturan!$D$40="",Aturan!$C$40,Aturan!$D$40),"Nyaman","Cukup")))))</f>
        <v/>
      </c>
      <c r="P141" s="70" t="str">
        <f aca="false">IF($A141="","",IF(AND(Aturan!$C$41="",Aturan!$D$41=""),"Tidak dinilai",IF(H141="","Belum ada data",IF(H141&lt;IF(Aturan!$C$41="",0,Aturan!$C$41),"Kurang",IF(H141&gt;=IF(Aturan!$D$41="",Aturan!$C$41,Aturan!$D$41),"Nyaman","Cukup")))))</f>
        <v/>
      </c>
      <c r="Q141" s="70" t="str">
        <f aca="false">IF($A141="","",IF(COUNTIF(K141:P141,"Tidak dinilai")=6,"Tidak dinilai",IF(COUNTIF(K141:P141,"Kurang")&gt;0,"Kurang cocok",IF(COUNTIF(K141:P141,"Belum ada data")&gt;0,"Data belum lengkap",IF(COUNTIF(K141:P141,"Cukup")&gt;0,"Bisa, dengan catatan","Cocok")))))</f>
        <v/>
      </c>
      <c r="R141" s="33" t="str">
        <f aca="false">IF($A141="","",IF(K141="Kurang","prosesor tingkat "&amp;C141&amp;" dari 5, di bawah batas minimal (tingkat "&amp;Aturan!$C$36&amp;")",IF(K141="Cukup","prosesor tingkat "&amp;C141&amp;" dari 5 cukup, nyamannya mulai tingkat "&amp;Aturan!$D$36,IF(K141="Belum ada data","tingkat prosesor belum diisi",""))))</f>
        <v/>
      </c>
      <c r="S141" s="33" t="str">
        <f aca="false">IF($A141="","",IF(L141="Kurang","grafis tingkat "&amp;D141&amp;" dari 5, di bawah batas minimal (tingkat "&amp;Aturan!$C$37&amp;")",IF(L141="Cukup","grafis tingkat "&amp;D141&amp;" dari 5 cukup, nyamannya mulai tingkat "&amp;Aturan!$D$37,IF(L141="Belum ada data","tingkat grafis belum diisi",""))))</f>
        <v/>
      </c>
      <c r="T141" s="33" t="str">
        <f aca="false">IF($A141="","",IF(M141="Kurang","RAM "&amp;E141&amp;" GB, di bawah batas minimal "&amp;Aturan!$C$38&amp;" GB ("&amp;I141&amp;")",IF(M141="Cukup","RAM "&amp;E141&amp;" GB cukup, nyamannya "&amp;Aturan!$D$38&amp;" GB atau lebih ("&amp;I141&amp;")",IF(M141="Belum ada data","ukuran RAM belum diisi",""))))</f>
        <v/>
      </c>
      <c r="U141" s="33" t="str">
        <f aca="false">IF($A141="","",IF(N141="Kurang","penyimpanan "&amp;F141&amp;" GB, di bawah batas minimal "&amp;Aturan!$C$39&amp;" GB ("&amp;J141&amp;")",IF(N141="Cukup","penyimpanan "&amp;F141&amp;" GB cukup, nyamannya "&amp;Aturan!$D$39&amp;" GB atau lebih ("&amp;J141&amp;")",IF(N141="Belum ada data","ukuran penyimpanan belum diisi",""))))</f>
        <v/>
      </c>
      <c r="V141" s="33" t="str">
        <f aca="false">IF($A141="","",IF(O141="Kurang","layar "&amp;Varian!$AG32&amp;", di bawah batas minimal ("&amp;IFERROR(INDEX(Aturan!$A$63:$A$66,MATCH(Aturan!$C$40,Aturan!$B$63:$B$66,0)),"peringkat "&amp;Aturan!$C$40)&amp;")",IF(O141="Cukup","layar "&amp;Varian!$AG32&amp;" cukup, nyamannya "&amp;IFERROR(INDEX(Aturan!$A$63:$A$66,MATCH(Aturan!$D$40,Aturan!$B$63:$B$66,0)),"peringkat "&amp;Aturan!$D$40),IF(O141="Belum ada data","jenis layar belum diketahui",""))))</f>
        <v/>
      </c>
      <c r="W141" s="33" t="str">
        <f aca="false">IF($A141="","",IF(P141="Kurang","layar "&amp;H141&amp;" Hz, di bawah batas minimal "&amp;Aturan!$C$41&amp;" Hz",IF(P141="Cukup","layar "&amp;H141&amp;" Hz cukup, nyamannya "&amp;Aturan!$D$41&amp;" Hz atau lebih",IF(P141="Belum ada data","refresh rate belum diketahui",""))))</f>
        <v/>
      </c>
      <c r="X141" s="33" t="str">
        <f aca="false">IF($A141="","",IF(K141="Kurang",R141&amp;"; ","")&amp;IF(L141="Kurang",S141&amp;"; ","")&amp;IF(M141="Kurang",T141&amp;"; ","")&amp;IF(N141="Kurang",U141&amp;"; ","")&amp;IF(O141="Kurang",V141&amp;"; ","")&amp;IF(P141="Kurang",W141&amp;"; ","")&amp;IF(K141="Belum ada data",R141&amp;"; ","")&amp;IF(L141="Belum ada data",S141&amp;"; ","")&amp;IF(M141="Belum ada data",T141&amp;"; ","")&amp;IF(N141="Belum ada data",U141&amp;"; ","")&amp;IF(O141="Belum ada data",V141&amp;"; ","")&amp;IF(P141="Belum ada data",W141&amp;"; ","")&amp;IF(K141="Cukup",R141&amp;"; ","")&amp;IF(L141="Cukup",S141&amp;"; ","")&amp;IF(M141="Cukup",T141&amp;"; ","")&amp;IF(N141="Cukup",U141&amp;"; ","")&amp;IF(O141="Cukup",V141&amp;"; ","")&amp;IF(P141="Cukup",W141&amp;"; ",""))</f>
        <v/>
      </c>
      <c r="Y141" s="33" t="str">
        <f aca="false">IF($A141="","",IF(K141="Nyaman","prosesor, ","")&amp;IF(L141="Nyaman","grafis, ","")&amp;IF(M141="Nyaman","RAM, ","")&amp;IF(N141="Nyaman","penyimpanan, ","")&amp;IF(O141="Nyaman","layar, ","")&amp;IF(P141="Nyaman","refresh rate, ",""))</f>
        <v/>
      </c>
      <c r="Z141" s="33" t="str">
        <f aca="false">IF($A141="","",IF(Q141="Tidak dinilai","Belum ada kriteria yang dinilai untuk kebutuhan ini.",IF(Q141="Cocok","Semua kriteria yang dinilai sudah nyaman: "&amp;LEFT(Y141,LEN(Y141)-2)&amp;".",UPPER(LEFT(X141,1))&amp;MID(X141,2,LEN(X141)-3)&amp;"."&amp;IF(Y141="",""," Sudah nyaman: "&amp;LEFT(Y141,LEN(Y141)-2)&amp;"."))))</f>
        <v/>
      </c>
      <c r="AA141" s="33"/>
      <c r="AB141" s="33"/>
      <c r="AC141" s="69"/>
    </row>
    <row r="142" customFormat="false" ht="15" hidden="false" customHeight="true" outlineLevel="0" collapsed="false">
      <c r="A142" s="33" t="str">
        <f aca="false">IF(Varian!$A32="","",Varian!$A32)</f>
        <v/>
      </c>
      <c r="B142" s="33" t="str">
        <f aca="false">IF($A142="","",Aturan!$A$23)</f>
        <v/>
      </c>
      <c r="C142" s="69" t="str">
        <f aca="false">IF($A142="","",IFERROR(IF(ISNUMBER(INDEX(CPU!$J$4:$J$64,MATCH(Varian!$J32,CPU!$A$4:$A$64,0))),INDEX(CPU!$J$4:$J$64,MATCH(Varian!$J32,CPU!$A$4:$A$64,0)),""),""))</f>
        <v/>
      </c>
      <c r="D142" s="69" t="str">
        <f aca="false">IF($A142="","",IFERROR(IF(ISNUMBER(INDEX(GPU!$G$4:$G$64,MATCH(Varian!$K32,GPU!$A$4:$A$64,0))),INDEX(GPU!$G$4:$G$64,MATCH(Varian!$K32,GPU!$A$4:$A$64,0)),""),""))</f>
        <v/>
      </c>
      <c r="E142" s="69" t="str">
        <f aca="false">IF($A142="","",IF(ISNUMBER(Varian!$M32),Varian!$M32,""))</f>
        <v/>
      </c>
      <c r="F142" s="69" t="str">
        <f aca="false">IF($A142="","",IF(ISNUMBER(Varian!$V32),Varian!$V32,""))</f>
        <v/>
      </c>
      <c r="G142" s="69" t="str">
        <f aca="false">IF($A142="","",IFERROR(INDEX(Aturan!$B$63:$B$66,MATCH(Varian!$AG32,Aturan!$A$63:$A$66,0)),""))</f>
        <v/>
      </c>
      <c r="H142" s="69" t="str">
        <f aca="false">IF($A142="","",IF(ISNUMBER(Varian!$AI32),Varian!$AI32,""))</f>
        <v/>
      </c>
      <c r="I142" s="33" t="str">
        <f aca="false">IF($A142="","",IF(Varian!$Q32="disolder","menempel di papan utama, tidak bisa ditambah",IF(OR(Varian!$Q32="slot",Varian!$Q32="setengah_disolder"),IF(Varian!$Q32="setengah_disolder","sebagian menempel, ","")&amp;IF(ISNUMBER(Varian!$U32),IF(AND(ISNUMBER(Varian!$M32),Varian!$U32&gt;Varian!$M32),"bisa dinaikkan lewat slot sampai "&amp;Varian!$U32&amp;" GB","sudah di batas maksimal "&amp;Varian!$U32&amp;" GB"),"ada slot, batas maksimalnya belum diketahui"),"belum diketahui apakah bisa ditambah")))</f>
        <v/>
      </c>
      <c r="J142" s="33" t="str">
        <f aca="false">IF($A142="","",IF(Varian!$Z32="ya","bisa diganti dengan yang lebih besar",IF(Varian!$Z32="tidak","menempel, tidak bisa diganti","belum diketahui apakah bisa diganti")))</f>
        <v/>
      </c>
      <c r="K142" s="70" t="str">
        <f aca="false">IF($A142="","",IF(AND(Aturan!$C$42="",Aturan!$D$42=""),"Tidak dinilai",IF(C142="","Belum ada data",IF(C142&lt;IF(Aturan!$C$42="",0,Aturan!$C$42),"Kurang",IF(C142&gt;=IF(Aturan!$D$42="",Aturan!$C$42,Aturan!$D$42),"Nyaman","Cukup")))))</f>
        <v/>
      </c>
      <c r="L142" s="70" t="str">
        <f aca="false">IF($A142="","",IF(AND(Aturan!$C$43="",Aturan!$D$43=""),"Tidak dinilai",IF(D142="","Belum ada data",IF(D142&lt;IF(Aturan!$C$43="",0,Aturan!$C$43),"Kurang",IF(D142&gt;=IF(Aturan!$D$43="",Aturan!$C$43,Aturan!$D$43),"Nyaman","Cukup")))))</f>
        <v/>
      </c>
      <c r="M142" s="70" t="str">
        <f aca="false">IF($A142="","",IF(AND(Aturan!$C$44="",Aturan!$D$44=""),"Tidak dinilai",IF(E142="","Belum ada data",IF(E142&lt;IF(Aturan!$C$44="",0,Aturan!$C$44),"Kurang",IF(E142&gt;=IF(Aturan!$D$44="",Aturan!$C$44,Aturan!$D$44),"Nyaman","Cukup")))))</f>
        <v/>
      </c>
      <c r="N142" s="70" t="str">
        <f aca="false">IF($A142="","",IF(AND(Aturan!$C$45="",Aturan!$D$45=""),"Tidak dinilai",IF(F142="","Belum ada data",IF(F142&lt;IF(Aturan!$C$45="",0,Aturan!$C$45),"Kurang",IF(F142&gt;=IF(Aturan!$D$45="",Aturan!$C$45,Aturan!$D$45),"Nyaman","Cukup")))))</f>
        <v/>
      </c>
      <c r="O142" s="70" t="str">
        <f aca="false">IF($A142="","",IF(AND(Aturan!$C$46="",Aturan!$D$46=""),"Tidak dinilai",IF(G142="","Belum ada data",IF(G142&lt;IF(Aturan!$C$46="",0,Aturan!$C$46),"Kurang",IF(G142&gt;=IF(Aturan!$D$46="",Aturan!$C$46,Aturan!$D$46),"Nyaman","Cukup")))))</f>
        <v/>
      </c>
      <c r="P142" s="70" t="str">
        <f aca="false">IF($A142="","",IF(AND(Aturan!$C$47="",Aturan!$D$47=""),"Tidak dinilai",IF(H142="","Belum ada data",IF(H142&lt;IF(Aturan!$C$47="",0,Aturan!$C$47),"Kurang",IF(H142&gt;=IF(Aturan!$D$47="",Aturan!$C$47,Aturan!$D$47),"Nyaman","Cukup")))))</f>
        <v/>
      </c>
      <c r="Q142" s="70" t="str">
        <f aca="false">IF($A142="","",IF(COUNTIF(K142:P142,"Tidak dinilai")=6,"Tidak dinilai",IF(COUNTIF(K142:P142,"Kurang")&gt;0,"Kurang cocok",IF(COUNTIF(K142:P142,"Belum ada data")&gt;0,"Data belum lengkap",IF(COUNTIF(K142:P142,"Cukup")&gt;0,"Bisa, dengan catatan","Cocok")))))</f>
        <v/>
      </c>
      <c r="R142" s="33" t="str">
        <f aca="false">IF($A142="","",IF(K142="Kurang","prosesor tingkat "&amp;C142&amp;" dari 5, di bawah batas minimal (tingkat "&amp;Aturan!$C$42&amp;")",IF(K142="Cukup","prosesor tingkat "&amp;C142&amp;" dari 5 cukup, nyamannya mulai tingkat "&amp;Aturan!$D$42,IF(K142="Belum ada data","tingkat prosesor belum diisi",""))))</f>
        <v/>
      </c>
      <c r="S142" s="33" t="str">
        <f aca="false">IF($A142="","",IF(L142="Kurang","grafis tingkat "&amp;D142&amp;" dari 5, di bawah batas minimal (tingkat "&amp;Aturan!$C$43&amp;")",IF(L142="Cukup","grafis tingkat "&amp;D142&amp;" dari 5 cukup, nyamannya mulai tingkat "&amp;Aturan!$D$43,IF(L142="Belum ada data","tingkat grafis belum diisi",""))))</f>
        <v/>
      </c>
      <c r="T142" s="33" t="str">
        <f aca="false">IF($A142="","",IF(M142="Kurang","RAM "&amp;E142&amp;" GB, di bawah batas minimal "&amp;Aturan!$C$44&amp;" GB ("&amp;I142&amp;")",IF(M142="Cukup","RAM "&amp;E142&amp;" GB cukup, nyamannya "&amp;Aturan!$D$44&amp;" GB atau lebih ("&amp;I142&amp;")",IF(M142="Belum ada data","ukuran RAM belum diisi",""))))</f>
        <v/>
      </c>
      <c r="U142" s="33" t="str">
        <f aca="false">IF($A142="","",IF(N142="Kurang","penyimpanan "&amp;F142&amp;" GB, di bawah batas minimal "&amp;Aturan!$C$45&amp;" GB ("&amp;J142&amp;")",IF(N142="Cukup","penyimpanan "&amp;F142&amp;" GB cukup, nyamannya "&amp;Aturan!$D$45&amp;" GB atau lebih ("&amp;J142&amp;")",IF(N142="Belum ada data","ukuran penyimpanan belum diisi",""))))</f>
        <v/>
      </c>
      <c r="V142" s="33" t="str">
        <f aca="false">IF($A142="","",IF(O142="Kurang","layar "&amp;Varian!$AG32&amp;", di bawah batas minimal ("&amp;IFERROR(INDEX(Aturan!$A$63:$A$66,MATCH(Aturan!$C$46,Aturan!$B$63:$B$66,0)),"peringkat "&amp;Aturan!$C$46)&amp;")",IF(O142="Cukup","layar "&amp;Varian!$AG32&amp;" cukup, nyamannya "&amp;IFERROR(INDEX(Aturan!$A$63:$A$66,MATCH(Aturan!$D$46,Aturan!$B$63:$B$66,0)),"peringkat "&amp;Aturan!$D$46),IF(O142="Belum ada data","jenis layar belum diketahui",""))))</f>
        <v/>
      </c>
      <c r="W142" s="33" t="str">
        <f aca="false">IF($A142="","",IF(P142="Kurang","layar "&amp;H142&amp;" Hz, di bawah batas minimal "&amp;Aturan!$C$47&amp;" Hz",IF(P142="Cukup","layar "&amp;H142&amp;" Hz cukup, nyamannya "&amp;Aturan!$D$47&amp;" Hz atau lebih",IF(P142="Belum ada data","refresh rate belum diketahui",""))))</f>
        <v/>
      </c>
      <c r="X142" s="33" t="str">
        <f aca="false">IF($A142="","",IF(K142="Kurang",R142&amp;"; ","")&amp;IF(L142="Kurang",S142&amp;"; ","")&amp;IF(M142="Kurang",T142&amp;"; ","")&amp;IF(N142="Kurang",U142&amp;"; ","")&amp;IF(O142="Kurang",V142&amp;"; ","")&amp;IF(P142="Kurang",W142&amp;"; ","")&amp;IF(K142="Belum ada data",R142&amp;"; ","")&amp;IF(L142="Belum ada data",S142&amp;"; ","")&amp;IF(M142="Belum ada data",T142&amp;"; ","")&amp;IF(N142="Belum ada data",U142&amp;"; ","")&amp;IF(O142="Belum ada data",V142&amp;"; ","")&amp;IF(P142="Belum ada data",W142&amp;"; ","")&amp;IF(K142="Cukup",R142&amp;"; ","")&amp;IF(L142="Cukup",S142&amp;"; ","")&amp;IF(M142="Cukup",T142&amp;"; ","")&amp;IF(N142="Cukup",U142&amp;"; ","")&amp;IF(O142="Cukup",V142&amp;"; ","")&amp;IF(P142="Cukup",W142&amp;"; ",""))</f>
        <v/>
      </c>
      <c r="Y142" s="33" t="str">
        <f aca="false">IF($A142="","",IF(K142="Nyaman","prosesor, ","")&amp;IF(L142="Nyaman","grafis, ","")&amp;IF(M142="Nyaman","RAM, ","")&amp;IF(N142="Nyaman","penyimpanan, ","")&amp;IF(O142="Nyaman","layar, ","")&amp;IF(P142="Nyaman","refresh rate, ",""))</f>
        <v/>
      </c>
      <c r="Z142" s="33" t="str">
        <f aca="false">IF($A142="","",IF(Q142="Tidak dinilai","Belum ada kriteria yang dinilai untuk kebutuhan ini.",IF(Q142="Cocok","Semua kriteria yang dinilai sudah nyaman: "&amp;LEFT(Y142,LEN(Y142)-2)&amp;".",UPPER(LEFT(X142,1))&amp;MID(X142,2,LEN(X142)-3)&amp;"."&amp;IF(Y142="",""," Sudah nyaman: "&amp;LEFT(Y142,LEN(Y142)-2)&amp;"."))))</f>
        <v/>
      </c>
      <c r="AA142" s="33"/>
      <c r="AB142" s="33"/>
      <c r="AC142" s="69"/>
    </row>
    <row r="143" customFormat="false" ht="15" hidden="false" customHeight="true" outlineLevel="0" collapsed="false">
      <c r="A143" s="33" t="str">
        <f aca="false">IF(Varian!$A32="","",Varian!$A32)</f>
        <v/>
      </c>
      <c r="B143" s="33" t="str">
        <f aca="false">IF($A143="","",Aturan!$A$24)</f>
        <v/>
      </c>
      <c r="C143" s="69" t="str">
        <f aca="false">IF($A143="","",IFERROR(IF(ISNUMBER(INDEX(CPU!$J$4:$J$64,MATCH(Varian!$J32,CPU!$A$4:$A$64,0))),INDEX(CPU!$J$4:$J$64,MATCH(Varian!$J32,CPU!$A$4:$A$64,0)),""),""))</f>
        <v/>
      </c>
      <c r="D143" s="69" t="str">
        <f aca="false">IF($A143="","",IFERROR(IF(ISNUMBER(INDEX(GPU!$G$4:$G$64,MATCH(Varian!$K32,GPU!$A$4:$A$64,0))),INDEX(GPU!$G$4:$G$64,MATCH(Varian!$K32,GPU!$A$4:$A$64,0)),""),""))</f>
        <v/>
      </c>
      <c r="E143" s="69" t="str">
        <f aca="false">IF($A143="","",IF(ISNUMBER(Varian!$M32),Varian!$M32,""))</f>
        <v/>
      </c>
      <c r="F143" s="69" t="str">
        <f aca="false">IF($A143="","",IF(ISNUMBER(Varian!$V32),Varian!$V32,""))</f>
        <v/>
      </c>
      <c r="G143" s="69" t="str">
        <f aca="false">IF($A143="","",IFERROR(INDEX(Aturan!$B$63:$B$66,MATCH(Varian!$AG32,Aturan!$A$63:$A$66,0)),""))</f>
        <v/>
      </c>
      <c r="H143" s="69" t="str">
        <f aca="false">IF($A143="","",IF(ISNUMBER(Varian!$AI32),Varian!$AI32,""))</f>
        <v/>
      </c>
      <c r="I143" s="33" t="str">
        <f aca="false">IF($A143="","",IF(Varian!$Q32="disolder","menempel di papan utama, tidak bisa ditambah",IF(OR(Varian!$Q32="slot",Varian!$Q32="setengah_disolder"),IF(Varian!$Q32="setengah_disolder","sebagian menempel, ","")&amp;IF(ISNUMBER(Varian!$U32),IF(AND(ISNUMBER(Varian!$M32),Varian!$U32&gt;Varian!$M32),"bisa dinaikkan lewat slot sampai "&amp;Varian!$U32&amp;" GB","sudah di batas maksimal "&amp;Varian!$U32&amp;" GB"),"ada slot, batas maksimalnya belum diketahui"),"belum diketahui apakah bisa ditambah")))</f>
        <v/>
      </c>
      <c r="J143" s="33" t="str">
        <f aca="false">IF($A143="","",IF(Varian!$Z32="ya","bisa diganti dengan yang lebih besar",IF(Varian!$Z32="tidak","menempel, tidak bisa diganti","belum diketahui apakah bisa diganti")))</f>
        <v/>
      </c>
      <c r="K143" s="70" t="str">
        <f aca="false">IF($A143="","",IF(AND(Aturan!$C$48="",Aturan!$D$48=""),"Tidak dinilai",IF(C143="","Belum ada data",IF(C143&lt;IF(Aturan!$C$48="",0,Aturan!$C$48),"Kurang",IF(C143&gt;=IF(Aturan!$D$48="",Aturan!$C$48,Aturan!$D$48),"Nyaman","Cukup")))))</f>
        <v/>
      </c>
      <c r="L143" s="70" t="str">
        <f aca="false">IF($A143="","",IF(AND(Aturan!$C$49="",Aturan!$D$49=""),"Tidak dinilai",IF(D143="","Belum ada data",IF(D143&lt;IF(Aturan!$C$49="",0,Aturan!$C$49),"Kurang",IF(D143&gt;=IF(Aturan!$D$49="",Aturan!$C$49,Aturan!$D$49),"Nyaman","Cukup")))))</f>
        <v/>
      </c>
      <c r="M143" s="70" t="str">
        <f aca="false">IF($A143="","",IF(AND(Aturan!$C$50="",Aturan!$D$50=""),"Tidak dinilai",IF(E143="","Belum ada data",IF(E143&lt;IF(Aturan!$C$50="",0,Aturan!$C$50),"Kurang",IF(E143&gt;=IF(Aturan!$D$50="",Aturan!$C$50,Aturan!$D$50),"Nyaman","Cukup")))))</f>
        <v/>
      </c>
      <c r="N143" s="70" t="str">
        <f aca="false">IF($A143="","",IF(AND(Aturan!$C$51="",Aturan!$D$51=""),"Tidak dinilai",IF(F143="","Belum ada data",IF(F143&lt;IF(Aturan!$C$51="",0,Aturan!$C$51),"Kurang",IF(F143&gt;=IF(Aturan!$D$51="",Aturan!$C$51,Aturan!$D$51),"Nyaman","Cukup")))))</f>
        <v/>
      </c>
      <c r="O143" s="70" t="str">
        <f aca="false">IF($A143="","",IF(AND(Aturan!$C$52="",Aturan!$D$52=""),"Tidak dinilai",IF(G143="","Belum ada data",IF(G143&lt;IF(Aturan!$C$52="",0,Aturan!$C$52),"Kurang",IF(G143&gt;=IF(Aturan!$D$52="",Aturan!$C$52,Aturan!$D$52),"Nyaman","Cukup")))))</f>
        <v/>
      </c>
      <c r="P143" s="70" t="str">
        <f aca="false">IF($A143="","",IF(AND(Aturan!$C$53="",Aturan!$D$53=""),"Tidak dinilai",IF(H143="","Belum ada data",IF(H143&lt;IF(Aturan!$C$53="",0,Aturan!$C$53),"Kurang",IF(H143&gt;=IF(Aturan!$D$53="",Aturan!$C$53,Aturan!$D$53),"Nyaman","Cukup")))))</f>
        <v/>
      </c>
      <c r="Q143" s="70" t="str">
        <f aca="false">IF($A143="","",IF(COUNTIF(K143:P143,"Tidak dinilai")=6,"Tidak dinilai",IF(COUNTIF(K143:P143,"Kurang")&gt;0,"Kurang cocok",IF(COUNTIF(K143:P143,"Belum ada data")&gt;0,"Data belum lengkap",IF(COUNTIF(K143:P143,"Cukup")&gt;0,"Bisa, dengan catatan","Cocok")))))</f>
        <v/>
      </c>
      <c r="R143" s="33" t="str">
        <f aca="false">IF($A143="","",IF(K143="Kurang","prosesor tingkat "&amp;C143&amp;" dari 5, di bawah batas minimal (tingkat "&amp;Aturan!$C$48&amp;")",IF(K143="Cukup","prosesor tingkat "&amp;C143&amp;" dari 5 cukup, nyamannya mulai tingkat "&amp;Aturan!$D$48,IF(K143="Belum ada data","tingkat prosesor belum diisi",""))))</f>
        <v/>
      </c>
      <c r="S143" s="33" t="str">
        <f aca="false">IF($A143="","",IF(L143="Kurang","grafis tingkat "&amp;D143&amp;" dari 5, di bawah batas minimal (tingkat "&amp;Aturan!$C$49&amp;")",IF(L143="Cukup","grafis tingkat "&amp;D143&amp;" dari 5 cukup, nyamannya mulai tingkat "&amp;Aturan!$D$49,IF(L143="Belum ada data","tingkat grafis belum diisi",""))))</f>
        <v/>
      </c>
      <c r="T143" s="33" t="str">
        <f aca="false">IF($A143="","",IF(M143="Kurang","RAM "&amp;E143&amp;" GB, di bawah batas minimal "&amp;Aturan!$C$50&amp;" GB ("&amp;I143&amp;")",IF(M143="Cukup","RAM "&amp;E143&amp;" GB cukup, nyamannya "&amp;Aturan!$D$50&amp;" GB atau lebih ("&amp;I143&amp;")",IF(M143="Belum ada data","ukuran RAM belum diisi",""))))</f>
        <v/>
      </c>
      <c r="U143" s="33" t="str">
        <f aca="false">IF($A143="","",IF(N143="Kurang","penyimpanan "&amp;F143&amp;" GB, di bawah batas minimal "&amp;Aturan!$C$51&amp;" GB ("&amp;J143&amp;")",IF(N143="Cukup","penyimpanan "&amp;F143&amp;" GB cukup, nyamannya "&amp;Aturan!$D$51&amp;" GB atau lebih ("&amp;J143&amp;")",IF(N143="Belum ada data","ukuran penyimpanan belum diisi",""))))</f>
        <v/>
      </c>
      <c r="V143" s="33" t="str">
        <f aca="false">IF($A143="","",IF(O143="Kurang","layar "&amp;Varian!$AG32&amp;", di bawah batas minimal ("&amp;IFERROR(INDEX(Aturan!$A$63:$A$66,MATCH(Aturan!$C$52,Aturan!$B$63:$B$66,0)),"peringkat "&amp;Aturan!$C$52)&amp;")",IF(O143="Cukup","layar "&amp;Varian!$AG32&amp;" cukup, nyamannya "&amp;IFERROR(INDEX(Aturan!$A$63:$A$66,MATCH(Aturan!$D$52,Aturan!$B$63:$B$66,0)),"peringkat "&amp;Aturan!$D$52),IF(O143="Belum ada data","jenis layar belum diketahui",""))))</f>
        <v/>
      </c>
      <c r="W143" s="33" t="str">
        <f aca="false">IF($A143="","",IF(P143="Kurang","layar "&amp;H143&amp;" Hz, di bawah batas minimal "&amp;Aturan!$C$53&amp;" Hz",IF(P143="Cukup","layar "&amp;H143&amp;" Hz cukup, nyamannya "&amp;Aturan!$D$53&amp;" Hz atau lebih",IF(P143="Belum ada data","refresh rate belum diketahui",""))))</f>
        <v/>
      </c>
      <c r="X143" s="33" t="str">
        <f aca="false">IF($A143="","",IF(K143="Kurang",R143&amp;"; ","")&amp;IF(L143="Kurang",S143&amp;"; ","")&amp;IF(M143="Kurang",T143&amp;"; ","")&amp;IF(N143="Kurang",U143&amp;"; ","")&amp;IF(O143="Kurang",V143&amp;"; ","")&amp;IF(P143="Kurang",W143&amp;"; ","")&amp;IF(K143="Belum ada data",R143&amp;"; ","")&amp;IF(L143="Belum ada data",S143&amp;"; ","")&amp;IF(M143="Belum ada data",T143&amp;"; ","")&amp;IF(N143="Belum ada data",U143&amp;"; ","")&amp;IF(O143="Belum ada data",V143&amp;"; ","")&amp;IF(P143="Belum ada data",W143&amp;"; ","")&amp;IF(K143="Cukup",R143&amp;"; ","")&amp;IF(L143="Cukup",S143&amp;"; ","")&amp;IF(M143="Cukup",T143&amp;"; ","")&amp;IF(N143="Cukup",U143&amp;"; ","")&amp;IF(O143="Cukup",V143&amp;"; ","")&amp;IF(P143="Cukup",W143&amp;"; ",""))</f>
        <v/>
      </c>
      <c r="Y143" s="33" t="str">
        <f aca="false">IF($A143="","",IF(K143="Nyaman","prosesor, ","")&amp;IF(L143="Nyaman","grafis, ","")&amp;IF(M143="Nyaman","RAM, ","")&amp;IF(N143="Nyaman","penyimpanan, ","")&amp;IF(O143="Nyaman","layar, ","")&amp;IF(P143="Nyaman","refresh rate, ",""))</f>
        <v/>
      </c>
      <c r="Z143" s="33" t="str">
        <f aca="false">IF($A143="","",IF(Q143="Tidak dinilai","Belum ada kriteria yang dinilai untuk kebutuhan ini.",IF(Q143="Cocok","Semua kriteria yang dinilai sudah nyaman: "&amp;LEFT(Y143,LEN(Y143)-2)&amp;".",UPPER(LEFT(X143,1))&amp;MID(X143,2,LEN(X143)-3)&amp;"."&amp;IF(Y143="",""," Sudah nyaman: "&amp;LEFT(Y143,LEN(Y143)-2)&amp;"."))))</f>
        <v/>
      </c>
      <c r="AA143" s="33"/>
      <c r="AB143" s="33"/>
      <c r="AC143" s="69"/>
    </row>
    <row r="144" customFormat="false" ht="15" hidden="false" customHeight="true" outlineLevel="0" collapsed="false">
      <c r="A144" s="33" t="str">
        <f aca="false">IF(Varian!$A32="","",Varian!$A32)</f>
        <v/>
      </c>
      <c r="B144" s="33" t="str">
        <f aca="false">IF($A144="","",Aturan!$A$25)</f>
        <v/>
      </c>
      <c r="C144" s="69" t="str">
        <f aca="false">IF($A144="","",IFERROR(IF(ISNUMBER(INDEX(CPU!$J$4:$J$64,MATCH(Varian!$J32,CPU!$A$4:$A$64,0))),INDEX(CPU!$J$4:$J$64,MATCH(Varian!$J32,CPU!$A$4:$A$64,0)),""),""))</f>
        <v/>
      </c>
      <c r="D144" s="69" t="str">
        <f aca="false">IF($A144="","",IFERROR(IF(ISNUMBER(INDEX(GPU!$G$4:$G$64,MATCH(Varian!$K32,GPU!$A$4:$A$64,0))),INDEX(GPU!$G$4:$G$64,MATCH(Varian!$K32,GPU!$A$4:$A$64,0)),""),""))</f>
        <v/>
      </c>
      <c r="E144" s="69" t="str">
        <f aca="false">IF($A144="","",IF(ISNUMBER(Varian!$M32),Varian!$M32,""))</f>
        <v/>
      </c>
      <c r="F144" s="69" t="str">
        <f aca="false">IF($A144="","",IF(ISNUMBER(Varian!$V32),Varian!$V32,""))</f>
        <v/>
      </c>
      <c r="G144" s="69" t="str">
        <f aca="false">IF($A144="","",IFERROR(INDEX(Aturan!$B$63:$B$66,MATCH(Varian!$AG32,Aturan!$A$63:$A$66,0)),""))</f>
        <v/>
      </c>
      <c r="H144" s="69" t="str">
        <f aca="false">IF($A144="","",IF(ISNUMBER(Varian!$AI32),Varian!$AI32,""))</f>
        <v/>
      </c>
      <c r="I144" s="33" t="str">
        <f aca="false">IF($A144="","",IF(Varian!$Q32="disolder","menempel di papan utama, tidak bisa ditambah",IF(OR(Varian!$Q32="slot",Varian!$Q32="setengah_disolder"),IF(Varian!$Q32="setengah_disolder","sebagian menempel, ","")&amp;IF(ISNUMBER(Varian!$U32),IF(AND(ISNUMBER(Varian!$M32),Varian!$U32&gt;Varian!$M32),"bisa dinaikkan lewat slot sampai "&amp;Varian!$U32&amp;" GB","sudah di batas maksimal "&amp;Varian!$U32&amp;" GB"),"ada slot, batas maksimalnya belum diketahui"),"belum diketahui apakah bisa ditambah")))</f>
        <v/>
      </c>
      <c r="J144" s="33" t="str">
        <f aca="false">IF($A144="","",IF(Varian!$Z32="ya","bisa diganti dengan yang lebih besar",IF(Varian!$Z32="tidak","menempel, tidak bisa diganti","belum diketahui apakah bisa diganti")))</f>
        <v/>
      </c>
      <c r="K144" s="70" t="str">
        <f aca="false">IF($A144="","",IF(AND(Aturan!$C$54="",Aturan!$D$54=""),"Tidak dinilai",IF(C144="","Belum ada data",IF(C144&lt;IF(Aturan!$C$54="",0,Aturan!$C$54),"Kurang",IF(C144&gt;=IF(Aturan!$D$54="",Aturan!$C$54,Aturan!$D$54),"Nyaman","Cukup")))))</f>
        <v/>
      </c>
      <c r="L144" s="70" t="str">
        <f aca="false">IF($A144="","",IF(AND(Aturan!$C$55="",Aturan!$D$55=""),"Tidak dinilai",IF(D144="","Belum ada data",IF(D144&lt;IF(Aturan!$C$55="",0,Aturan!$C$55),"Kurang",IF(D144&gt;=IF(Aturan!$D$55="",Aturan!$C$55,Aturan!$D$55),"Nyaman","Cukup")))))</f>
        <v/>
      </c>
      <c r="M144" s="70" t="str">
        <f aca="false">IF($A144="","",IF(AND(Aturan!$C$56="",Aturan!$D$56=""),"Tidak dinilai",IF(E144="","Belum ada data",IF(E144&lt;IF(Aturan!$C$56="",0,Aturan!$C$56),"Kurang",IF(E144&gt;=IF(Aturan!$D$56="",Aturan!$C$56,Aturan!$D$56),"Nyaman","Cukup")))))</f>
        <v/>
      </c>
      <c r="N144" s="70" t="str">
        <f aca="false">IF($A144="","",IF(AND(Aturan!$C$57="",Aturan!$D$57=""),"Tidak dinilai",IF(F144="","Belum ada data",IF(F144&lt;IF(Aturan!$C$57="",0,Aturan!$C$57),"Kurang",IF(F144&gt;=IF(Aturan!$D$57="",Aturan!$C$57,Aturan!$D$57),"Nyaman","Cukup")))))</f>
        <v/>
      </c>
      <c r="O144" s="70" t="str">
        <f aca="false">IF($A144="","",IF(AND(Aturan!$C$58="",Aturan!$D$58=""),"Tidak dinilai",IF(G144="","Belum ada data",IF(G144&lt;IF(Aturan!$C$58="",0,Aturan!$C$58),"Kurang",IF(G144&gt;=IF(Aturan!$D$58="",Aturan!$C$58,Aturan!$D$58),"Nyaman","Cukup")))))</f>
        <v/>
      </c>
      <c r="P144" s="70" t="str">
        <f aca="false">IF($A144="","",IF(AND(Aturan!$C$59="",Aturan!$D$59=""),"Tidak dinilai",IF(H144="","Belum ada data",IF(H144&lt;IF(Aturan!$C$59="",0,Aturan!$C$59),"Kurang",IF(H144&gt;=IF(Aturan!$D$59="",Aturan!$C$59,Aturan!$D$59),"Nyaman","Cukup")))))</f>
        <v/>
      </c>
      <c r="Q144" s="70" t="str">
        <f aca="false">IF($A144="","",IF(COUNTIF(K144:P144,"Tidak dinilai")=6,"Tidak dinilai",IF(COUNTIF(K144:P144,"Kurang")&gt;0,"Kurang cocok",IF(COUNTIF(K144:P144,"Belum ada data")&gt;0,"Data belum lengkap",IF(COUNTIF(K144:P144,"Cukup")&gt;0,"Bisa, dengan catatan","Cocok")))))</f>
        <v/>
      </c>
      <c r="R144" s="33" t="str">
        <f aca="false">IF($A144="","",IF(K144="Kurang","prosesor tingkat "&amp;C144&amp;" dari 5, di bawah batas minimal (tingkat "&amp;Aturan!$C$54&amp;")",IF(K144="Cukup","prosesor tingkat "&amp;C144&amp;" dari 5 cukup, nyamannya mulai tingkat "&amp;Aturan!$D$54,IF(K144="Belum ada data","tingkat prosesor belum diisi",""))))</f>
        <v/>
      </c>
      <c r="S144" s="33" t="str">
        <f aca="false">IF($A144="","",IF(L144="Kurang","grafis tingkat "&amp;D144&amp;" dari 5, di bawah batas minimal (tingkat "&amp;Aturan!$C$55&amp;")",IF(L144="Cukup","grafis tingkat "&amp;D144&amp;" dari 5 cukup, nyamannya mulai tingkat "&amp;Aturan!$D$55,IF(L144="Belum ada data","tingkat grafis belum diisi",""))))</f>
        <v/>
      </c>
      <c r="T144" s="33" t="str">
        <f aca="false">IF($A144="","",IF(M144="Kurang","RAM "&amp;E144&amp;" GB, di bawah batas minimal "&amp;Aturan!$C$56&amp;" GB ("&amp;I144&amp;")",IF(M144="Cukup","RAM "&amp;E144&amp;" GB cukup, nyamannya "&amp;Aturan!$D$56&amp;" GB atau lebih ("&amp;I144&amp;")",IF(M144="Belum ada data","ukuran RAM belum diisi",""))))</f>
        <v/>
      </c>
      <c r="U144" s="33" t="str">
        <f aca="false">IF($A144="","",IF(N144="Kurang","penyimpanan "&amp;F144&amp;" GB, di bawah batas minimal "&amp;Aturan!$C$57&amp;" GB ("&amp;J144&amp;")",IF(N144="Cukup","penyimpanan "&amp;F144&amp;" GB cukup, nyamannya "&amp;Aturan!$D$57&amp;" GB atau lebih ("&amp;J144&amp;")",IF(N144="Belum ada data","ukuran penyimpanan belum diisi",""))))</f>
        <v/>
      </c>
      <c r="V144" s="33" t="str">
        <f aca="false">IF($A144="","",IF(O144="Kurang","layar "&amp;Varian!$AG32&amp;", di bawah batas minimal ("&amp;IFERROR(INDEX(Aturan!$A$63:$A$66,MATCH(Aturan!$C$58,Aturan!$B$63:$B$66,0)),"peringkat "&amp;Aturan!$C$58)&amp;")",IF(O144="Cukup","layar "&amp;Varian!$AG32&amp;" cukup, nyamannya "&amp;IFERROR(INDEX(Aturan!$A$63:$A$66,MATCH(Aturan!$D$58,Aturan!$B$63:$B$66,0)),"peringkat "&amp;Aturan!$D$58),IF(O144="Belum ada data","jenis layar belum diketahui",""))))</f>
        <v/>
      </c>
      <c r="W144" s="33" t="str">
        <f aca="false">IF($A144="","",IF(P144="Kurang","layar "&amp;H144&amp;" Hz, di bawah batas minimal "&amp;Aturan!$C$59&amp;" Hz",IF(P144="Cukup","layar "&amp;H144&amp;" Hz cukup, nyamannya "&amp;Aturan!$D$59&amp;" Hz atau lebih",IF(P144="Belum ada data","refresh rate belum diketahui",""))))</f>
        <v/>
      </c>
      <c r="X144" s="33" t="str">
        <f aca="false">IF($A144="","",IF(K144="Kurang",R144&amp;"; ","")&amp;IF(L144="Kurang",S144&amp;"; ","")&amp;IF(M144="Kurang",T144&amp;"; ","")&amp;IF(N144="Kurang",U144&amp;"; ","")&amp;IF(O144="Kurang",V144&amp;"; ","")&amp;IF(P144="Kurang",W144&amp;"; ","")&amp;IF(K144="Belum ada data",R144&amp;"; ","")&amp;IF(L144="Belum ada data",S144&amp;"; ","")&amp;IF(M144="Belum ada data",T144&amp;"; ","")&amp;IF(N144="Belum ada data",U144&amp;"; ","")&amp;IF(O144="Belum ada data",V144&amp;"; ","")&amp;IF(P144="Belum ada data",W144&amp;"; ","")&amp;IF(K144="Cukup",R144&amp;"; ","")&amp;IF(L144="Cukup",S144&amp;"; ","")&amp;IF(M144="Cukup",T144&amp;"; ","")&amp;IF(N144="Cukup",U144&amp;"; ","")&amp;IF(O144="Cukup",V144&amp;"; ","")&amp;IF(P144="Cukup",W144&amp;"; ",""))</f>
        <v/>
      </c>
      <c r="Y144" s="33" t="str">
        <f aca="false">IF($A144="","",IF(K144="Nyaman","prosesor, ","")&amp;IF(L144="Nyaman","grafis, ","")&amp;IF(M144="Nyaman","RAM, ","")&amp;IF(N144="Nyaman","penyimpanan, ","")&amp;IF(O144="Nyaman","layar, ","")&amp;IF(P144="Nyaman","refresh rate, ",""))</f>
        <v/>
      </c>
      <c r="Z144" s="33" t="str">
        <f aca="false">IF($A144="","",IF(Q144="Tidak dinilai","Belum ada kriteria yang dinilai untuk kebutuhan ini.",IF(Q144="Cocok","Semua kriteria yang dinilai sudah nyaman: "&amp;LEFT(Y144,LEN(Y144)-2)&amp;".",UPPER(LEFT(X144,1))&amp;MID(X144,2,LEN(X144)-3)&amp;"."&amp;IF(Y144="",""," Sudah nyaman: "&amp;LEFT(Y144,LEN(Y144)-2)&amp;"."))))</f>
        <v/>
      </c>
      <c r="AA144" s="33"/>
      <c r="AB144" s="33"/>
      <c r="AC144" s="69"/>
    </row>
    <row r="145" customFormat="false" ht="15" hidden="false" customHeight="true" outlineLevel="0" collapsed="false">
      <c r="A145" s="66" t="str">
        <f aca="false">IF(Varian!$A33="","",Varian!$A33)</f>
        <v/>
      </c>
      <c r="B145" s="66" t="str">
        <f aca="false">IF($A145="","",Aturan!$A$21)</f>
        <v/>
      </c>
      <c r="C145" s="67" t="str">
        <f aca="false">IF($A145="","",IFERROR(IF(ISNUMBER(INDEX(CPU!$J$4:$J$64,MATCH(Varian!$J33,CPU!$A$4:$A$64,0))),INDEX(CPU!$J$4:$J$64,MATCH(Varian!$J33,CPU!$A$4:$A$64,0)),""),""))</f>
        <v/>
      </c>
      <c r="D145" s="67" t="str">
        <f aca="false">IF($A145="","",IFERROR(IF(ISNUMBER(INDEX(GPU!$G$4:$G$64,MATCH(Varian!$K33,GPU!$A$4:$A$64,0))),INDEX(GPU!$G$4:$G$64,MATCH(Varian!$K33,GPU!$A$4:$A$64,0)),""),""))</f>
        <v/>
      </c>
      <c r="E145" s="67" t="str">
        <f aca="false">IF($A145="","",IF(ISNUMBER(Varian!$M33),Varian!$M33,""))</f>
        <v/>
      </c>
      <c r="F145" s="67" t="str">
        <f aca="false">IF($A145="","",IF(ISNUMBER(Varian!$V33),Varian!$V33,""))</f>
        <v/>
      </c>
      <c r="G145" s="67" t="str">
        <f aca="false">IF($A145="","",IFERROR(INDEX(Aturan!$B$63:$B$66,MATCH(Varian!$AG33,Aturan!$A$63:$A$66,0)),""))</f>
        <v/>
      </c>
      <c r="H145" s="67" t="str">
        <f aca="false">IF($A145="","",IF(ISNUMBER(Varian!$AI33),Varian!$AI33,""))</f>
        <v/>
      </c>
      <c r="I145" s="66" t="str">
        <f aca="false">IF($A145="","",IF(Varian!$Q33="disolder","menempel di papan utama, tidak bisa ditambah",IF(OR(Varian!$Q33="slot",Varian!$Q33="setengah_disolder"),IF(Varian!$Q33="setengah_disolder","sebagian menempel, ","")&amp;IF(ISNUMBER(Varian!$U33),IF(AND(ISNUMBER(Varian!$M33),Varian!$U33&gt;Varian!$M33),"bisa dinaikkan lewat slot sampai "&amp;Varian!$U33&amp;" GB","sudah di batas maksimal "&amp;Varian!$U33&amp;" GB"),"ada slot, batas maksimalnya belum diketahui"),"belum diketahui apakah bisa ditambah")))</f>
        <v/>
      </c>
      <c r="J145" s="66" t="str">
        <f aca="false">IF($A145="","",IF(Varian!$Z33="ya","bisa diganti dengan yang lebih besar",IF(Varian!$Z33="tidak","menempel, tidak bisa diganti","belum diketahui apakah bisa diganti")))</f>
        <v/>
      </c>
      <c r="K145" s="68" t="str">
        <f aca="false">IF($A145="","",IF(AND(Aturan!$C$30="",Aturan!$D$30=""),"Tidak dinilai",IF(C145="","Belum ada data",IF(C145&lt;IF(Aturan!$C$30="",0,Aturan!$C$30),"Kurang",IF(C145&gt;=IF(Aturan!$D$30="",Aturan!$C$30,Aturan!$D$30),"Nyaman","Cukup")))))</f>
        <v/>
      </c>
      <c r="L145" s="68" t="str">
        <f aca="false">IF($A145="","",IF(AND(Aturan!$C$31="",Aturan!$D$31=""),"Tidak dinilai",IF(D145="","Belum ada data",IF(D145&lt;IF(Aturan!$C$31="",0,Aturan!$C$31),"Kurang",IF(D145&gt;=IF(Aturan!$D$31="",Aturan!$C$31,Aturan!$D$31),"Nyaman","Cukup")))))</f>
        <v/>
      </c>
      <c r="M145" s="68" t="str">
        <f aca="false">IF($A145="","",IF(AND(Aturan!$C$32="",Aturan!$D$32=""),"Tidak dinilai",IF(E145="","Belum ada data",IF(E145&lt;IF(Aturan!$C$32="",0,Aturan!$C$32),"Kurang",IF(E145&gt;=IF(Aturan!$D$32="",Aturan!$C$32,Aturan!$D$32),"Nyaman","Cukup")))))</f>
        <v/>
      </c>
      <c r="N145" s="68" t="str">
        <f aca="false">IF($A145="","",IF(AND(Aturan!$C$33="",Aturan!$D$33=""),"Tidak dinilai",IF(F145="","Belum ada data",IF(F145&lt;IF(Aturan!$C$33="",0,Aturan!$C$33),"Kurang",IF(F145&gt;=IF(Aturan!$D$33="",Aturan!$C$33,Aturan!$D$33),"Nyaman","Cukup")))))</f>
        <v/>
      </c>
      <c r="O145" s="68" t="str">
        <f aca="false">IF($A145="","",IF(AND(Aturan!$C$34="",Aturan!$D$34=""),"Tidak dinilai",IF(G145="","Belum ada data",IF(G145&lt;IF(Aturan!$C$34="",0,Aturan!$C$34),"Kurang",IF(G145&gt;=IF(Aturan!$D$34="",Aturan!$C$34,Aturan!$D$34),"Nyaman","Cukup")))))</f>
        <v/>
      </c>
      <c r="P145" s="68" t="str">
        <f aca="false">IF($A145="","",IF(AND(Aturan!$C$35="",Aturan!$D$35=""),"Tidak dinilai",IF(H145="","Belum ada data",IF(H145&lt;IF(Aturan!$C$35="",0,Aturan!$C$35),"Kurang",IF(H145&gt;=IF(Aturan!$D$35="",Aturan!$C$35,Aturan!$D$35),"Nyaman","Cukup")))))</f>
        <v/>
      </c>
      <c r="Q145" s="68" t="str">
        <f aca="false">IF($A145="","",IF(COUNTIF(K145:P145,"Tidak dinilai")=6,"Tidak dinilai",IF(COUNTIF(K145:P145,"Kurang")&gt;0,"Kurang cocok",IF(COUNTIF(K145:P145,"Belum ada data")&gt;0,"Data belum lengkap",IF(COUNTIF(K145:P145,"Cukup")&gt;0,"Bisa, dengan catatan","Cocok")))))</f>
        <v/>
      </c>
      <c r="R145" s="66" t="str">
        <f aca="false">IF($A145="","",IF(K145="Kurang","prosesor tingkat "&amp;C145&amp;" dari 5, di bawah batas minimal (tingkat "&amp;Aturan!$C$30&amp;")",IF(K145="Cukup","prosesor tingkat "&amp;C145&amp;" dari 5 cukup, nyamannya mulai tingkat "&amp;Aturan!$D$30,IF(K145="Belum ada data","tingkat prosesor belum diisi",""))))</f>
        <v/>
      </c>
      <c r="S145" s="66" t="str">
        <f aca="false">IF($A145="","",IF(L145="Kurang","grafis tingkat "&amp;D145&amp;" dari 5, di bawah batas minimal (tingkat "&amp;Aturan!$C$31&amp;")",IF(L145="Cukup","grafis tingkat "&amp;D145&amp;" dari 5 cukup, nyamannya mulai tingkat "&amp;Aturan!$D$31,IF(L145="Belum ada data","tingkat grafis belum diisi",""))))</f>
        <v/>
      </c>
      <c r="T145" s="66" t="str">
        <f aca="false">IF($A145="","",IF(M145="Kurang","RAM "&amp;E145&amp;" GB, di bawah batas minimal "&amp;Aturan!$C$32&amp;" GB ("&amp;I145&amp;")",IF(M145="Cukup","RAM "&amp;E145&amp;" GB cukup, nyamannya "&amp;Aturan!$D$32&amp;" GB atau lebih ("&amp;I145&amp;")",IF(M145="Belum ada data","ukuran RAM belum diisi",""))))</f>
        <v/>
      </c>
      <c r="U145" s="66" t="str">
        <f aca="false">IF($A145="","",IF(N145="Kurang","penyimpanan "&amp;F145&amp;" GB, di bawah batas minimal "&amp;Aturan!$C$33&amp;" GB ("&amp;J145&amp;")",IF(N145="Cukup","penyimpanan "&amp;F145&amp;" GB cukup, nyamannya "&amp;Aturan!$D$33&amp;" GB atau lebih ("&amp;J145&amp;")",IF(N145="Belum ada data","ukuran penyimpanan belum diisi",""))))</f>
        <v/>
      </c>
      <c r="V145" s="66" t="str">
        <f aca="false">IF($A145="","",IF(O145="Kurang","layar "&amp;Varian!$AG33&amp;", di bawah batas minimal ("&amp;IFERROR(INDEX(Aturan!$A$63:$A$66,MATCH(Aturan!$C$34,Aturan!$B$63:$B$66,0)),"peringkat "&amp;Aturan!$C$34)&amp;")",IF(O145="Cukup","layar "&amp;Varian!$AG33&amp;" cukup, nyamannya "&amp;IFERROR(INDEX(Aturan!$A$63:$A$66,MATCH(Aturan!$D$34,Aturan!$B$63:$B$66,0)),"peringkat "&amp;Aturan!$D$34),IF(O145="Belum ada data","jenis layar belum diketahui",""))))</f>
        <v/>
      </c>
      <c r="W145" s="66" t="str">
        <f aca="false">IF($A145="","",IF(P145="Kurang","layar "&amp;H145&amp;" Hz, di bawah batas minimal "&amp;Aturan!$C$35&amp;" Hz",IF(P145="Cukup","layar "&amp;H145&amp;" Hz cukup, nyamannya "&amp;Aturan!$D$35&amp;" Hz atau lebih",IF(P145="Belum ada data","refresh rate belum diketahui",""))))</f>
        <v/>
      </c>
      <c r="X145" s="66" t="str">
        <f aca="false">IF($A145="","",IF(K145="Kurang",R145&amp;"; ","")&amp;IF(L145="Kurang",S145&amp;"; ","")&amp;IF(M145="Kurang",T145&amp;"; ","")&amp;IF(N145="Kurang",U145&amp;"; ","")&amp;IF(O145="Kurang",V145&amp;"; ","")&amp;IF(P145="Kurang",W145&amp;"; ","")&amp;IF(K145="Belum ada data",R145&amp;"; ","")&amp;IF(L145="Belum ada data",S145&amp;"; ","")&amp;IF(M145="Belum ada data",T145&amp;"; ","")&amp;IF(N145="Belum ada data",U145&amp;"; ","")&amp;IF(O145="Belum ada data",V145&amp;"; ","")&amp;IF(P145="Belum ada data",W145&amp;"; ","")&amp;IF(K145="Cukup",R145&amp;"; ","")&amp;IF(L145="Cukup",S145&amp;"; ","")&amp;IF(M145="Cukup",T145&amp;"; ","")&amp;IF(N145="Cukup",U145&amp;"; ","")&amp;IF(O145="Cukup",V145&amp;"; ","")&amp;IF(P145="Cukup",W145&amp;"; ",""))</f>
        <v/>
      </c>
      <c r="Y145" s="66" t="str">
        <f aca="false">IF($A145="","",IF(K145="Nyaman","prosesor, ","")&amp;IF(L145="Nyaman","grafis, ","")&amp;IF(M145="Nyaman","RAM, ","")&amp;IF(N145="Nyaman","penyimpanan, ","")&amp;IF(O145="Nyaman","layar, ","")&amp;IF(P145="Nyaman","refresh rate, ",""))</f>
        <v/>
      </c>
      <c r="Z145" s="66" t="str">
        <f aca="false">IF($A145="","",IF(Q145="Tidak dinilai","Belum ada kriteria yang dinilai untuk kebutuhan ini.",IF(Q145="Cocok","Semua kriteria yang dinilai sudah nyaman: "&amp;LEFT(Y145,LEN(Y145)-2)&amp;".",UPPER(LEFT(X145,1))&amp;MID(X145,2,LEN(X145)-3)&amp;"."&amp;IF(Y145="",""," Sudah nyaman: "&amp;LEFT(Y145,LEN(Y145)-2)&amp;"."))))</f>
        <v/>
      </c>
      <c r="AA145" s="66" t="str">
        <f aca="false">IF($A145="","",IF(Varian!$AR33="Windows 10","• "&amp;Aturan!$E$71&amp;CHAR(10),"")&amp;IF(Varian!$BB33="tidak","• "&amp;Aturan!$E$72&amp;CHAR(10),"")&amp;IF(OR(Varian!$AD33="belum terverifikasi",Varian!$AD33="tidak diketahui"),"• "&amp;Aturan!$E$73&amp;CHAR(10),"")&amp;IF(Varian!$AH33="1366x768","• "&amp;Aturan!$E$74&amp;CHAR(10),"")&amp;IF(Varian!$AG33="TN","• "&amp;Aturan!$E$75&amp;CHAR(10),"")&amp;IF(AND(Varian!$Q33="disolder",ISNUMBER(Varian!$M33),Varian!$M33&lt;=8),"• "&amp;Aturan!$E$76&amp;CHAR(10),""))</f>
        <v/>
      </c>
      <c r="AB145" s="66" t="str">
        <f aca="false">IF($A145="","",IF(AA145="","",LEFT(AA145,LEN(AA145)-1)))</f>
        <v/>
      </c>
      <c r="AC145" s="67" t="str">
        <f aca="false">IF($A145="","",IF(AA145="",0,LEN(AA145)-LEN(SUBSTITUTE(AA145,CHAR(10),""))))</f>
        <v/>
      </c>
    </row>
    <row r="146" customFormat="false" ht="15" hidden="false" customHeight="true" outlineLevel="0" collapsed="false">
      <c r="A146" s="33" t="str">
        <f aca="false">IF(Varian!$A33="","",Varian!$A33)</f>
        <v/>
      </c>
      <c r="B146" s="33" t="str">
        <f aca="false">IF($A146="","",Aturan!$A$22)</f>
        <v/>
      </c>
      <c r="C146" s="69" t="str">
        <f aca="false">IF($A146="","",IFERROR(IF(ISNUMBER(INDEX(CPU!$J$4:$J$64,MATCH(Varian!$J33,CPU!$A$4:$A$64,0))),INDEX(CPU!$J$4:$J$64,MATCH(Varian!$J33,CPU!$A$4:$A$64,0)),""),""))</f>
        <v/>
      </c>
      <c r="D146" s="69" t="str">
        <f aca="false">IF($A146="","",IFERROR(IF(ISNUMBER(INDEX(GPU!$G$4:$G$64,MATCH(Varian!$K33,GPU!$A$4:$A$64,0))),INDEX(GPU!$G$4:$G$64,MATCH(Varian!$K33,GPU!$A$4:$A$64,0)),""),""))</f>
        <v/>
      </c>
      <c r="E146" s="69" t="str">
        <f aca="false">IF($A146="","",IF(ISNUMBER(Varian!$M33),Varian!$M33,""))</f>
        <v/>
      </c>
      <c r="F146" s="69" t="str">
        <f aca="false">IF($A146="","",IF(ISNUMBER(Varian!$V33),Varian!$V33,""))</f>
        <v/>
      </c>
      <c r="G146" s="69" t="str">
        <f aca="false">IF($A146="","",IFERROR(INDEX(Aturan!$B$63:$B$66,MATCH(Varian!$AG33,Aturan!$A$63:$A$66,0)),""))</f>
        <v/>
      </c>
      <c r="H146" s="69" t="str">
        <f aca="false">IF($A146="","",IF(ISNUMBER(Varian!$AI33),Varian!$AI33,""))</f>
        <v/>
      </c>
      <c r="I146" s="33" t="str">
        <f aca="false">IF($A146="","",IF(Varian!$Q33="disolder","menempel di papan utama, tidak bisa ditambah",IF(OR(Varian!$Q33="slot",Varian!$Q33="setengah_disolder"),IF(Varian!$Q33="setengah_disolder","sebagian menempel, ","")&amp;IF(ISNUMBER(Varian!$U33),IF(AND(ISNUMBER(Varian!$M33),Varian!$U33&gt;Varian!$M33),"bisa dinaikkan lewat slot sampai "&amp;Varian!$U33&amp;" GB","sudah di batas maksimal "&amp;Varian!$U33&amp;" GB"),"ada slot, batas maksimalnya belum diketahui"),"belum diketahui apakah bisa ditambah")))</f>
        <v/>
      </c>
      <c r="J146" s="33" t="str">
        <f aca="false">IF($A146="","",IF(Varian!$Z33="ya","bisa diganti dengan yang lebih besar",IF(Varian!$Z33="tidak","menempel, tidak bisa diganti","belum diketahui apakah bisa diganti")))</f>
        <v/>
      </c>
      <c r="K146" s="70" t="str">
        <f aca="false">IF($A146="","",IF(AND(Aturan!$C$36="",Aturan!$D$36=""),"Tidak dinilai",IF(C146="","Belum ada data",IF(C146&lt;IF(Aturan!$C$36="",0,Aturan!$C$36),"Kurang",IF(C146&gt;=IF(Aturan!$D$36="",Aturan!$C$36,Aturan!$D$36),"Nyaman","Cukup")))))</f>
        <v/>
      </c>
      <c r="L146" s="70" t="str">
        <f aca="false">IF($A146="","",IF(AND(Aturan!$C$37="",Aturan!$D$37=""),"Tidak dinilai",IF(D146="","Belum ada data",IF(D146&lt;IF(Aturan!$C$37="",0,Aturan!$C$37),"Kurang",IF(D146&gt;=IF(Aturan!$D$37="",Aturan!$C$37,Aturan!$D$37),"Nyaman","Cukup")))))</f>
        <v/>
      </c>
      <c r="M146" s="70" t="str">
        <f aca="false">IF($A146="","",IF(AND(Aturan!$C$38="",Aturan!$D$38=""),"Tidak dinilai",IF(E146="","Belum ada data",IF(E146&lt;IF(Aturan!$C$38="",0,Aturan!$C$38),"Kurang",IF(E146&gt;=IF(Aturan!$D$38="",Aturan!$C$38,Aturan!$D$38),"Nyaman","Cukup")))))</f>
        <v/>
      </c>
      <c r="N146" s="70" t="str">
        <f aca="false">IF($A146="","",IF(AND(Aturan!$C$39="",Aturan!$D$39=""),"Tidak dinilai",IF(F146="","Belum ada data",IF(F146&lt;IF(Aturan!$C$39="",0,Aturan!$C$39),"Kurang",IF(F146&gt;=IF(Aturan!$D$39="",Aturan!$C$39,Aturan!$D$39),"Nyaman","Cukup")))))</f>
        <v/>
      </c>
      <c r="O146" s="70" t="str">
        <f aca="false">IF($A146="","",IF(AND(Aturan!$C$40="",Aturan!$D$40=""),"Tidak dinilai",IF(G146="","Belum ada data",IF(G146&lt;IF(Aturan!$C$40="",0,Aturan!$C$40),"Kurang",IF(G146&gt;=IF(Aturan!$D$40="",Aturan!$C$40,Aturan!$D$40),"Nyaman","Cukup")))))</f>
        <v/>
      </c>
      <c r="P146" s="70" t="str">
        <f aca="false">IF($A146="","",IF(AND(Aturan!$C$41="",Aturan!$D$41=""),"Tidak dinilai",IF(H146="","Belum ada data",IF(H146&lt;IF(Aturan!$C$41="",0,Aturan!$C$41),"Kurang",IF(H146&gt;=IF(Aturan!$D$41="",Aturan!$C$41,Aturan!$D$41),"Nyaman","Cukup")))))</f>
        <v/>
      </c>
      <c r="Q146" s="70" t="str">
        <f aca="false">IF($A146="","",IF(COUNTIF(K146:P146,"Tidak dinilai")=6,"Tidak dinilai",IF(COUNTIF(K146:P146,"Kurang")&gt;0,"Kurang cocok",IF(COUNTIF(K146:P146,"Belum ada data")&gt;0,"Data belum lengkap",IF(COUNTIF(K146:P146,"Cukup")&gt;0,"Bisa, dengan catatan","Cocok")))))</f>
        <v/>
      </c>
      <c r="R146" s="33" t="str">
        <f aca="false">IF($A146="","",IF(K146="Kurang","prosesor tingkat "&amp;C146&amp;" dari 5, di bawah batas minimal (tingkat "&amp;Aturan!$C$36&amp;")",IF(K146="Cukup","prosesor tingkat "&amp;C146&amp;" dari 5 cukup, nyamannya mulai tingkat "&amp;Aturan!$D$36,IF(K146="Belum ada data","tingkat prosesor belum diisi",""))))</f>
        <v/>
      </c>
      <c r="S146" s="33" t="str">
        <f aca="false">IF($A146="","",IF(L146="Kurang","grafis tingkat "&amp;D146&amp;" dari 5, di bawah batas minimal (tingkat "&amp;Aturan!$C$37&amp;")",IF(L146="Cukup","grafis tingkat "&amp;D146&amp;" dari 5 cukup, nyamannya mulai tingkat "&amp;Aturan!$D$37,IF(L146="Belum ada data","tingkat grafis belum diisi",""))))</f>
        <v/>
      </c>
      <c r="T146" s="33" t="str">
        <f aca="false">IF($A146="","",IF(M146="Kurang","RAM "&amp;E146&amp;" GB, di bawah batas minimal "&amp;Aturan!$C$38&amp;" GB ("&amp;I146&amp;")",IF(M146="Cukup","RAM "&amp;E146&amp;" GB cukup, nyamannya "&amp;Aturan!$D$38&amp;" GB atau lebih ("&amp;I146&amp;")",IF(M146="Belum ada data","ukuran RAM belum diisi",""))))</f>
        <v/>
      </c>
      <c r="U146" s="33" t="str">
        <f aca="false">IF($A146="","",IF(N146="Kurang","penyimpanan "&amp;F146&amp;" GB, di bawah batas minimal "&amp;Aturan!$C$39&amp;" GB ("&amp;J146&amp;")",IF(N146="Cukup","penyimpanan "&amp;F146&amp;" GB cukup, nyamannya "&amp;Aturan!$D$39&amp;" GB atau lebih ("&amp;J146&amp;")",IF(N146="Belum ada data","ukuran penyimpanan belum diisi",""))))</f>
        <v/>
      </c>
      <c r="V146" s="33" t="str">
        <f aca="false">IF($A146="","",IF(O146="Kurang","layar "&amp;Varian!$AG33&amp;", di bawah batas minimal ("&amp;IFERROR(INDEX(Aturan!$A$63:$A$66,MATCH(Aturan!$C$40,Aturan!$B$63:$B$66,0)),"peringkat "&amp;Aturan!$C$40)&amp;")",IF(O146="Cukup","layar "&amp;Varian!$AG33&amp;" cukup, nyamannya "&amp;IFERROR(INDEX(Aturan!$A$63:$A$66,MATCH(Aturan!$D$40,Aturan!$B$63:$B$66,0)),"peringkat "&amp;Aturan!$D$40),IF(O146="Belum ada data","jenis layar belum diketahui",""))))</f>
        <v/>
      </c>
      <c r="W146" s="33" t="str">
        <f aca="false">IF($A146="","",IF(P146="Kurang","layar "&amp;H146&amp;" Hz, di bawah batas minimal "&amp;Aturan!$C$41&amp;" Hz",IF(P146="Cukup","layar "&amp;H146&amp;" Hz cukup, nyamannya "&amp;Aturan!$D$41&amp;" Hz atau lebih",IF(P146="Belum ada data","refresh rate belum diketahui",""))))</f>
        <v/>
      </c>
      <c r="X146" s="33" t="str">
        <f aca="false">IF($A146="","",IF(K146="Kurang",R146&amp;"; ","")&amp;IF(L146="Kurang",S146&amp;"; ","")&amp;IF(M146="Kurang",T146&amp;"; ","")&amp;IF(N146="Kurang",U146&amp;"; ","")&amp;IF(O146="Kurang",V146&amp;"; ","")&amp;IF(P146="Kurang",W146&amp;"; ","")&amp;IF(K146="Belum ada data",R146&amp;"; ","")&amp;IF(L146="Belum ada data",S146&amp;"; ","")&amp;IF(M146="Belum ada data",T146&amp;"; ","")&amp;IF(N146="Belum ada data",U146&amp;"; ","")&amp;IF(O146="Belum ada data",V146&amp;"; ","")&amp;IF(P146="Belum ada data",W146&amp;"; ","")&amp;IF(K146="Cukup",R146&amp;"; ","")&amp;IF(L146="Cukup",S146&amp;"; ","")&amp;IF(M146="Cukup",T146&amp;"; ","")&amp;IF(N146="Cukup",U146&amp;"; ","")&amp;IF(O146="Cukup",V146&amp;"; ","")&amp;IF(P146="Cukup",W146&amp;"; ",""))</f>
        <v/>
      </c>
      <c r="Y146" s="33" t="str">
        <f aca="false">IF($A146="","",IF(K146="Nyaman","prosesor, ","")&amp;IF(L146="Nyaman","grafis, ","")&amp;IF(M146="Nyaman","RAM, ","")&amp;IF(N146="Nyaman","penyimpanan, ","")&amp;IF(O146="Nyaman","layar, ","")&amp;IF(P146="Nyaman","refresh rate, ",""))</f>
        <v/>
      </c>
      <c r="Z146" s="33" t="str">
        <f aca="false">IF($A146="","",IF(Q146="Tidak dinilai","Belum ada kriteria yang dinilai untuk kebutuhan ini.",IF(Q146="Cocok","Semua kriteria yang dinilai sudah nyaman: "&amp;LEFT(Y146,LEN(Y146)-2)&amp;".",UPPER(LEFT(X146,1))&amp;MID(X146,2,LEN(X146)-3)&amp;"."&amp;IF(Y146="",""," Sudah nyaman: "&amp;LEFT(Y146,LEN(Y146)-2)&amp;"."))))</f>
        <v/>
      </c>
      <c r="AA146" s="33"/>
      <c r="AB146" s="33"/>
      <c r="AC146" s="69"/>
    </row>
    <row r="147" customFormat="false" ht="15" hidden="false" customHeight="true" outlineLevel="0" collapsed="false">
      <c r="A147" s="33" t="str">
        <f aca="false">IF(Varian!$A33="","",Varian!$A33)</f>
        <v/>
      </c>
      <c r="B147" s="33" t="str">
        <f aca="false">IF($A147="","",Aturan!$A$23)</f>
        <v/>
      </c>
      <c r="C147" s="69" t="str">
        <f aca="false">IF($A147="","",IFERROR(IF(ISNUMBER(INDEX(CPU!$J$4:$J$64,MATCH(Varian!$J33,CPU!$A$4:$A$64,0))),INDEX(CPU!$J$4:$J$64,MATCH(Varian!$J33,CPU!$A$4:$A$64,0)),""),""))</f>
        <v/>
      </c>
      <c r="D147" s="69" t="str">
        <f aca="false">IF($A147="","",IFERROR(IF(ISNUMBER(INDEX(GPU!$G$4:$G$64,MATCH(Varian!$K33,GPU!$A$4:$A$64,0))),INDEX(GPU!$G$4:$G$64,MATCH(Varian!$K33,GPU!$A$4:$A$64,0)),""),""))</f>
        <v/>
      </c>
      <c r="E147" s="69" t="str">
        <f aca="false">IF($A147="","",IF(ISNUMBER(Varian!$M33),Varian!$M33,""))</f>
        <v/>
      </c>
      <c r="F147" s="69" t="str">
        <f aca="false">IF($A147="","",IF(ISNUMBER(Varian!$V33),Varian!$V33,""))</f>
        <v/>
      </c>
      <c r="G147" s="69" t="str">
        <f aca="false">IF($A147="","",IFERROR(INDEX(Aturan!$B$63:$B$66,MATCH(Varian!$AG33,Aturan!$A$63:$A$66,0)),""))</f>
        <v/>
      </c>
      <c r="H147" s="69" t="str">
        <f aca="false">IF($A147="","",IF(ISNUMBER(Varian!$AI33),Varian!$AI33,""))</f>
        <v/>
      </c>
      <c r="I147" s="33" t="str">
        <f aca="false">IF($A147="","",IF(Varian!$Q33="disolder","menempel di papan utama, tidak bisa ditambah",IF(OR(Varian!$Q33="slot",Varian!$Q33="setengah_disolder"),IF(Varian!$Q33="setengah_disolder","sebagian menempel, ","")&amp;IF(ISNUMBER(Varian!$U33),IF(AND(ISNUMBER(Varian!$M33),Varian!$U33&gt;Varian!$M33),"bisa dinaikkan lewat slot sampai "&amp;Varian!$U33&amp;" GB","sudah di batas maksimal "&amp;Varian!$U33&amp;" GB"),"ada slot, batas maksimalnya belum diketahui"),"belum diketahui apakah bisa ditambah")))</f>
        <v/>
      </c>
      <c r="J147" s="33" t="str">
        <f aca="false">IF($A147="","",IF(Varian!$Z33="ya","bisa diganti dengan yang lebih besar",IF(Varian!$Z33="tidak","menempel, tidak bisa diganti","belum diketahui apakah bisa diganti")))</f>
        <v/>
      </c>
      <c r="K147" s="70" t="str">
        <f aca="false">IF($A147="","",IF(AND(Aturan!$C$42="",Aturan!$D$42=""),"Tidak dinilai",IF(C147="","Belum ada data",IF(C147&lt;IF(Aturan!$C$42="",0,Aturan!$C$42),"Kurang",IF(C147&gt;=IF(Aturan!$D$42="",Aturan!$C$42,Aturan!$D$42),"Nyaman","Cukup")))))</f>
        <v/>
      </c>
      <c r="L147" s="70" t="str">
        <f aca="false">IF($A147="","",IF(AND(Aturan!$C$43="",Aturan!$D$43=""),"Tidak dinilai",IF(D147="","Belum ada data",IF(D147&lt;IF(Aturan!$C$43="",0,Aturan!$C$43),"Kurang",IF(D147&gt;=IF(Aturan!$D$43="",Aturan!$C$43,Aturan!$D$43),"Nyaman","Cukup")))))</f>
        <v/>
      </c>
      <c r="M147" s="70" t="str">
        <f aca="false">IF($A147="","",IF(AND(Aturan!$C$44="",Aturan!$D$44=""),"Tidak dinilai",IF(E147="","Belum ada data",IF(E147&lt;IF(Aturan!$C$44="",0,Aturan!$C$44),"Kurang",IF(E147&gt;=IF(Aturan!$D$44="",Aturan!$C$44,Aturan!$D$44),"Nyaman","Cukup")))))</f>
        <v/>
      </c>
      <c r="N147" s="70" t="str">
        <f aca="false">IF($A147="","",IF(AND(Aturan!$C$45="",Aturan!$D$45=""),"Tidak dinilai",IF(F147="","Belum ada data",IF(F147&lt;IF(Aturan!$C$45="",0,Aturan!$C$45),"Kurang",IF(F147&gt;=IF(Aturan!$D$45="",Aturan!$C$45,Aturan!$D$45),"Nyaman","Cukup")))))</f>
        <v/>
      </c>
      <c r="O147" s="70" t="str">
        <f aca="false">IF($A147="","",IF(AND(Aturan!$C$46="",Aturan!$D$46=""),"Tidak dinilai",IF(G147="","Belum ada data",IF(G147&lt;IF(Aturan!$C$46="",0,Aturan!$C$46),"Kurang",IF(G147&gt;=IF(Aturan!$D$46="",Aturan!$C$46,Aturan!$D$46),"Nyaman","Cukup")))))</f>
        <v/>
      </c>
      <c r="P147" s="70" t="str">
        <f aca="false">IF($A147="","",IF(AND(Aturan!$C$47="",Aturan!$D$47=""),"Tidak dinilai",IF(H147="","Belum ada data",IF(H147&lt;IF(Aturan!$C$47="",0,Aturan!$C$47),"Kurang",IF(H147&gt;=IF(Aturan!$D$47="",Aturan!$C$47,Aturan!$D$47),"Nyaman","Cukup")))))</f>
        <v/>
      </c>
      <c r="Q147" s="70" t="str">
        <f aca="false">IF($A147="","",IF(COUNTIF(K147:P147,"Tidak dinilai")=6,"Tidak dinilai",IF(COUNTIF(K147:P147,"Kurang")&gt;0,"Kurang cocok",IF(COUNTIF(K147:P147,"Belum ada data")&gt;0,"Data belum lengkap",IF(COUNTIF(K147:P147,"Cukup")&gt;0,"Bisa, dengan catatan","Cocok")))))</f>
        <v/>
      </c>
      <c r="R147" s="33" t="str">
        <f aca="false">IF($A147="","",IF(K147="Kurang","prosesor tingkat "&amp;C147&amp;" dari 5, di bawah batas minimal (tingkat "&amp;Aturan!$C$42&amp;")",IF(K147="Cukup","prosesor tingkat "&amp;C147&amp;" dari 5 cukup, nyamannya mulai tingkat "&amp;Aturan!$D$42,IF(K147="Belum ada data","tingkat prosesor belum diisi",""))))</f>
        <v/>
      </c>
      <c r="S147" s="33" t="str">
        <f aca="false">IF($A147="","",IF(L147="Kurang","grafis tingkat "&amp;D147&amp;" dari 5, di bawah batas minimal (tingkat "&amp;Aturan!$C$43&amp;")",IF(L147="Cukup","grafis tingkat "&amp;D147&amp;" dari 5 cukup, nyamannya mulai tingkat "&amp;Aturan!$D$43,IF(L147="Belum ada data","tingkat grafis belum diisi",""))))</f>
        <v/>
      </c>
      <c r="T147" s="33" t="str">
        <f aca="false">IF($A147="","",IF(M147="Kurang","RAM "&amp;E147&amp;" GB, di bawah batas minimal "&amp;Aturan!$C$44&amp;" GB ("&amp;I147&amp;")",IF(M147="Cukup","RAM "&amp;E147&amp;" GB cukup, nyamannya "&amp;Aturan!$D$44&amp;" GB atau lebih ("&amp;I147&amp;")",IF(M147="Belum ada data","ukuran RAM belum diisi",""))))</f>
        <v/>
      </c>
      <c r="U147" s="33" t="str">
        <f aca="false">IF($A147="","",IF(N147="Kurang","penyimpanan "&amp;F147&amp;" GB, di bawah batas minimal "&amp;Aturan!$C$45&amp;" GB ("&amp;J147&amp;")",IF(N147="Cukup","penyimpanan "&amp;F147&amp;" GB cukup, nyamannya "&amp;Aturan!$D$45&amp;" GB atau lebih ("&amp;J147&amp;")",IF(N147="Belum ada data","ukuran penyimpanan belum diisi",""))))</f>
        <v/>
      </c>
      <c r="V147" s="33" t="str">
        <f aca="false">IF($A147="","",IF(O147="Kurang","layar "&amp;Varian!$AG33&amp;", di bawah batas minimal ("&amp;IFERROR(INDEX(Aturan!$A$63:$A$66,MATCH(Aturan!$C$46,Aturan!$B$63:$B$66,0)),"peringkat "&amp;Aturan!$C$46)&amp;")",IF(O147="Cukup","layar "&amp;Varian!$AG33&amp;" cukup, nyamannya "&amp;IFERROR(INDEX(Aturan!$A$63:$A$66,MATCH(Aturan!$D$46,Aturan!$B$63:$B$66,0)),"peringkat "&amp;Aturan!$D$46),IF(O147="Belum ada data","jenis layar belum diketahui",""))))</f>
        <v/>
      </c>
      <c r="W147" s="33" t="str">
        <f aca="false">IF($A147="","",IF(P147="Kurang","layar "&amp;H147&amp;" Hz, di bawah batas minimal "&amp;Aturan!$C$47&amp;" Hz",IF(P147="Cukup","layar "&amp;H147&amp;" Hz cukup, nyamannya "&amp;Aturan!$D$47&amp;" Hz atau lebih",IF(P147="Belum ada data","refresh rate belum diketahui",""))))</f>
        <v/>
      </c>
      <c r="X147" s="33" t="str">
        <f aca="false">IF($A147="","",IF(K147="Kurang",R147&amp;"; ","")&amp;IF(L147="Kurang",S147&amp;"; ","")&amp;IF(M147="Kurang",T147&amp;"; ","")&amp;IF(N147="Kurang",U147&amp;"; ","")&amp;IF(O147="Kurang",V147&amp;"; ","")&amp;IF(P147="Kurang",W147&amp;"; ","")&amp;IF(K147="Belum ada data",R147&amp;"; ","")&amp;IF(L147="Belum ada data",S147&amp;"; ","")&amp;IF(M147="Belum ada data",T147&amp;"; ","")&amp;IF(N147="Belum ada data",U147&amp;"; ","")&amp;IF(O147="Belum ada data",V147&amp;"; ","")&amp;IF(P147="Belum ada data",W147&amp;"; ","")&amp;IF(K147="Cukup",R147&amp;"; ","")&amp;IF(L147="Cukup",S147&amp;"; ","")&amp;IF(M147="Cukup",T147&amp;"; ","")&amp;IF(N147="Cukup",U147&amp;"; ","")&amp;IF(O147="Cukup",V147&amp;"; ","")&amp;IF(P147="Cukup",W147&amp;"; ",""))</f>
        <v/>
      </c>
      <c r="Y147" s="33" t="str">
        <f aca="false">IF($A147="","",IF(K147="Nyaman","prosesor, ","")&amp;IF(L147="Nyaman","grafis, ","")&amp;IF(M147="Nyaman","RAM, ","")&amp;IF(N147="Nyaman","penyimpanan, ","")&amp;IF(O147="Nyaman","layar, ","")&amp;IF(P147="Nyaman","refresh rate, ",""))</f>
        <v/>
      </c>
      <c r="Z147" s="33" t="str">
        <f aca="false">IF($A147="","",IF(Q147="Tidak dinilai","Belum ada kriteria yang dinilai untuk kebutuhan ini.",IF(Q147="Cocok","Semua kriteria yang dinilai sudah nyaman: "&amp;LEFT(Y147,LEN(Y147)-2)&amp;".",UPPER(LEFT(X147,1))&amp;MID(X147,2,LEN(X147)-3)&amp;"."&amp;IF(Y147="",""," Sudah nyaman: "&amp;LEFT(Y147,LEN(Y147)-2)&amp;"."))))</f>
        <v/>
      </c>
      <c r="AA147" s="33"/>
      <c r="AB147" s="33"/>
      <c r="AC147" s="69"/>
    </row>
    <row r="148" customFormat="false" ht="15" hidden="false" customHeight="true" outlineLevel="0" collapsed="false">
      <c r="A148" s="33" t="str">
        <f aca="false">IF(Varian!$A33="","",Varian!$A33)</f>
        <v/>
      </c>
      <c r="B148" s="33" t="str">
        <f aca="false">IF($A148="","",Aturan!$A$24)</f>
        <v/>
      </c>
      <c r="C148" s="69" t="str">
        <f aca="false">IF($A148="","",IFERROR(IF(ISNUMBER(INDEX(CPU!$J$4:$J$64,MATCH(Varian!$J33,CPU!$A$4:$A$64,0))),INDEX(CPU!$J$4:$J$64,MATCH(Varian!$J33,CPU!$A$4:$A$64,0)),""),""))</f>
        <v/>
      </c>
      <c r="D148" s="69" t="str">
        <f aca="false">IF($A148="","",IFERROR(IF(ISNUMBER(INDEX(GPU!$G$4:$G$64,MATCH(Varian!$K33,GPU!$A$4:$A$64,0))),INDEX(GPU!$G$4:$G$64,MATCH(Varian!$K33,GPU!$A$4:$A$64,0)),""),""))</f>
        <v/>
      </c>
      <c r="E148" s="69" t="str">
        <f aca="false">IF($A148="","",IF(ISNUMBER(Varian!$M33),Varian!$M33,""))</f>
        <v/>
      </c>
      <c r="F148" s="69" t="str">
        <f aca="false">IF($A148="","",IF(ISNUMBER(Varian!$V33),Varian!$V33,""))</f>
        <v/>
      </c>
      <c r="G148" s="69" t="str">
        <f aca="false">IF($A148="","",IFERROR(INDEX(Aturan!$B$63:$B$66,MATCH(Varian!$AG33,Aturan!$A$63:$A$66,0)),""))</f>
        <v/>
      </c>
      <c r="H148" s="69" t="str">
        <f aca="false">IF($A148="","",IF(ISNUMBER(Varian!$AI33),Varian!$AI33,""))</f>
        <v/>
      </c>
      <c r="I148" s="33" t="str">
        <f aca="false">IF($A148="","",IF(Varian!$Q33="disolder","menempel di papan utama, tidak bisa ditambah",IF(OR(Varian!$Q33="slot",Varian!$Q33="setengah_disolder"),IF(Varian!$Q33="setengah_disolder","sebagian menempel, ","")&amp;IF(ISNUMBER(Varian!$U33),IF(AND(ISNUMBER(Varian!$M33),Varian!$U33&gt;Varian!$M33),"bisa dinaikkan lewat slot sampai "&amp;Varian!$U33&amp;" GB","sudah di batas maksimal "&amp;Varian!$U33&amp;" GB"),"ada slot, batas maksimalnya belum diketahui"),"belum diketahui apakah bisa ditambah")))</f>
        <v/>
      </c>
      <c r="J148" s="33" t="str">
        <f aca="false">IF($A148="","",IF(Varian!$Z33="ya","bisa diganti dengan yang lebih besar",IF(Varian!$Z33="tidak","menempel, tidak bisa diganti","belum diketahui apakah bisa diganti")))</f>
        <v/>
      </c>
      <c r="K148" s="70" t="str">
        <f aca="false">IF($A148="","",IF(AND(Aturan!$C$48="",Aturan!$D$48=""),"Tidak dinilai",IF(C148="","Belum ada data",IF(C148&lt;IF(Aturan!$C$48="",0,Aturan!$C$48),"Kurang",IF(C148&gt;=IF(Aturan!$D$48="",Aturan!$C$48,Aturan!$D$48),"Nyaman","Cukup")))))</f>
        <v/>
      </c>
      <c r="L148" s="70" t="str">
        <f aca="false">IF($A148="","",IF(AND(Aturan!$C$49="",Aturan!$D$49=""),"Tidak dinilai",IF(D148="","Belum ada data",IF(D148&lt;IF(Aturan!$C$49="",0,Aturan!$C$49),"Kurang",IF(D148&gt;=IF(Aturan!$D$49="",Aturan!$C$49,Aturan!$D$49),"Nyaman","Cukup")))))</f>
        <v/>
      </c>
      <c r="M148" s="70" t="str">
        <f aca="false">IF($A148="","",IF(AND(Aturan!$C$50="",Aturan!$D$50=""),"Tidak dinilai",IF(E148="","Belum ada data",IF(E148&lt;IF(Aturan!$C$50="",0,Aturan!$C$50),"Kurang",IF(E148&gt;=IF(Aturan!$D$50="",Aturan!$C$50,Aturan!$D$50),"Nyaman","Cukup")))))</f>
        <v/>
      </c>
      <c r="N148" s="70" t="str">
        <f aca="false">IF($A148="","",IF(AND(Aturan!$C$51="",Aturan!$D$51=""),"Tidak dinilai",IF(F148="","Belum ada data",IF(F148&lt;IF(Aturan!$C$51="",0,Aturan!$C$51),"Kurang",IF(F148&gt;=IF(Aturan!$D$51="",Aturan!$C$51,Aturan!$D$51),"Nyaman","Cukup")))))</f>
        <v/>
      </c>
      <c r="O148" s="70" t="str">
        <f aca="false">IF($A148="","",IF(AND(Aturan!$C$52="",Aturan!$D$52=""),"Tidak dinilai",IF(G148="","Belum ada data",IF(G148&lt;IF(Aturan!$C$52="",0,Aturan!$C$52),"Kurang",IF(G148&gt;=IF(Aturan!$D$52="",Aturan!$C$52,Aturan!$D$52),"Nyaman","Cukup")))))</f>
        <v/>
      </c>
      <c r="P148" s="70" t="str">
        <f aca="false">IF($A148="","",IF(AND(Aturan!$C$53="",Aturan!$D$53=""),"Tidak dinilai",IF(H148="","Belum ada data",IF(H148&lt;IF(Aturan!$C$53="",0,Aturan!$C$53),"Kurang",IF(H148&gt;=IF(Aturan!$D$53="",Aturan!$C$53,Aturan!$D$53),"Nyaman","Cukup")))))</f>
        <v/>
      </c>
      <c r="Q148" s="70" t="str">
        <f aca="false">IF($A148="","",IF(COUNTIF(K148:P148,"Tidak dinilai")=6,"Tidak dinilai",IF(COUNTIF(K148:P148,"Kurang")&gt;0,"Kurang cocok",IF(COUNTIF(K148:P148,"Belum ada data")&gt;0,"Data belum lengkap",IF(COUNTIF(K148:P148,"Cukup")&gt;0,"Bisa, dengan catatan","Cocok")))))</f>
        <v/>
      </c>
      <c r="R148" s="33" t="str">
        <f aca="false">IF($A148="","",IF(K148="Kurang","prosesor tingkat "&amp;C148&amp;" dari 5, di bawah batas minimal (tingkat "&amp;Aturan!$C$48&amp;")",IF(K148="Cukup","prosesor tingkat "&amp;C148&amp;" dari 5 cukup, nyamannya mulai tingkat "&amp;Aturan!$D$48,IF(K148="Belum ada data","tingkat prosesor belum diisi",""))))</f>
        <v/>
      </c>
      <c r="S148" s="33" t="str">
        <f aca="false">IF($A148="","",IF(L148="Kurang","grafis tingkat "&amp;D148&amp;" dari 5, di bawah batas minimal (tingkat "&amp;Aturan!$C$49&amp;")",IF(L148="Cukup","grafis tingkat "&amp;D148&amp;" dari 5 cukup, nyamannya mulai tingkat "&amp;Aturan!$D$49,IF(L148="Belum ada data","tingkat grafis belum diisi",""))))</f>
        <v/>
      </c>
      <c r="T148" s="33" t="str">
        <f aca="false">IF($A148="","",IF(M148="Kurang","RAM "&amp;E148&amp;" GB, di bawah batas minimal "&amp;Aturan!$C$50&amp;" GB ("&amp;I148&amp;")",IF(M148="Cukup","RAM "&amp;E148&amp;" GB cukup, nyamannya "&amp;Aturan!$D$50&amp;" GB atau lebih ("&amp;I148&amp;")",IF(M148="Belum ada data","ukuran RAM belum diisi",""))))</f>
        <v/>
      </c>
      <c r="U148" s="33" t="str">
        <f aca="false">IF($A148="","",IF(N148="Kurang","penyimpanan "&amp;F148&amp;" GB, di bawah batas minimal "&amp;Aturan!$C$51&amp;" GB ("&amp;J148&amp;")",IF(N148="Cukup","penyimpanan "&amp;F148&amp;" GB cukup, nyamannya "&amp;Aturan!$D$51&amp;" GB atau lebih ("&amp;J148&amp;")",IF(N148="Belum ada data","ukuran penyimpanan belum diisi",""))))</f>
        <v/>
      </c>
      <c r="V148" s="33" t="str">
        <f aca="false">IF($A148="","",IF(O148="Kurang","layar "&amp;Varian!$AG33&amp;", di bawah batas minimal ("&amp;IFERROR(INDEX(Aturan!$A$63:$A$66,MATCH(Aturan!$C$52,Aturan!$B$63:$B$66,0)),"peringkat "&amp;Aturan!$C$52)&amp;")",IF(O148="Cukup","layar "&amp;Varian!$AG33&amp;" cukup, nyamannya "&amp;IFERROR(INDEX(Aturan!$A$63:$A$66,MATCH(Aturan!$D$52,Aturan!$B$63:$B$66,0)),"peringkat "&amp;Aturan!$D$52),IF(O148="Belum ada data","jenis layar belum diketahui",""))))</f>
        <v/>
      </c>
      <c r="W148" s="33" t="str">
        <f aca="false">IF($A148="","",IF(P148="Kurang","layar "&amp;H148&amp;" Hz, di bawah batas minimal "&amp;Aturan!$C$53&amp;" Hz",IF(P148="Cukup","layar "&amp;H148&amp;" Hz cukup, nyamannya "&amp;Aturan!$D$53&amp;" Hz atau lebih",IF(P148="Belum ada data","refresh rate belum diketahui",""))))</f>
        <v/>
      </c>
      <c r="X148" s="33" t="str">
        <f aca="false">IF($A148="","",IF(K148="Kurang",R148&amp;"; ","")&amp;IF(L148="Kurang",S148&amp;"; ","")&amp;IF(M148="Kurang",T148&amp;"; ","")&amp;IF(N148="Kurang",U148&amp;"; ","")&amp;IF(O148="Kurang",V148&amp;"; ","")&amp;IF(P148="Kurang",W148&amp;"; ","")&amp;IF(K148="Belum ada data",R148&amp;"; ","")&amp;IF(L148="Belum ada data",S148&amp;"; ","")&amp;IF(M148="Belum ada data",T148&amp;"; ","")&amp;IF(N148="Belum ada data",U148&amp;"; ","")&amp;IF(O148="Belum ada data",V148&amp;"; ","")&amp;IF(P148="Belum ada data",W148&amp;"; ","")&amp;IF(K148="Cukup",R148&amp;"; ","")&amp;IF(L148="Cukup",S148&amp;"; ","")&amp;IF(M148="Cukup",T148&amp;"; ","")&amp;IF(N148="Cukup",U148&amp;"; ","")&amp;IF(O148="Cukup",V148&amp;"; ","")&amp;IF(P148="Cukup",W148&amp;"; ",""))</f>
        <v/>
      </c>
      <c r="Y148" s="33" t="str">
        <f aca="false">IF($A148="","",IF(K148="Nyaman","prosesor, ","")&amp;IF(L148="Nyaman","grafis, ","")&amp;IF(M148="Nyaman","RAM, ","")&amp;IF(N148="Nyaman","penyimpanan, ","")&amp;IF(O148="Nyaman","layar, ","")&amp;IF(P148="Nyaman","refresh rate, ",""))</f>
        <v/>
      </c>
      <c r="Z148" s="33" t="str">
        <f aca="false">IF($A148="","",IF(Q148="Tidak dinilai","Belum ada kriteria yang dinilai untuk kebutuhan ini.",IF(Q148="Cocok","Semua kriteria yang dinilai sudah nyaman: "&amp;LEFT(Y148,LEN(Y148)-2)&amp;".",UPPER(LEFT(X148,1))&amp;MID(X148,2,LEN(X148)-3)&amp;"."&amp;IF(Y148="",""," Sudah nyaman: "&amp;LEFT(Y148,LEN(Y148)-2)&amp;"."))))</f>
        <v/>
      </c>
      <c r="AA148" s="33"/>
      <c r="AB148" s="33"/>
      <c r="AC148" s="69"/>
    </row>
    <row r="149" customFormat="false" ht="15" hidden="false" customHeight="true" outlineLevel="0" collapsed="false">
      <c r="A149" s="33" t="str">
        <f aca="false">IF(Varian!$A33="","",Varian!$A33)</f>
        <v/>
      </c>
      <c r="B149" s="33" t="str">
        <f aca="false">IF($A149="","",Aturan!$A$25)</f>
        <v/>
      </c>
      <c r="C149" s="69" t="str">
        <f aca="false">IF($A149="","",IFERROR(IF(ISNUMBER(INDEX(CPU!$J$4:$J$64,MATCH(Varian!$J33,CPU!$A$4:$A$64,0))),INDEX(CPU!$J$4:$J$64,MATCH(Varian!$J33,CPU!$A$4:$A$64,0)),""),""))</f>
        <v/>
      </c>
      <c r="D149" s="69" t="str">
        <f aca="false">IF($A149="","",IFERROR(IF(ISNUMBER(INDEX(GPU!$G$4:$G$64,MATCH(Varian!$K33,GPU!$A$4:$A$64,0))),INDEX(GPU!$G$4:$G$64,MATCH(Varian!$K33,GPU!$A$4:$A$64,0)),""),""))</f>
        <v/>
      </c>
      <c r="E149" s="69" t="str">
        <f aca="false">IF($A149="","",IF(ISNUMBER(Varian!$M33),Varian!$M33,""))</f>
        <v/>
      </c>
      <c r="F149" s="69" t="str">
        <f aca="false">IF($A149="","",IF(ISNUMBER(Varian!$V33),Varian!$V33,""))</f>
        <v/>
      </c>
      <c r="G149" s="69" t="str">
        <f aca="false">IF($A149="","",IFERROR(INDEX(Aturan!$B$63:$B$66,MATCH(Varian!$AG33,Aturan!$A$63:$A$66,0)),""))</f>
        <v/>
      </c>
      <c r="H149" s="69" t="str">
        <f aca="false">IF($A149="","",IF(ISNUMBER(Varian!$AI33),Varian!$AI33,""))</f>
        <v/>
      </c>
      <c r="I149" s="33" t="str">
        <f aca="false">IF($A149="","",IF(Varian!$Q33="disolder","menempel di papan utama, tidak bisa ditambah",IF(OR(Varian!$Q33="slot",Varian!$Q33="setengah_disolder"),IF(Varian!$Q33="setengah_disolder","sebagian menempel, ","")&amp;IF(ISNUMBER(Varian!$U33),IF(AND(ISNUMBER(Varian!$M33),Varian!$U33&gt;Varian!$M33),"bisa dinaikkan lewat slot sampai "&amp;Varian!$U33&amp;" GB","sudah di batas maksimal "&amp;Varian!$U33&amp;" GB"),"ada slot, batas maksimalnya belum diketahui"),"belum diketahui apakah bisa ditambah")))</f>
        <v/>
      </c>
      <c r="J149" s="33" t="str">
        <f aca="false">IF($A149="","",IF(Varian!$Z33="ya","bisa diganti dengan yang lebih besar",IF(Varian!$Z33="tidak","menempel, tidak bisa diganti","belum diketahui apakah bisa diganti")))</f>
        <v/>
      </c>
      <c r="K149" s="70" t="str">
        <f aca="false">IF($A149="","",IF(AND(Aturan!$C$54="",Aturan!$D$54=""),"Tidak dinilai",IF(C149="","Belum ada data",IF(C149&lt;IF(Aturan!$C$54="",0,Aturan!$C$54),"Kurang",IF(C149&gt;=IF(Aturan!$D$54="",Aturan!$C$54,Aturan!$D$54),"Nyaman","Cukup")))))</f>
        <v/>
      </c>
      <c r="L149" s="70" t="str">
        <f aca="false">IF($A149="","",IF(AND(Aturan!$C$55="",Aturan!$D$55=""),"Tidak dinilai",IF(D149="","Belum ada data",IF(D149&lt;IF(Aturan!$C$55="",0,Aturan!$C$55),"Kurang",IF(D149&gt;=IF(Aturan!$D$55="",Aturan!$C$55,Aturan!$D$55),"Nyaman","Cukup")))))</f>
        <v/>
      </c>
      <c r="M149" s="70" t="str">
        <f aca="false">IF($A149="","",IF(AND(Aturan!$C$56="",Aturan!$D$56=""),"Tidak dinilai",IF(E149="","Belum ada data",IF(E149&lt;IF(Aturan!$C$56="",0,Aturan!$C$56),"Kurang",IF(E149&gt;=IF(Aturan!$D$56="",Aturan!$C$56,Aturan!$D$56),"Nyaman","Cukup")))))</f>
        <v/>
      </c>
      <c r="N149" s="70" t="str">
        <f aca="false">IF($A149="","",IF(AND(Aturan!$C$57="",Aturan!$D$57=""),"Tidak dinilai",IF(F149="","Belum ada data",IF(F149&lt;IF(Aturan!$C$57="",0,Aturan!$C$57),"Kurang",IF(F149&gt;=IF(Aturan!$D$57="",Aturan!$C$57,Aturan!$D$57),"Nyaman","Cukup")))))</f>
        <v/>
      </c>
      <c r="O149" s="70" t="str">
        <f aca="false">IF($A149="","",IF(AND(Aturan!$C$58="",Aturan!$D$58=""),"Tidak dinilai",IF(G149="","Belum ada data",IF(G149&lt;IF(Aturan!$C$58="",0,Aturan!$C$58),"Kurang",IF(G149&gt;=IF(Aturan!$D$58="",Aturan!$C$58,Aturan!$D$58),"Nyaman","Cukup")))))</f>
        <v/>
      </c>
      <c r="P149" s="70" t="str">
        <f aca="false">IF($A149="","",IF(AND(Aturan!$C$59="",Aturan!$D$59=""),"Tidak dinilai",IF(H149="","Belum ada data",IF(H149&lt;IF(Aturan!$C$59="",0,Aturan!$C$59),"Kurang",IF(H149&gt;=IF(Aturan!$D$59="",Aturan!$C$59,Aturan!$D$59),"Nyaman","Cukup")))))</f>
        <v/>
      </c>
      <c r="Q149" s="70" t="str">
        <f aca="false">IF($A149="","",IF(COUNTIF(K149:P149,"Tidak dinilai")=6,"Tidak dinilai",IF(COUNTIF(K149:P149,"Kurang")&gt;0,"Kurang cocok",IF(COUNTIF(K149:P149,"Belum ada data")&gt;0,"Data belum lengkap",IF(COUNTIF(K149:P149,"Cukup")&gt;0,"Bisa, dengan catatan","Cocok")))))</f>
        <v/>
      </c>
      <c r="R149" s="33" t="str">
        <f aca="false">IF($A149="","",IF(K149="Kurang","prosesor tingkat "&amp;C149&amp;" dari 5, di bawah batas minimal (tingkat "&amp;Aturan!$C$54&amp;")",IF(K149="Cukup","prosesor tingkat "&amp;C149&amp;" dari 5 cukup, nyamannya mulai tingkat "&amp;Aturan!$D$54,IF(K149="Belum ada data","tingkat prosesor belum diisi",""))))</f>
        <v/>
      </c>
      <c r="S149" s="33" t="str">
        <f aca="false">IF($A149="","",IF(L149="Kurang","grafis tingkat "&amp;D149&amp;" dari 5, di bawah batas minimal (tingkat "&amp;Aturan!$C$55&amp;")",IF(L149="Cukup","grafis tingkat "&amp;D149&amp;" dari 5 cukup, nyamannya mulai tingkat "&amp;Aturan!$D$55,IF(L149="Belum ada data","tingkat grafis belum diisi",""))))</f>
        <v/>
      </c>
      <c r="T149" s="33" t="str">
        <f aca="false">IF($A149="","",IF(M149="Kurang","RAM "&amp;E149&amp;" GB, di bawah batas minimal "&amp;Aturan!$C$56&amp;" GB ("&amp;I149&amp;")",IF(M149="Cukup","RAM "&amp;E149&amp;" GB cukup, nyamannya "&amp;Aturan!$D$56&amp;" GB atau lebih ("&amp;I149&amp;")",IF(M149="Belum ada data","ukuran RAM belum diisi",""))))</f>
        <v/>
      </c>
      <c r="U149" s="33" t="str">
        <f aca="false">IF($A149="","",IF(N149="Kurang","penyimpanan "&amp;F149&amp;" GB, di bawah batas minimal "&amp;Aturan!$C$57&amp;" GB ("&amp;J149&amp;")",IF(N149="Cukup","penyimpanan "&amp;F149&amp;" GB cukup, nyamannya "&amp;Aturan!$D$57&amp;" GB atau lebih ("&amp;J149&amp;")",IF(N149="Belum ada data","ukuran penyimpanan belum diisi",""))))</f>
        <v/>
      </c>
      <c r="V149" s="33" t="str">
        <f aca="false">IF($A149="","",IF(O149="Kurang","layar "&amp;Varian!$AG33&amp;", di bawah batas minimal ("&amp;IFERROR(INDEX(Aturan!$A$63:$A$66,MATCH(Aturan!$C$58,Aturan!$B$63:$B$66,0)),"peringkat "&amp;Aturan!$C$58)&amp;")",IF(O149="Cukup","layar "&amp;Varian!$AG33&amp;" cukup, nyamannya "&amp;IFERROR(INDEX(Aturan!$A$63:$A$66,MATCH(Aturan!$D$58,Aturan!$B$63:$B$66,0)),"peringkat "&amp;Aturan!$D$58),IF(O149="Belum ada data","jenis layar belum diketahui",""))))</f>
        <v/>
      </c>
      <c r="W149" s="33" t="str">
        <f aca="false">IF($A149="","",IF(P149="Kurang","layar "&amp;H149&amp;" Hz, di bawah batas minimal "&amp;Aturan!$C$59&amp;" Hz",IF(P149="Cukup","layar "&amp;H149&amp;" Hz cukup, nyamannya "&amp;Aturan!$D$59&amp;" Hz atau lebih",IF(P149="Belum ada data","refresh rate belum diketahui",""))))</f>
        <v/>
      </c>
      <c r="X149" s="33" t="str">
        <f aca="false">IF($A149="","",IF(K149="Kurang",R149&amp;"; ","")&amp;IF(L149="Kurang",S149&amp;"; ","")&amp;IF(M149="Kurang",T149&amp;"; ","")&amp;IF(N149="Kurang",U149&amp;"; ","")&amp;IF(O149="Kurang",V149&amp;"; ","")&amp;IF(P149="Kurang",W149&amp;"; ","")&amp;IF(K149="Belum ada data",R149&amp;"; ","")&amp;IF(L149="Belum ada data",S149&amp;"; ","")&amp;IF(M149="Belum ada data",T149&amp;"; ","")&amp;IF(N149="Belum ada data",U149&amp;"; ","")&amp;IF(O149="Belum ada data",V149&amp;"; ","")&amp;IF(P149="Belum ada data",W149&amp;"; ","")&amp;IF(K149="Cukup",R149&amp;"; ","")&amp;IF(L149="Cukup",S149&amp;"; ","")&amp;IF(M149="Cukup",T149&amp;"; ","")&amp;IF(N149="Cukup",U149&amp;"; ","")&amp;IF(O149="Cukup",V149&amp;"; ","")&amp;IF(P149="Cukup",W149&amp;"; ",""))</f>
        <v/>
      </c>
      <c r="Y149" s="33" t="str">
        <f aca="false">IF($A149="","",IF(K149="Nyaman","prosesor, ","")&amp;IF(L149="Nyaman","grafis, ","")&amp;IF(M149="Nyaman","RAM, ","")&amp;IF(N149="Nyaman","penyimpanan, ","")&amp;IF(O149="Nyaman","layar, ","")&amp;IF(P149="Nyaman","refresh rate, ",""))</f>
        <v/>
      </c>
      <c r="Z149" s="33" t="str">
        <f aca="false">IF($A149="","",IF(Q149="Tidak dinilai","Belum ada kriteria yang dinilai untuk kebutuhan ini.",IF(Q149="Cocok","Semua kriteria yang dinilai sudah nyaman: "&amp;LEFT(Y149,LEN(Y149)-2)&amp;".",UPPER(LEFT(X149,1))&amp;MID(X149,2,LEN(X149)-3)&amp;"."&amp;IF(Y149="",""," Sudah nyaman: "&amp;LEFT(Y149,LEN(Y149)-2)&amp;"."))))</f>
        <v/>
      </c>
      <c r="AA149" s="33"/>
      <c r="AB149" s="33"/>
      <c r="AC149" s="69"/>
    </row>
    <row r="150" customFormat="false" ht="15" hidden="false" customHeight="true" outlineLevel="0" collapsed="false">
      <c r="A150" s="66" t="str">
        <f aca="false">IF(Varian!$A34="","",Varian!$A34)</f>
        <v/>
      </c>
      <c r="B150" s="66" t="str">
        <f aca="false">IF($A150="","",Aturan!$A$21)</f>
        <v/>
      </c>
      <c r="C150" s="67" t="str">
        <f aca="false">IF($A150="","",IFERROR(IF(ISNUMBER(INDEX(CPU!$J$4:$J$64,MATCH(Varian!$J34,CPU!$A$4:$A$64,0))),INDEX(CPU!$J$4:$J$64,MATCH(Varian!$J34,CPU!$A$4:$A$64,0)),""),""))</f>
        <v/>
      </c>
      <c r="D150" s="67" t="str">
        <f aca="false">IF($A150="","",IFERROR(IF(ISNUMBER(INDEX(GPU!$G$4:$G$64,MATCH(Varian!$K34,GPU!$A$4:$A$64,0))),INDEX(GPU!$G$4:$G$64,MATCH(Varian!$K34,GPU!$A$4:$A$64,0)),""),""))</f>
        <v/>
      </c>
      <c r="E150" s="67" t="str">
        <f aca="false">IF($A150="","",IF(ISNUMBER(Varian!$M34),Varian!$M34,""))</f>
        <v/>
      </c>
      <c r="F150" s="67" t="str">
        <f aca="false">IF($A150="","",IF(ISNUMBER(Varian!$V34),Varian!$V34,""))</f>
        <v/>
      </c>
      <c r="G150" s="67" t="str">
        <f aca="false">IF($A150="","",IFERROR(INDEX(Aturan!$B$63:$B$66,MATCH(Varian!$AG34,Aturan!$A$63:$A$66,0)),""))</f>
        <v/>
      </c>
      <c r="H150" s="67" t="str">
        <f aca="false">IF($A150="","",IF(ISNUMBER(Varian!$AI34),Varian!$AI34,""))</f>
        <v/>
      </c>
      <c r="I150" s="66" t="str">
        <f aca="false">IF($A150="","",IF(Varian!$Q34="disolder","menempel di papan utama, tidak bisa ditambah",IF(OR(Varian!$Q34="slot",Varian!$Q34="setengah_disolder"),IF(Varian!$Q34="setengah_disolder","sebagian menempel, ","")&amp;IF(ISNUMBER(Varian!$U34),IF(AND(ISNUMBER(Varian!$M34),Varian!$U34&gt;Varian!$M34),"bisa dinaikkan lewat slot sampai "&amp;Varian!$U34&amp;" GB","sudah di batas maksimal "&amp;Varian!$U34&amp;" GB"),"ada slot, batas maksimalnya belum diketahui"),"belum diketahui apakah bisa ditambah")))</f>
        <v/>
      </c>
      <c r="J150" s="66" t="str">
        <f aca="false">IF($A150="","",IF(Varian!$Z34="ya","bisa diganti dengan yang lebih besar",IF(Varian!$Z34="tidak","menempel, tidak bisa diganti","belum diketahui apakah bisa diganti")))</f>
        <v/>
      </c>
      <c r="K150" s="68" t="str">
        <f aca="false">IF($A150="","",IF(AND(Aturan!$C$30="",Aturan!$D$30=""),"Tidak dinilai",IF(C150="","Belum ada data",IF(C150&lt;IF(Aturan!$C$30="",0,Aturan!$C$30),"Kurang",IF(C150&gt;=IF(Aturan!$D$30="",Aturan!$C$30,Aturan!$D$30),"Nyaman","Cukup")))))</f>
        <v/>
      </c>
      <c r="L150" s="68" t="str">
        <f aca="false">IF($A150="","",IF(AND(Aturan!$C$31="",Aturan!$D$31=""),"Tidak dinilai",IF(D150="","Belum ada data",IF(D150&lt;IF(Aturan!$C$31="",0,Aturan!$C$31),"Kurang",IF(D150&gt;=IF(Aturan!$D$31="",Aturan!$C$31,Aturan!$D$31),"Nyaman","Cukup")))))</f>
        <v/>
      </c>
      <c r="M150" s="68" t="str">
        <f aca="false">IF($A150="","",IF(AND(Aturan!$C$32="",Aturan!$D$32=""),"Tidak dinilai",IF(E150="","Belum ada data",IF(E150&lt;IF(Aturan!$C$32="",0,Aturan!$C$32),"Kurang",IF(E150&gt;=IF(Aturan!$D$32="",Aturan!$C$32,Aturan!$D$32),"Nyaman","Cukup")))))</f>
        <v/>
      </c>
      <c r="N150" s="68" t="str">
        <f aca="false">IF($A150="","",IF(AND(Aturan!$C$33="",Aturan!$D$33=""),"Tidak dinilai",IF(F150="","Belum ada data",IF(F150&lt;IF(Aturan!$C$33="",0,Aturan!$C$33),"Kurang",IF(F150&gt;=IF(Aturan!$D$33="",Aturan!$C$33,Aturan!$D$33),"Nyaman","Cukup")))))</f>
        <v/>
      </c>
      <c r="O150" s="68" t="str">
        <f aca="false">IF($A150="","",IF(AND(Aturan!$C$34="",Aturan!$D$34=""),"Tidak dinilai",IF(G150="","Belum ada data",IF(G150&lt;IF(Aturan!$C$34="",0,Aturan!$C$34),"Kurang",IF(G150&gt;=IF(Aturan!$D$34="",Aturan!$C$34,Aturan!$D$34),"Nyaman","Cukup")))))</f>
        <v/>
      </c>
      <c r="P150" s="68" t="str">
        <f aca="false">IF($A150="","",IF(AND(Aturan!$C$35="",Aturan!$D$35=""),"Tidak dinilai",IF(H150="","Belum ada data",IF(H150&lt;IF(Aturan!$C$35="",0,Aturan!$C$35),"Kurang",IF(H150&gt;=IF(Aturan!$D$35="",Aturan!$C$35,Aturan!$D$35),"Nyaman","Cukup")))))</f>
        <v/>
      </c>
      <c r="Q150" s="68" t="str">
        <f aca="false">IF($A150="","",IF(COUNTIF(K150:P150,"Tidak dinilai")=6,"Tidak dinilai",IF(COUNTIF(K150:P150,"Kurang")&gt;0,"Kurang cocok",IF(COUNTIF(K150:P150,"Belum ada data")&gt;0,"Data belum lengkap",IF(COUNTIF(K150:P150,"Cukup")&gt;0,"Bisa, dengan catatan","Cocok")))))</f>
        <v/>
      </c>
      <c r="R150" s="66" t="str">
        <f aca="false">IF($A150="","",IF(K150="Kurang","prosesor tingkat "&amp;C150&amp;" dari 5, di bawah batas minimal (tingkat "&amp;Aturan!$C$30&amp;")",IF(K150="Cukup","prosesor tingkat "&amp;C150&amp;" dari 5 cukup, nyamannya mulai tingkat "&amp;Aturan!$D$30,IF(K150="Belum ada data","tingkat prosesor belum diisi",""))))</f>
        <v/>
      </c>
      <c r="S150" s="66" t="str">
        <f aca="false">IF($A150="","",IF(L150="Kurang","grafis tingkat "&amp;D150&amp;" dari 5, di bawah batas minimal (tingkat "&amp;Aturan!$C$31&amp;")",IF(L150="Cukup","grafis tingkat "&amp;D150&amp;" dari 5 cukup, nyamannya mulai tingkat "&amp;Aturan!$D$31,IF(L150="Belum ada data","tingkat grafis belum diisi",""))))</f>
        <v/>
      </c>
      <c r="T150" s="66" t="str">
        <f aca="false">IF($A150="","",IF(M150="Kurang","RAM "&amp;E150&amp;" GB, di bawah batas minimal "&amp;Aturan!$C$32&amp;" GB ("&amp;I150&amp;")",IF(M150="Cukup","RAM "&amp;E150&amp;" GB cukup, nyamannya "&amp;Aturan!$D$32&amp;" GB atau lebih ("&amp;I150&amp;")",IF(M150="Belum ada data","ukuran RAM belum diisi",""))))</f>
        <v/>
      </c>
      <c r="U150" s="66" t="str">
        <f aca="false">IF($A150="","",IF(N150="Kurang","penyimpanan "&amp;F150&amp;" GB, di bawah batas minimal "&amp;Aturan!$C$33&amp;" GB ("&amp;J150&amp;")",IF(N150="Cukup","penyimpanan "&amp;F150&amp;" GB cukup, nyamannya "&amp;Aturan!$D$33&amp;" GB atau lebih ("&amp;J150&amp;")",IF(N150="Belum ada data","ukuran penyimpanan belum diisi",""))))</f>
        <v/>
      </c>
      <c r="V150" s="66" t="str">
        <f aca="false">IF($A150="","",IF(O150="Kurang","layar "&amp;Varian!$AG34&amp;", di bawah batas minimal ("&amp;IFERROR(INDEX(Aturan!$A$63:$A$66,MATCH(Aturan!$C$34,Aturan!$B$63:$B$66,0)),"peringkat "&amp;Aturan!$C$34)&amp;")",IF(O150="Cukup","layar "&amp;Varian!$AG34&amp;" cukup, nyamannya "&amp;IFERROR(INDEX(Aturan!$A$63:$A$66,MATCH(Aturan!$D$34,Aturan!$B$63:$B$66,0)),"peringkat "&amp;Aturan!$D$34),IF(O150="Belum ada data","jenis layar belum diketahui",""))))</f>
        <v/>
      </c>
      <c r="W150" s="66" t="str">
        <f aca="false">IF($A150="","",IF(P150="Kurang","layar "&amp;H150&amp;" Hz, di bawah batas minimal "&amp;Aturan!$C$35&amp;" Hz",IF(P150="Cukup","layar "&amp;H150&amp;" Hz cukup, nyamannya "&amp;Aturan!$D$35&amp;" Hz atau lebih",IF(P150="Belum ada data","refresh rate belum diketahui",""))))</f>
        <v/>
      </c>
      <c r="X150" s="66" t="str">
        <f aca="false">IF($A150="","",IF(K150="Kurang",R150&amp;"; ","")&amp;IF(L150="Kurang",S150&amp;"; ","")&amp;IF(M150="Kurang",T150&amp;"; ","")&amp;IF(N150="Kurang",U150&amp;"; ","")&amp;IF(O150="Kurang",V150&amp;"; ","")&amp;IF(P150="Kurang",W150&amp;"; ","")&amp;IF(K150="Belum ada data",R150&amp;"; ","")&amp;IF(L150="Belum ada data",S150&amp;"; ","")&amp;IF(M150="Belum ada data",T150&amp;"; ","")&amp;IF(N150="Belum ada data",U150&amp;"; ","")&amp;IF(O150="Belum ada data",V150&amp;"; ","")&amp;IF(P150="Belum ada data",W150&amp;"; ","")&amp;IF(K150="Cukup",R150&amp;"; ","")&amp;IF(L150="Cukup",S150&amp;"; ","")&amp;IF(M150="Cukup",T150&amp;"; ","")&amp;IF(N150="Cukup",U150&amp;"; ","")&amp;IF(O150="Cukup",V150&amp;"; ","")&amp;IF(P150="Cukup",W150&amp;"; ",""))</f>
        <v/>
      </c>
      <c r="Y150" s="66" t="str">
        <f aca="false">IF($A150="","",IF(K150="Nyaman","prosesor, ","")&amp;IF(L150="Nyaman","grafis, ","")&amp;IF(M150="Nyaman","RAM, ","")&amp;IF(N150="Nyaman","penyimpanan, ","")&amp;IF(O150="Nyaman","layar, ","")&amp;IF(P150="Nyaman","refresh rate, ",""))</f>
        <v/>
      </c>
      <c r="Z150" s="66" t="str">
        <f aca="false">IF($A150="","",IF(Q150="Tidak dinilai","Belum ada kriteria yang dinilai untuk kebutuhan ini.",IF(Q150="Cocok","Semua kriteria yang dinilai sudah nyaman: "&amp;LEFT(Y150,LEN(Y150)-2)&amp;".",UPPER(LEFT(X150,1))&amp;MID(X150,2,LEN(X150)-3)&amp;"."&amp;IF(Y150="",""," Sudah nyaman: "&amp;LEFT(Y150,LEN(Y150)-2)&amp;"."))))</f>
        <v/>
      </c>
      <c r="AA150" s="66" t="str">
        <f aca="false">IF($A150="","",IF(Varian!$AR34="Windows 10","• "&amp;Aturan!$E$71&amp;CHAR(10),"")&amp;IF(Varian!$BB34="tidak","• "&amp;Aturan!$E$72&amp;CHAR(10),"")&amp;IF(OR(Varian!$AD34="belum terverifikasi",Varian!$AD34="tidak diketahui"),"• "&amp;Aturan!$E$73&amp;CHAR(10),"")&amp;IF(Varian!$AH34="1366x768","• "&amp;Aturan!$E$74&amp;CHAR(10),"")&amp;IF(Varian!$AG34="TN","• "&amp;Aturan!$E$75&amp;CHAR(10),"")&amp;IF(AND(Varian!$Q34="disolder",ISNUMBER(Varian!$M34),Varian!$M34&lt;=8),"• "&amp;Aturan!$E$76&amp;CHAR(10),""))</f>
        <v/>
      </c>
      <c r="AB150" s="66" t="str">
        <f aca="false">IF($A150="","",IF(AA150="","",LEFT(AA150,LEN(AA150)-1)))</f>
        <v/>
      </c>
      <c r="AC150" s="67" t="str">
        <f aca="false">IF($A150="","",IF(AA150="",0,LEN(AA150)-LEN(SUBSTITUTE(AA150,CHAR(10),""))))</f>
        <v/>
      </c>
    </row>
    <row r="151" customFormat="false" ht="15" hidden="false" customHeight="true" outlineLevel="0" collapsed="false">
      <c r="A151" s="33" t="str">
        <f aca="false">IF(Varian!$A34="","",Varian!$A34)</f>
        <v/>
      </c>
      <c r="B151" s="33" t="str">
        <f aca="false">IF($A151="","",Aturan!$A$22)</f>
        <v/>
      </c>
      <c r="C151" s="69" t="str">
        <f aca="false">IF($A151="","",IFERROR(IF(ISNUMBER(INDEX(CPU!$J$4:$J$64,MATCH(Varian!$J34,CPU!$A$4:$A$64,0))),INDEX(CPU!$J$4:$J$64,MATCH(Varian!$J34,CPU!$A$4:$A$64,0)),""),""))</f>
        <v/>
      </c>
      <c r="D151" s="69" t="str">
        <f aca="false">IF($A151="","",IFERROR(IF(ISNUMBER(INDEX(GPU!$G$4:$G$64,MATCH(Varian!$K34,GPU!$A$4:$A$64,0))),INDEX(GPU!$G$4:$G$64,MATCH(Varian!$K34,GPU!$A$4:$A$64,0)),""),""))</f>
        <v/>
      </c>
      <c r="E151" s="69" t="str">
        <f aca="false">IF($A151="","",IF(ISNUMBER(Varian!$M34),Varian!$M34,""))</f>
        <v/>
      </c>
      <c r="F151" s="69" t="str">
        <f aca="false">IF($A151="","",IF(ISNUMBER(Varian!$V34),Varian!$V34,""))</f>
        <v/>
      </c>
      <c r="G151" s="69" t="str">
        <f aca="false">IF($A151="","",IFERROR(INDEX(Aturan!$B$63:$B$66,MATCH(Varian!$AG34,Aturan!$A$63:$A$66,0)),""))</f>
        <v/>
      </c>
      <c r="H151" s="69" t="str">
        <f aca="false">IF($A151="","",IF(ISNUMBER(Varian!$AI34),Varian!$AI34,""))</f>
        <v/>
      </c>
      <c r="I151" s="33" t="str">
        <f aca="false">IF($A151="","",IF(Varian!$Q34="disolder","menempel di papan utama, tidak bisa ditambah",IF(OR(Varian!$Q34="slot",Varian!$Q34="setengah_disolder"),IF(Varian!$Q34="setengah_disolder","sebagian menempel, ","")&amp;IF(ISNUMBER(Varian!$U34),IF(AND(ISNUMBER(Varian!$M34),Varian!$U34&gt;Varian!$M34),"bisa dinaikkan lewat slot sampai "&amp;Varian!$U34&amp;" GB","sudah di batas maksimal "&amp;Varian!$U34&amp;" GB"),"ada slot, batas maksimalnya belum diketahui"),"belum diketahui apakah bisa ditambah")))</f>
        <v/>
      </c>
      <c r="J151" s="33" t="str">
        <f aca="false">IF($A151="","",IF(Varian!$Z34="ya","bisa diganti dengan yang lebih besar",IF(Varian!$Z34="tidak","menempel, tidak bisa diganti","belum diketahui apakah bisa diganti")))</f>
        <v/>
      </c>
      <c r="K151" s="70" t="str">
        <f aca="false">IF($A151="","",IF(AND(Aturan!$C$36="",Aturan!$D$36=""),"Tidak dinilai",IF(C151="","Belum ada data",IF(C151&lt;IF(Aturan!$C$36="",0,Aturan!$C$36),"Kurang",IF(C151&gt;=IF(Aturan!$D$36="",Aturan!$C$36,Aturan!$D$36),"Nyaman","Cukup")))))</f>
        <v/>
      </c>
      <c r="L151" s="70" t="str">
        <f aca="false">IF($A151="","",IF(AND(Aturan!$C$37="",Aturan!$D$37=""),"Tidak dinilai",IF(D151="","Belum ada data",IF(D151&lt;IF(Aturan!$C$37="",0,Aturan!$C$37),"Kurang",IF(D151&gt;=IF(Aturan!$D$37="",Aturan!$C$37,Aturan!$D$37),"Nyaman","Cukup")))))</f>
        <v/>
      </c>
      <c r="M151" s="70" t="str">
        <f aca="false">IF($A151="","",IF(AND(Aturan!$C$38="",Aturan!$D$38=""),"Tidak dinilai",IF(E151="","Belum ada data",IF(E151&lt;IF(Aturan!$C$38="",0,Aturan!$C$38),"Kurang",IF(E151&gt;=IF(Aturan!$D$38="",Aturan!$C$38,Aturan!$D$38),"Nyaman","Cukup")))))</f>
        <v/>
      </c>
      <c r="N151" s="70" t="str">
        <f aca="false">IF($A151="","",IF(AND(Aturan!$C$39="",Aturan!$D$39=""),"Tidak dinilai",IF(F151="","Belum ada data",IF(F151&lt;IF(Aturan!$C$39="",0,Aturan!$C$39),"Kurang",IF(F151&gt;=IF(Aturan!$D$39="",Aturan!$C$39,Aturan!$D$39),"Nyaman","Cukup")))))</f>
        <v/>
      </c>
      <c r="O151" s="70" t="str">
        <f aca="false">IF($A151="","",IF(AND(Aturan!$C$40="",Aturan!$D$40=""),"Tidak dinilai",IF(G151="","Belum ada data",IF(G151&lt;IF(Aturan!$C$40="",0,Aturan!$C$40),"Kurang",IF(G151&gt;=IF(Aturan!$D$40="",Aturan!$C$40,Aturan!$D$40),"Nyaman","Cukup")))))</f>
        <v/>
      </c>
      <c r="P151" s="70" t="str">
        <f aca="false">IF($A151="","",IF(AND(Aturan!$C$41="",Aturan!$D$41=""),"Tidak dinilai",IF(H151="","Belum ada data",IF(H151&lt;IF(Aturan!$C$41="",0,Aturan!$C$41),"Kurang",IF(H151&gt;=IF(Aturan!$D$41="",Aturan!$C$41,Aturan!$D$41),"Nyaman","Cukup")))))</f>
        <v/>
      </c>
      <c r="Q151" s="70" t="str">
        <f aca="false">IF($A151="","",IF(COUNTIF(K151:P151,"Tidak dinilai")=6,"Tidak dinilai",IF(COUNTIF(K151:P151,"Kurang")&gt;0,"Kurang cocok",IF(COUNTIF(K151:P151,"Belum ada data")&gt;0,"Data belum lengkap",IF(COUNTIF(K151:P151,"Cukup")&gt;0,"Bisa, dengan catatan","Cocok")))))</f>
        <v/>
      </c>
      <c r="R151" s="33" t="str">
        <f aca="false">IF($A151="","",IF(K151="Kurang","prosesor tingkat "&amp;C151&amp;" dari 5, di bawah batas minimal (tingkat "&amp;Aturan!$C$36&amp;")",IF(K151="Cukup","prosesor tingkat "&amp;C151&amp;" dari 5 cukup, nyamannya mulai tingkat "&amp;Aturan!$D$36,IF(K151="Belum ada data","tingkat prosesor belum diisi",""))))</f>
        <v/>
      </c>
      <c r="S151" s="33" t="str">
        <f aca="false">IF($A151="","",IF(L151="Kurang","grafis tingkat "&amp;D151&amp;" dari 5, di bawah batas minimal (tingkat "&amp;Aturan!$C$37&amp;")",IF(L151="Cukup","grafis tingkat "&amp;D151&amp;" dari 5 cukup, nyamannya mulai tingkat "&amp;Aturan!$D$37,IF(L151="Belum ada data","tingkat grafis belum diisi",""))))</f>
        <v/>
      </c>
      <c r="T151" s="33" t="str">
        <f aca="false">IF($A151="","",IF(M151="Kurang","RAM "&amp;E151&amp;" GB, di bawah batas minimal "&amp;Aturan!$C$38&amp;" GB ("&amp;I151&amp;")",IF(M151="Cukup","RAM "&amp;E151&amp;" GB cukup, nyamannya "&amp;Aturan!$D$38&amp;" GB atau lebih ("&amp;I151&amp;")",IF(M151="Belum ada data","ukuran RAM belum diisi",""))))</f>
        <v/>
      </c>
      <c r="U151" s="33" t="str">
        <f aca="false">IF($A151="","",IF(N151="Kurang","penyimpanan "&amp;F151&amp;" GB, di bawah batas minimal "&amp;Aturan!$C$39&amp;" GB ("&amp;J151&amp;")",IF(N151="Cukup","penyimpanan "&amp;F151&amp;" GB cukup, nyamannya "&amp;Aturan!$D$39&amp;" GB atau lebih ("&amp;J151&amp;")",IF(N151="Belum ada data","ukuran penyimpanan belum diisi",""))))</f>
        <v/>
      </c>
      <c r="V151" s="33" t="str">
        <f aca="false">IF($A151="","",IF(O151="Kurang","layar "&amp;Varian!$AG34&amp;", di bawah batas minimal ("&amp;IFERROR(INDEX(Aturan!$A$63:$A$66,MATCH(Aturan!$C$40,Aturan!$B$63:$B$66,0)),"peringkat "&amp;Aturan!$C$40)&amp;")",IF(O151="Cukup","layar "&amp;Varian!$AG34&amp;" cukup, nyamannya "&amp;IFERROR(INDEX(Aturan!$A$63:$A$66,MATCH(Aturan!$D$40,Aturan!$B$63:$B$66,0)),"peringkat "&amp;Aturan!$D$40),IF(O151="Belum ada data","jenis layar belum diketahui",""))))</f>
        <v/>
      </c>
      <c r="W151" s="33" t="str">
        <f aca="false">IF($A151="","",IF(P151="Kurang","layar "&amp;H151&amp;" Hz, di bawah batas minimal "&amp;Aturan!$C$41&amp;" Hz",IF(P151="Cukup","layar "&amp;H151&amp;" Hz cukup, nyamannya "&amp;Aturan!$D$41&amp;" Hz atau lebih",IF(P151="Belum ada data","refresh rate belum diketahui",""))))</f>
        <v/>
      </c>
      <c r="X151" s="33" t="str">
        <f aca="false">IF($A151="","",IF(K151="Kurang",R151&amp;"; ","")&amp;IF(L151="Kurang",S151&amp;"; ","")&amp;IF(M151="Kurang",T151&amp;"; ","")&amp;IF(N151="Kurang",U151&amp;"; ","")&amp;IF(O151="Kurang",V151&amp;"; ","")&amp;IF(P151="Kurang",W151&amp;"; ","")&amp;IF(K151="Belum ada data",R151&amp;"; ","")&amp;IF(L151="Belum ada data",S151&amp;"; ","")&amp;IF(M151="Belum ada data",T151&amp;"; ","")&amp;IF(N151="Belum ada data",U151&amp;"; ","")&amp;IF(O151="Belum ada data",V151&amp;"; ","")&amp;IF(P151="Belum ada data",W151&amp;"; ","")&amp;IF(K151="Cukup",R151&amp;"; ","")&amp;IF(L151="Cukup",S151&amp;"; ","")&amp;IF(M151="Cukup",T151&amp;"; ","")&amp;IF(N151="Cukup",U151&amp;"; ","")&amp;IF(O151="Cukup",V151&amp;"; ","")&amp;IF(P151="Cukup",W151&amp;"; ",""))</f>
        <v/>
      </c>
      <c r="Y151" s="33" t="str">
        <f aca="false">IF($A151="","",IF(K151="Nyaman","prosesor, ","")&amp;IF(L151="Nyaman","grafis, ","")&amp;IF(M151="Nyaman","RAM, ","")&amp;IF(N151="Nyaman","penyimpanan, ","")&amp;IF(O151="Nyaman","layar, ","")&amp;IF(P151="Nyaman","refresh rate, ",""))</f>
        <v/>
      </c>
      <c r="Z151" s="33" t="str">
        <f aca="false">IF($A151="","",IF(Q151="Tidak dinilai","Belum ada kriteria yang dinilai untuk kebutuhan ini.",IF(Q151="Cocok","Semua kriteria yang dinilai sudah nyaman: "&amp;LEFT(Y151,LEN(Y151)-2)&amp;".",UPPER(LEFT(X151,1))&amp;MID(X151,2,LEN(X151)-3)&amp;"."&amp;IF(Y151="",""," Sudah nyaman: "&amp;LEFT(Y151,LEN(Y151)-2)&amp;"."))))</f>
        <v/>
      </c>
      <c r="AA151" s="33"/>
      <c r="AB151" s="33"/>
      <c r="AC151" s="69"/>
    </row>
    <row r="152" customFormat="false" ht="15" hidden="false" customHeight="true" outlineLevel="0" collapsed="false">
      <c r="A152" s="33" t="str">
        <f aca="false">IF(Varian!$A34="","",Varian!$A34)</f>
        <v/>
      </c>
      <c r="B152" s="33" t="str">
        <f aca="false">IF($A152="","",Aturan!$A$23)</f>
        <v/>
      </c>
      <c r="C152" s="69" t="str">
        <f aca="false">IF($A152="","",IFERROR(IF(ISNUMBER(INDEX(CPU!$J$4:$J$64,MATCH(Varian!$J34,CPU!$A$4:$A$64,0))),INDEX(CPU!$J$4:$J$64,MATCH(Varian!$J34,CPU!$A$4:$A$64,0)),""),""))</f>
        <v/>
      </c>
      <c r="D152" s="69" t="str">
        <f aca="false">IF($A152="","",IFERROR(IF(ISNUMBER(INDEX(GPU!$G$4:$G$64,MATCH(Varian!$K34,GPU!$A$4:$A$64,0))),INDEX(GPU!$G$4:$G$64,MATCH(Varian!$K34,GPU!$A$4:$A$64,0)),""),""))</f>
        <v/>
      </c>
      <c r="E152" s="69" t="str">
        <f aca="false">IF($A152="","",IF(ISNUMBER(Varian!$M34),Varian!$M34,""))</f>
        <v/>
      </c>
      <c r="F152" s="69" t="str">
        <f aca="false">IF($A152="","",IF(ISNUMBER(Varian!$V34),Varian!$V34,""))</f>
        <v/>
      </c>
      <c r="G152" s="69" t="str">
        <f aca="false">IF($A152="","",IFERROR(INDEX(Aturan!$B$63:$B$66,MATCH(Varian!$AG34,Aturan!$A$63:$A$66,0)),""))</f>
        <v/>
      </c>
      <c r="H152" s="69" t="str">
        <f aca="false">IF($A152="","",IF(ISNUMBER(Varian!$AI34),Varian!$AI34,""))</f>
        <v/>
      </c>
      <c r="I152" s="33" t="str">
        <f aca="false">IF($A152="","",IF(Varian!$Q34="disolder","menempel di papan utama, tidak bisa ditambah",IF(OR(Varian!$Q34="slot",Varian!$Q34="setengah_disolder"),IF(Varian!$Q34="setengah_disolder","sebagian menempel, ","")&amp;IF(ISNUMBER(Varian!$U34),IF(AND(ISNUMBER(Varian!$M34),Varian!$U34&gt;Varian!$M34),"bisa dinaikkan lewat slot sampai "&amp;Varian!$U34&amp;" GB","sudah di batas maksimal "&amp;Varian!$U34&amp;" GB"),"ada slot, batas maksimalnya belum diketahui"),"belum diketahui apakah bisa ditambah")))</f>
        <v/>
      </c>
      <c r="J152" s="33" t="str">
        <f aca="false">IF($A152="","",IF(Varian!$Z34="ya","bisa diganti dengan yang lebih besar",IF(Varian!$Z34="tidak","menempel, tidak bisa diganti","belum diketahui apakah bisa diganti")))</f>
        <v/>
      </c>
      <c r="K152" s="70" t="str">
        <f aca="false">IF($A152="","",IF(AND(Aturan!$C$42="",Aturan!$D$42=""),"Tidak dinilai",IF(C152="","Belum ada data",IF(C152&lt;IF(Aturan!$C$42="",0,Aturan!$C$42),"Kurang",IF(C152&gt;=IF(Aturan!$D$42="",Aturan!$C$42,Aturan!$D$42),"Nyaman","Cukup")))))</f>
        <v/>
      </c>
      <c r="L152" s="70" t="str">
        <f aca="false">IF($A152="","",IF(AND(Aturan!$C$43="",Aturan!$D$43=""),"Tidak dinilai",IF(D152="","Belum ada data",IF(D152&lt;IF(Aturan!$C$43="",0,Aturan!$C$43),"Kurang",IF(D152&gt;=IF(Aturan!$D$43="",Aturan!$C$43,Aturan!$D$43),"Nyaman","Cukup")))))</f>
        <v/>
      </c>
      <c r="M152" s="70" t="str">
        <f aca="false">IF($A152="","",IF(AND(Aturan!$C$44="",Aturan!$D$44=""),"Tidak dinilai",IF(E152="","Belum ada data",IF(E152&lt;IF(Aturan!$C$44="",0,Aturan!$C$44),"Kurang",IF(E152&gt;=IF(Aturan!$D$44="",Aturan!$C$44,Aturan!$D$44),"Nyaman","Cukup")))))</f>
        <v/>
      </c>
      <c r="N152" s="70" t="str">
        <f aca="false">IF($A152="","",IF(AND(Aturan!$C$45="",Aturan!$D$45=""),"Tidak dinilai",IF(F152="","Belum ada data",IF(F152&lt;IF(Aturan!$C$45="",0,Aturan!$C$45),"Kurang",IF(F152&gt;=IF(Aturan!$D$45="",Aturan!$C$45,Aturan!$D$45),"Nyaman","Cukup")))))</f>
        <v/>
      </c>
      <c r="O152" s="70" t="str">
        <f aca="false">IF($A152="","",IF(AND(Aturan!$C$46="",Aturan!$D$46=""),"Tidak dinilai",IF(G152="","Belum ada data",IF(G152&lt;IF(Aturan!$C$46="",0,Aturan!$C$46),"Kurang",IF(G152&gt;=IF(Aturan!$D$46="",Aturan!$C$46,Aturan!$D$46),"Nyaman","Cukup")))))</f>
        <v/>
      </c>
      <c r="P152" s="70" t="str">
        <f aca="false">IF($A152="","",IF(AND(Aturan!$C$47="",Aturan!$D$47=""),"Tidak dinilai",IF(H152="","Belum ada data",IF(H152&lt;IF(Aturan!$C$47="",0,Aturan!$C$47),"Kurang",IF(H152&gt;=IF(Aturan!$D$47="",Aturan!$C$47,Aturan!$D$47),"Nyaman","Cukup")))))</f>
        <v/>
      </c>
      <c r="Q152" s="70" t="str">
        <f aca="false">IF($A152="","",IF(COUNTIF(K152:P152,"Tidak dinilai")=6,"Tidak dinilai",IF(COUNTIF(K152:P152,"Kurang")&gt;0,"Kurang cocok",IF(COUNTIF(K152:P152,"Belum ada data")&gt;0,"Data belum lengkap",IF(COUNTIF(K152:P152,"Cukup")&gt;0,"Bisa, dengan catatan","Cocok")))))</f>
        <v/>
      </c>
      <c r="R152" s="33" t="str">
        <f aca="false">IF($A152="","",IF(K152="Kurang","prosesor tingkat "&amp;C152&amp;" dari 5, di bawah batas minimal (tingkat "&amp;Aturan!$C$42&amp;")",IF(K152="Cukup","prosesor tingkat "&amp;C152&amp;" dari 5 cukup, nyamannya mulai tingkat "&amp;Aturan!$D$42,IF(K152="Belum ada data","tingkat prosesor belum diisi",""))))</f>
        <v/>
      </c>
      <c r="S152" s="33" t="str">
        <f aca="false">IF($A152="","",IF(L152="Kurang","grafis tingkat "&amp;D152&amp;" dari 5, di bawah batas minimal (tingkat "&amp;Aturan!$C$43&amp;")",IF(L152="Cukup","grafis tingkat "&amp;D152&amp;" dari 5 cukup, nyamannya mulai tingkat "&amp;Aturan!$D$43,IF(L152="Belum ada data","tingkat grafis belum diisi",""))))</f>
        <v/>
      </c>
      <c r="T152" s="33" t="str">
        <f aca="false">IF($A152="","",IF(M152="Kurang","RAM "&amp;E152&amp;" GB, di bawah batas minimal "&amp;Aturan!$C$44&amp;" GB ("&amp;I152&amp;")",IF(M152="Cukup","RAM "&amp;E152&amp;" GB cukup, nyamannya "&amp;Aturan!$D$44&amp;" GB atau lebih ("&amp;I152&amp;")",IF(M152="Belum ada data","ukuran RAM belum diisi",""))))</f>
        <v/>
      </c>
      <c r="U152" s="33" t="str">
        <f aca="false">IF($A152="","",IF(N152="Kurang","penyimpanan "&amp;F152&amp;" GB, di bawah batas minimal "&amp;Aturan!$C$45&amp;" GB ("&amp;J152&amp;")",IF(N152="Cukup","penyimpanan "&amp;F152&amp;" GB cukup, nyamannya "&amp;Aturan!$D$45&amp;" GB atau lebih ("&amp;J152&amp;")",IF(N152="Belum ada data","ukuran penyimpanan belum diisi",""))))</f>
        <v/>
      </c>
      <c r="V152" s="33" t="str">
        <f aca="false">IF($A152="","",IF(O152="Kurang","layar "&amp;Varian!$AG34&amp;", di bawah batas minimal ("&amp;IFERROR(INDEX(Aturan!$A$63:$A$66,MATCH(Aturan!$C$46,Aturan!$B$63:$B$66,0)),"peringkat "&amp;Aturan!$C$46)&amp;")",IF(O152="Cukup","layar "&amp;Varian!$AG34&amp;" cukup, nyamannya "&amp;IFERROR(INDEX(Aturan!$A$63:$A$66,MATCH(Aturan!$D$46,Aturan!$B$63:$B$66,0)),"peringkat "&amp;Aturan!$D$46),IF(O152="Belum ada data","jenis layar belum diketahui",""))))</f>
        <v/>
      </c>
      <c r="W152" s="33" t="str">
        <f aca="false">IF($A152="","",IF(P152="Kurang","layar "&amp;H152&amp;" Hz, di bawah batas minimal "&amp;Aturan!$C$47&amp;" Hz",IF(P152="Cukup","layar "&amp;H152&amp;" Hz cukup, nyamannya "&amp;Aturan!$D$47&amp;" Hz atau lebih",IF(P152="Belum ada data","refresh rate belum diketahui",""))))</f>
        <v/>
      </c>
      <c r="X152" s="33" t="str">
        <f aca="false">IF($A152="","",IF(K152="Kurang",R152&amp;"; ","")&amp;IF(L152="Kurang",S152&amp;"; ","")&amp;IF(M152="Kurang",T152&amp;"; ","")&amp;IF(N152="Kurang",U152&amp;"; ","")&amp;IF(O152="Kurang",V152&amp;"; ","")&amp;IF(P152="Kurang",W152&amp;"; ","")&amp;IF(K152="Belum ada data",R152&amp;"; ","")&amp;IF(L152="Belum ada data",S152&amp;"; ","")&amp;IF(M152="Belum ada data",T152&amp;"; ","")&amp;IF(N152="Belum ada data",U152&amp;"; ","")&amp;IF(O152="Belum ada data",V152&amp;"; ","")&amp;IF(P152="Belum ada data",W152&amp;"; ","")&amp;IF(K152="Cukup",R152&amp;"; ","")&amp;IF(L152="Cukup",S152&amp;"; ","")&amp;IF(M152="Cukup",T152&amp;"; ","")&amp;IF(N152="Cukup",U152&amp;"; ","")&amp;IF(O152="Cukup",V152&amp;"; ","")&amp;IF(P152="Cukup",W152&amp;"; ",""))</f>
        <v/>
      </c>
      <c r="Y152" s="33" t="str">
        <f aca="false">IF($A152="","",IF(K152="Nyaman","prosesor, ","")&amp;IF(L152="Nyaman","grafis, ","")&amp;IF(M152="Nyaman","RAM, ","")&amp;IF(N152="Nyaman","penyimpanan, ","")&amp;IF(O152="Nyaman","layar, ","")&amp;IF(P152="Nyaman","refresh rate, ",""))</f>
        <v/>
      </c>
      <c r="Z152" s="33" t="str">
        <f aca="false">IF($A152="","",IF(Q152="Tidak dinilai","Belum ada kriteria yang dinilai untuk kebutuhan ini.",IF(Q152="Cocok","Semua kriteria yang dinilai sudah nyaman: "&amp;LEFT(Y152,LEN(Y152)-2)&amp;".",UPPER(LEFT(X152,1))&amp;MID(X152,2,LEN(X152)-3)&amp;"."&amp;IF(Y152="",""," Sudah nyaman: "&amp;LEFT(Y152,LEN(Y152)-2)&amp;"."))))</f>
        <v/>
      </c>
      <c r="AA152" s="33"/>
      <c r="AB152" s="33"/>
      <c r="AC152" s="69"/>
    </row>
    <row r="153" customFormat="false" ht="15" hidden="false" customHeight="true" outlineLevel="0" collapsed="false">
      <c r="A153" s="33" t="str">
        <f aca="false">IF(Varian!$A34="","",Varian!$A34)</f>
        <v/>
      </c>
      <c r="B153" s="33" t="str">
        <f aca="false">IF($A153="","",Aturan!$A$24)</f>
        <v/>
      </c>
      <c r="C153" s="69" t="str">
        <f aca="false">IF($A153="","",IFERROR(IF(ISNUMBER(INDEX(CPU!$J$4:$J$64,MATCH(Varian!$J34,CPU!$A$4:$A$64,0))),INDEX(CPU!$J$4:$J$64,MATCH(Varian!$J34,CPU!$A$4:$A$64,0)),""),""))</f>
        <v/>
      </c>
      <c r="D153" s="69" t="str">
        <f aca="false">IF($A153="","",IFERROR(IF(ISNUMBER(INDEX(GPU!$G$4:$G$64,MATCH(Varian!$K34,GPU!$A$4:$A$64,0))),INDEX(GPU!$G$4:$G$64,MATCH(Varian!$K34,GPU!$A$4:$A$64,0)),""),""))</f>
        <v/>
      </c>
      <c r="E153" s="69" t="str">
        <f aca="false">IF($A153="","",IF(ISNUMBER(Varian!$M34),Varian!$M34,""))</f>
        <v/>
      </c>
      <c r="F153" s="69" t="str">
        <f aca="false">IF($A153="","",IF(ISNUMBER(Varian!$V34),Varian!$V34,""))</f>
        <v/>
      </c>
      <c r="G153" s="69" t="str">
        <f aca="false">IF($A153="","",IFERROR(INDEX(Aturan!$B$63:$B$66,MATCH(Varian!$AG34,Aturan!$A$63:$A$66,0)),""))</f>
        <v/>
      </c>
      <c r="H153" s="69" t="str">
        <f aca="false">IF($A153="","",IF(ISNUMBER(Varian!$AI34),Varian!$AI34,""))</f>
        <v/>
      </c>
      <c r="I153" s="33" t="str">
        <f aca="false">IF($A153="","",IF(Varian!$Q34="disolder","menempel di papan utama, tidak bisa ditambah",IF(OR(Varian!$Q34="slot",Varian!$Q34="setengah_disolder"),IF(Varian!$Q34="setengah_disolder","sebagian menempel, ","")&amp;IF(ISNUMBER(Varian!$U34),IF(AND(ISNUMBER(Varian!$M34),Varian!$U34&gt;Varian!$M34),"bisa dinaikkan lewat slot sampai "&amp;Varian!$U34&amp;" GB","sudah di batas maksimal "&amp;Varian!$U34&amp;" GB"),"ada slot, batas maksimalnya belum diketahui"),"belum diketahui apakah bisa ditambah")))</f>
        <v/>
      </c>
      <c r="J153" s="33" t="str">
        <f aca="false">IF($A153="","",IF(Varian!$Z34="ya","bisa diganti dengan yang lebih besar",IF(Varian!$Z34="tidak","menempel, tidak bisa diganti","belum diketahui apakah bisa diganti")))</f>
        <v/>
      </c>
      <c r="K153" s="70" t="str">
        <f aca="false">IF($A153="","",IF(AND(Aturan!$C$48="",Aturan!$D$48=""),"Tidak dinilai",IF(C153="","Belum ada data",IF(C153&lt;IF(Aturan!$C$48="",0,Aturan!$C$48),"Kurang",IF(C153&gt;=IF(Aturan!$D$48="",Aturan!$C$48,Aturan!$D$48),"Nyaman","Cukup")))))</f>
        <v/>
      </c>
      <c r="L153" s="70" t="str">
        <f aca="false">IF($A153="","",IF(AND(Aturan!$C$49="",Aturan!$D$49=""),"Tidak dinilai",IF(D153="","Belum ada data",IF(D153&lt;IF(Aturan!$C$49="",0,Aturan!$C$49),"Kurang",IF(D153&gt;=IF(Aturan!$D$49="",Aturan!$C$49,Aturan!$D$49),"Nyaman","Cukup")))))</f>
        <v/>
      </c>
      <c r="M153" s="70" t="str">
        <f aca="false">IF($A153="","",IF(AND(Aturan!$C$50="",Aturan!$D$50=""),"Tidak dinilai",IF(E153="","Belum ada data",IF(E153&lt;IF(Aturan!$C$50="",0,Aturan!$C$50),"Kurang",IF(E153&gt;=IF(Aturan!$D$50="",Aturan!$C$50,Aturan!$D$50),"Nyaman","Cukup")))))</f>
        <v/>
      </c>
      <c r="N153" s="70" t="str">
        <f aca="false">IF($A153="","",IF(AND(Aturan!$C$51="",Aturan!$D$51=""),"Tidak dinilai",IF(F153="","Belum ada data",IF(F153&lt;IF(Aturan!$C$51="",0,Aturan!$C$51),"Kurang",IF(F153&gt;=IF(Aturan!$D$51="",Aturan!$C$51,Aturan!$D$51),"Nyaman","Cukup")))))</f>
        <v/>
      </c>
      <c r="O153" s="70" t="str">
        <f aca="false">IF($A153="","",IF(AND(Aturan!$C$52="",Aturan!$D$52=""),"Tidak dinilai",IF(G153="","Belum ada data",IF(G153&lt;IF(Aturan!$C$52="",0,Aturan!$C$52),"Kurang",IF(G153&gt;=IF(Aturan!$D$52="",Aturan!$C$52,Aturan!$D$52),"Nyaman","Cukup")))))</f>
        <v/>
      </c>
      <c r="P153" s="70" t="str">
        <f aca="false">IF($A153="","",IF(AND(Aturan!$C$53="",Aturan!$D$53=""),"Tidak dinilai",IF(H153="","Belum ada data",IF(H153&lt;IF(Aturan!$C$53="",0,Aturan!$C$53),"Kurang",IF(H153&gt;=IF(Aturan!$D$53="",Aturan!$C$53,Aturan!$D$53),"Nyaman","Cukup")))))</f>
        <v/>
      </c>
      <c r="Q153" s="70" t="str">
        <f aca="false">IF($A153="","",IF(COUNTIF(K153:P153,"Tidak dinilai")=6,"Tidak dinilai",IF(COUNTIF(K153:P153,"Kurang")&gt;0,"Kurang cocok",IF(COUNTIF(K153:P153,"Belum ada data")&gt;0,"Data belum lengkap",IF(COUNTIF(K153:P153,"Cukup")&gt;0,"Bisa, dengan catatan","Cocok")))))</f>
        <v/>
      </c>
      <c r="R153" s="33" t="str">
        <f aca="false">IF($A153="","",IF(K153="Kurang","prosesor tingkat "&amp;C153&amp;" dari 5, di bawah batas minimal (tingkat "&amp;Aturan!$C$48&amp;")",IF(K153="Cukup","prosesor tingkat "&amp;C153&amp;" dari 5 cukup, nyamannya mulai tingkat "&amp;Aturan!$D$48,IF(K153="Belum ada data","tingkat prosesor belum diisi",""))))</f>
        <v/>
      </c>
      <c r="S153" s="33" t="str">
        <f aca="false">IF($A153="","",IF(L153="Kurang","grafis tingkat "&amp;D153&amp;" dari 5, di bawah batas minimal (tingkat "&amp;Aturan!$C$49&amp;")",IF(L153="Cukup","grafis tingkat "&amp;D153&amp;" dari 5 cukup, nyamannya mulai tingkat "&amp;Aturan!$D$49,IF(L153="Belum ada data","tingkat grafis belum diisi",""))))</f>
        <v/>
      </c>
      <c r="T153" s="33" t="str">
        <f aca="false">IF($A153="","",IF(M153="Kurang","RAM "&amp;E153&amp;" GB, di bawah batas minimal "&amp;Aturan!$C$50&amp;" GB ("&amp;I153&amp;")",IF(M153="Cukup","RAM "&amp;E153&amp;" GB cukup, nyamannya "&amp;Aturan!$D$50&amp;" GB atau lebih ("&amp;I153&amp;")",IF(M153="Belum ada data","ukuran RAM belum diisi",""))))</f>
        <v/>
      </c>
      <c r="U153" s="33" t="str">
        <f aca="false">IF($A153="","",IF(N153="Kurang","penyimpanan "&amp;F153&amp;" GB, di bawah batas minimal "&amp;Aturan!$C$51&amp;" GB ("&amp;J153&amp;")",IF(N153="Cukup","penyimpanan "&amp;F153&amp;" GB cukup, nyamannya "&amp;Aturan!$D$51&amp;" GB atau lebih ("&amp;J153&amp;")",IF(N153="Belum ada data","ukuran penyimpanan belum diisi",""))))</f>
        <v/>
      </c>
      <c r="V153" s="33" t="str">
        <f aca="false">IF($A153="","",IF(O153="Kurang","layar "&amp;Varian!$AG34&amp;", di bawah batas minimal ("&amp;IFERROR(INDEX(Aturan!$A$63:$A$66,MATCH(Aturan!$C$52,Aturan!$B$63:$B$66,0)),"peringkat "&amp;Aturan!$C$52)&amp;")",IF(O153="Cukup","layar "&amp;Varian!$AG34&amp;" cukup, nyamannya "&amp;IFERROR(INDEX(Aturan!$A$63:$A$66,MATCH(Aturan!$D$52,Aturan!$B$63:$B$66,0)),"peringkat "&amp;Aturan!$D$52),IF(O153="Belum ada data","jenis layar belum diketahui",""))))</f>
        <v/>
      </c>
      <c r="W153" s="33" t="str">
        <f aca="false">IF($A153="","",IF(P153="Kurang","layar "&amp;H153&amp;" Hz, di bawah batas minimal "&amp;Aturan!$C$53&amp;" Hz",IF(P153="Cukup","layar "&amp;H153&amp;" Hz cukup, nyamannya "&amp;Aturan!$D$53&amp;" Hz atau lebih",IF(P153="Belum ada data","refresh rate belum diketahui",""))))</f>
        <v/>
      </c>
      <c r="X153" s="33" t="str">
        <f aca="false">IF($A153="","",IF(K153="Kurang",R153&amp;"; ","")&amp;IF(L153="Kurang",S153&amp;"; ","")&amp;IF(M153="Kurang",T153&amp;"; ","")&amp;IF(N153="Kurang",U153&amp;"; ","")&amp;IF(O153="Kurang",V153&amp;"; ","")&amp;IF(P153="Kurang",W153&amp;"; ","")&amp;IF(K153="Belum ada data",R153&amp;"; ","")&amp;IF(L153="Belum ada data",S153&amp;"; ","")&amp;IF(M153="Belum ada data",T153&amp;"; ","")&amp;IF(N153="Belum ada data",U153&amp;"; ","")&amp;IF(O153="Belum ada data",V153&amp;"; ","")&amp;IF(P153="Belum ada data",W153&amp;"; ","")&amp;IF(K153="Cukup",R153&amp;"; ","")&amp;IF(L153="Cukup",S153&amp;"; ","")&amp;IF(M153="Cukup",T153&amp;"; ","")&amp;IF(N153="Cukup",U153&amp;"; ","")&amp;IF(O153="Cukup",V153&amp;"; ","")&amp;IF(P153="Cukup",W153&amp;"; ",""))</f>
        <v/>
      </c>
      <c r="Y153" s="33" t="str">
        <f aca="false">IF($A153="","",IF(K153="Nyaman","prosesor, ","")&amp;IF(L153="Nyaman","grafis, ","")&amp;IF(M153="Nyaman","RAM, ","")&amp;IF(N153="Nyaman","penyimpanan, ","")&amp;IF(O153="Nyaman","layar, ","")&amp;IF(P153="Nyaman","refresh rate, ",""))</f>
        <v/>
      </c>
      <c r="Z153" s="33" t="str">
        <f aca="false">IF($A153="","",IF(Q153="Tidak dinilai","Belum ada kriteria yang dinilai untuk kebutuhan ini.",IF(Q153="Cocok","Semua kriteria yang dinilai sudah nyaman: "&amp;LEFT(Y153,LEN(Y153)-2)&amp;".",UPPER(LEFT(X153,1))&amp;MID(X153,2,LEN(X153)-3)&amp;"."&amp;IF(Y153="",""," Sudah nyaman: "&amp;LEFT(Y153,LEN(Y153)-2)&amp;"."))))</f>
        <v/>
      </c>
      <c r="AA153" s="33"/>
      <c r="AB153" s="33"/>
      <c r="AC153" s="69"/>
    </row>
    <row r="154" customFormat="false" ht="15" hidden="false" customHeight="true" outlineLevel="0" collapsed="false">
      <c r="A154" s="33" t="str">
        <f aca="false">IF(Varian!$A34="","",Varian!$A34)</f>
        <v/>
      </c>
      <c r="B154" s="33" t="str">
        <f aca="false">IF($A154="","",Aturan!$A$25)</f>
        <v/>
      </c>
      <c r="C154" s="69" t="str">
        <f aca="false">IF($A154="","",IFERROR(IF(ISNUMBER(INDEX(CPU!$J$4:$J$64,MATCH(Varian!$J34,CPU!$A$4:$A$64,0))),INDEX(CPU!$J$4:$J$64,MATCH(Varian!$J34,CPU!$A$4:$A$64,0)),""),""))</f>
        <v/>
      </c>
      <c r="D154" s="69" t="str">
        <f aca="false">IF($A154="","",IFERROR(IF(ISNUMBER(INDEX(GPU!$G$4:$G$64,MATCH(Varian!$K34,GPU!$A$4:$A$64,0))),INDEX(GPU!$G$4:$G$64,MATCH(Varian!$K34,GPU!$A$4:$A$64,0)),""),""))</f>
        <v/>
      </c>
      <c r="E154" s="69" t="str">
        <f aca="false">IF($A154="","",IF(ISNUMBER(Varian!$M34),Varian!$M34,""))</f>
        <v/>
      </c>
      <c r="F154" s="69" t="str">
        <f aca="false">IF($A154="","",IF(ISNUMBER(Varian!$V34),Varian!$V34,""))</f>
        <v/>
      </c>
      <c r="G154" s="69" t="str">
        <f aca="false">IF($A154="","",IFERROR(INDEX(Aturan!$B$63:$B$66,MATCH(Varian!$AG34,Aturan!$A$63:$A$66,0)),""))</f>
        <v/>
      </c>
      <c r="H154" s="69" t="str">
        <f aca="false">IF($A154="","",IF(ISNUMBER(Varian!$AI34),Varian!$AI34,""))</f>
        <v/>
      </c>
      <c r="I154" s="33" t="str">
        <f aca="false">IF($A154="","",IF(Varian!$Q34="disolder","menempel di papan utama, tidak bisa ditambah",IF(OR(Varian!$Q34="slot",Varian!$Q34="setengah_disolder"),IF(Varian!$Q34="setengah_disolder","sebagian menempel, ","")&amp;IF(ISNUMBER(Varian!$U34),IF(AND(ISNUMBER(Varian!$M34),Varian!$U34&gt;Varian!$M34),"bisa dinaikkan lewat slot sampai "&amp;Varian!$U34&amp;" GB","sudah di batas maksimal "&amp;Varian!$U34&amp;" GB"),"ada slot, batas maksimalnya belum diketahui"),"belum diketahui apakah bisa ditambah")))</f>
        <v/>
      </c>
      <c r="J154" s="33" t="str">
        <f aca="false">IF($A154="","",IF(Varian!$Z34="ya","bisa diganti dengan yang lebih besar",IF(Varian!$Z34="tidak","menempel, tidak bisa diganti","belum diketahui apakah bisa diganti")))</f>
        <v/>
      </c>
      <c r="K154" s="70" t="str">
        <f aca="false">IF($A154="","",IF(AND(Aturan!$C$54="",Aturan!$D$54=""),"Tidak dinilai",IF(C154="","Belum ada data",IF(C154&lt;IF(Aturan!$C$54="",0,Aturan!$C$54),"Kurang",IF(C154&gt;=IF(Aturan!$D$54="",Aturan!$C$54,Aturan!$D$54),"Nyaman","Cukup")))))</f>
        <v/>
      </c>
      <c r="L154" s="70" t="str">
        <f aca="false">IF($A154="","",IF(AND(Aturan!$C$55="",Aturan!$D$55=""),"Tidak dinilai",IF(D154="","Belum ada data",IF(D154&lt;IF(Aturan!$C$55="",0,Aturan!$C$55),"Kurang",IF(D154&gt;=IF(Aturan!$D$55="",Aturan!$C$55,Aturan!$D$55),"Nyaman","Cukup")))))</f>
        <v/>
      </c>
      <c r="M154" s="70" t="str">
        <f aca="false">IF($A154="","",IF(AND(Aturan!$C$56="",Aturan!$D$56=""),"Tidak dinilai",IF(E154="","Belum ada data",IF(E154&lt;IF(Aturan!$C$56="",0,Aturan!$C$56),"Kurang",IF(E154&gt;=IF(Aturan!$D$56="",Aturan!$C$56,Aturan!$D$56),"Nyaman","Cukup")))))</f>
        <v/>
      </c>
      <c r="N154" s="70" t="str">
        <f aca="false">IF($A154="","",IF(AND(Aturan!$C$57="",Aturan!$D$57=""),"Tidak dinilai",IF(F154="","Belum ada data",IF(F154&lt;IF(Aturan!$C$57="",0,Aturan!$C$57),"Kurang",IF(F154&gt;=IF(Aturan!$D$57="",Aturan!$C$57,Aturan!$D$57),"Nyaman","Cukup")))))</f>
        <v/>
      </c>
      <c r="O154" s="70" t="str">
        <f aca="false">IF($A154="","",IF(AND(Aturan!$C$58="",Aturan!$D$58=""),"Tidak dinilai",IF(G154="","Belum ada data",IF(G154&lt;IF(Aturan!$C$58="",0,Aturan!$C$58),"Kurang",IF(G154&gt;=IF(Aturan!$D$58="",Aturan!$C$58,Aturan!$D$58),"Nyaman","Cukup")))))</f>
        <v/>
      </c>
      <c r="P154" s="70" t="str">
        <f aca="false">IF($A154="","",IF(AND(Aturan!$C$59="",Aturan!$D$59=""),"Tidak dinilai",IF(H154="","Belum ada data",IF(H154&lt;IF(Aturan!$C$59="",0,Aturan!$C$59),"Kurang",IF(H154&gt;=IF(Aturan!$D$59="",Aturan!$C$59,Aturan!$D$59),"Nyaman","Cukup")))))</f>
        <v/>
      </c>
      <c r="Q154" s="70" t="str">
        <f aca="false">IF($A154="","",IF(COUNTIF(K154:P154,"Tidak dinilai")=6,"Tidak dinilai",IF(COUNTIF(K154:P154,"Kurang")&gt;0,"Kurang cocok",IF(COUNTIF(K154:P154,"Belum ada data")&gt;0,"Data belum lengkap",IF(COUNTIF(K154:P154,"Cukup")&gt;0,"Bisa, dengan catatan","Cocok")))))</f>
        <v/>
      </c>
      <c r="R154" s="33" t="str">
        <f aca="false">IF($A154="","",IF(K154="Kurang","prosesor tingkat "&amp;C154&amp;" dari 5, di bawah batas minimal (tingkat "&amp;Aturan!$C$54&amp;")",IF(K154="Cukup","prosesor tingkat "&amp;C154&amp;" dari 5 cukup, nyamannya mulai tingkat "&amp;Aturan!$D$54,IF(K154="Belum ada data","tingkat prosesor belum diisi",""))))</f>
        <v/>
      </c>
      <c r="S154" s="33" t="str">
        <f aca="false">IF($A154="","",IF(L154="Kurang","grafis tingkat "&amp;D154&amp;" dari 5, di bawah batas minimal (tingkat "&amp;Aturan!$C$55&amp;")",IF(L154="Cukup","grafis tingkat "&amp;D154&amp;" dari 5 cukup, nyamannya mulai tingkat "&amp;Aturan!$D$55,IF(L154="Belum ada data","tingkat grafis belum diisi",""))))</f>
        <v/>
      </c>
      <c r="T154" s="33" t="str">
        <f aca="false">IF($A154="","",IF(M154="Kurang","RAM "&amp;E154&amp;" GB, di bawah batas minimal "&amp;Aturan!$C$56&amp;" GB ("&amp;I154&amp;")",IF(M154="Cukup","RAM "&amp;E154&amp;" GB cukup, nyamannya "&amp;Aturan!$D$56&amp;" GB atau lebih ("&amp;I154&amp;")",IF(M154="Belum ada data","ukuran RAM belum diisi",""))))</f>
        <v/>
      </c>
      <c r="U154" s="33" t="str">
        <f aca="false">IF($A154="","",IF(N154="Kurang","penyimpanan "&amp;F154&amp;" GB, di bawah batas minimal "&amp;Aturan!$C$57&amp;" GB ("&amp;J154&amp;")",IF(N154="Cukup","penyimpanan "&amp;F154&amp;" GB cukup, nyamannya "&amp;Aturan!$D$57&amp;" GB atau lebih ("&amp;J154&amp;")",IF(N154="Belum ada data","ukuran penyimpanan belum diisi",""))))</f>
        <v/>
      </c>
      <c r="V154" s="33" t="str">
        <f aca="false">IF($A154="","",IF(O154="Kurang","layar "&amp;Varian!$AG34&amp;", di bawah batas minimal ("&amp;IFERROR(INDEX(Aturan!$A$63:$A$66,MATCH(Aturan!$C$58,Aturan!$B$63:$B$66,0)),"peringkat "&amp;Aturan!$C$58)&amp;")",IF(O154="Cukup","layar "&amp;Varian!$AG34&amp;" cukup, nyamannya "&amp;IFERROR(INDEX(Aturan!$A$63:$A$66,MATCH(Aturan!$D$58,Aturan!$B$63:$B$66,0)),"peringkat "&amp;Aturan!$D$58),IF(O154="Belum ada data","jenis layar belum diketahui",""))))</f>
        <v/>
      </c>
      <c r="W154" s="33" t="str">
        <f aca="false">IF($A154="","",IF(P154="Kurang","layar "&amp;H154&amp;" Hz, di bawah batas minimal "&amp;Aturan!$C$59&amp;" Hz",IF(P154="Cukup","layar "&amp;H154&amp;" Hz cukup, nyamannya "&amp;Aturan!$D$59&amp;" Hz atau lebih",IF(P154="Belum ada data","refresh rate belum diketahui",""))))</f>
        <v/>
      </c>
      <c r="X154" s="33" t="str">
        <f aca="false">IF($A154="","",IF(K154="Kurang",R154&amp;"; ","")&amp;IF(L154="Kurang",S154&amp;"; ","")&amp;IF(M154="Kurang",T154&amp;"; ","")&amp;IF(N154="Kurang",U154&amp;"; ","")&amp;IF(O154="Kurang",V154&amp;"; ","")&amp;IF(P154="Kurang",W154&amp;"; ","")&amp;IF(K154="Belum ada data",R154&amp;"; ","")&amp;IF(L154="Belum ada data",S154&amp;"; ","")&amp;IF(M154="Belum ada data",T154&amp;"; ","")&amp;IF(N154="Belum ada data",U154&amp;"; ","")&amp;IF(O154="Belum ada data",V154&amp;"; ","")&amp;IF(P154="Belum ada data",W154&amp;"; ","")&amp;IF(K154="Cukup",R154&amp;"; ","")&amp;IF(L154="Cukup",S154&amp;"; ","")&amp;IF(M154="Cukup",T154&amp;"; ","")&amp;IF(N154="Cukup",U154&amp;"; ","")&amp;IF(O154="Cukup",V154&amp;"; ","")&amp;IF(P154="Cukup",W154&amp;"; ",""))</f>
        <v/>
      </c>
      <c r="Y154" s="33" t="str">
        <f aca="false">IF($A154="","",IF(K154="Nyaman","prosesor, ","")&amp;IF(L154="Nyaman","grafis, ","")&amp;IF(M154="Nyaman","RAM, ","")&amp;IF(N154="Nyaman","penyimpanan, ","")&amp;IF(O154="Nyaman","layar, ","")&amp;IF(P154="Nyaman","refresh rate, ",""))</f>
        <v/>
      </c>
      <c r="Z154" s="33" t="str">
        <f aca="false">IF($A154="","",IF(Q154="Tidak dinilai","Belum ada kriteria yang dinilai untuk kebutuhan ini.",IF(Q154="Cocok","Semua kriteria yang dinilai sudah nyaman: "&amp;LEFT(Y154,LEN(Y154)-2)&amp;".",UPPER(LEFT(X154,1))&amp;MID(X154,2,LEN(X154)-3)&amp;"."&amp;IF(Y154="",""," Sudah nyaman: "&amp;LEFT(Y154,LEN(Y154)-2)&amp;"."))))</f>
        <v/>
      </c>
      <c r="AA154" s="33"/>
      <c r="AB154" s="33"/>
      <c r="AC154" s="69"/>
    </row>
    <row r="155" customFormat="false" ht="15" hidden="false" customHeight="true" outlineLevel="0" collapsed="false">
      <c r="A155" s="66" t="str">
        <f aca="false">IF(Varian!$A35="","",Varian!$A35)</f>
        <v/>
      </c>
      <c r="B155" s="66" t="str">
        <f aca="false">IF($A155="","",Aturan!$A$21)</f>
        <v/>
      </c>
      <c r="C155" s="67" t="str">
        <f aca="false">IF($A155="","",IFERROR(IF(ISNUMBER(INDEX(CPU!$J$4:$J$64,MATCH(Varian!$J35,CPU!$A$4:$A$64,0))),INDEX(CPU!$J$4:$J$64,MATCH(Varian!$J35,CPU!$A$4:$A$64,0)),""),""))</f>
        <v/>
      </c>
      <c r="D155" s="67" t="str">
        <f aca="false">IF($A155="","",IFERROR(IF(ISNUMBER(INDEX(GPU!$G$4:$G$64,MATCH(Varian!$K35,GPU!$A$4:$A$64,0))),INDEX(GPU!$G$4:$G$64,MATCH(Varian!$K35,GPU!$A$4:$A$64,0)),""),""))</f>
        <v/>
      </c>
      <c r="E155" s="67" t="str">
        <f aca="false">IF($A155="","",IF(ISNUMBER(Varian!$M35),Varian!$M35,""))</f>
        <v/>
      </c>
      <c r="F155" s="67" t="str">
        <f aca="false">IF($A155="","",IF(ISNUMBER(Varian!$V35),Varian!$V35,""))</f>
        <v/>
      </c>
      <c r="G155" s="67" t="str">
        <f aca="false">IF($A155="","",IFERROR(INDEX(Aturan!$B$63:$B$66,MATCH(Varian!$AG35,Aturan!$A$63:$A$66,0)),""))</f>
        <v/>
      </c>
      <c r="H155" s="67" t="str">
        <f aca="false">IF($A155="","",IF(ISNUMBER(Varian!$AI35),Varian!$AI35,""))</f>
        <v/>
      </c>
      <c r="I155" s="66" t="str">
        <f aca="false">IF($A155="","",IF(Varian!$Q35="disolder","menempel di papan utama, tidak bisa ditambah",IF(OR(Varian!$Q35="slot",Varian!$Q35="setengah_disolder"),IF(Varian!$Q35="setengah_disolder","sebagian menempel, ","")&amp;IF(ISNUMBER(Varian!$U35),IF(AND(ISNUMBER(Varian!$M35),Varian!$U35&gt;Varian!$M35),"bisa dinaikkan lewat slot sampai "&amp;Varian!$U35&amp;" GB","sudah di batas maksimal "&amp;Varian!$U35&amp;" GB"),"ada slot, batas maksimalnya belum diketahui"),"belum diketahui apakah bisa ditambah")))</f>
        <v/>
      </c>
      <c r="J155" s="66" t="str">
        <f aca="false">IF($A155="","",IF(Varian!$Z35="ya","bisa diganti dengan yang lebih besar",IF(Varian!$Z35="tidak","menempel, tidak bisa diganti","belum diketahui apakah bisa diganti")))</f>
        <v/>
      </c>
      <c r="K155" s="68" t="str">
        <f aca="false">IF($A155="","",IF(AND(Aturan!$C$30="",Aturan!$D$30=""),"Tidak dinilai",IF(C155="","Belum ada data",IF(C155&lt;IF(Aturan!$C$30="",0,Aturan!$C$30),"Kurang",IF(C155&gt;=IF(Aturan!$D$30="",Aturan!$C$30,Aturan!$D$30),"Nyaman","Cukup")))))</f>
        <v/>
      </c>
      <c r="L155" s="68" t="str">
        <f aca="false">IF($A155="","",IF(AND(Aturan!$C$31="",Aturan!$D$31=""),"Tidak dinilai",IF(D155="","Belum ada data",IF(D155&lt;IF(Aturan!$C$31="",0,Aturan!$C$31),"Kurang",IF(D155&gt;=IF(Aturan!$D$31="",Aturan!$C$31,Aturan!$D$31),"Nyaman","Cukup")))))</f>
        <v/>
      </c>
      <c r="M155" s="68" t="str">
        <f aca="false">IF($A155="","",IF(AND(Aturan!$C$32="",Aturan!$D$32=""),"Tidak dinilai",IF(E155="","Belum ada data",IF(E155&lt;IF(Aturan!$C$32="",0,Aturan!$C$32),"Kurang",IF(E155&gt;=IF(Aturan!$D$32="",Aturan!$C$32,Aturan!$D$32),"Nyaman","Cukup")))))</f>
        <v/>
      </c>
      <c r="N155" s="68" t="str">
        <f aca="false">IF($A155="","",IF(AND(Aturan!$C$33="",Aturan!$D$33=""),"Tidak dinilai",IF(F155="","Belum ada data",IF(F155&lt;IF(Aturan!$C$33="",0,Aturan!$C$33),"Kurang",IF(F155&gt;=IF(Aturan!$D$33="",Aturan!$C$33,Aturan!$D$33),"Nyaman","Cukup")))))</f>
        <v/>
      </c>
      <c r="O155" s="68" t="str">
        <f aca="false">IF($A155="","",IF(AND(Aturan!$C$34="",Aturan!$D$34=""),"Tidak dinilai",IF(G155="","Belum ada data",IF(G155&lt;IF(Aturan!$C$34="",0,Aturan!$C$34),"Kurang",IF(G155&gt;=IF(Aturan!$D$34="",Aturan!$C$34,Aturan!$D$34),"Nyaman","Cukup")))))</f>
        <v/>
      </c>
      <c r="P155" s="68" t="str">
        <f aca="false">IF($A155="","",IF(AND(Aturan!$C$35="",Aturan!$D$35=""),"Tidak dinilai",IF(H155="","Belum ada data",IF(H155&lt;IF(Aturan!$C$35="",0,Aturan!$C$35),"Kurang",IF(H155&gt;=IF(Aturan!$D$35="",Aturan!$C$35,Aturan!$D$35),"Nyaman","Cukup")))))</f>
        <v/>
      </c>
      <c r="Q155" s="68" t="str">
        <f aca="false">IF($A155="","",IF(COUNTIF(K155:P155,"Tidak dinilai")=6,"Tidak dinilai",IF(COUNTIF(K155:P155,"Kurang")&gt;0,"Kurang cocok",IF(COUNTIF(K155:P155,"Belum ada data")&gt;0,"Data belum lengkap",IF(COUNTIF(K155:P155,"Cukup")&gt;0,"Bisa, dengan catatan","Cocok")))))</f>
        <v/>
      </c>
      <c r="R155" s="66" t="str">
        <f aca="false">IF($A155="","",IF(K155="Kurang","prosesor tingkat "&amp;C155&amp;" dari 5, di bawah batas minimal (tingkat "&amp;Aturan!$C$30&amp;")",IF(K155="Cukup","prosesor tingkat "&amp;C155&amp;" dari 5 cukup, nyamannya mulai tingkat "&amp;Aturan!$D$30,IF(K155="Belum ada data","tingkat prosesor belum diisi",""))))</f>
        <v/>
      </c>
      <c r="S155" s="66" t="str">
        <f aca="false">IF($A155="","",IF(L155="Kurang","grafis tingkat "&amp;D155&amp;" dari 5, di bawah batas minimal (tingkat "&amp;Aturan!$C$31&amp;")",IF(L155="Cukup","grafis tingkat "&amp;D155&amp;" dari 5 cukup, nyamannya mulai tingkat "&amp;Aturan!$D$31,IF(L155="Belum ada data","tingkat grafis belum diisi",""))))</f>
        <v/>
      </c>
      <c r="T155" s="66" t="str">
        <f aca="false">IF($A155="","",IF(M155="Kurang","RAM "&amp;E155&amp;" GB, di bawah batas minimal "&amp;Aturan!$C$32&amp;" GB ("&amp;I155&amp;")",IF(M155="Cukup","RAM "&amp;E155&amp;" GB cukup, nyamannya "&amp;Aturan!$D$32&amp;" GB atau lebih ("&amp;I155&amp;")",IF(M155="Belum ada data","ukuran RAM belum diisi",""))))</f>
        <v/>
      </c>
      <c r="U155" s="66" t="str">
        <f aca="false">IF($A155="","",IF(N155="Kurang","penyimpanan "&amp;F155&amp;" GB, di bawah batas minimal "&amp;Aturan!$C$33&amp;" GB ("&amp;J155&amp;")",IF(N155="Cukup","penyimpanan "&amp;F155&amp;" GB cukup, nyamannya "&amp;Aturan!$D$33&amp;" GB atau lebih ("&amp;J155&amp;")",IF(N155="Belum ada data","ukuran penyimpanan belum diisi",""))))</f>
        <v/>
      </c>
      <c r="V155" s="66" t="str">
        <f aca="false">IF($A155="","",IF(O155="Kurang","layar "&amp;Varian!$AG35&amp;", di bawah batas minimal ("&amp;IFERROR(INDEX(Aturan!$A$63:$A$66,MATCH(Aturan!$C$34,Aturan!$B$63:$B$66,0)),"peringkat "&amp;Aturan!$C$34)&amp;")",IF(O155="Cukup","layar "&amp;Varian!$AG35&amp;" cukup, nyamannya "&amp;IFERROR(INDEX(Aturan!$A$63:$A$66,MATCH(Aturan!$D$34,Aturan!$B$63:$B$66,0)),"peringkat "&amp;Aturan!$D$34),IF(O155="Belum ada data","jenis layar belum diketahui",""))))</f>
        <v/>
      </c>
      <c r="W155" s="66" t="str">
        <f aca="false">IF($A155="","",IF(P155="Kurang","layar "&amp;H155&amp;" Hz, di bawah batas minimal "&amp;Aturan!$C$35&amp;" Hz",IF(P155="Cukup","layar "&amp;H155&amp;" Hz cukup, nyamannya "&amp;Aturan!$D$35&amp;" Hz atau lebih",IF(P155="Belum ada data","refresh rate belum diketahui",""))))</f>
        <v/>
      </c>
      <c r="X155" s="66" t="str">
        <f aca="false">IF($A155="","",IF(K155="Kurang",R155&amp;"; ","")&amp;IF(L155="Kurang",S155&amp;"; ","")&amp;IF(M155="Kurang",T155&amp;"; ","")&amp;IF(N155="Kurang",U155&amp;"; ","")&amp;IF(O155="Kurang",V155&amp;"; ","")&amp;IF(P155="Kurang",W155&amp;"; ","")&amp;IF(K155="Belum ada data",R155&amp;"; ","")&amp;IF(L155="Belum ada data",S155&amp;"; ","")&amp;IF(M155="Belum ada data",T155&amp;"; ","")&amp;IF(N155="Belum ada data",U155&amp;"; ","")&amp;IF(O155="Belum ada data",V155&amp;"; ","")&amp;IF(P155="Belum ada data",W155&amp;"; ","")&amp;IF(K155="Cukup",R155&amp;"; ","")&amp;IF(L155="Cukup",S155&amp;"; ","")&amp;IF(M155="Cukup",T155&amp;"; ","")&amp;IF(N155="Cukup",U155&amp;"; ","")&amp;IF(O155="Cukup",V155&amp;"; ","")&amp;IF(P155="Cukup",W155&amp;"; ",""))</f>
        <v/>
      </c>
      <c r="Y155" s="66" t="str">
        <f aca="false">IF($A155="","",IF(K155="Nyaman","prosesor, ","")&amp;IF(L155="Nyaman","grafis, ","")&amp;IF(M155="Nyaman","RAM, ","")&amp;IF(N155="Nyaman","penyimpanan, ","")&amp;IF(O155="Nyaman","layar, ","")&amp;IF(P155="Nyaman","refresh rate, ",""))</f>
        <v/>
      </c>
      <c r="Z155" s="66" t="str">
        <f aca="false">IF($A155="","",IF(Q155="Tidak dinilai","Belum ada kriteria yang dinilai untuk kebutuhan ini.",IF(Q155="Cocok","Semua kriteria yang dinilai sudah nyaman: "&amp;LEFT(Y155,LEN(Y155)-2)&amp;".",UPPER(LEFT(X155,1))&amp;MID(X155,2,LEN(X155)-3)&amp;"."&amp;IF(Y155="",""," Sudah nyaman: "&amp;LEFT(Y155,LEN(Y155)-2)&amp;"."))))</f>
        <v/>
      </c>
      <c r="AA155" s="66" t="str">
        <f aca="false">IF($A155="","",IF(Varian!$AR35="Windows 10","• "&amp;Aturan!$E$71&amp;CHAR(10),"")&amp;IF(Varian!$BB35="tidak","• "&amp;Aturan!$E$72&amp;CHAR(10),"")&amp;IF(OR(Varian!$AD35="belum terverifikasi",Varian!$AD35="tidak diketahui"),"• "&amp;Aturan!$E$73&amp;CHAR(10),"")&amp;IF(Varian!$AH35="1366x768","• "&amp;Aturan!$E$74&amp;CHAR(10),"")&amp;IF(Varian!$AG35="TN","• "&amp;Aturan!$E$75&amp;CHAR(10),"")&amp;IF(AND(Varian!$Q35="disolder",ISNUMBER(Varian!$M35),Varian!$M35&lt;=8),"• "&amp;Aturan!$E$76&amp;CHAR(10),""))</f>
        <v/>
      </c>
      <c r="AB155" s="66" t="str">
        <f aca="false">IF($A155="","",IF(AA155="","",LEFT(AA155,LEN(AA155)-1)))</f>
        <v/>
      </c>
      <c r="AC155" s="67" t="str">
        <f aca="false">IF($A155="","",IF(AA155="",0,LEN(AA155)-LEN(SUBSTITUTE(AA155,CHAR(10),""))))</f>
        <v/>
      </c>
    </row>
    <row r="156" customFormat="false" ht="15" hidden="false" customHeight="true" outlineLevel="0" collapsed="false">
      <c r="A156" s="33" t="str">
        <f aca="false">IF(Varian!$A35="","",Varian!$A35)</f>
        <v/>
      </c>
      <c r="B156" s="33" t="str">
        <f aca="false">IF($A156="","",Aturan!$A$22)</f>
        <v/>
      </c>
      <c r="C156" s="69" t="str">
        <f aca="false">IF($A156="","",IFERROR(IF(ISNUMBER(INDEX(CPU!$J$4:$J$64,MATCH(Varian!$J35,CPU!$A$4:$A$64,0))),INDEX(CPU!$J$4:$J$64,MATCH(Varian!$J35,CPU!$A$4:$A$64,0)),""),""))</f>
        <v/>
      </c>
      <c r="D156" s="69" t="str">
        <f aca="false">IF($A156="","",IFERROR(IF(ISNUMBER(INDEX(GPU!$G$4:$G$64,MATCH(Varian!$K35,GPU!$A$4:$A$64,0))),INDEX(GPU!$G$4:$G$64,MATCH(Varian!$K35,GPU!$A$4:$A$64,0)),""),""))</f>
        <v/>
      </c>
      <c r="E156" s="69" t="str">
        <f aca="false">IF($A156="","",IF(ISNUMBER(Varian!$M35),Varian!$M35,""))</f>
        <v/>
      </c>
      <c r="F156" s="69" t="str">
        <f aca="false">IF($A156="","",IF(ISNUMBER(Varian!$V35),Varian!$V35,""))</f>
        <v/>
      </c>
      <c r="G156" s="69" t="str">
        <f aca="false">IF($A156="","",IFERROR(INDEX(Aturan!$B$63:$B$66,MATCH(Varian!$AG35,Aturan!$A$63:$A$66,0)),""))</f>
        <v/>
      </c>
      <c r="H156" s="69" t="str">
        <f aca="false">IF($A156="","",IF(ISNUMBER(Varian!$AI35),Varian!$AI35,""))</f>
        <v/>
      </c>
      <c r="I156" s="33" t="str">
        <f aca="false">IF($A156="","",IF(Varian!$Q35="disolder","menempel di papan utama, tidak bisa ditambah",IF(OR(Varian!$Q35="slot",Varian!$Q35="setengah_disolder"),IF(Varian!$Q35="setengah_disolder","sebagian menempel, ","")&amp;IF(ISNUMBER(Varian!$U35),IF(AND(ISNUMBER(Varian!$M35),Varian!$U35&gt;Varian!$M35),"bisa dinaikkan lewat slot sampai "&amp;Varian!$U35&amp;" GB","sudah di batas maksimal "&amp;Varian!$U35&amp;" GB"),"ada slot, batas maksimalnya belum diketahui"),"belum diketahui apakah bisa ditambah")))</f>
        <v/>
      </c>
      <c r="J156" s="33" t="str">
        <f aca="false">IF($A156="","",IF(Varian!$Z35="ya","bisa diganti dengan yang lebih besar",IF(Varian!$Z35="tidak","menempel, tidak bisa diganti","belum diketahui apakah bisa diganti")))</f>
        <v/>
      </c>
      <c r="K156" s="70" t="str">
        <f aca="false">IF($A156="","",IF(AND(Aturan!$C$36="",Aturan!$D$36=""),"Tidak dinilai",IF(C156="","Belum ada data",IF(C156&lt;IF(Aturan!$C$36="",0,Aturan!$C$36),"Kurang",IF(C156&gt;=IF(Aturan!$D$36="",Aturan!$C$36,Aturan!$D$36),"Nyaman","Cukup")))))</f>
        <v/>
      </c>
      <c r="L156" s="70" t="str">
        <f aca="false">IF($A156="","",IF(AND(Aturan!$C$37="",Aturan!$D$37=""),"Tidak dinilai",IF(D156="","Belum ada data",IF(D156&lt;IF(Aturan!$C$37="",0,Aturan!$C$37),"Kurang",IF(D156&gt;=IF(Aturan!$D$37="",Aturan!$C$37,Aturan!$D$37),"Nyaman","Cukup")))))</f>
        <v/>
      </c>
      <c r="M156" s="70" t="str">
        <f aca="false">IF($A156="","",IF(AND(Aturan!$C$38="",Aturan!$D$38=""),"Tidak dinilai",IF(E156="","Belum ada data",IF(E156&lt;IF(Aturan!$C$38="",0,Aturan!$C$38),"Kurang",IF(E156&gt;=IF(Aturan!$D$38="",Aturan!$C$38,Aturan!$D$38),"Nyaman","Cukup")))))</f>
        <v/>
      </c>
      <c r="N156" s="70" t="str">
        <f aca="false">IF($A156="","",IF(AND(Aturan!$C$39="",Aturan!$D$39=""),"Tidak dinilai",IF(F156="","Belum ada data",IF(F156&lt;IF(Aturan!$C$39="",0,Aturan!$C$39),"Kurang",IF(F156&gt;=IF(Aturan!$D$39="",Aturan!$C$39,Aturan!$D$39),"Nyaman","Cukup")))))</f>
        <v/>
      </c>
      <c r="O156" s="70" t="str">
        <f aca="false">IF($A156="","",IF(AND(Aturan!$C$40="",Aturan!$D$40=""),"Tidak dinilai",IF(G156="","Belum ada data",IF(G156&lt;IF(Aturan!$C$40="",0,Aturan!$C$40),"Kurang",IF(G156&gt;=IF(Aturan!$D$40="",Aturan!$C$40,Aturan!$D$40),"Nyaman","Cukup")))))</f>
        <v/>
      </c>
      <c r="P156" s="70" t="str">
        <f aca="false">IF($A156="","",IF(AND(Aturan!$C$41="",Aturan!$D$41=""),"Tidak dinilai",IF(H156="","Belum ada data",IF(H156&lt;IF(Aturan!$C$41="",0,Aturan!$C$41),"Kurang",IF(H156&gt;=IF(Aturan!$D$41="",Aturan!$C$41,Aturan!$D$41),"Nyaman","Cukup")))))</f>
        <v/>
      </c>
      <c r="Q156" s="70" t="str">
        <f aca="false">IF($A156="","",IF(COUNTIF(K156:P156,"Tidak dinilai")=6,"Tidak dinilai",IF(COUNTIF(K156:P156,"Kurang")&gt;0,"Kurang cocok",IF(COUNTIF(K156:P156,"Belum ada data")&gt;0,"Data belum lengkap",IF(COUNTIF(K156:P156,"Cukup")&gt;0,"Bisa, dengan catatan","Cocok")))))</f>
        <v/>
      </c>
      <c r="R156" s="33" t="str">
        <f aca="false">IF($A156="","",IF(K156="Kurang","prosesor tingkat "&amp;C156&amp;" dari 5, di bawah batas minimal (tingkat "&amp;Aturan!$C$36&amp;")",IF(K156="Cukup","prosesor tingkat "&amp;C156&amp;" dari 5 cukup, nyamannya mulai tingkat "&amp;Aturan!$D$36,IF(K156="Belum ada data","tingkat prosesor belum diisi",""))))</f>
        <v/>
      </c>
      <c r="S156" s="33" t="str">
        <f aca="false">IF($A156="","",IF(L156="Kurang","grafis tingkat "&amp;D156&amp;" dari 5, di bawah batas minimal (tingkat "&amp;Aturan!$C$37&amp;")",IF(L156="Cukup","grafis tingkat "&amp;D156&amp;" dari 5 cukup, nyamannya mulai tingkat "&amp;Aturan!$D$37,IF(L156="Belum ada data","tingkat grafis belum diisi",""))))</f>
        <v/>
      </c>
      <c r="T156" s="33" t="str">
        <f aca="false">IF($A156="","",IF(M156="Kurang","RAM "&amp;E156&amp;" GB, di bawah batas minimal "&amp;Aturan!$C$38&amp;" GB ("&amp;I156&amp;")",IF(M156="Cukup","RAM "&amp;E156&amp;" GB cukup, nyamannya "&amp;Aturan!$D$38&amp;" GB atau lebih ("&amp;I156&amp;")",IF(M156="Belum ada data","ukuran RAM belum diisi",""))))</f>
        <v/>
      </c>
      <c r="U156" s="33" t="str">
        <f aca="false">IF($A156="","",IF(N156="Kurang","penyimpanan "&amp;F156&amp;" GB, di bawah batas minimal "&amp;Aturan!$C$39&amp;" GB ("&amp;J156&amp;")",IF(N156="Cukup","penyimpanan "&amp;F156&amp;" GB cukup, nyamannya "&amp;Aturan!$D$39&amp;" GB atau lebih ("&amp;J156&amp;")",IF(N156="Belum ada data","ukuran penyimpanan belum diisi",""))))</f>
        <v/>
      </c>
      <c r="V156" s="33" t="str">
        <f aca="false">IF($A156="","",IF(O156="Kurang","layar "&amp;Varian!$AG35&amp;", di bawah batas minimal ("&amp;IFERROR(INDEX(Aturan!$A$63:$A$66,MATCH(Aturan!$C$40,Aturan!$B$63:$B$66,0)),"peringkat "&amp;Aturan!$C$40)&amp;")",IF(O156="Cukup","layar "&amp;Varian!$AG35&amp;" cukup, nyamannya "&amp;IFERROR(INDEX(Aturan!$A$63:$A$66,MATCH(Aturan!$D$40,Aturan!$B$63:$B$66,0)),"peringkat "&amp;Aturan!$D$40),IF(O156="Belum ada data","jenis layar belum diketahui",""))))</f>
        <v/>
      </c>
      <c r="W156" s="33" t="str">
        <f aca="false">IF($A156="","",IF(P156="Kurang","layar "&amp;H156&amp;" Hz, di bawah batas minimal "&amp;Aturan!$C$41&amp;" Hz",IF(P156="Cukup","layar "&amp;H156&amp;" Hz cukup, nyamannya "&amp;Aturan!$D$41&amp;" Hz atau lebih",IF(P156="Belum ada data","refresh rate belum diketahui",""))))</f>
        <v/>
      </c>
      <c r="X156" s="33" t="str">
        <f aca="false">IF($A156="","",IF(K156="Kurang",R156&amp;"; ","")&amp;IF(L156="Kurang",S156&amp;"; ","")&amp;IF(M156="Kurang",T156&amp;"; ","")&amp;IF(N156="Kurang",U156&amp;"; ","")&amp;IF(O156="Kurang",V156&amp;"; ","")&amp;IF(P156="Kurang",W156&amp;"; ","")&amp;IF(K156="Belum ada data",R156&amp;"; ","")&amp;IF(L156="Belum ada data",S156&amp;"; ","")&amp;IF(M156="Belum ada data",T156&amp;"; ","")&amp;IF(N156="Belum ada data",U156&amp;"; ","")&amp;IF(O156="Belum ada data",V156&amp;"; ","")&amp;IF(P156="Belum ada data",W156&amp;"; ","")&amp;IF(K156="Cukup",R156&amp;"; ","")&amp;IF(L156="Cukup",S156&amp;"; ","")&amp;IF(M156="Cukup",T156&amp;"; ","")&amp;IF(N156="Cukup",U156&amp;"; ","")&amp;IF(O156="Cukup",V156&amp;"; ","")&amp;IF(P156="Cukup",W156&amp;"; ",""))</f>
        <v/>
      </c>
      <c r="Y156" s="33" t="str">
        <f aca="false">IF($A156="","",IF(K156="Nyaman","prosesor, ","")&amp;IF(L156="Nyaman","grafis, ","")&amp;IF(M156="Nyaman","RAM, ","")&amp;IF(N156="Nyaman","penyimpanan, ","")&amp;IF(O156="Nyaman","layar, ","")&amp;IF(P156="Nyaman","refresh rate, ",""))</f>
        <v/>
      </c>
      <c r="Z156" s="33" t="str">
        <f aca="false">IF($A156="","",IF(Q156="Tidak dinilai","Belum ada kriteria yang dinilai untuk kebutuhan ini.",IF(Q156="Cocok","Semua kriteria yang dinilai sudah nyaman: "&amp;LEFT(Y156,LEN(Y156)-2)&amp;".",UPPER(LEFT(X156,1))&amp;MID(X156,2,LEN(X156)-3)&amp;"."&amp;IF(Y156="",""," Sudah nyaman: "&amp;LEFT(Y156,LEN(Y156)-2)&amp;"."))))</f>
        <v/>
      </c>
      <c r="AA156" s="33"/>
      <c r="AB156" s="33"/>
      <c r="AC156" s="69"/>
    </row>
    <row r="157" customFormat="false" ht="15" hidden="false" customHeight="true" outlineLevel="0" collapsed="false">
      <c r="A157" s="33" t="str">
        <f aca="false">IF(Varian!$A35="","",Varian!$A35)</f>
        <v/>
      </c>
      <c r="B157" s="33" t="str">
        <f aca="false">IF($A157="","",Aturan!$A$23)</f>
        <v/>
      </c>
      <c r="C157" s="69" t="str">
        <f aca="false">IF($A157="","",IFERROR(IF(ISNUMBER(INDEX(CPU!$J$4:$J$64,MATCH(Varian!$J35,CPU!$A$4:$A$64,0))),INDEX(CPU!$J$4:$J$64,MATCH(Varian!$J35,CPU!$A$4:$A$64,0)),""),""))</f>
        <v/>
      </c>
      <c r="D157" s="69" t="str">
        <f aca="false">IF($A157="","",IFERROR(IF(ISNUMBER(INDEX(GPU!$G$4:$G$64,MATCH(Varian!$K35,GPU!$A$4:$A$64,0))),INDEX(GPU!$G$4:$G$64,MATCH(Varian!$K35,GPU!$A$4:$A$64,0)),""),""))</f>
        <v/>
      </c>
      <c r="E157" s="69" t="str">
        <f aca="false">IF($A157="","",IF(ISNUMBER(Varian!$M35),Varian!$M35,""))</f>
        <v/>
      </c>
      <c r="F157" s="69" t="str">
        <f aca="false">IF($A157="","",IF(ISNUMBER(Varian!$V35),Varian!$V35,""))</f>
        <v/>
      </c>
      <c r="G157" s="69" t="str">
        <f aca="false">IF($A157="","",IFERROR(INDEX(Aturan!$B$63:$B$66,MATCH(Varian!$AG35,Aturan!$A$63:$A$66,0)),""))</f>
        <v/>
      </c>
      <c r="H157" s="69" t="str">
        <f aca="false">IF($A157="","",IF(ISNUMBER(Varian!$AI35),Varian!$AI35,""))</f>
        <v/>
      </c>
      <c r="I157" s="33" t="str">
        <f aca="false">IF($A157="","",IF(Varian!$Q35="disolder","menempel di papan utama, tidak bisa ditambah",IF(OR(Varian!$Q35="slot",Varian!$Q35="setengah_disolder"),IF(Varian!$Q35="setengah_disolder","sebagian menempel, ","")&amp;IF(ISNUMBER(Varian!$U35),IF(AND(ISNUMBER(Varian!$M35),Varian!$U35&gt;Varian!$M35),"bisa dinaikkan lewat slot sampai "&amp;Varian!$U35&amp;" GB","sudah di batas maksimal "&amp;Varian!$U35&amp;" GB"),"ada slot, batas maksimalnya belum diketahui"),"belum diketahui apakah bisa ditambah")))</f>
        <v/>
      </c>
      <c r="J157" s="33" t="str">
        <f aca="false">IF($A157="","",IF(Varian!$Z35="ya","bisa diganti dengan yang lebih besar",IF(Varian!$Z35="tidak","menempel, tidak bisa diganti","belum diketahui apakah bisa diganti")))</f>
        <v/>
      </c>
      <c r="K157" s="70" t="str">
        <f aca="false">IF($A157="","",IF(AND(Aturan!$C$42="",Aturan!$D$42=""),"Tidak dinilai",IF(C157="","Belum ada data",IF(C157&lt;IF(Aturan!$C$42="",0,Aturan!$C$42),"Kurang",IF(C157&gt;=IF(Aturan!$D$42="",Aturan!$C$42,Aturan!$D$42),"Nyaman","Cukup")))))</f>
        <v/>
      </c>
      <c r="L157" s="70" t="str">
        <f aca="false">IF($A157="","",IF(AND(Aturan!$C$43="",Aturan!$D$43=""),"Tidak dinilai",IF(D157="","Belum ada data",IF(D157&lt;IF(Aturan!$C$43="",0,Aturan!$C$43),"Kurang",IF(D157&gt;=IF(Aturan!$D$43="",Aturan!$C$43,Aturan!$D$43),"Nyaman","Cukup")))))</f>
        <v/>
      </c>
      <c r="M157" s="70" t="str">
        <f aca="false">IF($A157="","",IF(AND(Aturan!$C$44="",Aturan!$D$44=""),"Tidak dinilai",IF(E157="","Belum ada data",IF(E157&lt;IF(Aturan!$C$44="",0,Aturan!$C$44),"Kurang",IF(E157&gt;=IF(Aturan!$D$44="",Aturan!$C$44,Aturan!$D$44),"Nyaman","Cukup")))))</f>
        <v/>
      </c>
      <c r="N157" s="70" t="str">
        <f aca="false">IF($A157="","",IF(AND(Aturan!$C$45="",Aturan!$D$45=""),"Tidak dinilai",IF(F157="","Belum ada data",IF(F157&lt;IF(Aturan!$C$45="",0,Aturan!$C$45),"Kurang",IF(F157&gt;=IF(Aturan!$D$45="",Aturan!$C$45,Aturan!$D$45),"Nyaman","Cukup")))))</f>
        <v/>
      </c>
      <c r="O157" s="70" t="str">
        <f aca="false">IF($A157="","",IF(AND(Aturan!$C$46="",Aturan!$D$46=""),"Tidak dinilai",IF(G157="","Belum ada data",IF(G157&lt;IF(Aturan!$C$46="",0,Aturan!$C$46),"Kurang",IF(G157&gt;=IF(Aturan!$D$46="",Aturan!$C$46,Aturan!$D$46),"Nyaman","Cukup")))))</f>
        <v/>
      </c>
      <c r="P157" s="70" t="str">
        <f aca="false">IF($A157="","",IF(AND(Aturan!$C$47="",Aturan!$D$47=""),"Tidak dinilai",IF(H157="","Belum ada data",IF(H157&lt;IF(Aturan!$C$47="",0,Aturan!$C$47),"Kurang",IF(H157&gt;=IF(Aturan!$D$47="",Aturan!$C$47,Aturan!$D$47),"Nyaman","Cukup")))))</f>
        <v/>
      </c>
      <c r="Q157" s="70" t="str">
        <f aca="false">IF($A157="","",IF(COUNTIF(K157:P157,"Tidak dinilai")=6,"Tidak dinilai",IF(COUNTIF(K157:P157,"Kurang")&gt;0,"Kurang cocok",IF(COUNTIF(K157:P157,"Belum ada data")&gt;0,"Data belum lengkap",IF(COUNTIF(K157:P157,"Cukup")&gt;0,"Bisa, dengan catatan","Cocok")))))</f>
        <v/>
      </c>
      <c r="R157" s="33" t="str">
        <f aca="false">IF($A157="","",IF(K157="Kurang","prosesor tingkat "&amp;C157&amp;" dari 5, di bawah batas minimal (tingkat "&amp;Aturan!$C$42&amp;")",IF(K157="Cukup","prosesor tingkat "&amp;C157&amp;" dari 5 cukup, nyamannya mulai tingkat "&amp;Aturan!$D$42,IF(K157="Belum ada data","tingkat prosesor belum diisi",""))))</f>
        <v/>
      </c>
      <c r="S157" s="33" t="str">
        <f aca="false">IF($A157="","",IF(L157="Kurang","grafis tingkat "&amp;D157&amp;" dari 5, di bawah batas minimal (tingkat "&amp;Aturan!$C$43&amp;")",IF(L157="Cukup","grafis tingkat "&amp;D157&amp;" dari 5 cukup, nyamannya mulai tingkat "&amp;Aturan!$D$43,IF(L157="Belum ada data","tingkat grafis belum diisi",""))))</f>
        <v/>
      </c>
      <c r="T157" s="33" t="str">
        <f aca="false">IF($A157="","",IF(M157="Kurang","RAM "&amp;E157&amp;" GB, di bawah batas minimal "&amp;Aturan!$C$44&amp;" GB ("&amp;I157&amp;")",IF(M157="Cukup","RAM "&amp;E157&amp;" GB cukup, nyamannya "&amp;Aturan!$D$44&amp;" GB atau lebih ("&amp;I157&amp;")",IF(M157="Belum ada data","ukuran RAM belum diisi",""))))</f>
        <v/>
      </c>
      <c r="U157" s="33" t="str">
        <f aca="false">IF($A157="","",IF(N157="Kurang","penyimpanan "&amp;F157&amp;" GB, di bawah batas minimal "&amp;Aturan!$C$45&amp;" GB ("&amp;J157&amp;")",IF(N157="Cukup","penyimpanan "&amp;F157&amp;" GB cukup, nyamannya "&amp;Aturan!$D$45&amp;" GB atau lebih ("&amp;J157&amp;")",IF(N157="Belum ada data","ukuran penyimpanan belum diisi",""))))</f>
        <v/>
      </c>
      <c r="V157" s="33" t="str">
        <f aca="false">IF($A157="","",IF(O157="Kurang","layar "&amp;Varian!$AG35&amp;", di bawah batas minimal ("&amp;IFERROR(INDEX(Aturan!$A$63:$A$66,MATCH(Aturan!$C$46,Aturan!$B$63:$B$66,0)),"peringkat "&amp;Aturan!$C$46)&amp;")",IF(O157="Cukup","layar "&amp;Varian!$AG35&amp;" cukup, nyamannya "&amp;IFERROR(INDEX(Aturan!$A$63:$A$66,MATCH(Aturan!$D$46,Aturan!$B$63:$B$66,0)),"peringkat "&amp;Aturan!$D$46),IF(O157="Belum ada data","jenis layar belum diketahui",""))))</f>
        <v/>
      </c>
      <c r="W157" s="33" t="str">
        <f aca="false">IF($A157="","",IF(P157="Kurang","layar "&amp;H157&amp;" Hz, di bawah batas minimal "&amp;Aturan!$C$47&amp;" Hz",IF(P157="Cukup","layar "&amp;H157&amp;" Hz cukup, nyamannya "&amp;Aturan!$D$47&amp;" Hz atau lebih",IF(P157="Belum ada data","refresh rate belum diketahui",""))))</f>
        <v/>
      </c>
      <c r="X157" s="33" t="str">
        <f aca="false">IF($A157="","",IF(K157="Kurang",R157&amp;"; ","")&amp;IF(L157="Kurang",S157&amp;"; ","")&amp;IF(M157="Kurang",T157&amp;"; ","")&amp;IF(N157="Kurang",U157&amp;"; ","")&amp;IF(O157="Kurang",V157&amp;"; ","")&amp;IF(P157="Kurang",W157&amp;"; ","")&amp;IF(K157="Belum ada data",R157&amp;"; ","")&amp;IF(L157="Belum ada data",S157&amp;"; ","")&amp;IF(M157="Belum ada data",T157&amp;"; ","")&amp;IF(N157="Belum ada data",U157&amp;"; ","")&amp;IF(O157="Belum ada data",V157&amp;"; ","")&amp;IF(P157="Belum ada data",W157&amp;"; ","")&amp;IF(K157="Cukup",R157&amp;"; ","")&amp;IF(L157="Cukup",S157&amp;"; ","")&amp;IF(M157="Cukup",T157&amp;"; ","")&amp;IF(N157="Cukup",U157&amp;"; ","")&amp;IF(O157="Cukup",V157&amp;"; ","")&amp;IF(P157="Cukup",W157&amp;"; ",""))</f>
        <v/>
      </c>
      <c r="Y157" s="33" t="str">
        <f aca="false">IF($A157="","",IF(K157="Nyaman","prosesor, ","")&amp;IF(L157="Nyaman","grafis, ","")&amp;IF(M157="Nyaman","RAM, ","")&amp;IF(N157="Nyaman","penyimpanan, ","")&amp;IF(O157="Nyaman","layar, ","")&amp;IF(P157="Nyaman","refresh rate, ",""))</f>
        <v/>
      </c>
      <c r="Z157" s="33" t="str">
        <f aca="false">IF($A157="","",IF(Q157="Tidak dinilai","Belum ada kriteria yang dinilai untuk kebutuhan ini.",IF(Q157="Cocok","Semua kriteria yang dinilai sudah nyaman: "&amp;LEFT(Y157,LEN(Y157)-2)&amp;".",UPPER(LEFT(X157,1))&amp;MID(X157,2,LEN(X157)-3)&amp;"."&amp;IF(Y157="",""," Sudah nyaman: "&amp;LEFT(Y157,LEN(Y157)-2)&amp;"."))))</f>
        <v/>
      </c>
      <c r="AA157" s="33"/>
      <c r="AB157" s="33"/>
      <c r="AC157" s="69"/>
    </row>
    <row r="158" customFormat="false" ht="15" hidden="false" customHeight="true" outlineLevel="0" collapsed="false">
      <c r="A158" s="33" t="str">
        <f aca="false">IF(Varian!$A35="","",Varian!$A35)</f>
        <v/>
      </c>
      <c r="B158" s="33" t="str">
        <f aca="false">IF($A158="","",Aturan!$A$24)</f>
        <v/>
      </c>
      <c r="C158" s="69" t="str">
        <f aca="false">IF($A158="","",IFERROR(IF(ISNUMBER(INDEX(CPU!$J$4:$J$64,MATCH(Varian!$J35,CPU!$A$4:$A$64,0))),INDEX(CPU!$J$4:$J$64,MATCH(Varian!$J35,CPU!$A$4:$A$64,0)),""),""))</f>
        <v/>
      </c>
      <c r="D158" s="69" t="str">
        <f aca="false">IF($A158="","",IFERROR(IF(ISNUMBER(INDEX(GPU!$G$4:$G$64,MATCH(Varian!$K35,GPU!$A$4:$A$64,0))),INDEX(GPU!$G$4:$G$64,MATCH(Varian!$K35,GPU!$A$4:$A$64,0)),""),""))</f>
        <v/>
      </c>
      <c r="E158" s="69" t="str">
        <f aca="false">IF($A158="","",IF(ISNUMBER(Varian!$M35),Varian!$M35,""))</f>
        <v/>
      </c>
      <c r="F158" s="69" t="str">
        <f aca="false">IF($A158="","",IF(ISNUMBER(Varian!$V35),Varian!$V35,""))</f>
        <v/>
      </c>
      <c r="G158" s="69" t="str">
        <f aca="false">IF($A158="","",IFERROR(INDEX(Aturan!$B$63:$B$66,MATCH(Varian!$AG35,Aturan!$A$63:$A$66,0)),""))</f>
        <v/>
      </c>
      <c r="H158" s="69" t="str">
        <f aca="false">IF($A158="","",IF(ISNUMBER(Varian!$AI35),Varian!$AI35,""))</f>
        <v/>
      </c>
      <c r="I158" s="33" t="str">
        <f aca="false">IF($A158="","",IF(Varian!$Q35="disolder","menempel di papan utama, tidak bisa ditambah",IF(OR(Varian!$Q35="slot",Varian!$Q35="setengah_disolder"),IF(Varian!$Q35="setengah_disolder","sebagian menempel, ","")&amp;IF(ISNUMBER(Varian!$U35),IF(AND(ISNUMBER(Varian!$M35),Varian!$U35&gt;Varian!$M35),"bisa dinaikkan lewat slot sampai "&amp;Varian!$U35&amp;" GB","sudah di batas maksimal "&amp;Varian!$U35&amp;" GB"),"ada slot, batas maksimalnya belum diketahui"),"belum diketahui apakah bisa ditambah")))</f>
        <v/>
      </c>
      <c r="J158" s="33" t="str">
        <f aca="false">IF($A158="","",IF(Varian!$Z35="ya","bisa diganti dengan yang lebih besar",IF(Varian!$Z35="tidak","menempel, tidak bisa diganti","belum diketahui apakah bisa diganti")))</f>
        <v/>
      </c>
      <c r="K158" s="70" t="str">
        <f aca="false">IF($A158="","",IF(AND(Aturan!$C$48="",Aturan!$D$48=""),"Tidak dinilai",IF(C158="","Belum ada data",IF(C158&lt;IF(Aturan!$C$48="",0,Aturan!$C$48),"Kurang",IF(C158&gt;=IF(Aturan!$D$48="",Aturan!$C$48,Aturan!$D$48),"Nyaman","Cukup")))))</f>
        <v/>
      </c>
      <c r="L158" s="70" t="str">
        <f aca="false">IF($A158="","",IF(AND(Aturan!$C$49="",Aturan!$D$49=""),"Tidak dinilai",IF(D158="","Belum ada data",IF(D158&lt;IF(Aturan!$C$49="",0,Aturan!$C$49),"Kurang",IF(D158&gt;=IF(Aturan!$D$49="",Aturan!$C$49,Aturan!$D$49),"Nyaman","Cukup")))))</f>
        <v/>
      </c>
      <c r="M158" s="70" t="str">
        <f aca="false">IF($A158="","",IF(AND(Aturan!$C$50="",Aturan!$D$50=""),"Tidak dinilai",IF(E158="","Belum ada data",IF(E158&lt;IF(Aturan!$C$50="",0,Aturan!$C$50),"Kurang",IF(E158&gt;=IF(Aturan!$D$50="",Aturan!$C$50,Aturan!$D$50),"Nyaman","Cukup")))))</f>
        <v/>
      </c>
      <c r="N158" s="70" t="str">
        <f aca="false">IF($A158="","",IF(AND(Aturan!$C$51="",Aturan!$D$51=""),"Tidak dinilai",IF(F158="","Belum ada data",IF(F158&lt;IF(Aturan!$C$51="",0,Aturan!$C$51),"Kurang",IF(F158&gt;=IF(Aturan!$D$51="",Aturan!$C$51,Aturan!$D$51),"Nyaman","Cukup")))))</f>
        <v/>
      </c>
      <c r="O158" s="70" t="str">
        <f aca="false">IF($A158="","",IF(AND(Aturan!$C$52="",Aturan!$D$52=""),"Tidak dinilai",IF(G158="","Belum ada data",IF(G158&lt;IF(Aturan!$C$52="",0,Aturan!$C$52),"Kurang",IF(G158&gt;=IF(Aturan!$D$52="",Aturan!$C$52,Aturan!$D$52),"Nyaman","Cukup")))))</f>
        <v/>
      </c>
      <c r="P158" s="70" t="str">
        <f aca="false">IF($A158="","",IF(AND(Aturan!$C$53="",Aturan!$D$53=""),"Tidak dinilai",IF(H158="","Belum ada data",IF(H158&lt;IF(Aturan!$C$53="",0,Aturan!$C$53),"Kurang",IF(H158&gt;=IF(Aturan!$D$53="",Aturan!$C$53,Aturan!$D$53),"Nyaman","Cukup")))))</f>
        <v/>
      </c>
      <c r="Q158" s="70" t="str">
        <f aca="false">IF($A158="","",IF(COUNTIF(K158:P158,"Tidak dinilai")=6,"Tidak dinilai",IF(COUNTIF(K158:P158,"Kurang")&gt;0,"Kurang cocok",IF(COUNTIF(K158:P158,"Belum ada data")&gt;0,"Data belum lengkap",IF(COUNTIF(K158:P158,"Cukup")&gt;0,"Bisa, dengan catatan","Cocok")))))</f>
        <v/>
      </c>
      <c r="R158" s="33" t="str">
        <f aca="false">IF($A158="","",IF(K158="Kurang","prosesor tingkat "&amp;C158&amp;" dari 5, di bawah batas minimal (tingkat "&amp;Aturan!$C$48&amp;")",IF(K158="Cukup","prosesor tingkat "&amp;C158&amp;" dari 5 cukup, nyamannya mulai tingkat "&amp;Aturan!$D$48,IF(K158="Belum ada data","tingkat prosesor belum diisi",""))))</f>
        <v/>
      </c>
      <c r="S158" s="33" t="str">
        <f aca="false">IF($A158="","",IF(L158="Kurang","grafis tingkat "&amp;D158&amp;" dari 5, di bawah batas minimal (tingkat "&amp;Aturan!$C$49&amp;")",IF(L158="Cukup","grafis tingkat "&amp;D158&amp;" dari 5 cukup, nyamannya mulai tingkat "&amp;Aturan!$D$49,IF(L158="Belum ada data","tingkat grafis belum diisi",""))))</f>
        <v/>
      </c>
      <c r="T158" s="33" t="str">
        <f aca="false">IF($A158="","",IF(M158="Kurang","RAM "&amp;E158&amp;" GB, di bawah batas minimal "&amp;Aturan!$C$50&amp;" GB ("&amp;I158&amp;")",IF(M158="Cukup","RAM "&amp;E158&amp;" GB cukup, nyamannya "&amp;Aturan!$D$50&amp;" GB atau lebih ("&amp;I158&amp;")",IF(M158="Belum ada data","ukuran RAM belum diisi",""))))</f>
        <v/>
      </c>
      <c r="U158" s="33" t="str">
        <f aca="false">IF($A158="","",IF(N158="Kurang","penyimpanan "&amp;F158&amp;" GB, di bawah batas minimal "&amp;Aturan!$C$51&amp;" GB ("&amp;J158&amp;")",IF(N158="Cukup","penyimpanan "&amp;F158&amp;" GB cukup, nyamannya "&amp;Aturan!$D$51&amp;" GB atau lebih ("&amp;J158&amp;")",IF(N158="Belum ada data","ukuran penyimpanan belum diisi",""))))</f>
        <v/>
      </c>
      <c r="V158" s="33" t="str">
        <f aca="false">IF($A158="","",IF(O158="Kurang","layar "&amp;Varian!$AG35&amp;", di bawah batas minimal ("&amp;IFERROR(INDEX(Aturan!$A$63:$A$66,MATCH(Aturan!$C$52,Aturan!$B$63:$B$66,0)),"peringkat "&amp;Aturan!$C$52)&amp;")",IF(O158="Cukup","layar "&amp;Varian!$AG35&amp;" cukup, nyamannya "&amp;IFERROR(INDEX(Aturan!$A$63:$A$66,MATCH(Aturan!$D$52,Aturan!$B$63:$B$66,0)),"peringkat "&amp;Aturan!$D$52),IF(O158="Belum ada data","jenis layar belum diketahui",""))))</f>
        <v/>
      </c>
      <c r="W158" s="33" t="str">
        <f aca="false">IF($A158="","",IF(P158="Kurang","layar "&amp;H158&amp;" Hz, di bawah batas minimal "&amp;Aturan!$C$53&amp;" Hz",IF(P158="Cukup","layar "&amp;H158&amp;" Hz cukup, nyamannya "&amp;Aturan!$D$53&amp;" Hz atau lebih",IF(P158="Belum ada data","refresh rate belum diketahui",""))))</f>
        <v/>
      </c>
      <c r="X158" s="33" t="str">
        <f aca="false">IF($A158="","",IF(K158="Kurang",R158&amp;"; ","")&amp;IF(L158="Kurang",S158&amp;"; ","")&amp;IF(M158="Kurang",T158&amp;"; ","")&amp;IF(N158="Kurang",U158&amp;"; ","")&amp;IF(O158="Kurang",V158&amp;"; ","")&amp;IF(P158="Kurang",W158&amp;"; ","")&amp;IF(K158="Belum ada data",R158&amp;"; ","")&amp;IF(L158="Belum ada data",S158&amp;"; ","")&amp;IF(M158="Belum ada data",T158&amp;"; ","")&amp;IF(N158="Belum ada data",U158&amp;"; ","")&amp;IF(O158="Belum ada data",V158&amp;"; ","")&amp;IF(P158="Belum ada data",W158&amp;"; ","")&amp;IF(K158="Cukup",R158&amp;"; ","")&amp;IF(L158="Cukup",S158&amp;"; ","")&amp;IF(M158="Cukup",T158&amp;"; ","")&amp;IF(N158="Cukup",U158&amp;"; ","")&amp;IF(O158="Cukup",V158&amp;"; ","")&amp;IF(P158="Cukup",W158&amp;"; ",""))</f>
        <v/>
      </c>
      <c r="Y158" s="33" t="str">
        <f aca="false">IF($A158="","",IF(K158="Nyaman","prosesor, ","")&amp;IF(L158="Nyaman","grafis, ","")&amp;IF(M158="Nyaman","RAM, ","")&amp;IF(N158="Nyaman","penyimpanan, ","")&amp;IF(O158="Nyaman","layar, ","")&amp;IF(P158="Nyaman","refresh rate, ",""))</f>
        <v/>
      </c>
      <c r="Z158" s="33" t="str">
        <f aca="false">IF($A158="","",IF(Q158="Tidak dinilai","Belum ada kriteria yang dinilai untuk kebutuhan ini.",IF(Q158="Cocok","Semua kriteria yang dinilai sudah nyaman: "&amp;LEFT(Y158,LEN(Y158)-2)&amp;".",UPPER(LEFT(X158,1))&amp;MID(X158,2,LEN(X158)-3)&amp;"."&amp;IF(Y158="",""," Sudah nyaman: "&amp;LEFT(Y158,LEN(Y158)-2)&amp;"."))))</f>
        <v/>
      </c>
      <c r="AA158" s="33"/>
      <c r="AB158" s="33"/>
      <c r="AC158" s="69"/>
    </row>
    <row r="159" customFormat="false" ht="15" hidden="false" customHeight="true" outlineLevel="0" collapsed="false">
      <c r="A159" s="33" t="str">
        <f aca="false">IF(Varian!$A35="","",Varian!$A35)</f>
        <v/>
      </c>
      <c r="B159" s="33" t="str">
        <f aca="false">IF($A159="","",Aturan!$A$25)</f>
        <v/>
      </c>
      <c r="C159" s="69" t="str">
        <f aca="false">IF($A159="","",IFERROR(IF(ISNUMBER(INDEX(CPU!$J$4:$J$64,MATCH(Varian!$J35,CPU!$A$4:$A$64,0))),INDEX(CPU!$J$4:$J$64,MATCH(Varian!$J35,CPU!$A$4:$A$64,0)),""),""))</f>
        <v/>
      </c>
      <c r="D159" s="69" t="str">
        <f aca="false">IF($A159="","",IFERROR(IF(ISNUMBER(INDEX(GPU!$G$4:$G$64,MATCH(Varian!$K35,GPU!$A$4:$A$64,0))),INDEX(GPU!$G$4:$G$64,MATCH(Varian!$K35,GPU!$A$4:$A$64,0)),""),""))</f>
        <v/>
      </c>
      <c r="E159" s="69" t="str">
        <f aca="false">IF($A159="","",IF(ISNUMBER(Varian!$M35),Varian!$M35,""))</f>
        <v/>
      </c>
      <c r="F159" s="69" t="str">
        <f aca="false">IF($A159="","",IF(ISNUMBER(Varian!$V35),Varian!$V35,""))</f>
        <v/>
      </c>
      <c r="G159" s="69" t="str">
        <f aca="false">IF($A159="","",IFERROR(INDEX(Aturan!$B$63:$B$66,MATCH(Varian!$AG35,Aturan!$A$63:$A$66,0)),""))</f>
        <v/>
      </c>
      <c r="H159" s="69" t="str">
        <f aca="false">IF($A159="","",IF(ISNUMBER(Varian!$AI35),Varian!$AI35,""))</f>
        <v/>
      </c>
      <c r="I159" s="33" t="str">
        <f aca="false">IF($A159="","",IF(Varian!$Q35="disolder","menempel di papan utama, tidak bisa ditambah",IF(OR(Varian!$Q35="slot",Varian!$Q35="setengah_disolder"),IF(Varian!$Q35="setengah_disolder","sebagian menempel, ","")&amp;IF(ISNUMBER(Varian!$U35),IF(AND(ISNUMBER(Varian!$M35),Varian!$U35&gt;Varian!$M35),"bisa dinaikkan lewat slot sampai "&amp;Varian!$U35&amp;" GB","sudah di batas maksimal "&amp;Varian!$U35&amp;" GB"),"ada slot, batas maksimalnya belum diketahui"),"belum diketahui apakah bisa ditambah")))</f>
        <v/>
      </c>
      <c r="J159" s="33" t="str">
        <f aca="false">IF($A159="","",IF(Varian!$Z35="ya","bisa diganti dengan yang lebih besar",IF(Varian!$Z35="tidak","menempel, tidak bisa diganti","belum diketahui apakah bisa diganti")))</f>
        <v/>
      </c>
      <c r="K159" s="70" t="str">
        <f aca="false">IF($A159="","",IF(AND(Aturan!$C$54="",Aturan!$D$54=""),"Tidak dinilai",IF(C159="","Belum ada data",IF(C159&lt;IF(Aturan!$C$54="",0,Aturan!$C$54),"Kurang",IF(C159&gt;=IF(Aturan!$D$54="",Aturan!$C$54,Aturan!$D$54),"Nyaman","Cukup")))))</f>
        <v/>
      </c>
      <c r="L159" s="70" t="str">
        <f aca="false">IF($A159="","",IF(AND(Aturan!$C$55="",Aturan!$D$55=""),"Tidak dinilai",IF(D159="","Belum ada data",IF(D159&lt;IF(Aturan!$C$55="",0,Aturan!$C$55),"Kurang",IF(D159&gt;=IF(Aturan!$D$55="",Aturan!$C$55,Aturan!$D$55),"Nyaman","Cukup")))))</f>
        <v/>
      </c>
      <c r="M159" s="70" t="str">
        <f aca="false">IF($A159="","",IF(AND(Aturan!$C$56="",Aturan!$D$56=""),"Tidak dinilai",IF(E159="","Belum ada data",IF(E159&lt;IF(Aturan!$C$56="",0,Aturan!$C$56),"Kurang",IF(E159&gt;=IF(Aturan!$D$56="",Aturan!$C$56,Aturan!$D$56),"Nyaman","Cukup")))))</f>
        <v/>
      </c>
      <c r="N159" s="70" t="str">
        <f aca="false">IF($A159="","",IF(AND(Aturan!$C$57="",Aturan!$D$57=""),"Tidak dinilai",IF(F159="","Belum ada data",IF(F159&lt;IF(Aturan!$C$57="",0,Aturan!$C$57),"Kurang",IF(F159&gt;=IF(Aturan!$D$57="",Aturan!$C$57,Aturan!$D$57),"Nyaman","Cukup")))))</f>
        <v/>
      </c>
      <c r="O159" s="70" t="str">
        <f aca="false">IF($A159="","",IF(AND(Aturan!$C$58="",Aturan!$D$58=""),"Tidak dinilai",IF(G159="","Belum ada data",IF(G159&lt;IF(Aturan!$C$58="",0,Aturan!$C$58),"Kurang",IF(G159&gt;=IF(Aturan!$D$58="",Aturan!$C$58,Aturan!$D$58),"Nyaman","Cukup")))))</f>
        <v/>
      </c>
      <c r="P159" s="70" t="str">
        <f aca="false">IF($A159="","",IF(AND(Aturan!$C$59="",Aturan!$D$59=""),"Tidak dinilai",IF(H159="","Belum ada data",IF(H159&lt;IF(Aturan!$C$59="",0,Aturan!$C$59),"Kurang",IF(H159&gt;=IF(Aturan!$D$59="",Aturan!$C$59,Aturan!$D$59),"Nyaman","Cukup")))))</f>
        <v/>
      </c>
      <c r="Q159" s="70" t="str">
        <f aca="false">IF($A159="","",IF(COUNTIF(K159:P159,"Tidak dinilai")=6,"Tidak dinilai",IF(COUNTIF(K159:P159,"Kurang")&gt;0,"Kurang cocok",IF(COUNTIF(K159:P159,"Belum ada data")&gt;0,"Data belum lengkap",IF(COUNTIF(K159:P159,"Cukup")&gt;0,"Bisa, dengan catatan","Cocok")))))</f>
        <v/>
      </c>
      <c r="R159" s="33" t="str">
        <f aca="false">IF($A159="","",IF(K159="Kurang","prosesor tingkat "&amp;C159&amp;" dari 5, di bawah batas minimal (tingkat "&amp;Aturan!$C$54&amp;")",IF(K159="Cukup","prosesor tingkat "&amp;C159&amp;" dari 5 cukup, nyamannya mulai tingkat "&amp;Aturan!$D$54,IF(K159="Belum ada data","tingkat prosesor belum diisi",""))))</f>
        <v/>
      </c>
      <c r="S159" s="33" t="str">
        <f aca="false">IF($A159="","",IF(L159="Kurang","grafis tingkat "&amp;D159&amp;" dari 5, di bawah batas minimal (tingkat "&amp;Aturan!$C$55&amp;")",IF(L159="Cukup","grafis tingkat "&amp;D159&amp;" dari 5 cukup, nyamannya mulai tingkat "&amp;Aturan!$D$55,IF(L159="Belum ada data","tingkat grafis belum diisi",""))))</f>
        <v/>
      </c>
      <c r="T159" s="33" t="str">
        <f aca="false">IF($A159="","",IF(M159="Kurang","RAM "&amp;E159&amp;" GB, di bawah batas minimal "&amp;Aturan!$C$56&amp;" GB ("&amp;I159&amp;")",IF(M159="Cukup","RAM "&amp;E159&amp;" GB cukup, nyamannya "&amp;Aturan!$D$56&amp;" GB atau lebih ("&amp;I159&amp;")",IF(M159="Belum ada data","ukuran RAM belum diisi",""))))</f>
        <v/>
      </c>
      <c r="U159" s="33" t="str">
        <f aca="false">IF($A159="","",IF(N159="Kurang","penyimpanan "&amp;F159&amp;" GB, di bawah batas minimal "&amp;Aturan!$C$57&amp;" GB ("&amp;J159&amp;")",IF(N159="Cukup","penyimpanan "&amp;F159&amp;" GB cukup, nyamannya "&amp;Aturan!$D$57&amp;" GB atau lebih ("&amp;J159&amp;")",IF(N159="Belum ada data","ukuran penyimpanan belum diisi",""))))</f>
        <v/>
      </c>
      <c r="V159" s="33" t="str">
        <f aca="false">IF($A159="","",IF(O159="Kurang","layar "&amp;Varian!$AG35&amp;", di bawah batas minimal ("&amp;IFERROR(INDEX(Aturan!$A$63:$A$66,MATCH(Aturan!$C$58,Aturan!$B$63:$B$66,0)),"peringkat "&amp;Aturan!$C$58)&amp;")",IF(O159="Cukup","layar "&amp;Varian!$AG35&amp;" cukup, nyamannya "&amp;IFERROR(INDEX(Aturan!$A$63:$A$66,MATCH(Aturan!$D$58,Aturan!$B$63:$B$66,0)),"peringkat "&amp;Aturan!$D$58),IF(O159="Belum ada data","jenis layar belum diketahui",""))))</f>
        <v/>
      </c>
      <c r="W159" s="33" t="str">
        <f aca="false">IF($A159="","",IF(P159="Kurang","layar "&amp;H159&amp;" Hz, di bawah batas minimal "&amp;Aturan!$C$59&amp;" Hz",IF(P159="Cukup","layar "&amp;H159&amp;" Hz cukup, nyamannya "&amp;Aturan!$D$59&amp;" Hz atau lebih",IF(P159="Belum ada data","refresh rate belum diketahui",""))))</f>
        <v/>
      </c>
      <c r="X159" s="33" t="str">
        <f aca="false">IF($A159="","",IF(K159="Kurang",R159&amp;"; ","")&amp;IF(L159="Kurang",S159&amp;"; ","")&amp;IF(M159="Kurang",T159&amp;"; ","")&amp;IF(N159="Kurang",U159&amp;"; ","")&amp;IF(O159="Kurang",V159&amp;"; ","")&amp;IF(P159="Kurang",W159&amp;"; ","")&amp;IF(K159="Belum ada data",R159&amp;"; ","")&amp;IF(L159="Belum ada data",S159&amp;"; ","")&amp;IF(M159="Belum ada data",T159&amp;"; ","")&amp;IF(N159="Belum ada data",U159&amp;"; ","")&amp;IF(O159="Belum ada data",V159&amp;"; ","")&amp;IF(P159="Belum ada data",W159&amp;"; ","")&amp;IF(K159="Cukup",R159&amp;"; ","")&amp;IF(L159="Cukup",S159&amp;"; ","")&amp;IF(M159="Cukup",T159&amp;"; ","")&amp;IF(N159="Cukup",U159&amp;"; ","")&amp;IF(O159="Cukup",V159&amp;"; ","")&amp;IF(P159="Cukup",W159&amp;"; ",""))</f>
        <v/>
      </c>
      <c r="Y159" s="33" t="str">
        <f aca="false">IF($A159="","",IF(K159="Nyaman","prosesor, ","")&amp;IF(L159="Nyaman","grafis, ","")&amp;IF(M159="Nyaman","RAM, ","")&amp;IF(N159="Nyaman","penyimpanan, ","")&amp;IF(O159="Nyaman","layar, ","")&amp;IF(P159="Nyaman","refresh rate, ",""))</f>
        <v/>
      </c>
      <c r="Z159" s="33" t="str">
        <f aca="false">IF($A159="","",IF(Q159="Tidak dinilai","Belum ada kriteria yang dinilai untuk kebutuhan ini.",IF(Q159="Cocok","Semua kriteria yang dinilai sudah nyaman: "&amp;LEFT(Y159,LEN(Y159)-2)&amp;".",UPPER(LEFT(X159,1))&amp;MID(X159,2,LEN(X159)-3)&amp;"."&amp;IF(Y159="",""," Sudah nyaman: "&amp;LEFT(Y159,LEN(Y159)-2)&amp;"."))))</f>
        <v/>
      </c>
      <c r="AA159" s="33"/>
      <c r="AB159" s="33"/>
      <c r="AC159" s="69"/>
    </row>
    <row r="160" customFormat="false" ht="15" hidden="false" customHeight="true" outlineLevel="0" collapsed="false">
      <c r="A160" s="66" t="str">
        <f aca="false">IF(Varian!$A36="","",Varian!$A36)</f>
        <v/>
      </c>
      <c r="B160" s="66" t="str">
        <f aca="false">IF($A160="","",Aturan!$A$21)</f>
        <v/>
      </c>
      <c r="C160" s="67" t="str">
        <f aca="false">IF($A160="","",IFERROR(IF(ISNUMBER(INDEX(CPU!$J$4:$J$64,MATCH(Varian!$J36,CPU!$A$4:$A$64,0))),INDEX(CPU!$J$4:$J$64,MATCH(Varian!$J36,CPU!$A$4:$A$64,0)),""),""))</f>
        <v/>
      </c>
      <c r="D160" s="67" t="str">
        <f aca="false">IF($A160="","",IFERROR(IF(ISNUMBER(INDEX(GPU!$G$4:$G$64,MATCH(Varian!$K36,GPU!$A$4:$A$64,0))),INDEX(GPU!$G$4:$G$64,MATCH(Varian!$K36,GPU!$A$4:$A$64,0)),""),""))</f>
        <v/>
      </c>
      <c r="E160" s="67" t="str">
        <f aca="false">IF($A160="","",IF(ISNUMBER(Varian!$M36),Varian!$M36,""))</f>
        <v/>
      </c>
      <c r="F160" s="67" t="str">
        <f aca="false">IF($A160="","",IF(ISNUMBER(Varian!$V36),Varian!$V36,""))</f>
        <v/>
      </c>
      <c r="G160" s="67" t="str">
        <f aca="false">IF($A160="","",IFERROR(INDEX(Aturan!$B$63:$B$66,MATCH(Varian!$AG36,Aturan!$A$63:$A$66,0)),""))</f>
        <v/>
      </c>
      <c r="H160" s="67" t="str">
        <f aca="false">IF($A160="","",IF(ISNUMBER(Varian!$AI36),Varian!$AI36,""))</f>
        <v/>
      </c>
      <c r="I160" s="66" t="str">
        <f aca="false">IF($A160="","",IF(Varian!$Q36="disolder","menempel di papan utama, tidak bisa ditambah",IF(OR(Varian!$Q36="slot",Varian!$Q36="setengah_disolder"),IF(Varian!$Q36="setengah_disolder","sebagian menempel, ","")&amp;IF(ISNUMBER(Varian!$U36),IF(AND(ISNUMBER(Varian!$M36),Varian!$U36&gt;Varian!$M36),"bisa dinaikkan lewat slot sampai "&amp;Varian!$U36&amp;" GB","sudah di batas maksimal "&amp;Varian!$U36&amp;" GB"),"ada slot, batas maksimalnya belum diketahui"),"belum diketahui apakah bisa ditambah")))</f>
        <v/>
      </c>
      <c r="J160" s="66" t="str">
        <f aca="false">IF($A160="","",IF(Varian!$Z36="ya","bisa diganti dengan yang lebih besar",IF(Varian!$Z36="tidak","menempel, tidak bisa diganti","belum diketahui apakah bisa diganti")))</f>
        <v/>
      </c>
      <c r="K160" s="68" t="str">
        <f aca="false">IF($A160="","",IF(AND(Aturan!$C$30="",Aturan!$D$30=""),"Tidak dinilai",IF(C160="","Belum ada data",IF(C160&lt;IF(Aturan!$C$30="",0,Aturan!$C$30),"Kurang",IF(C160&gt;=IF(Aturan!$D$30="",Aturan!$C$30,Aturan!$D$30),"Nyaman","Cukup")))))</f>
        <v/>
      </c>
      <c r="L160" s="68" t="str">
        <f aca="false">IF($A160="","",IF(AND(Aturan!$C$31="",Aturan!$D$31=""),"Tidak dinilai",IF(D160="","Belum ada data",IF(D160&lt;IF(Aturan!$C$31="",0,Aturan!$C$31),"Kurang",IF(D160&gt;=IF(Aturan!$D$31="",Aturan!$C$31,Aturan!$D$31),"Nyaman","Cukup")))))</f>
        <v/>
      </c>
      <c r="M160" s="68" t="str">
        <f aca="false">IF($A160="","",IF(AND(Aturan!$C$32="",Aturan!$D$32=""),"Tidak dinilai",IF(E160="","Belum ada data",IF(E160&lt;IF(Aturan!$C$32="",0,Aturan!$C$32),"Kurang",IF(E160&gt;=IF(Aturan!$D$32="",Aturan!$C$32,Aturan!$D$32),"Nyaman","Cukup")))))</f>
        <v/>
      </c>
      <c r="N160" s="68" t="str">
        <f aca="false">IF($A160="","",IF(AND(Aturan!$C$33="",Aturan!$D$33=""),"Tidak dinilai",IF(F160="","Belum ada data",IF(F160&lt;IF(Aturan!$C$33="",0,Aturan!$C$33),"Kurang",IF(F160&gt;=IF(Aturan!$D$33="",Aturan!$C$33,Aturan!$D$33),"Nyaman","Cukup")))))</f>
        <v/>
      </c>
      <c r="O160" s="68" t="str">
        <f aca="false">IF($A160="","",IF(AND(Aturan!$C$34="",Aturan!$D$34=""),"Tidak dinilai",IF(G160="","Belum ada data",IF(G160&lt;IF(Aturan!$C$34="",0,Aturan!$C$34),"Kurang",IF(G160&gt;=IF(Aturan!$D$34="",Aturan!$C$34,Aturan!$D$34),"Nyaman","Cukup")))))</f>
        <v/>
      </c>
      <c r="P160" s="68" t="str">
        <f aca="false">IF($A160="","",IF(AND(Aturan!$C$35="",Aturan!$D$35=""),"Tidak dinilai",IF(H160="","Belum ada data",IF(H160&lt;IF(Aturan!$C$35="",0,Aturan!$C$35),"Kurang",IF(H160&gt;=IF(Aturan!$D$35="",Aturan!$C$35,Aturan!$D$35),"Nyaman","Cukup")))))</f>
        <v/>
      </c>
      <c r="Q160" s="68" t="str">
        <f aca="false">IF($A160="","",IF(COUNTIF(K160:P160,"Tidak dinilai")=6,"Tidak dinilai",IF(COUNTIF(K160:P160,"Kurang")&gt;0,"Kurang cocok",IF(COUNTIF(K160:P160,"Belum ada data")&gt;0,"Data belum lengkap",IF(COUNTIF(K160:P160,"Cukup")&gt;0,"Bisa, dengan catatan","Cocok")))))</f>
        <v/>
      </c>
      <c r="R160" s="66" t="str">
        <f aca="false">IF($A160="","",IF(K160="Kurang","prosesor tingkat "&amp;C160&amp;" dari 5, di bawah batas minimal (tingkat "&amp;Aturan!$C$30&amp;")",IF(K160="Cukup","prosesor tingkat "&amp;C160&amp;" dari 5 cukup, nyamannya mulai tingkat "&amp;Aturan!$D$30,IF(K160="Belum ada data","tingkat prosesor belum diisi",""))))</f>
        <v/>
      </c>
      <c r="S160" s="66" t="str">
        <f aca="false">IF($A160="","",IF(L160="Kurang","grafis tingkat "&amp;D160&amp;" dari 5, di bawah batas minimal (tingkat "&amp;Aturan!$C$31&amp;")",IF(L160="Cukup","grafis tingkat "&amp;D160&amp;" dari 5 cukup, nyamannya mulai tingkat "&amp;Aturan!$D$31,IF(L160="Belum ada data","tingkat grafis belum diisi",""))))</f>
        <v/>
      </c>
      <c r="T160" s="66" t="str">
        <f aca="false">IF($A160="","",IF(M160="Kurang","RAM "&amp;E160&amp;" GB, di bawah batas minimal "&amp;Aturan!$C$32&amp;" GB ("&amp;I160&amp;")",IF(M160="Cukup","RAM "&amp;E160&amp;" GB cukup, nyamannya "&amp;Aturan!$D$32&amp;" GB atau lebih ("&amp;I160&amp;")",IF(M160="Belum ada data","ukuran RAM belum diisi",""))))</f>
        <v/>
      </c>
      <c r="U160" s="66" t="str">
        <f aca="false">IF($A160="","",IF(N160="Kurang","penyimpanan "&amp;F160&amp;" GB, di bawah batas minimal "&amp;Aturan!$C$33&amp;" GB ("&amp;J160&amp;")",IF(N160="Cukup","penyimpanan "&amp;F160&amp;" GB cukup, nyamannya "&amp;Aturan!$D$33&amp;" GB atau lebih ("&amp;J160&amp;")",IF(N160="Belum ada data","ukuran penyimpanan belum diisi",""))))</f>
        <v/>
      </c>
      <c r="V160" s="66" t="str">
        <f aca="false">IF($A160="","",IF(O160="Kurang","layar "&amp;Varian!$AG36&amp;", di bawah batas minimal ("&amp;IFERROR(INDEX(Aturan!$A$63:$A$66,MATCH(Aturan!$C$34,Aturan!$B$63:$B$66,0)),"peringkat "&amp;Aturan!$C$34)&amp;")",IF(O160="Cukup","layar "&amp;Varian!$AG36&amp;" cukup, nyamannya "&amp;IFERROR(INDEX(Aturan!$A$63:$A$66,MATCH(Aturan!$D$34,Aturan!$B$63:$B$66,0)),"peringkat "&amp;Aturan!$D$34),IF(O160="Belum ada data","jenis layar belum diketahui",""))))</f>
        <v/>
      </c>
      <c r="W160" s="66" t="str">
        <f aca="false">IF($A160="","",IF(P160="Kurang","layar "&amp;H160&amp;" Hz, di bawah batas minimal "&amp;Aturan!$C$35&amp;" Hz",IF(P160="Cukup","layar "&amp;H160&amp;" Hz cukup, nyamannya "&amp;Aturan!$D$35&amp;" Hz atau lebih",IF(P160="Belum ada data","refresh rate belum diketahui",""))))</f>
        <v/>
      </c>
      <c r="X160" s="66" t="str">
        <f aca="false">IF($A160="","",IF(K160="Kurang",R160&amp;"; ","")&amp;IF(L160="Kurang",S160&amp;"; ","")&amp;IF(M160="Kurang",T160&amp;"; ","")&amp;IF(N160="Kurang",U160&amp;"; ","")&amp;IF(O160="Kurang",V160&amp;"; ","")&amp;IF(P160="Kurang",W160&amp;"; ","")&amp;IF(K160="Belum ada data",R160&amp;"; ","")&amp;IF(L160="Belum ada data",S160&amp;"; ","")&amp;IF(M160="Belum ada data",T160&amp;"; ","")&amp;IF(N160="Belum ada data",U160&amp;"; ","")&amp;IF(O160="Belum ada data",V160&amp;"; ","")&amp;IF(P160="Belum ada data",W160&amp;"; ","")&amp;IF(K160="Cukup",R160&amp;"; ","")&amp;IF(L160="Cukup",S160&amp;"; ","")&amp;IF(M160="Cukup",T160&amp;"; ","")&amp;IF(N160="Cukup",U160&amp;"; ","")&amp;IF(O160="Cukup",V160&amp;"; ","")&amp;IF(P160="Cukup",W160&amp;"; ",""))</f>
        <v/>
      </c>
      <c r="Y160" s="66" t="str">
        <f aca="false">IF($A160="","",IF(K160="Nyaman","prosesor, ","")&amp;IF(L160="Nyaman","grafis, ","")&amp;IF(M160="Nyaman","RAM, ","")&amp;IF(N160="Nyaman","penyimpanan, ","")&amp;IF(O160="Nyaman","layar, ","")&amp;IF(P160="Nyaman","refresh rate, ",""))</f>
        <v/>
      </c>
      <c r="Z160" s="66" t="str">
        <f aca="false">IF($A160="","",IF(Q160="Tidak dinilai","Belum ada kriteria yang dinilai untuk kebutuhan ini.",IF(Q160="Cocok","Semua kriteria yang dinilai sudah nyaman: "&amp;LEFT(Y160,LEN(Y160)-2)&amp;".",UPPER(LEFT(X160,1))&amp;MID(X160,2,LEN(X160)-3)&amp;"."&amp;IF(Y160="",""," Sudah nyaman: "&amp;LEFT(Y160,LEN(Y160)-2)&amp;"."))))</f>
        <v/>
      </c>
      <c r="AA160" s="66" t="str">
        <f aca="false">IF($A160="","",IF(Varian!$AR36="Windows 10","• "&amp;Aturan!$E$71&amp;CHAR(10),"")&amp;IF(Varian!$BB36="tidak","• "&amp;Aturan!$E$72&amp;CHAR(10),"")&amp;IF(OR(Varian!$AD36="belum terverifikasi",Varian!$AD36="tidak diketahui"),"• "&amp;Aturan!$E$73&amp;CHAR(10),"")&amp;IF(Varian!$AH36="1366x768","• "&amp;Aturan!$E$74&amp;CHAR(10),"")&amp;IF(Varian!$AG36="TN","• "&amp;Aturan!$E$75&amp;CHAR(10),"")&amp;IF(AND(Varian!$Q36="disolder",ISNUMBER(Varian!$M36),Varian!$M36&lt;=8),"• "&amp;Aturan!$E$76&amp;CHAR(10),""))</f>
        <v/>
      </c>
      <c r="AB160" s="66" t="str">
        <f aca="false">IF($A160="","",IF(AA160="","",LEFT(AA160,LEN(AA160)-1)))</f>
        <v/>
      </c>
      <c r="AC160" s="67" t="str">
        <f aca="false">IF($A160="","",IF(AA160="",0,LEN(AA160)-LEN(SUBSTITUTE(AA160,CHAR(10),""))))</f>
        <v/>
      </c>
    </row>
    <row r="161" customFormat="false" ht="15" hidden="false" customHeight="true" outlineLevel="0" collapsed="false">
      <c r="A161" s="33" t="str">
        <f aca="false">IF(Varian!$A36="","",Varian!$A36)</f>
        <v/>
      </c>
      <c r="B161" s="33" t="str">
        <f aca="false">IF($A161="","",Aturan!$A$22)</f>
        <v/>
      </c>
      <c r="C161" s="69" t="str">
        <f aca="false">IF($A161="","",IFERROR(IF(ISNUMBER(INDEX(CPU!$J$4:$J$64,MATCH(Varian!$J36,CPU!$A$4:$A$64,0))),INDEX(CPU!$J$4:$J$64,MATCH(Varian!$J36,CPU!$A$4:$A$64,0)),""),""))</f>
        <v/>
      </c>
      <c r="D161" s="69" t="str">
        <f aca="false">IF($A161="","",IFERROR(IF(ISNUMBER(INDEX(GPU!$G$4:$G$64,MATCH(Varian!$K36,GPU!$A$4:$A$64,0))),INDEX(GPU!$G$4:$G$64,MATCH(Varian!$K36,GPU!$A$4:$A$64,0)),""),""))</f>
        <v/>
      </c>
      <c r="E161" s="69" t="str">
        <f aca="false">IF($A161="","",IF(ISNUMBER(Varian!$M36),Varian!$M36,""))</f>
        <v/>
      </c>
      <c r="F161" s="69" t="str">
        <f aca="false">IF($A161="","",IF(ISNUMBER(Varian!$V36),Varian!$V36,""))</f>
        <v/>
      </c>
      <c r="G161" s="69" t="str">
        <f aca="false">IF($A161="","",IFERROR(INDEX(Aturan!$B$63:$B$66,MATCH(Varian!$AG36,Aturan!$A$63:$A$66,0)),""))</f>
        <v/>
      </c>
      <c r="H161" s="69" t="str">
        <f aca="false">IF($A161="","",IF(ISNUMBER(Varian!$AI36),Varian!$AI36,""))</f>
        <v/>
      </c>
      <c r="I161" s="33" t="str">
        <f aca="false">IF($A161="","",IF(Varian!$Q36="disolder","menempel di papan utama, tidak bisa ditambah",IF(OR(Varian!$Q36="slot",Varian!$Q36="setengah_disolder"),IF(Varian!$Q36="setengah_disolder","sebagian menempel, ","")&amp;IF(ISNUMBER(Varian!$U36),IF(AND(ISNUMBER(Varian!$M36),Varian!$U36&gt;Varian!$M36),"bisa dinaikkan lewat slot sampai "&amp;Varian!$U36&amp;" GB","sudah di batas maksimal "&amp;Varian!$U36&amp;" GB"),"ada slot, batas maksimalnya belum diketahui"),"belum diketahui apakah bisa ditambah")))</f>
        <v/>
      </c>
      <c r="J161" s="33" t="str">
        <f aca="false">IF($A161="","",IF(Varian!$Z36="ya","bisa diganti dengan yang lebih besar",IF(Varian!$Z36="tidak","menempel, tidak bisa diganti","belum diketahui apakah bisa diganti")))</f>
        <v/>
      </c>
      <c r="K161" s="70" t="str">
        <f aca="false">IF($A161="","",IF(AND(Aturan!$C$36="",Aturan!$D$36=""),"Tidak dinilai",IF(C161="","Belum ada data",IF(C161&lt;IF(Aturan!$C$36="",0,Aturan!$C$36),"Kurang",IF(C161&gt;=IF(Aturan!$D$36="",Aturan!$C$36,Aturan!$D$36),"Nyaman","Cukup")))))</f>
        <v/>
      </c>
      <c r="L161" s="70" t="str">
        <f aca="false">IF($A161="","",IF(AND(Aturan!$C$37="",Aturan!$D$37=""),"Tidak dinilai",IF(D161="","Belum ada data",IF(D161&lt;IF(Aturan!$C$37="",0,Aturan!$C$37),"Kurang",IF(D161&gt;=IF(Aturan!$D$37="",Aturan!$C$37,Aturan!$D$37),"Nyaman","Cukup")))))</f>
        <v/>
      </c>
      <c r="M161" s="70" t="str">
        <f aca="false">IF($A161="","",IF(AND(Aturan!$C$38="",Aturan!$D$38=""),"Tidak dinilai",IF(E161="","Belum ada data",IF(E161&lt;IF(Aturan!$C$38="",0,Aturan!$C$38),"Kurang",IF(E161&gt;=IF(Aturan!$D$38="",Aturan!$C$38,Aturan!$D$38),"Nyaman","Cukup")))))</f>
        <v/>
      </c>
      <c r="N161" s="70" t="str">
        <f aca="false">IF($A161="","",IF(AND(Aturan!$C$39="",Aturan!$D$39=""),"Tidak dinilai",IF(F161="","Belum ada data",IF(F161&lt;IF(Aturan!$C$39="",0,Aturan!$C$39),"Kurang",IF(F161&gt;=IF(Aturan!$D$39="",Aturan!$C$39,Aturan!$D$39),"Nyaman","Cukup")))))</f>
        <v/>
      </c>
      <c r="O161" s="70" t="str">
        <f aca="false">IF($A161="","",IF(AND(Aturan!$C$40="",Aturan!$D$40=""),"Tidak dinilai",IF(G161="","Belum ada data",IF(G161&lt;IF(Aturan!$C$40="",0,Aturan!$C$40),"Kurang",IF(G161&gt;=IF(Aturan!$D$40="",Aturan!$C$40,Aturan!$D$40),"Nyaman","Cukup")))))</f>
        <v/>
      </c>
      <c r="P161" s="70" t="str">
        <f aca="false">IF($A161="","",IF(AND(Aturan!$C$41="",Aturan!$D$41=""),"Tidak dinilai",IF(H161="","Belum ada data",IF(H161&lt;IF(Aturan!$C$41="",0,Aturan!$C$41),"Kurang",IF(H161&gt;=IF(Aturan!$D$41="",Aturan!$C$41,Aturan!$D$41),"Nyaman","Cukup")))))</f>
        <v/>
      </c>
      <c r="Q161" s="70" t="str">
        <f aca="false">IF($A161="","",IF(COUNTIF(K161:P161,"Tidak dinilai")=6,"Tidak dinilai",IF(COUNTIF(K161:P161,"Kurang")&gt;0,"Kurang cocok",IF(COUNTIF(K161:P161,"Belum ada data")&gt;0,"Data belum lengkap",IF(COUNTIF(K161:P161,"Cukup")&gt;0,"Bisa, dengan catatan","Cocok")))))</f>
        <v/>
      </c>
      <c r="R161" s="33" t="str">
        <f aca="false">IF($A161="","",IF(K161="Kurang","prosesor tingkat "&amp;C161&amp;" dari 5, di bawah batas minimal (tingkat "&amp;Aturan!$C$36&amp;")",IF(K161="Cukup","prosesor tingkat "&amp;C161&amp;" dari 5 cukup, nyamannya mulai tingkat "&amp;Aturan!$D$36,IF(K161="Belum ada data","tingkat prosesor belum diisi",""))))</f>
        <v/>
      </c>
      <c r="S161" s="33" t="str">
        <f aca="false">IF($A161="","",IF(L161="Kurang","grafis tingkat "&amp;D161&amp;" dari 5, di bawah batas minimal (tingkat "&amp;Aturan!$C$37&amp;")",IF(L161="Cukup","grafis tingkat "&amp;D161&amp;" dari 5 cukup, nyamannya mulai tingkat "&amp;Aturan!$D$37,IF(L161="Belum ada data","tingkat grafis belum diisi",""))))</f>
        <v/>
      </c>
      <c r="T161" s="33" t="str">
        <f aca="false">IF($A161="","",IF(M161="Kurang","RAM "&amp;E161&amp;" GB, di bawah batas minimal "&amp;Aturan!$C$38&amp;" GB ("&amp;I161&amp;")",IF(M161="Cukup","RAM "&amp;E161&amp;" GB cukup, nyamannya "&amp;Aturan!$D$38&amp;" GB atau lebih ("&amp;I161&amp;")",IF(M161="Belum ada data","ukuran RAM belum diisi",""))))</f>
        <v/>
      </c>
      <c r="U161" s="33" t="str">
        <f aca="false">IF($A161="","",IF(N161="Kurang","penyimpanan "&amp;F161&amp;" GB, di bawah batas minimal "&amp;Aturan!$C$39&amp;" GB ("&amp;J161&amp;")",IF(N161="Cukup","penyimpanan "&amp;F161&amp;" GB cukup, nyamannya "&amp;Aturan!$D$39&amp;" GB atau lebih ("&amp;J161&amp;")",IF(N161="Belum ada data","ukuran penyimpanan belum diisi",""))))</f>
        <v/>
      </c>
      <c r="V161" s="33" t="str">
        <f aca="false">IF($A161="","",IF(O161="Kurang","layar "&amp;Varian!$AG36&amp;", di bawah batas minimal ("&amp;IFERROR(INDEX(Aturan!$A$63:$A$66,MATCH(Aturan!$C$40,Aturan!$B$63:$B$66,0)),"peringkat "&amp;Aturan!$C$40)&amp;")",IF(O161="Cukup","layar "&amp;Varian!$AG36&amp;" cukup, nyamannya "&amp;IFERROR(INDEX(Aturan!$A$63:$A$66,MATCH(Aturan!$D$40,Aturan!$B$63:$B$66,0)),"peringkat "&amp;Aturan!$D$40),IF(O161="Belum ada data","jenis layar belum diketahui",""))))</f>
        <v/>
      </c>
      <c r="W161" s="33" t="str">
        <f aca="false">IF($A161="","",IF(P161="Kurang","layar "&amp;H161&amp;" Hz, di bawah batas minimal "&amp;Aturan!$C$41&amp;" Hz",IF(P161="Cukup","layar "&amp;H161&amp;" Hz cukup, nyamannya "&amp;Aturan!$D$41&amp;" Hz atau lebih",IF(P161="Belum ada data","refresh rate belum diketahui",""))))</f>
        <v/>
      </c>
      <c r="X161" s="33" t="str">
        <f aca="false">IF($A161="","",IF(K161="Kurang",R161&amp;"; ","")&amp;IF(L161="Kurang",S161&amp;"; ","")&amp;IF(M161="Kurang",T161&amp;"; ","")&amp;IF(N161="Kurang",U161&amp;"; ","")&amp;IF(O161="Kurang",V161&amp;"; ","")&amp;IF(P161="Kurang",W161&amp;"; ","")&amp;IF(K161="Belum ada data",R161&amp;"; ","")&amp;IF(L161="Belum ada data",S161&amp;"; ","")&amp;IF(M161="Belum ada data",T161&amp;"; ","")&amp;IF(N161="Belum ada data",U161&amp;"; ","")&amp;IF(O161="Belum ada data",V161&amp;"; ","")&amp;IF(P161="Belum ada data",W161&amp;"; ","")&amp;IF(K161="Cukup",R161&amp;"; ","")&amp;IF(L161="Cukup",S161&amp;"; ","")&amp;IF(M161="Cukup",T161&amp;"; ","")&amp;IF(N161="Cukup",U161&amp;"; ","")&amp;IF(O161="Cukup",V161&amp;"; ","")&amp;IF(P161="Cukup",W161&amp;"; ",""))</f>
        <v/>
      </c>
      <c r="Y161" s="33" t="str">
        <f aca="false">IF($A161="","",IF(K161="Nyaman","prosesor, ","")&amp;IF(L161="Nyaman","grafis, ","")&amp;IF(M161="Nyaman","RAM, ","")&amp;IF(N161="Nyaman","penyimpanan, ","")&amp;IF(O161="Nyaman","layar, ","")&amp;IF(P161="Nyaman","refresh rate, ",""))</f>
        <v/>
      </c>
      <c r="Z161" s="33" t="str">
        <f aca="false">IF($A161="","",IF(Q161="Tidak dinilai","Belum ada kriteria yang dinilai untuk kebutuhan ini.",IF(Q161="Cocok","Semua kriteria yang dinilai sudah nyaman: "&amp;LEFT(Y161,LEN(Y161)-2)&amp;".",UPPER(LEFT(X161,1))&amp;MID(X161,2,LEN(X161)-3)&amp;"."&amp;IF(Y161="",""," Sudah nyaman: "&amp;LEFT(Y161,LEN(Y161)-2)&amp;"."))))</f>
        <v/>
      </c>
      <c r="AA161" s="33"/>
      <c r="AB161" s="33"/>
      <c r="AC161" s="69"/>
    </row>
    <row r="162" customFormat="false" ht="15" hidden="false" customHeight="true" outlineLevel="0" collapsed="false">
      <c r="A162" s="33" t="str">
        <f aca="false">IF(Varian!$A36="","",Varian!$A36)</f>
        <v/>
      </c>
      <c r="B162" s="33" t="str">
        <f aca="false">IF($A162="","",Aturan!$A$23)</f>
        <v/>
      </c>
      <c r="C162" s="69" t="str">
        <f aca="false">IF($A162="","",IFERROR(IF(ISNUMBER(INDEX(CPU!$J$4:$J$64,MATCH(Varian!$J36,CPU!$A$4:$A$64,0))),INDEX(CPU!$J$4:$J$64,MATCH(Varian!$J36,CPU!$A$4:$A$64,0)),""),""))</f>
        <v/>
      </c>
      <c r="D162" s="69" t="str">
        <f aca="false">IF($A162="","",IFERROR(IF(ISNUMBER(INDEX(GPU!$G$4:$G$64,MATCH(Varian!$K36,GPU!$A$4:$A$64,0))),INDEX(GPU!$G$4:$G$64,MATCH(Varian!$K36,GPU!$A$4:$A$64,0)),""),""))</f>
        <v/>
      </c>
      <c r="E162" s="69" t="str">
        <f aca="false">IF($A162="","",IF(ISNUMBER(Varian!$M36),Varian!$M36,""))</f>
        <v/>
      </c>
      <c r="F162" s="69" t="str">
        <f aca="false">IF($A162="","",IF(ISNUMBER(Varian!$V36),Varian!$V36,""))</f>
        <v/>
      </c>
      <c r="G162" s="69" t="str">
        <f aca="false">IF($A162="","",IFERROR(INDEX(Aturan!$B$63:$B$66,MATCH(Varian!$AG36,Aturan!$A$63:$A$66,0)),""))</f>
        <v/>
      </c>
      <c r="H162" s="69" t="str">
        <f aca="false">IF($A162="","",IF(ISNUMBER(Varian!$AI36),Varian!$AI36,""))</f>
        <v/>
      </c>
      <c r="I162" s="33" t="str">
        <f aca="false">IF($A162="","",IF(Varian!$Q36="disolder","menempel di papan utama, tidak bisa ditambah",IF(OR(Varian!$Q36="slot",Varian!$Q36="setengah_disolder"),IF(Varian!$Q36="setengah_disolder","sebagian menempel, ","")&amp;IF(ISNUMBER(Varian!$U36),IF(AND(ISNUMBER(Varian!$M36),Varian!$U36&gt;Varian!$M36),"bisa dinaikkan lewat slot sampai "&amp;Varian!$U36&amp;" GB","sudah di batas maksimal "&amp;Varian!$U36&amp;" GB"),"ada slot, batas maksimalnya belum diketahui"),"belum diketahui apakah bisa ditambah")))</f>
        <v/>
      </c>
      <c r="J162" s="33" t="str">
        <f aca="false">IF($A162="","",IF(Varian!$Z36="ya","bisa diganti dengan yang lebih besar",IF(Varian!$Z36="tidak","menempel, tidak bisa diganti","belum diketahui apakah bisa diganti")))</f>
        <v/>
      </c>
      <c r="K162" s="70" t="str">
        <f aca="false">IF($A162="","",IF(AND(Aturan!$C$42="",Aturan!$D$42=""),"Tidak dinilai",IF(C162="","Belum ada data",IF(C162&lt;IF(Aturan!$C$42="",0,Aturan!$C$42),"Kurang",IF(C162&gt;=IF(Aturan!$D$42="",Aturan!$C$42,Aturan!$D$42),"Nyaman","Cukup")))))</f>
        <v/>
      </c>
      <c r="L162" s="70" t="str">
        <f aca="false">IF($A162="","",IF(AND(Aturan!$C$43="",Aturan!$D$43=""),"Tidak dinilai",IF(D162="","Belum ada data",IF(D162&lt;IF(Aturan!$C$43="",0,Aturan!$C$43),"Kurang",IF(D162&gt;=IF(Aturan!$D$43="",Aturan!$C$43,Aturan!$D$43),"Nyaman","Cukup")))))</f>
        <v/>
      </c>
      <c r="M162" s="70" t="str">
        <f aca="false">IF($A162="","",IF(AND(Aturan!$C$44="",Aturan!$D$44=""),"Tidak dinilai",IF(E162="","Belum ada data",IF(E162&lt;IF(Aturan!$C$44="",0,Aturan!$C$44),"Kurang",IF(E162&gt;=IF(Aturan!$D$44="",Aturan!$C$44,Aturan!$D$44),"Nyaman","Cukup")))))</f>
        <v/>
      </c>
      <c r="N162" s="70" t="str">
        <f aca="false">IF($A162="","",IF(AND(Aturan!$C$45="",Aturan!$D$45=""),"Tidak dinilai",IF(F162="","Belum ada data",IF(F162&lt;IF(Aturan!$C$45="",0,Aturan!$C$45),"Kurang",IF(F162&gt;=IF(Aturan!$D$45="",Aturan!$C$45,Aturan!$D$45),"Nyaman","Cukup")))))</f>
        <v/>
      </c>
      <c r="O162" s="70" t="str">
        <f aca="false">IF($A162="","",IF(AND(Aturan!$C$46="",Aturan!$D$46=""),"Tidak dinilai",IF(G162="","Belum ada data",IF(G162&lt;IF(Aturan!$C$46="",0,Aturan!$C$46),"Kurang",IF(G162&gt;=IF(Aturan!$D$46="",Aturan!$C$46,Aturan!$D$46),"Nyaman","Cukup")))))</f>
        <v/>
      </c>
      <c r="P162" s="70" t="str">
        <f aca="false">IF($A162="","",IF(AND(Aturan!$C$47="",Aturan!$D$47=""),"Tidak dinilai",IF(H162="","Belum ada data",IF(H162&lt;IF(Aturan!$C$47="",0,Aturan!$C$47),"Kurang",IF(H162&gt;=IF(Aturan!$D$47="",Aturan!$C$47,Aturan!$D$47),"Nyaman","Cukup")))))</f>
        <v/>
      </c>
      <c r="Q162" s="70" t="str">
        <f aca="false">IF($A162="","",IF(COUNTIF(K162:P162,"Tidak dinilai")=6,"Tidak dinilai",IF(COUNTIF(K162:P162,"Kurang")&gt;0,"Kurang cocok",IF(COUNTIF(K162:P162,"Belum ada data")&gt;0,"Data belum lengkap",IF(COUNTIF(K162:P162,"Cukup")&gt;0,"Bisa, dengan catatan","Cocok")))))</f>
        <v/>
      </c>
      <c r="R162" s="33" t="str">
        <f aca="false">IF($A162="","",IF(K162="Kurang","prosesor tingkat "&amp;C162&amp;" dari 5, di bawah batas minimal (tingkat "&amp;Aturan!$C$42&amp;")",IF(K162="Cukup","prosesor tingkat "&amp;C162&amp;" dari 5 cukup, nyamannya mulai tingkat "&amp;Aturan!$D$42,IF(K162="Belum ada data","tingkat prosesor belum diisi",""))))</f>
        <v/>
      </c>
      <c r="S162" s="33" t="str">
        <f aca="false">IF($A162="","",IF(L162="Kurang","grafis tingkat "&amp;D162&amp;" dari 5, di bawah batas minimal (tingkat "&amp;Aturan!$C$43&amp;")",IF(L162="Cukup","grafis tingkat "&amp;D162&amp;" dari 5 cukup, nyamannya mulai tingkat "&amp;Aturan!$D$43,IF(L162="Belum ada data","tingkat grafis belum diisi",""))))</f>
        <v/>
      </c>
      <c r="T162" s="33" t="str">
        <f aca="false">IF($A162="","",IF(M162="Kurang","RAM "&amp;E162&amp;" GB, di bawah batas minimal "&amp;Aturan!$C$44&amp;" GB ("&amp;I162&amp;")",IF(M162="Cukup","RAM "&amp;E162&amp;" GB cukup, nyamannya "&amp;Aturan!$D$44&amp;" GB atau lebih ("&amp;I162&amp;")",IF(M162="Belum ada data","ukuran RAM belum diisi",""))))</f>
        <v/>
      </c>
      <c r="U162" s="33" t="str">
        <f aca="false">IF($A162="","",IF(N162="Kurang","penyimpanan "&amp;F162&amp;" GB, di bawah batas minimal "&amp;Aturan!$C$45&amp;" GB ("&amp;J162&amp;")",IF(N162="Cukup","penyimpanan "&amp;F162&amp;" GB cukup, nyamannya "&amp;Aturan!$D$45&amp;" GB atau lebih ("&amp;J162&amp;")",IF(N162="Belum ada data","ukuran penyimpanan belum diisi",""))))</f>
        <v/>
      </c>
      <c r="V162" s="33" t="str">
        <f aca="false">IF($A162="","",IF(O162="Kurang","layar "&amp;Varian!$AG36&amp;", di bawah batas minimal ("&amp;IFERROR(INDEX(Aturan!$A$63:$A$66,MATCH(Aturan!$C$46,Aturan!$B$63:$B$66,0)),"peringkat "&amp;Aturan!$C$46)&amp;")",IF(O162="Cukup","layar "&amp;Varian!$AG36&amp;" cukup, nyamannya "&amp;IFERROR(INDEX(Aturan!$A$63:$A$66,MATCH(Aturan!$D$46,Aturan!$B$63:$B$66,0)),"peringkat "&amp;Aturan!$D$46),IF(O162="Belum ada data","jenis layar belum diketahui",""))))</f>
        <v/>
      </c>
      <c r="W162" s="33" t="str">
        <f aca="false">IF($A162="","",IF(P162="Kurang","layar "&amp;H162&amp;" Hz, di bawah batas minimal "&amp;Aturan!$C$47&amp;" Hz",IF(P162="Cukup","layar "&amp;H162&amp;" Hz cukup, nyamannya "&amp;Aturan!$D$47&amp;" Hz atau lebih",IF(P162="Belum ada data","refresh rate belum diketahui",""))))</f>
        <v/>
      </c>
      <c r="X162" s="33" t="str">
        <f aca="false">IF($A162="","",IF(K162="Kurang",R162&amp;"; ","")&amp;IF(L162="Kurang",S162&amp;"; ","")&amp;IF(M162="Kurang",T162&amp;"; ","")&amp;IF(N162="Kurang",U162&amp;"; ","")&amp;IF(O162="Kurang",V162&amp;"; ","")&amp;IF(P162="Kurang",W162&amp;"; ","")&amp;IF(K162="Belum ada data",R162&amp;"; ","")&amp;IF(L162="Belum ada data",S162&amp;"; ","")&amp;IF(M162="Belum ada data",T162&amp;"; ","")&amp;IF(N162="Belum ada data",U162&amp;"; ","")&amp;IF(O162="Belum ada data",V162&amp;"; ","")&amp;IF(P162="Belum ada data",W162&amp;"; ","")&amp;IF(K162="Cukup",R162&amp;"; ","")&amp;IF(L162="Cukup",S162&amp;"; ","")&amp;IF(M162="Cukup",T162&amp;"; ","")&amp;IF(N162="Cukup",U162&amp;"; ","")&amp;IF(O162="Cukup",V162&amp;"; ","")&amp;IF(P162="Cukup",W162&amp;"; ",""))</f>
        <v/>
      </c>
      <c r="Y162" s="33" t="str">
        <f aca="false">IF($A162="","",IF(K162="Nyaman","prosesor, ","")&amp;IF(L162="Nyaman","grafis, ","")&amp;IF(M162="Nyaman","RAM, ","")&amp;IF(N162="Nyaman","penyimpanan, ","")&amp;IF(O162="Nyaman","layar, ","")&amp;IF(P162="Nyaman","refresh rate, ",""))</f>
        <v/>
      </c>
      <c r="Z162" s="33" t="str">
        <f aca="false">IF($A162="","",IF(Q162="Tidak dinilai","Belum ada kriteria yang dinilai untuk kebutuhan ini.",IF(Q162="Cocok","Semua kriteria yang dinilai sudah nyaman: "&amp;LEFT(Y162,LEN(Y162)-2)&amp;".",UPPER(LEFT(X162,1))&amp;MID(X162,2,LEN(X162)-3)&amp;"."&amp;IF(Y162="",""," Sudah nyaman: "&amp;LEFT(Y162,LEN(Y162)-2)&amp;"."))))</f>
        <v/>
      </c>
      <c r="AA162" s="33"/>
      <c r="AB162" s="33"/>
      <c r="AC162" s="69"/>
    </row>
    <row r="163" customFormat="false" ht="15" hidden="false" customHeight="true" outlineLevel="0" collapsed="false">
      <c r="A163" s="33" t="str">
        <f aca="false">IF(Varian!$A36="","",Varian!$A36)</f>
        <v/>
      </c>
      <c r="B163" s="33" t="str">
        <f aca="false">IF($A163="","",Aturan!$A$24)</f>
        <v/>
      </c>
      <c r="C163" s="69" t="str">
        <f aca="false">IF($A163="","",IFERROR(IF(ISNUMBER(INDEX(CPU!$J$4:$J$64,MATCH(Varian!$J36,CPU!$A$4:$A$64,0))),INDEX(CPU!$J$4:$J$64,MATCH(Varian!$J36,CPU!$A$4:$A$64,0)),""),""))</f>
        <v/>
      </c>
      <c r="D163" s="69" t="str">
        <f aca="false">IF($A163="","",IFERROR(IF(ISNUMBER(INDEX(GPU!$G$4:$G$64,MATCH(Varian!$K36,GPU!$A$4:$A$64,0))),INDEX(GPU!$G$4:$G$64,MATCH(Varian!$K36,GPU!$A$4:$A$64,0)),""),""))</f>
        <v/>
      </c>
      <c r="E163" s="69" t="str">
        <f aca="false">IF($A163="","",IF(ISNUMBER(Varian!$M36),Varian!$M36,""))</f>
        <v/>
      </c>
      <c r="F163" s="69" t="str">
        <f aca="false">IF($A163="","",IF(ISNUMBER(Varian!$V36),Varian!$V36,""))</f>
        <v/>
      </c>
      <c r="G163" s="69" t="str">
        <f aca="false">IF($A163="","",IFERROR(INDEX(Aturan!$B$63:$B$66,MATCH(Varian!$AG36,Aturan!$A$63:$A$66,0)),""))</f>
        <v/>
      </c>
      <c r="H163" s="69" t="str">
        <f aca="false">IF($A163="","",IF(ISNUMBER(Varian!$AI36),Varian!$AI36,""))</f>
        <v/>
      </c>
      <c r="I163" s="33" t="str">
        <f aca="false">IF($A163="","",IF(Varian!$Q36="disolder","menempel di papan utama, tidak bisa ditambah",IF(OR(Varian!$Q36="slot",Varian!$Q36="setengah_disolder"),IF(Varian!$Q36="setengah_disolder","sebagian menempel, ","")&amp;IF(ISNUMBER(Varian!$U36),IF(AND(ISNUMBER(Varian!$M36),Varian!$U36&gt;Varian!$M36),"bisa dinaikkan lewat slot sampai "&amp;Varian!$U36&amp;" GB","sudah di batas maksimal "&amp;Varian!$U36&amp;" GB"),"ada slot, batas maksimalnya belum diketahui"),"belum diketahui apakah bisa ditambah")))</f>
        <v/>
      </c>
      <c r="J163" s="33" t="str">
        <f aca="false">IF($A163="","",IF(Varian!$Z36="ya","bisa diganti dengan yang lebih besar",IF(Varian!$Z36="tidak","menempel, tidak bisa diganti","belum diketahui apakah bisa diganti")))</f>
        <v/>
      </c>
      <c r="K163" s="70" t="str">
        <f aca="false">IF($A163="","",IF(AND(Aturan!$C$48="",Aturan!$D$48=""),"Tidak dinilai",IF(C163="","Belum ada data",IF(C163&lt;IF(Aturan!$C$48="",0,Aturan!$C$48),"Kurang",IF(C163&gt;=IF(Aturan!$D$48="",Aturan!$C$48,Aturan!$D$48),"Nyaman","Cukup")))))</f>
        <v/>
      </c>
      <c r="L163" s="70" t="str">
        <f aca="false">IF($A163="","",IF(AND(Aturan!$C$49="",Aturan!$D$49=""),"Tidak dinilai",IF(D163="","Belum ada data",IF(D163&lt;IF(Aturan!$C$49="",0,Aturan!$C$49),"Kurang",IF(D163&gt;=IF(Aturan!$D$49="",Aturan!$C$49,Aturan!$D$49),"Nyaman","Cukup")))))</f>
        <v/>
      </c>
      <c r="M163" s="70" t="str">
        <f aca="false">IF($A163="","",IF(AND(Aturan!$C$50="",Aturan!$D$50=""),"Tidak dinilai",IF(E163="","Belum ada data",IF(E163&lt;IF(Aturan!$C$50="",0,Aturan!$C$50),"Kurang",IF(E163&gt;=IF(Aturan!$D$50="",Aturan!$C$50,Aturan!$D$50),"Nyaman","Cukup")))))</f>
        <v/>
      </c>
      <c r="N163" s="70" t="str">
        <f aca="false">IF($A163="","",IF(AND(Aturan!$C$51="",Aturan!$D$51=""),"Tidak dinilai",IF(F163="","Belum ada data",IF(F163&lt;IF(Aturan!$C$51="",0,Aturan!$C$51),"Kurang",IF(F163&gt;=IF(Aturan!$D$51="",Aturan!$C$51,Aturan!$D$51),"Nyaman","Cukup")))))</f>
        <v/>
      </c>
      <c r="O163" s="70" t="str">
        <f aca="false">IF($A163="","",IF(AND(Aturan!$C$52="",Aturan!$D$52=""),"Tidak dinilai",IF(G163="","Belum ada data",IF(G163&lt;IF(Aturan!$C$52="",0,Aturan!$C$52),"Kurang",IF(G163&gt;=IF(Aturan!$D$52="",Aturan!$C$52,Aturan!$D$52),"Nyaman","Cukup")))))</f>
        <v/>
      </c>
      <c r="P163" s="70" t="str">
        <f aca="false">IF($A163="","",IF(AND(Aturan!$C$53="",Aturan!$D$53=""),"Tidak dinilai",IF(H163="","Belum ada data",IF(H163&lt;IF(Aturan!$C$53="",0,Aturan!$C$53),"Kurang",IF(H163&gt;=IF(Aturan!$D$53="",Aturan!$C$53,Aturan!$D$53),"Nyaman","Cukup")))))</f>
        <v/>
      </c>
      <c r="Q163" s="70" t="str">
        <f aca="false">IF($A163="","",IF(COUNTIF(K163:P163,"Tidak dinilai")=6,"Tidak dinilai",IF(COUNTIF(K163:P163,"Kurang")&gt;0,"Kurang cocok",IF(COUNTIF(K163:P163,"Belum ada data")&gt;0,"Data belum lengkap",IF(COUNTIF(K163:P163,"Cukup")&gt;0,"Bisa, dengan catatan","Cocok")))))</f>
        <v/>
      </c>
      <c r="R163" s="33" t="str">
        <f aca="false">IF($A163="","",IF(K163="Kurang","prosesor tingkat "&amp;C163&amp;" dari 5, di bawah batas minimal (tingkat "&amp;Aturan!$C$48&amp;")",IF(K163="Cukup","prosesor tingkat "&amp;C163&amp;" dari 5 cukup, nyamannya mulai tingkat "&amp;Aturan!$D$48,IF(K163="Belum ada data","tingkat prosesor belum diisi",""))))</f>
        <v/>
      </c>
      <c r="S163" s="33" t="str">
        <f aca="false">IF($A163="","",IF(L163="Kurang","grafis tingkat "&amp;D163&amp;" dari 5, di bawah batas minimal (tingkat "&amp;Aturan!$C$49&amp;")",IF(L163="Cukup","grafis tingkat "&amp;D163&amp;" dari 5 cukup, nyamannya mulai tingkat "&amp;Aturan!$D$49,IF(L163="Belum ada data","tingkat grafis belum diisi",""))))</f>
        <v/>
      </c>
      <c r="T163" s="33" t="str">
        <f aca="false">IF($A163="","",IF(M163="Kurang","RAM "&amp;E163&amp;" GB, di bawah batas minimal "&amp;Aturan!$C$50&amp;" GB ("&amp;I163&amp;")",IF(M163="Cukup","RAM "&amp;E163&amp;" GB cukup, nyamannya "&amp;Aturan!$D$50&amp;" GB atau lebih ("&amp;I163&amp;")",IF(M163="Belum ada data","ukuran RAM belum diisi",""))))</f>
        <v/>
      </c>
      <c r="U163" s="33" t="str">
        <f aca="false">IF($A163="","",IF(N163="Kurang","penyimpanan "&amp;F163&amp;" GB, di bawah batas minimal "&amp;Aturan!$C$51&amp;" GB ("&amp;J163&amp;")",IF(N163="Cukup","penyimpanan "&amp;F163&amp;" GB cukup, nyamannya "&amp;Aturan!$D$51&amp;" GB atau lebih ("&amp;J163&amp;")",IF(N163="Belum ada data","ukuran penyimpanan belum diisi",""))))</f>
        <v/>
      </c>
      <c r="V163" s="33" t="str">
        <f aca="false">IF($A163="","",IF(O163="Kurang","layar "&amp;Varian!$AG36&amp;", di bawah batas minimal ("&amp;IFERROR(INDEX(Aturan!$A$63:$A$66,MATCH(Aturan!$C$52,Aturan!$B$63:$B$66,0)),"peringkat "&amp;Aturan!$C$52)&amp;")",IF(O163="Cukup","layar "&amp;Varian!$AG36&amp;" cukup, nyamannya "&amp;IFERROR(INDEX(Aturan!$A$63:$A$66,MATCH(Aturan!$D$52,Aturan!$B$63:$B$66,0)),"peringkat "&amp;Aturan!$D$52),IF(O163="Belum ada data","jenis layar belum diketahui",""))))</f>
        <v/>
      </c>
      <c r="W163" s="33" t="str">
        <f aca="false">IF($A163="","",IF(P163="Kurang","layar "&amp;H163&amp;" Hz, di bawah batas minimal "&amp;Aturan!$C$53&amp;" Hz",IF(P163="Cukup","layar "&amp;H163&amp;" Hz cukup, nyamannya "&amp;Aturan!$D$53&amp;" Hz atau lebih",IF(P163="Belum ada data","refresh rate belum diketahui",""))))</f>
        <v/>
      </c>
      <c r="X163" s="33" t="str">
        <f aca="false">IF($A163="","",IF(K163="Kurang",R163&amp;"; ","")&amp;IF(L163="Kurang",S163&amp;"; ","")&amp;IF(M163="Kurang",T163&amp;"; ","")&amp;IF(N163="Kurang",U163&amp;"; ","")&amp;IF(O163="Kurang",V163&amp;"; ","")&amp;IF(P163="Kurang",W163&amp;"; ","")&amp;IF(K163="Belum ada data",R163&amp;"; ","")&amp;IF(L163="Belum ada data",S163&amp;"; ","")&amp;IF(M163="Belum ada data",T163&amp;"; ","")&amp;IF(N163="Belum ada data",U163&amp;"; ","")&amp;IF(O163="Belum ada data",V163&amp;"; ","")&amp;IF(P163="Belum ada data",W163&amp;"; ","")&amp;IF(K163="Cukup",R163&amp;"; ","")&amp;IF(L163="Cukup",S163&amp;"; ","")&amp;IF(M163="Cukup",T163&amp;"; ","")&amp;IF(N163="Cukup",U163&amp;"; ","")&amp;IF(O163="Cukup",V163&amp;"; ","")&amp;IF(P163="Cukup",W163&amp;"; ",""))</f>
        <v/>
      </c>
      <c r="Y163" s="33" t="str">
        <f aca="false">IF($A163="","",IF(K163="Nyaman","prosesor, ","")&amp;IF(L163="Nyaman","grafis, ","")&amp;IF(M163="Nyaman","RAM, ","")&amp;IF(N163="Nyaman","penyimpanan, ","")&amp;IF(O163="Nyaman","layar, ","")&amp;IF(P163="Nyaman","refresh rate, ",""))</f>
        <v/>
      </c>
      <c r="Z163" s="33" t="str">
        <f aca="false">IF($A163="","",IF(Q163="Tidak dinilai","Belum ada kriteria yang dinilai untuk kebutuhan ini.",IF(Q163="Cocok","Semua kriteria yang dinilai sudah nyaman: "&amp;LEFT(Y163,LEN(Y163)-2)&amp;".",UPPER(LEFT(X163,1))&amp;MID(X163,2,LEN(X163)-3)&amp;"."&amp;IF(Y163="",""," Sudah nyaman: "&amp;LEFT(Y163,LEN(Y163)-2)&amp;"."))))</f>
        <v/>
      </c>
      <c r="AA163" s="33"/>
      <c r="AB163" s="33"/>
      <c r="AC163" s="69"/>
    </row>
    <row r="164" customFormat="false" ht="15" hidden="false" customHeight="true" outlineLevel="0" collapsed="false">
      <c r="A164" s="33" t="str">
        <f aca="false">IF(Varian!$A36="","",Varian!$A36)</f>
        <v/>
      </c>
      <c r="B164" s="33" t="str">
        <f aca="false">IF($A164="","",Aturan!$A$25)</f>
        <v/>
      </c>
      <c r="C164" s="69" t="str">
        <f aca="false">IF($A164="","",IFERROR(IF(ISNUMBER(INDEX(CPU!$J$4:$J$64,MATCH(Varian!$J36,CPU!$A$4:$A$64,0))),INDEX(CPU!$J$4:$J$64,MATCH(Varian!$J36,CPU!$A$4:$A$64,0)),""),""))</f>
        <v/>
      </c>
      <c r="D164" s="69" t="str">
        <f aca="false">IF($A164="","",IFERROR(IF(ISNUMBER(INDEX(GPU!$G$4:$G$64,MATCH(Varian!$K36,GPU!$A$4:$A$64,0))),INDEX(GPU!$G$4:$G$64,MATCH(Varian!$K36,GPU!$A$4:$A$64,0)),""),""))</f>
        <v/>
      </c>
      <c r="E164" s="69" t="str">
        <f aca="false">IF($A164="","",IF(ISNUMBER(Varian!$M36),Varian!$M36,""))</f>
        <v/>
      </c>
      <c r="F164" s="69" t="str">
        <f aca="false">IF($A164="","",IF(ISNUMBER(Varian!$V36),Varian!$V36,""))</f>
        <v/>
      </c>
      <c r="G164" s="69" t="str">
        <f aca="false">IF($A164="","",IFERROR(INDEX(Aturan!$B$63:$B$66,MATCH(Varian!$AG36,Aturan!$A$63:$A$66,0)),""))</f>
        <v/>
      </c>
      <c r="H164" s="69" t="str">
        <f aca="false">IF($A164="","",IF(ISNUMBER(Varian!$AI36),Varian!$AI36,""))</f>
        <v/>
      </c>
      <c r="I164" s="33" t="str">
        <f aca="false">IF($A164="","",IF(Varian!$Q36="disolder","menempel di papan utama, tidak bisa ditambah",IF(OR(Varian!$Q36="slot",Varian!$Q36="setengah_disolder"),IF(Varian!$Q36="setengah_disolder","sebagian menempel, ","")&amp;IF(ISNUMBER(Varian!$U36),IF(AND(ISNUMBER(Varian!$M36),Varian!$U36&gt;Varian!$M36),"bisa dinaikkan lewat slot sampai "&amp;Varian!$U36&amp;" GB","sudah di batas maksimal "&amp;Varian!$U36&amp;" GB"),"ada slot, batas maksimalnya belum diketahui"),"belum diketahui apakah bisa ditambah")))</f>
        <v/>
      </c>
      <c r="J164" s="33" t="str">
        <f aca="false">IF($A164="","",IF(Varian!$Z36="ya","bisa diganti dengan yang lebih besar",IF(Varian!$Z36="tidak","menempel, tidak bisa diganti","belum diketahui apakah bisa diganti")))</f>
        <v/>
      </c>
      <c r="K164" s="70" t="str">
        <f aca="false">IF($A164="","",IF(AND(Aturan!$C$54="",Aturan!$D$54=""),"Tidak dinilai",IF(C164="","Belum ada data",IF(C164&lt;IF(Aturan!$C$54="",0,Aturan!$C$54),"Kurang",IF(C164&gt;=IF(Aturan!$D$54="",Aturan!$C$54,Aturan!$D$54),"Nyaman","Cukup")))))</f>
        <v/>
      </c>
      <c r="L164" s="70" t="str">
        <f aca="false">IF($A164="","",IF(AND(Aturan!$C$55="",Aturan!$D$55=""),"Tidak dinilai",IF(D164="","Belum ada data",IF(D164&lt;IF(Aturan!$C$55="",0,Aturan!$C$55),"Kurang",IF(D164&gt;=IF(Aturan!$D$55="",Aturan!$C$55,Aturan!$D$55),"Nyaman","Cukup")))))</f>
        <v/>
      </c>
      <c r="M164" s="70" t="str">
        <f aca="false">IF($A164="","",IF(AND(Aturan!$C$56="",Aturan!$D$56=""),"Tidak dinilai",IF(E164="","Belum ada data",IF(E164&lt;IF(Aturan!$C$56="",0,Aturan!$C$56),"Kurang",IF(E164&gt;=IF(Aturan!$D$56="",Aturan!$C$56,Aturan!$D$56),"Nyaman","Cukup")))))</f>
        <v/>
      </c>
      <c r="N164" s="70" t="str">
        <f aca="false">IF($A164="","",IF(AND(Aturan!$C$57="",Aturan!$D$57=""),"Tidak dinilai",IF(F164="","Belum ada data",IF(F164&lt;IF(Aturan!$C$57="",0,Aturan!$C$57),"Kurang",IF(F164&gt;=IF(Aturan!$D$57="",Aturan!$C$57,Aturan!$D$57),"Nyaman","Cukup")))))</f>
        <v/>
      </c>
      <c r="O164" s="70" t="str">
        <f aca="false">IF($A164="","",IF(AND(Aturan!$C$58="",Aturan!$D$58=""),"Tidak dinilai",IF(G164="","Belum ada data",IF(G164&lt;IF(Aturan!$C$58="",0,Aturan!$C$58),"Kurang",IF(G164&gt;=IF(Aturan!$D$58="",Aturan!$C$58,Aturan!$D$58),"Nyaman","Cukup")))))</f>
        <v/>
      </c>
      <c r="P164" s="70" t="str">
        <f aca="false">IF($A164="","",IF(AND(Aturan!$C$59="",Aturan!$D$59=""),"Tidak dinilai",IF(H164="","Belum ada data",IF(H164&lt;IF(Aturan!$C$59="",0,Aturan!$C$59),"Kurang",IF(H164&gt;=IF(Aturan!$D$59="",Aturan!$C$59,Aturan!$D$59),"Nyaman","Cukup")))))</f>
        <v/>
      </c>
      <c r="Q164" s="70" t="str">
        <f aca="false">IF($A164="","",IF(COUNTIF(K164:P164,"Tidak dinilai")=6,"Tidak dinilai",IF(COUNTIF(K164:P164,"Kurang")&gt;0,"Kurang cocok",IF(COUNTIF(K164:P164,"Belum ada data")&gt;0,"Data belum lengkap",IF(COUNTIF(K164:P164,"Cukup")&gt;0,"Bisa, dengan catatan","Cocok")))))</f>
        <v/>
      </c>
      <c r="R164" s="33" t="str">
        <f aca="false">IF($A164="","",IF(K164="Kurang","prosesor tingkat "&amp;C164&amp;" dari 5, di bawah batas minimal (tingkat "&amp;Aturan!$C$54&amp;")",IF(K164="Cukup","prosesor tingkat "&amp;C164&amp;" dari 5 cukup, nyamannya mulai tingkat "&amp;Aturan!$D$54,IF(K164="Belum ada data","tingkat prosesor belum diisi",""))))</f>
        <v/>
      </c>
      <c r="S164" s="33" t="str">
        <f aca="false">IF($A164="","",IF(L164="Kurang","grafis tingkat "&amp;D164&amp;" dari 5, di bawah batas minimal (tingkat "&amp;Aturan!$C$55&amp;")",IF(L164="Cukup","grafis tingkat "&amp;D164&amp;" dari 5 cukup, nyamannya mulai tingkat "&amp;Aturan!$D$55,IF(L164="Belum ada data","tingkat grafis belum diisi",""))))</f>
        <v/>
      </c>
      <c r="T164" s="33" t="str">
        <f aca="false">IF($A164="","",IF(M164="Kurang","RAM "&amp;E164&amp;" GB, di bawah batas minimal "&amp;Aturan!$C$56&amp;" GB ("&amp;I164&amp;")",IF(M164="Cukup","RAM "&amp;E164&amp;" GB cukup, nyamannya "&amp;Aturan!$D$56&amp;" GB atau lebih ("&amp;I164&amp;")",IF(M164="Belum ada data","ukuran RAM belum diisi",""))))</f>
        <v/>
      </c>
      <c r="U164" s="33" t="str">
        <f aca="false">IF($A164="","",IF(N164="Kurang","penyimpanan "&amp;F164&amp;" GB, di bawah batas minimal "&amp;Aturan!$C$57&amp;" GB ("&amp;J164&amp;")",IF(N164="Cukup","penyimpanan "&amp;F164&amp;" GB cukup, nyamannya "&amp;Aturan!$D$57&amp;" GB atau lebih ("&amp;J164&amp;")",IF(N164="Belum ada data","ukuran penyimpanan belum diisi",""))))</f>
        <v/>
      </c>
      <c r="V164" s="33" t="str">
        <f aca="false">IF($A164="","",IF(O164="Kurang","layar "&amp;Varian!$AG36&amp;", di bawah batas minimal ("&amp;IFERROR(INDEX(Aturan!$A$63:$A$66,MATCH(Aturan!$C$58,Aturan!$B$63:$B$66,0)),"peringkat "&amp;Aturan!$C$58)&amp;")",IF(O164="Cukup","layar "&amp;Varian!$AG36&amp;" cukup, nyamannya "&amp;IFERROR(INDEX(Aturan!$A$63:$A$66,MATCH(Aturan!$D$58,Aturan!$B$63:$B$66,0)),"peringkat "&amp;Aturan!$D$58),IF(O164="Belum ada data","jenis layar belum diketahui",""))))</f>
        <v/>
      </c>
      <c r="W164" s="33" t="str">
        <f aca="false">IF($A164="","",IF(P164="Kurang","layar "&amp;H164&amp;" Hz, di bawah batas minimal "&amp;Aturan!$C$59&amp;" Hz",IF(P164="Cukup","layar "&amp;H164&amp;" Hz cukup, nyamannya "&amp;Aturan!$D$59&amp;" Hz atau lebih",IF(P164="Belum ada data","refresh rate belum diketahui",""))))</f>
        <v/>
      </c>
      <c r="X164" s="33" t="str">
        <f aca="false">IF($A164="","",IF(K164="Kurang",R164&amp;"; ","")&amp;IF(L164="Kurang",S164&amp;"; ","")&amp;IF(M164="Kurang",T164&amp;"; ","")&amp;IF(N164="Kurang",U164&amp;"; ","")&amp;IF(O164="Kurang",V164&amp;"; ","")&amp;IF(P164="Kurang",W164&amp;"; ","")&amp;IF(K164="Belum ada data",R164&amp;"; ","")&amp;IF(L164="Belum ada data",S164&amp;"; ","")&amp;IF(M164="Belum ada data",T164&amp;"; ","")&amp;IF(N164="Belum ada data",U164&amp;"; ","")&amp;IF(O164="Belum ada data",V164&amp;"; ","")&amp;IF(P164="Belum ada data",W164&amp;"; ","")&amp;IF(K164="Cukup",R164&amp;"; ","")&amp;IF(L164="Cukup",S164&amp;"; ","")&amp;IF(M164="Cukup",T164&amp;"; ","")&amp;IF(N164="Cukup",U164&amp;"; ","")&amp;IF(O164="Cukup",V164&amp;"; ","")&amp;IF(P164="Cukup",W164&amp;"; ",""))</f>
        <v/>
      </c>
      <c r="Y164" s="33" t="str">
        <f aca="false">IF($A164="","",IF(K164="Nyaman","prosesor, ","")&amp;IF(L164="Nyaman","grafis, ","")&amp;IF(M164="Nyaman","RAM, ","")&amp;IF(N164="Nyaman","penyimpanan, ","")&amp;IF(O164="Nyaman","layar, ","")&amp;IF(P164="Nyaman","refresh rate, ",""))</f>
        <v/>
      </c>
      <c r="Z164" s="33" t="str">
        <f aca="false">IF($A164="","",IF(Q164="Tidak dinilai","Belum ada kriteria yang dinilai untuk kebutuhan ini.",IF(Q164="Cocok","Semua kriteria yang dinilai sudah nyaman: "&amp;LEFT(Y164,LEN(Y164)-2)&amp;".",UPPER(LEFT(X164,1))&amp;MID(X164,2,LEN(X164)-3)&amp;"."&amp;IF(Y164="",""," Sudah nyaman: "&amp;LEFT(Y164,LEN(Y164)-2)&amp;"."))))</f>
        <v/>
      </c>
      <c r="AA164" s="33"/>
      <c r="AB164" s="33"/>
      <c r="AC164" s="69"/>
    </row>
    <row r="165" customFormat="false" ht="15" hidden="false" customHeight="true" outlineLevel="0" collapsed="false">
      <c r="A165" s="66" t="str">
        <f aca="false">IF(Varian!$A37="","",Varian!$A37)</f>
        <v/>
      </c>
      <c r="B165" s="66" t="str">
        <f aca="false">IF($A165="","",Aturan!$A$21)</f>
        <v/>
      </c>
      <c r="C165" s="67" t="str">
        <f aca="false">IF($A165="","",IFERROR(IF(ISNUMBER(INDEX(CPU!$J$4:$J$64,MATCH(Varian!$J37,CPU!$A$4:$A$64,0))),INDEX(CPU!$J$4:$J$64,MATCH(Varian!$J37,CPU!$A$4:$A$64,0)),""),""))</f>
        <v/>
      </c>
      <c r="D165" s="67" t="str">
        <f aca="false">IF($A165="","",IFERROR(IF(ISNUMBER(INDEX(GPU!$G$4:$G$64,MATCH(Varian!$K37,GPU!$A$4:$A$64,0))),INDEX(GPU!$G$4:$G$64,MATCH(Varian!$K37,GPU!$A$4:$A$64,0)),""),""))</f>
        <v/>
      </c>
      <c r="E165" s="67" t="str">
        <f aca="false">IF($A165="","",IF(ISNUMBER(Varian!$M37),Varian!$M37,""))</f>
        <v/>
      </c>
      <c r="F165" s="67" t="str">
        <f aca="false">IF($A165="","",IF(ISNUMBER(Varian!$V37),Varian!$V37,""))</f>
        <v/>
      </c>
      <c r="G165" s="67" t="str">
        <f aca="false">IF($A165="","",IFERROR(INDEX(Aturan!$B$63:$B$66,MATCH(Varian!$AG37,Aturan!$A$63:$A$66,0)),""))</f>
        <v/>
      </c>
      <c r="H165" s="67" t="str">
        <f aca="false">IF($A165="","",IF(ISNUMBER(Varian!$AI37),Varian!$AI37,""))</f>
        <v/>
      </c>
      <c r="I165" s="66" t="str">
        <f aca="false">IF($A165="","",IF(Varian!$Q37="disolder","menempel di papan utama, tidak bisa ditambah",IF(OR(Varian!$Q37="slot",Varian!$Q37="setengah_disolder"),IF(Varian!$Q37="setengah_disolder","sebagian menempel, ","")&amp;IF(ISNUMBER(Varian!$U37),IF(AND(ISNUMBER(Varian!$M37),Varian!$U37&gt;Varian!$M37),"bisa dinaikkan lewat slot sampai "&amp;Varian!$U37&amp;" GB","sudah di batas maksimal "&amp;Varian!$U37&amp;" GB"),"ada slot, batas maksimalnya belum diketahui"),"belum diketahui apakah bisa ditambah")))</f>
        <v/>
      </c>
      <c r="J165" s="66" t="str">
        <f aca="false">IF($A165="","",IF(Varian!$Z37="ya","bisa diganti dengan yang lebih besar",IF(Varian!$Z37="tidak","menempel, tidak bisa diganti","belum diketahui apakah bisa diganti")))</f>
        <v/>
      </c>
      <c r="K165" s="68" t="str">
        <f aca="false">IF($A165="","",IF(AND(Aturan!$C$30="",Aturan!$D$30=""),"Tidak dinilai",IF(C165="","Belum ada data",IF(C165&lt;IF(Aturan!$C$30="",0,Aturan!$C$30),"Kurang",IF(C165&gt;=IF(Aturan!$D$30="",Aturan!$C$30,Aturan!$D$30),"Nyaman","Cukup")))))</f>
        <v/>
      </c>
      <c r="L165" s="68" t="str">
        <f aca="false">IF($A165="","",IF(AND(Aturan!$C$31="",Aturan!$D$31=""),"Tidak dinilai",IF(D165="","Belum ada data",IF(D165&lt;IF(Aturan!$C$31="",0,Aturan!$C$31),"Kurang",IF(D165&gt;=IF(Aturan!$D$31="",Aturan!$C$31,Aturan!$D$31),"Nyaman","Cukup")))))</f>
        <v/>
      </c>
      <c r="M165" s="68" t="str">
        <f aca="false">IF($A165="","",IF(AND(Aturan!$C$32="",Aturan!$D$32=""),"Tidak dinilai",IF(E165="","Belum ada data",IF(E165&lt;IF(Aturan!$C$32="",0,Aturan!$C$32),"Kurang",IF(E165&gt;=IF(Aturan!$D$32="",Aturan!$C$32,Aturan!$D$32),"Nyaman","Cukup")))))</f>
        <v/>
      </c>
      <c r="N165" s="68" t="str">
        <f aca="false">IF($A165="","",IF(AND(Aturan!$C$33="",Aturan!$D$33=""),"Tidak dinilai",IF(F165="","Belum ada data",IF(F165&lt;IF(Aturan!$C$33="",0,Aturan!$C$33),"Kurang",IF(F165&gt;=IF(Aturan!$D$33="",Aturan!$C$33,Aturan!$D$33),"Nyaman","Cukup")))))</f>
        <v/>
      </c>
      <c r="O165" s="68" t="str">
        <f aca="false">IF($A165="","",IF(AND(Aturan!$C$34="",Aturan!$D$34=""),"Tidak dinilai",IF(G165="","Belum ada data",IF(G165&lt;IF(Aturan!$C$34="",0,Aturan!$C$34),"Kurang",IF(G165&gt;=IF(Aturan!$D$34="",Aturan!$C$34,Aturan!$D$34),"Nyaman","Cukup")))))</f>
        <v/>
      </c>
      <c r="P165" s="68" t="str">
        <f aca="false">IF($A165="","",IF(AND(Aturan!$C$35="",Aturan!$D$35=""),"Tidak dinilai",IF(H165="","Belum ada data",IF(H165&lt;IF(Aturan!$C$35="",0,Aturan!$C$35),"Kurang",IF(H165&gt;=IF(Aturan!$D$35="",Aturan!$C$35,Aturan!$D$35),"Nyaman","Cukup")))))</f>
        <v/>
      </c>
      <c r="Q165" s="68" t="str">
        <f aca="false">IF($A165="","",IF(COUNTIF(K165:P165,"Tidak dinilai")=6,"Tidak dinilai",IF(COUNTIF(K165:P165,"Kurang")&gt;0,"Kurang cocok",IF(COUNTIF(K165:P165,"Belum ada data")&gt;0,"Data belum lengkap",IF(COUNTIF(K165:P165,"Cukup")&gt;0,"Bisa, dengan catatan","Cocok")))))</f>
        <v/>
      </c>
      <c r="R165" s="66" t="str">
        <f aca="false">IF($A165="","",IF(K165="Kurang","prosesor tingkat "&amp;C165&amp;" dari 5, di bawah batas minimal (tingkat "&amp;Aturan!$C$30&amp;")",IF(K165="Cukup","prosesor tingkat "&amp;C165&amp;" dari 5 cukup, nyamannya mulai tingkat "&amp;Aturan!$D$30,IF(K165="Belum ada data","tingkat prosesor belum diisi",""))))</f>
        <v/>
      </c>
      <c r="S165" s="66" t="str">
        <f aca="false">IF($A165="","",IF(L165="Kurang","grafis tingkat "&amp;D165&amp;" dari 5, di bawah batas minimal (tingkat "&amp;Aturan!$C$31&amp;")",IF(L165="Cukup","grafis tingkat "&amp;D165&amp;" dari 5 cukup, nyamannya mulai tingkat "&amp;Aturan!$D$31,IF(L165="Belum ada data","tingkat grafis belum diisi",""))))</f>
        <v/>
      </c>
      <c r="T165" s="66" t="str">
        <f aca="false">IF($A165="","",IF(M165="Kurang","RAM "&amp;E165&amp;" GB, di bawah batas minimal "&amp;Aturan!$C$32&amp;" GB ("&amp;I165&amp;")",IF(M165="Cukup","RAM "&amp;E165&amp;" GB cukup, nyamannya "&amp;Aturan!$D$32&amp;" GB atau lebih ("&amp;I165&amp;")",IF(M165="Belum ada data","ukuran RAM belum diisi",""))))</f>
        <v/>
      </c>
      <c r="U165" s="66" t="str">
        <f aca="false">IF($A165="","",IF(N165="Kurang","penyimpanan "&amp;F165&amp;" GB, di bawah batas minimal "&amp;Aturan!$C$33&amp;" GB ("&amp;J165&amp;")",IF(N165="Cukup","penyimpanan "&amp;F165&amp;" GB cukup, nyamannya "&amp;Aturan!$D$33&amp;" GB atau lebih ("&amp;J165&amp;")",IF(N165="Belum ada data","ukuran penyimpanan belum diisi",""))))</f>
        <v/>
      </c>
      <c r="V165" s="66" t="str">
        <f aca="false">IF($A165="","",IF(O165="Kurang","layar "&amp;Varian!$AG37&amp;", di bawah batas minimal ("&amp;IFERROR(INDEX(Aturan!$A$63:$A$66,MATCH(Aturan!$C$34,Aturan!$B$63:$B$66,0)),"peringkat "&amp;Aturan!$C$34)&amp;")",IF(O165="Cukup","layar "&amp;Varian!$AG37&amp;" cukup, nyamannya "&amp;IFERROR(INDEX(Aturan!$A$63:$A$66,MATCH(Aturan!$D$34,Aturan!$B$63:$B$66,0)),"peringkat "&amp;Aturan!$D$34),IF(O165="Belum ada data","jenis layar belum diketahui",""))))</f>
        <v/>
      </c>
      <c r="W165" s="66" t="str">
        <f aca="false">IF($A165="","",IF(P165="Kurang","layar "&amp;H165&amp;" Hz, di bawah batas minimal "&amp;Aturan!$C$35&amp;" Hz",IF(P165="Cukup","layar "&amp;H165&amp;" Hz cukup, nyamannya "&amp;Aturan!$D$35&amp;" Hz atau lebih",IF(P165="Belum ada data","refresh rate belum diketahui",""))))</f>
        <v/>
      </c>
      <c r="X165" s="66" t="str">
        <f aca="false">IF($A165="","",IF(K165="Kurang",R165&amp;"; ","")&amp;IF(L165="Kurang",S165&amp;"; ","")&amp;IF(M165="Kurang",T165&amp;"; ","")&amp;IF(N165="Kurang",U165&amp;"; ","")&amp;IF(O165="Kurang",V165&amp;"; ","")&amp;IF(P165="Kurang",W165&amp;"; ","")&amp;IF(K165="Belum ada data",R165&amp;"; ","")&amp;IF(L165="Belum ada data",S165&amp;"; ","")&amp;IF(M165="Belum ada data",T165&amp;"; ","")&amp;IF(N165="Belum ada data",U165&amp;"; ","")&amp;IF(O165="Belum ada data",V165&amp;"; ","")&amp;IF(P165="Belum ada data",W165&amp;"; ","")&amp;IF(K165="Cukup",R165&amp;"; ","")&amp;IF(L165="Cukup",S165&amp;"; ","")&amp;IF(M165="Cukup",T165&amp;"; ","")&amp;IF(N165="Cukup",U165&amp;"; ","")&amp;IF(O165="Cukup",V165&amp;"; ","")&amp;IF(P165="Cukup",W165&amp;"; ",""))</f>
        <v/>
      </c>
      <c r="Y165" s="66" t="str">
        <f aca="false">IF($A165="","",IF(K165="Nyaman","prosesor, ","")&amp;IF(L165="Nyaman","grafis, ","")&amp;IF(M165="Nyaman","RAM, ","")&amp;IF(N165="Nyaman","penyimpanan, ","")&amp;IF(O165="Nyaman","layar, ","")&amp;IF(P165="Nyaman","refresh rate, ",""))</f>
        <v/>
      </c>
      <c r="Z165" s="66" t="str">
        <f aca="false">IF($A165="","",IF(Q165="Tidak dinilai","Belum ada kriteria yang dinilai untuk kebutuhan ini.",IF(Q165="Cocok","Semua kriteria yang dinilai sudah nyaman: "&amp;LEFT(Y165,LEN(Y165)-2)&amp;".",UPPER(LEFT(X165,1))&amp;MID(X165,2,LEN(X165)-3)&amp;"."&amp;IF(Y165="",""," Sudah nyaman: "&amp;LEFT(Y165,LEN(Y165)-2)&amp;"."))))</f>
        <v/>
      </c>
      <c r="AA165" s="66" t="str">
        <f aca="false">IF($A165="","",IF(Varian!$AR37="Windows 10","• "&amp;Aturan!$E$71&amp;CHAR(10),"")&amp;IF(Varian!$BB37="tidak","• "&amp;Aturan!$E$72&amp;CHAR(10),"")&amp;IF(OR(Varian!$AD37="belum terverifikasi",Varian!$AD37="tidak diketahui"),"• "&amp;Aturan!$E$73&amp;CHAR(10),"")&amp;IF(Varian!$AH37="1366x768","• "&amp;Aturan!$E$74&amp;CHAR(10),"")&amp;IF(Varian!$AG37="TN","• "&amp;Aturan!$E$75&amp;CHAR(10),"")&amp;IF(AND(Varian!$Q37="disolder",ISNUMBER(Varian!$M37),Varian!$M37&lt;=8),"• "&amp;Aturan!$E$76&amp;CHAR(10),""))</f>
        <v/>
      </c>
      <c r="AB165" s="66" t="str">
        <f aca="false">IF($A165="","",IF(AA165="","",LEFT(AA165,LEN(AA165)-1)))</f>
        <v/>
      </c>
      <c r="AC165" s="67" t="str">
        <f aca="false">IF($A165="","",IF(AA165="",0,LEN(AA165)-LEN(SUBSTITUTE(AA165,CHAR(10),""))))</f>
        <v/>
      </c>
    </row>
    <row r="166" customFormat="false" ht="15" hidden="false" customHeight="true" outlineLevel="0" collapsed="false">
      <c r="A166" s="33" t="str">
        <f aca="false">IF(Varian!$A37="","",Varian!$A37)</f>
        <v/>
      </c>
      <c r="B166" s="33" t="str">
        <f aca="false">IF($A166="","",Aturan!$A$22)</f>
        <v/>
      </c>
      <c r="C166" s="69" t="str">
        <f aca="false">IF($A166="","",IFERROR(IF(ISNUMBER(INDEX(CPU!$J$4:$J$64,MATCH(Varian!$J37,CPU!$A$4:$A$64,0))),INDEX(CPU!$J$4:$J$64,MATCH(Varian!$J37,CPU!$A$4:$A$64,0)),""),""))</f>
        <v/>
      </c>
      <c r="D166" s="69" t="str">
        <f aca="false">IF($A166="","",IFERROR(IF(ISNUMBER(INDEX(GPU!$G$4:$G$64,MATCH(Varian!$K37,GPU!$A$4:$A$64,0))),INDEX(GPU!$G$4:$G$64,MATCH(Varian!$K37,GPU!$A$4:$A$64,0)),""),""))</f>
        <v/>
      </c>
      <c r="E166" s="69" t="str">
        <f aca="false">IF($A166="","",IF(ISNUMBER(Varian!$M37),Varian!$M37,""))</f>
        <v/>
      </c>
      <c r="F166" s="69" t="str">
        <f aca="false">IF($A166="","",IF(ISNUMBER(Varian!$V37),Varian!$V37,""))</f>
        <v/>
      </c>
      <c r="G166" s="69" t="str">
        <f aca="false">IF($A166="","",IFERROR(INDEX(Aturan!$B$63:$B$66,MATCH(Varian!$AG37,Aturan!$A$63:$A$66,0)),""))</f>
        <v/>
      </c>
      <c r="H166" s="69" t="str">
        <f aca="false">IF($A166="","",IF(ISNUMBER(Varian!$AI37),Varian!$AI37,""))</f>
        <v/>
      </c>
      <c r="I166" s="33" t="str">
        <f aca="false">IF($A166="","",IF(Varian!$Q37="disolder","menempel di papan utama, tidak bisa ditambah",IF(OR(Varian!$Q37="slot",Varian!$Q37="setengah_disolder"),IF(Varian!$Q37="setengah_disolder","sebagian menempel, ","")&amp;IF(ISNUMBER(Varian!$U37),IF(AND(ISNUMBER(Varian!$M37),Varian!$U37&gt;Varian!$M37),"bisa dinaikkan lewat slot sampai "&amp;Varian!$U37&amp;" GB","sudah di batas maksimal "&amp;Varian!$U37&amp;" GB"),"ada slot, batas maksimalnya belum diketahui"),"belum diketahui apakah bisa ditambah")))</f>
        <v/>
      </c>
      <c r="J166" s="33" t="str">
        <f aca="false">IF($A166="","",IF(Varian!$Z37="ya","bisa diganti dengan yang lebih besar",IF(Varian!$Z37="tidak","menempel, tidak bisa diganti","belum diketahui apakah bisa diganti")))</f>
        <v/>
      </c>
      <c r="K166" s="70" t="str">
        <f aca="false">IF($A166="","",IF(AND(Aturan!$C$36="",Aturan!$D$36=""),"Tidak dinilai",IF(C166="","Belum ada data",IF(C166&lt;IF(Aturan!$C$36="",0,Aturan!$C$36),"Kurang",IF(C166&gt;=IF(Aturan!$D$36="",Aturan!$C$36,Aturan!$D$36),"Nyaman","Cukup")))))</f>
        <v/>
      </c>
      <c r="L166" s="70" t="str">
        <f aca="false">IF($A166="","",IF(AND(Aturan!$C$37="",Aturan!$D$37=""),"Tidak dinilai",IF(D166="","Belum ada data",IF(D166&lt;IF(Aturan!$C$37="",0,Aturan!$C$37),"Kurang",IF(D166&gt;=IF(Aturan!$D$37="",Aturan!$C$37,Aturan!$D$37),"Nyaman","Cukup")))))</f>
        <v/>
      </c>
      <c r="M166" s="70" t="str">
        <f aca="false">IF($A166="","",IF(AND(Aturan!$C$38="",Aturan!$D$38=""),"Tidak dinilai",IF(E166="","Belum ada data",IF(E166&lt;IF(Aturan!$C$38="",0,Aturan!$C$38),"Kurang",IF(E166&gt;=IF(Aturan!$D$38="",Aturan!$C$38,Aturan!$D$38),"Nyaman","Cukup")))))</f>
        <v/>
      </c>
      <c r="N166" s="70" t="str">
        <f aca="false">IF($A166="","",IF(AND(Aturan!$C$39="",Aturan!$D$39=""),"Tidak dinilai",IF(F166="","Belum ada data",IF(F166&lt;IF(Aturan!$C$39="",0,Aturan!$C$39),"Kurang",IF(F166&gt;=IF(Aturan!$D$39="",Aturan!$C$39,Aturan!$D$39),"Nyaman","Cukup")))))</f>
        <v/>
      </c>
      <c r="O166" s="70" t="str">
        <f aca="false">IF($A166="","",IF(AND(Aturan!$C$40="",Aturan!$D$40=""),"Tidak dinilai",IF(G166="","Belum ada data",IF(G166&lt;IF(Aturan!$C$40="",0,Aturan!$C$40),"Kurang",IF(G166&gt;=IF(Aturan!$D$40="",Aturan!$C$40,Aturan!$D$40),"Nyaman","Cukup")))))</f>
        <v/>
      </c>
      <c r="P166" s="70" t="str">
        <f aca="false">IF($A166="","",IF(AND(Aturan!$C$41="",Aturan!$D$41=""),"Tidak dinilai",IF(H166="","Belum ada data",IF(H166&lt;IF(Aturan!$C$41="",0,Aturan!$C$41),"Kurang",IF(H166&gt;=IF(Aturan!$D$41="",Aturan!$C$41,Aturan!$D$41),"Nyaman","Cukup")))))</f>
        <v/>
      </c>
      <c r="Q166" s="70" t="str">
        <f aca="false">IF($A166="","",IF(COUNTIF(K166:P166,"Tidak dinilai")=6,"Tidak dinilai",IF(COUNTIF(K166:P166,"Kurang")&gt;0,"Kurang cocok",IF(COUNTIF(K166:P166,"Belum ada data")&gt;0,"Data belum lengkap",IF(COUNTIF(K166:P166,"Cukup")&gt;0,"Bisa, dengan catatan","Cocok")))))</f>
        <v/>
      </c>
      <c r="R166" s="33" t="str">
        <f aca="false">IF($A166="","",IF(K166="Kurang","prosesor tingkat "&amp;C166&amp;" dari 5, di bawah batas minimal (tingkat "&amp;Aturan!$C$36&amp;")",IF(K166="Cukup","prosesor tingkat "&amp;C166&amp;" dari 5 cukup, nyamannya mulai tingkat "&amp;Aturan!$D$36,IF(K166="Belum ada data","tingkat prosesor belum diisi",""))))</f>
        <v/>
      </c>
      <c r="S166" s="33" t="str">
        <f aca="false">IF($A166="","",IF(L166="Kurang","grafis tingkat "&amp;D166&amp;" dari 5, di bawah batas minimal (tingkat "&amp;Aturan!$C$37&amp;")",IF(L166="Cukup","grafis tingkat "&amp;D166&amp;" dari 5 cukup, nyamannya mulai tingkat "&amp;Aturan!$D$37,IF(L166="Belum ada data","tingkat grafis belum diisi",""))))</f>
        <v/>
      </c>
      <c r="T166" s="33" t="str">
        <f aca="false">IF($A166="","",IF(M166="Kurang","RAM "&amp;E166&amp;" GB, di bawah batas minimal "&amp;Aturan!$C$38&amp;" GB ("&amp;I166&amp;")",IF(M166="Cukup","RAM "&amp;E166&amp;" GB cukup, nyamannya "&amp;Aturan!$D$38&amp;" GB atau lebih ("&amp;I166&amp;")",IF(M166="Belum ada data","ukuran RAM belum diisi",""))))</f>
        <v/>
      </c>
      <c r="U166" s="33" t="str">
        <f aca="false">IF($A166="","",IF(N166="Kurang","penyimpanan "&amp;F166&amp;" GB, di bawah batas minimal "&amp;Aturan!$C$39&amp;" GB ("&amp;J166&amp;")",IF(N166="Cukup","penyimpanan "&amp;F166&amp;" GB cukup, nyamannya "&amp;Aturan!$D$39&amp;" GB atau lebih ("&amp;J166&amp;")",IF(N166="Belum ada data","ukuran penyimpanan belum diisi",""))))</f>
        <v/>
      </c>
      <c r="V166" s="33" t="str">
        <f aca="false">IF($A166="","",IF(O166="Kurang","layar "&amp;Varian!$AG37&amp;", di bawah batas minimal ("&amp;IFERROR(INDEX(Aturan!$A$63:$A$66,MATCH(Aturan!$C$40,Aturan!$B$63:$B$66,0)),"peringkat "&amp;Aturan!$C$40)&amp;")",IF(O166="Cukup","layar "&amp;Varian!$AG37&amp;" cukup, nyamannya "&amp;IFERROR(INDEX(Aturan!$A$63:$A$66,MATCH(Aturan!$D$40,Aturan!$B$63:$B$66,0)),"peringkat "&amp;Aturan!$D$40),IF(O166="Belum ada data","jenis layar belum diketahui",""))))</f>
        <v/>
      </c>
      <c r="W166" s="33" t="str">
        <f aca="false">IF($A166="","",IF(P166="Kurang","layar "&amp;H166&amp;" Hz, di bawah batas minimal "&amp;Aturan!$C$41&amp;" Hz",IF(P166="Cukup","layar "&amp;H166&amp;" Hz cukup, nyamannya "&amp;Aturan!$D$41&amp;" Hz atau lebih",IF(P166="Belum ada data","refresh rate belum diketahui",""))))</f>
        <v/>
      </c>
      <c r="X166" s="33" t="str">
        <f aca="false">IF($A166="","",IF(K166="Kurang",R166&amp;"; ","")&amp;IF(L166="Kurang",S166&amp;"; ","")&amp;IF(M166="Kurang",T166&amp;"; ","")&amp;IF(N166="Kurang",U166&amp;"; ","")&amp;IF(O166="Kurang",V166&amp;"; ","")&amp;IF(P166="Kurang",W166&amp;"; ","")&amp;IF(K166="Belum ada data",R166&amp;"; ","")&amp;IF(L166="Belum ada data",S166&amp;"; ","")&amp;IF(M166="Belum ada data",T166&amp;"; ","")&amp;IF(N166="Belum ada data",U166&amp;"; ","")&amp;IF(O166="Belum ada data",V166&amp;"; ","")&amp;IF(P166="Belum ada data",W166&amp;"; ","")&amp;IF(K166="Cukup",R166&amp;"; ","")&amp;IF(L166="Cukup",S166&amp;"; ","")&amp;IF(M166="Cukup",T166&amp;"; ","")&amp;IF(N166="Cukup",U166&amp;"; ","")&amp;IF(O166="Cukup",V166&amp;"; ","")&amp;IF(P166="Cukup",W166&amp;"; ",""))</f>
        <v/>
      </c>
      <c r="Y166" s="33" t="str">
        <f aca="false">IF($A166="","",IF(K166="Nyaman","prosesor, ","")&amp;IF(L166="Nyaman","grafis, ","")&amp;IF(M166="Nyaman","RAM, ","")&amp;IF(N166="Nyaman","penyimpanan, ","")&amp;IF(O166="Nyaman","layar, ","")&amp;IF(P166="Nyaman","refresh rate, ",""))</f>
        <v/>
      </c>
      <c r="Z166" s="33" t="str">
        <f aca="false">IF($A166="","",IF(Q166="Tidak dinilai","Belum ada kriteria yang dinilai untuk kebutuhan ini.",IF(Q166="Cocok","Semua kriteria yang dinilai sudah nyaman: "&amp;LEFT(Y166,LEN(Y166)-2)&amp;".",UPPER(LEFT(X166,1))&amp;MID(X166,2,LEN(X166)-3)&amp;"."&amp;IF(Y166="",""," Sudah nyaman: "&amp;LEFT(Y166,LEN(Y166)-2)&amp;"."))))</f>
        <v/>
      </c>
      <c r="AA166" s="33"/>
      <c r="AB166" s="33"/>
      <c r="AC166" s="69"/>
    </row>
    <row r="167" customFormat="false" ht="15" hidden="false" customHeight="true" outlineLevel="0" collapsed="false">
      <c r="A167" s="33" t="str">
        <f aca="false">IF(Varian!$A37="","",Varian!$A37)</f>
        <v/>
      </c>
      <c r="B167" s="33" t="str">
        <f aca="false">IF($A167="","",Aturan!$A$23)</f>
        <v/>
      </c>
      <c r="C167" s="69" t="str">
        <f aca="false">IF($A167="","",IFERROR(IF(ISNUMBER(INDEX(CPU!$J$4:$J$64,MATCH(Varian!$J37,CPU!$A$4:$A$64,0))),INDEX(CPU!$J$4:$J$64,MATCH(Varian!$J37,CPU!$A$4:$A$64,0)),""),""))</f>
        <v/>
      </c>
      <c r="D167" s="69" t="str">
        <f aca="false">IF($A167="","",IFERROR(IF(ISNUMBER(INDEX(GPU!$G$4:$G$64,MATCH(Varian!$K37,GPU!$A$4:$A$64,0))),INDEX(GPU!$G$4:$G$64,MATCH(Varian!$K37,GPU!$A$4:$A$64,0)),""),""))</f>
        <v/>
      </c>
      <c r="E167" s="69" t="str">
        <f aca="false">IF($A167="","",IF(ISNUMBER(Varian!$M37),Varian!$M37,""))</f>
        <v/>
      </c>
      <c r="F167" s="69" t="str">
        <f aca="false">IF($A167="","",IF(ISNUMBER(Varian!$V37),Varian!$V37,""))</f>
        <v/>
      </c>
      <c r="G167" s="69" t="str">
        <f aca="false">IF($A167="","",IFERROR(INDEX(Aturan!$B$63:$B$66,MATCH(Varian!$AG37,Aturan!$A$63:$A$66,0)),""))</f>
        <v/>
      </c>
      <c r="H167" s="69" t="str">
        <f aca="false">IF($A167="","",IF(ISNUMBER(Varian!$AI37),Varian!$AI37,""))</f>
        <v/>
      </c>
      <c r="I167" s="33" t="str">
        <f aca="false">IF($A167="","",IF(Varian!$Q37="disolder","menempel di papan utama, tidak bisa ditambah",IF(OR(Varian!$Q37="slot",Varian!$Q37="setengah_disolder"),IF(Varian!$Q37="setengah_disolder","sebagian menempel, ","")&amp;IF(ISNUMBER(Varian!$U37),IF(AND(ISNUMBER(Varian!$M37),Varian!$U37&gt;Varian!$M37),"bisa dinaikkan lewat slot sampai "&amp;Varian!$U37&amp;" GB","sudah di batas maksimal "&amp;Varian!$U37&amp;" GB"),"ada slot, batas maksimalnya belum diketahui"),"belum diketahui apakah bisa ditambah")))</f>
        <v/>
      </c>
      <c r="J167" s="33" t="str">
        <f aca="false">IF($A167="","",IF(Varian!$Z37="ya","bisa diganti dengan yang lebih besar",IF(Varian!$Z37="tidak","menempel, tidak bisa diganti","belum diketahui apakah bisa diganti")))</f>
        <v/>
      </c>
      <c r="K167" s="70" t="str">
        <f aca="false">IF($A167="","",IF(AND(Aturan!$C$42="",Aturan!$D$42=""),"Tidak dinilai",IF(C167="","Belum ada data",IF(C167&lt;IF(Aturan!$C$42="",0,Aturan!$C$42),"Kurang",IF(C167&gt;=IF(Aturan!$D$42="",Aturan!$C$42,Aturan!$D$42),"Nyaman","Cukup")))))</f>
        <v/>
      </c>
      <c r="L167" s="70" t="str">
        <f aca="false">IF($A167="","",IF(AND(Aturan!$C$43="",Aturan!$D$43=""),"Tidak dinilai",IF(D167="","Belum ada data",IF(D167&lt;IF(Aturan!$C$43="",0,Aturan!$C$43),"Kurang",IF(D167&gt;=IF(Aturan!$D$43="",Aturan!$C$43,Aturan!$D$43),"Nyaman","Cukup")))))</f>
        <v/>
      </c>
      <c r="M167" s="70" t="str">
        <f aca="false">IF($A167="","",IF(AND(Aturan!$C$44="",Aturan!$D$44=""),"Tidak dinilai",IF(E167="","Belum ada data",IF(E167&lt;IF(Aturan!$C$44="",0,Aturan!$C$44),"Kurang",IF(E167&gt;=IF(Aturan!$D$44="",Aturan!$C$44,Aturan!$D$44),"Nyaman","Cukup")))))</f>
        <v/>
      </c>
      <c r="N167" s="70" t="str">
        <f aca="false">IF($A167="","",IF(AND(Aturan!$C$45="",Aturan!$D$45=""),"Tidak dinilai",IF(F167="","Belum ada data",IF(F167&lt;IF(Aturan!$C$45="",0,Aturan!$C$45),"Kurang",IF(F167&gt;=IF(Aturan!$D$45="",Aturan!$C$45,Aturan!$D$45),"Nyaman","Cukup")))))</f>
        <v/>
      </c>
      <c r="O167" s="70" t="str">
        <f aca="false">IF($A167="","",IF(AND(Aturan!$C$46="",Aturan!$D$46=""),"Tidak dinilai",IF(G167="","Belum ada data",IF(G167&lt;IF(Aturan!$C$46="",0,Aturan!$C$46),"Kurang",IF(G167&gt;=IF(Aturan!$D$46="",Aturan!$C$46,Aturan!$D$46),"Nyaman","Cukup")))))</f>
        <v/>
      </c>
      <c r="P167" s="70" t="str">
        <f aca="false">IF($A167="","",IF(AND(Aturan!$C$47="",Aturan!$D$47=""),"Tidak dinilai",IF(H167="","Belum ada data",IF(H167&lt;IF(Aturan!$C$47="",0,Aturan!$C$47),"Kurang",IF(H167&gt;=IF(Aturan!$D$47="",Aturan!$C$47,Aturan!$D$47),"Nyaman","Cukup")))))</f>
        <v/>
      </c>
      <c r="Q167" s="70" t="str">
        <f aca="false">IF($A167="","",IF(COUNTIF(K167:P167,"Tidak dinilai")=6,"Tidak dinilai",IF(COUNTIF(K167:P167,"Kurang")&gt;0,"Kurang cocok",IF(COUNTIF(K167:P167,"Belum ada data")&gt;0,"Data belum lengkap",IF(COUNTIF(K167:P167,"Cukup")&gt;0,"Bisa, dengan catatan","Cocok")))))</f>
        <v/>
      </c>
      <c r="R167" s="33" t="str">
        <f aca="false">IF($A167="","",IF(K167="Kurang","prosesor tingkat "&amp;C167&amp;" dari 5, di bawah batas minimal (tingkat "&amp;Aturan!$C$42&amp;")",IF(K167="Cukup","prosesor tingkat "&amp;C167&amp;" dari 5 cukup, nyamannya mulai tingkat "&amp;Aturan!$D$42,IF(K167="Belum ada data","tingkat prosesor belum diisi",""))))</f>
        <v/>
      </c>
      <c r="S167" s="33" t="str">
        <f aca="false">IF($A167="","",IF(L167="Kurang","grafis tingkat "&amp;D167&amp;" dari 5, di bawah batas minimal (tingkat "&amp;Aturan!$C$43&amp;")",IF(L167="Cukup","grafis tingkat "&amp;D167&amp;" dari 5 cukup, nyamannya mulai tingkat "&amp;Aturan!$D$43,IF(L167="Belum ada data","tingkat grafis belum diisi",""))))</f>
        <v/>
      </c>
      <c r="T167" s="33" t="str">
        <f aca="false">IF($A167="","",IF(M167="Kurang","RAM "&amp;E167&amp;" GB, di bawah batas minimal "&amp;Aturan!$C$44&amp;" GB ("&amp;I167&amp;")",IF(M167="Cukup","RAM "&amp;E167&amp;" GB cukup, nyamannya "&amp;Aturan!$D$44&amp;" GB atau lebih ("&amp;I167&amp;")",IF(M167="Belum ada data","ukuran RAM belum diisi",""))))</f>
        <v/>
      </c>
      <c r="U167" s="33" t="str">
        <f aca="false">IF($A167="","",IF(N167="Kurang","penyimpanan "&amp;F167&amp;" GB, di bawah batas minimal "&amp;Aturan!$C$45&amp;" GB ("&amp;J167&amp;")",IF(N167="Cukup","penyimpanan "&amp;F167&amp;" GB cukup, nyamannya "&amp;Aturan!$D$45&amp;" GB atau lebih ("&amp;J167&amp;")",IF(N167="Belum ada data","ukuran penyimpanan belum diisi",""))))</f>
        <v/>
      </c>
      <c r="V167" s="33" t="str">
        <f aca="false">IF($A167="","",IF(O167="Kurang","layar "&amp;Varian!$AG37&amp;", di bawah batas minimal ("&amp;IFERROR(INDEX(Aturan!$A$63:$A$66,MATCH(Aturan!$C$46,Aturan!$B$63:$B$66,0)),"peringkat "&amp;Aturan!$C$46)&amp;")",IF(O167="Cukup","layar "&amp;Varian!$AG37&amp;" cukup, nyamannya "&amp;IFERROR(INDEX(Aturan!$A$63:$A$66,MATCH(Aturan!$D$46,Aturan!$B$63:$B$66,0)),"peringkat "&amp;Aturan!$D$46),IF(O167="Belum ada data","jenis layar belum diketahui",""))))</f>
        <v/>
      </c>
      <c r="W167" s="33" t="str">
        <f aca="false">IF($A167="","",IF(P167="Kurang","layar "&amp;H167&amp;" Hz, di bawah batas minimal "&amp;Aturan!$C$47&amp;" Hz",IF(P167="Cukup","layar "&amp;H167&amp;" Hz cukup, nyamannya "&amp;Aturan!$D$47&amp;" Hz atau lebih",IF(P167="Belum ada data","refresh rate belum diketahui",""))))</f>
        <v/>
      </c>
      <c r="X167" s="33" t="str">
        <f aca="false">IF($A167="","",IF(K167="Kurang",R167&amp;"; ","")&amp;IF(L167="Kurang",S167&amp;"; ","")&amp;IF(M167="Kurang",T167&amp;"; ","")&amp;IF(N167="Kurang",U167&amp;"; ","")&amp;IF(O167="Kurang",V167&amp;"; ","")&amp;IF(P167="Kurang",W167&amp;"; ","")&amp;IF(K167="Belum ada data",R167&amp;"; ","")&amp;IF(L167="Belum ada data",S167&amp;"; ","")&amp;IF(M167="Belum ada data",T167&amp;"; ","")&amp;IF(N167="Belum ada data",U167&amp;"; ","")&amp;IF(O167="Belum ada data",V167&amp;"; ","")&amp;IF(P167="Belum ada data",W167&amp;"; ","")&amp;IF(K167="Cukup",R167&amp;"; ","")&amp;IF(L167="Cukup",S167&amp;"; ","")&amp;IF(M167="Cukup",T167&amp;"; ","")&amp;IF(N167="Cukup",U167&amp;"; ","")&amp;IF(O167="Cukup",V167&amp;"; ","")&amp;IF(P167="Cukup",W167&amp;"; ",""))</f>
        <v/>
      </c>
      <c r="Y167" s="33" t="str">
        <f aca="false">IF($A167="","",IF(K167="Nyaman","prosesor, ","")&amp;IF(L167="Nyaman","grafis, ","")&amp;IF(M167="Nyaman","RAM, ","")&amp;IF(N167="Nyaman","penyimpanan, ","")&amp;IF(O167="Nyaman","layar, ","")&amp;IF(P167="Nyaman","refresh rate, ",""))</f>
        <v/>
      </c>
      <c r="Z167" s="33" t="str">
        <f aca="false">IF($A167="","",IF(Q167="Tidak dinilai","Belum ada kriteria yang dinilai untuk kebutuhan ini.",IF(Q167="Cocok","Semua kriteria yang dinilai sudah nyaman: "&amp;LEFT(Y167,LEN(Y167)-2)&amp;".",UPPER(LEFT(X167,1))&amp;MID(X167,2,LEN(X167)-3)&amp;"."&amp;IF(Y167="",""," Sudah nyaman: "&amp;LEFT(Y167,LEN(Y167)-2)&amp;"."))))</f>
        <v/>
      </c>
      <c r="AA167" s="33"/>
      <c r="AB167" s="33"/>
      <c r="AC167" s="69"/>
    </row>
    <row r="168" customFormat="false" ht="15" hidden="false" customHeight="true" outlineLevel="0" collapsed="false">
      <c r="A168" s="33" t="str">
        <f aca="false">IF(Varian!$A37="","",Varian!$A37)</f>
        <v/>
      </c>
      <c r="B168" s="33" t="str">
        <f aca="false">IF($A168="","",Aturan!$A$24)</f>
        <v/>
      </c>
      <c r="C168" s="69" t="str">
        <f aca="false">IF($A168="","",IFERROR(IF(ISNUMBER(INDEX(CPU!$J$4:$J$64,MATCH(Varian!$J37,CPU!$A$4:$A$64,0))),INDEX(CPU!$J$4:$J$64,MATCH(Varian!$J37,CPU!$A$4:$A$64,0)),""),""))</f>
        <v/>
      </c>
      <c r="D168" s="69" t="str">
        <f aca="false">IF($A168="","",IFERROR(IF(ISNUMBER(INDEX(GPU!$G$4:$G$64,MATCH(Varian!$K37,GPU!$A$4:$A$64,0))),INDEX(GPU!$G$4:$G$64,MATCH(Varian!$K37,GPU!$A$4:$A$64,0)),""),""))</f>
        <v/>
      </c>
      <c r="E168" s="69" t="str">
        <f aca="false">IF($A168="","",IF(ISNUMBER(Varian!$M37),Varian!$M37,""))</f>
        <v/>
      </c>
      <c r="F168" s="69" t="str">
        <f aca="false">IF($A168="","",IF(ISNUMBER(Varian!$V37),Varian!$V37,""))</f>
        <v/>
      </c>
      <c r="G168" s="69" t="str">
        <f aca="false">IF($A168="","",IFERROR(INDEX(Aturan!$B$63:$B$66,MATCH(Varian!$AG37,Aturan!$A$63:$A$66,0)),""))</f>
        <v/>
      </c>
      <c r="H168" s="69" t="str">
        <f aca="false">IF($A168="","",IF(ISNUMBER(Varian!$AI37),Varian!$AI37,""))</f>
        <v/>
      </c>
      <c r="I168" s="33" t="str">
        <f aca="false">IF($A168="","",IF(Varian!$Q37="disolder","menempel di papan utama, tidak bisa ditambah",IF(OR(Varian!$Q37="slot",Varian!$Q37="setengah_disolder"),IF(Varian!$Q37="setengah_disolder","sebagian menempel, ","")&amp;IF(ISNUMBER(Varian!$U37),IF(AND(ISNUMBER(Varian!$M37),Varian!$U37&gt;Varian!$M37),"bisa dinaikkan lewat slot sampai "&amp;Varian!$U37&amp;" GB","sudah di batas maksimal "&amp;Varian!$U37&amp;" GB"),"ada slot, batas maksimalnya belum diketahui"),"belum diketahui apakah bisa ditambah")))</f>
        <v/>
      </c>
      <c r="J168" s="33" t="str">
        <f aca="false">IF($A168="","",IF(Varian!$Z37="ya","bisa diganti dengan yang lebih besar",IF(Varian!$Z37="tidak","menempel, tidak bisa diganti","belum diketahui apakah bisa diganti")))</f>
        <v/>
      </c>
      <c r="K168" s="70" t="str">
        <f aca="false">IF($A168="","",IF(AND(Aturan!$C$48="",Aturan!$D$48=""),"Tidak dinilai",IF(C168="","Belum ada data",IF(C168&lt;IF(Aturan!$C$48="",0,Aturan!$C$48),"Kurang",IF(C168&gt;=IF(Aturan!$D$48="",Aturan!$C$48,Aturan!$D$48),"Nyaman","Cukup")))))</f>
        <v/>
      </c>
      <c r="L168" s="70" t="str">
        <f aca="false">IF($A168="","",IF(AND(Aturan!$C$49="",Aturan!$D$49=""),"Tidak dinilai",IF(D168="","Belum ada data",IF(D168&lt;IF(Aturan!$C$49="",0,Aturan!$C$49),"Kurang",IF(D168&gt;=IF(Aturan!$D$49="",Aturan!$C$49,Aturan!$D$49),"Nyaman","Cukup")))))</f>
        <v/>
      </c>
      <c r="M168" s="70" t="str">
        <f aca="false">IF($A168="","",IF(AND(Aturan!$C$50="",Aturan!$D$50=""),"Tidak dinilai",IF(E168="","Belum ada data",IF(E168&lt;IF(Aturan!$C$50="",0,Aturan!$C$50),"Kurang",IF(E168&gt;=IF(Aturan!$D$50="",Aturan!$C$50,Aturan!$D$50),"Nyaman","Cukup")))))</f>
        <v/>
      </c>
      <c r="N168" s="70" t="str">
        <f aca="false">IF($A168="","",IF(AND(Aturan!$C$51="",Aturan!$D$51=""),"Tidak dinilai",IF(F168="","Belum ada data",IF(F168&lt;IF(Aturan!$C$51="",0,Aturan!$C$51),"Kurang",IF(F168&gt;=IF(Aturan!$D$51="",Aturan!$C$51,Aturan!$D$51),"Nyaman","Cukup")))))</f>
        <v/>
      </c>
      <c r="O168" s="70" t="str">
        <f aca="false">IF($A168="","",IF(AND(Aturan!$C$52="",Aturan!$D$52=""),"Tidak dinilai",IF(G168="","Belum ada data",IF(G168&lt;IF(Aturan!$C$52="",0,Aturan!$C$52),"Kurang",IF(G168&gt;=IF(Aturan!$D$52="",Aturan!$C$52,Aturan!$D$52),"Nyaman","Cukup")))))</f>
        <v/>
      </c>
      <c r="P168" s="70" t="str">
        <f aca="false">IF($A168="","",IF(AND(Aturan!$C$53="",Aturan!$D$53=""),"Tidak dinilai",IF(H168="","Belum ada data",IF(H168&lt;IF(Aturan!$C$53="",0,Aturan!$C$53),"Kurang",IF(H168&gt;=IF(Aturan!$D$53="",Aturan!$C$53,Aturan!$D$53),"Nyaman","Cukup")))))</f>
        <v/>
      </c>
      <c r="Q168" s="70" t="str">
        <f aca="false">IF($A168="","",IF(COUNTIF(K168:P168,"Tidak dinilai")=6,"Tidak dinilai",IF(COUNTIF(K168:P168,"Kurang")&gt;0,"Kurang cocok",IF(COUNTIF(K168:P168,"Belum ada data")&gt;0,"Data belum lengkap",IF(COUNTIF(K168:P168,"Cukup")&gt;0,"Bisa, dengan catatan","Cocok")))))</f>
        <v/>
      </c>
      <c r="R168" s="33" t="str">
        <f aca="false">IF($A168="","",IF(K168="Kurang","prosesor tingkat "&amp;C168&amp;" dari 5, di bawah batas minimal (tingkat "&amp;Aturan!$C$48&amp;")",IF(K168="Cukup","prosesor tingkat "&amp;C168&amp;" dari 5 cukup, nyamannya mulai tingkat "&amp;Aturan!$D$48,IF(K168="Belum ada data","tingkat prosesor belum diisi",""))))</f>
        <v/>
      </c>
      <c r="S168" s="33" t="str">
        <f aca="false">IF($A168="","",IF(L168="Kurang","grafis tingkat "&amp;D168&amp;" dari 5, di bawah batas minimal (tingkat "&amp;Aturan!$C$49&amp;")",IF(L168="Cukup","grafis tingkat "&amp;D168&amp;" dari 5 cukup, nyamannya mulai tingkat "&amp;Aturan!$D$49,IF(L168="Belum ada data","tingkat grafis belum diisi",""))))</f>
        <v/>
      </c>
      <c r="T168" s="33" t="str">
        <f aca="false">IF($A168="","",IF(M168="Kurang","RAM "&amp;E168&amp;" GB, di bawah batas minimal "&amp;Aturan!$C$50&amp;" GB ("&amp;I168&amp;")",IF(M168="Cukup","RAM "&amp;E168&amp;" GB cukup, nyamannya "&amp;Aturan!$D$50&amp;" GB atau lebih ("&amp;I168&amp;")",IF(M168="Belum ada data","ukuran RAM belum diisi",""))))</f>
        <v/>
      </c>
      <c r="U168" s="33" t="str">
        <f aca="false">IF($A168="","",IF(N168="Kurang","penyimpanan "&amp;F168&amp;" GB, di bawah batas minimal "&amp;Aturan!$C$51&amp;" GB ("&amp;J168&amp;")",IF(N168="Cukup","penyimpanan "&amp;F168&amp;" GB cukup, nyamannya "&amp;Aturan!$D$51&amp;" GB atau lebih ("&amp;J168&amp;")",IF(N168="Belum ada data","ukuran penyimpanan belum diisi",""))))</f>
        <v/>
      </c>
      <c r="V168" s="33" t="str">
        <f aca="false">IF($A168="","",IF(O168="Kurang","layar "&amp;Varian!$AG37&amp;", di bawah batas minimal ("&amp;IFERROR(INDEX(Aturan!$A$63:$A$66,MATCH(Aturan!$C$52,Aturan!$B$63:$B$66,0)),"peringkat "&amp;Aturan!$C$52)&amp;")",IF(O168="Cukup","layar "&amp;Varian!$AG37&amp;" cukup, nyamannya "&amp;IFERROR(INDEX(Aturan!$A$63:$A$66,MATCH(Aturan!$D$52,Aturan!$B$63:$B$66,0)),"peringkat "&amp;Aturan!$D$52),IF(O168="Belum ada data","jenis layar belum diketahui",""))))</f>
        <v/>
      </c>
      <c r="W168" s="33" t="str">
        <f aca="false">IF($A168="","",IF(P168="Kurang","layar "&amp;H168&amp;" Hz, di bawah batas minimal "&amp;Aturan!$C$53&amp;" Hz",IF(P168="Cukup","layar "&amp;H168&amp;" Hz cukup, nyamannya "&amp;Aturan!$D$53&amp;" Hz atau lebih",IF(P168="Belum ada data","refresh rate belum diketahui",""))))</f>
        <v/>
      </c>
      <c r="X168" s="33" t="str">
        <f aca="false">IF($A168="","",IF(K168="Kurang",R168&amp;"; ","")&amp;IF(L168="Kurang",S168&amp;"; ","")&amp;IF(M168="Kurang",T168&amp;"; ","")&amp;IF(N168="Kurang",U168&amp;"; ","")&amp;IF(O168="Kurang",V168&amp;"; ","")&amp;IF(P168="Kurang",W168&amp;"; ","")&amp;IF(K168="Belum ada data",R168&amp;"; ","")&amp;IF(L168="Belum ada data",S168&amp;"; ","")&amp;IF(M168="Belum ada data",T168&amp;"; ","")&amp;IF(N168="Belum ada data",U168&amp;"; ","")&amp;IF(O168="Belum ada data",V168&amp;"; ","")&amp;IF(P168="Belum ada data",W168&amp;"; ","")&amp;IF(K168="Cukup",R168&amp;"; ","")&amp;IF(L168="Cukup",S168&amp;"; ","")&amp;IF(M168="Cukup",T168&amp;"; ","")&amp;IF(N168="Cukup",U168&amp;"; ","")&amp;IF(O168="Cukup",V168&amp;"; ","")&amp;IF(P168="Cukup",W168&amp;"; ",""))</f>
        <v/>
      </c>
      <c r="Y168" s="33" t="str">
        <f aca="false">IF($A168="","",IF(K168="Nyaman","prosesor, ","")&amp;IF(L168="Nyaman","grafis, ","")&amp;IF(M168="Nyaman","RAM, ","")&amp;IF(N168="Nyaman","penyimpanan, ","")&amp;IF(O168="Nyaman","layar, ","")&amp;IF(P168="Nyaman","refresh rate, ",""))</f>
        <v/>
      </c>
      <c r="Z168" s="33" t="str">
        <f aca="false">IF($A168="","",IF(Q168="Tidak dinilai","Belum ada kriteria yang dinilai untuk kebutuhan ini.",IF(Q168="Cocok","Semua kriteria yang dinilai sudah nyaman: "&amp;LEFT(Y168,LEN(Y168)-2)&amp;".",UPPER(LEFT(X168,1))&amp;MID(X168,2,LEN(X168)-3)&amp;"."&amp;IF(Y168="",""," Sudah nyaman: "&amp;LEFT(Y168,LEN(Y168)-2)&amp;"."))))</f>
        <v/>
      </c>
      <c r="AA168" s="33"/>
      <c r="AB168" s="33"/>
      <c r="AC168" s="69"/>
    </row>
    <row r="169" customFormat="false" ht="15" hidden="false" customHeight="true" outlineLevel="0" collapsed="false">
      <c r="A169" s="33" t="str">
        <f aca="false">IF(Varian!$A37="","",Varian!$A37)</f>
        <v/>
      </c>
      <c r="B169" s="33" t="str">
        <f aca="false">IF($A169="","",Aturan!$A$25)</f>
        <v/>
      </c>
      <c r="C169" s="69" t="str">
        <f aca="false">IF($A169="","",IFERROR(IF(ISNUMBER(INDEX(CPU!$J$4:$J$64,MATCH(Varian!$J37,CPU!$A$4:$A$64,0))),INDEX(CPU!$J$4:$J$64,MATCH(Varian!$J37,CPU!$A$4:$A$64,0)),""),""))</f>
        <v/>
      </c>
      <c r="D169" s="69" t="str">
        <f aca="false">IF($A169="","",IFERROR(IF(ISNUMBER(INDEX(GPU!$G$4:$G$64,MATCH(Varian!$K37,GPU!$A$4:$A$64,0))),INDEX(GPU!$G$4:$G$64,MATCH(Varian!$K37,GPU!$A$4:$A$64,0)),""),""))</f>
        <v/>
      </c>
      <c r="E169" s="69" t="str">
        <f aca="false">IF($A169="","",IF(ISNUMBER(Varian!$M37),Varian!$M37,""))</f>
        <v/>
      </c>
      <c r="F169" s="69" t="str">
        <f aca="false">IF($A169="","",IF(ISNUMBER(Varian!$V37),Varian!$V37,""))</f>
        <v/>
      </c>
      <c r="G169" s="69" t="str">
        <f aca="false">IF($A169="","",IFERROR(INDEX(Aturan!$B$63:$B$66,MATCH(Varian!$AG37,Aturan!$A$63:$A$66,0)),""))</f>
        <v/>
      </c>
      <c r="H169" s="69" t="str">
        <f aca="false">IF($A169="","",IF(ISNUMBER(Varian!$AI37),Varian!$AI37,""))</f>
        <v/>
      </c>
      <c r="I169" s="33" t="str">
        <f aca="false">IF($A169="","",IF(Varian!$Q37="disolder","menempel di papan utama, tidak bisa ditambah",IF(OR(Varian!$Q37="slot",Varian!$Q37="setengah_disolder"),IF(Varian!$Q37="setengah_disolder","sebagian menempel, ","")&amp;IF(ISNUMBER(Varian!$U37),IF(AND(ISNUMBER(Varian!$M37),Varian!$U37&gt;Varian!$M37),"bisa dinaikkan lewat slot sampai "&amp;Varian!$U37&amp;" GB","sudah di batas maksimal "&amp;Varian!$U37&amp;" GB"),"ada slot, batas maksimalnya belum diketahui"),"belum diketahui apakah bisa ditambah")))</f>
        <v/>
      </c>
      <c r="J169" s="33" t="str">
        <f aca="false">IF($A169="","",IF(Varian!$Z37="ya","bisa diganti dengan yang lebih besar",IF(Varian!$Z37="tidak","menempel, tidak bisa diganti","belum diketahui apakah bisa diganti")))</f>
        <v/>
      </c>
      <c r="K169" s="70" t="str">
        <f aca="false">IF($A169="","",IF(AND(Aturan!$C$54="",Aturan!$D$54=""),"Tidak dinilai",IF(C169="","Belum ada data",IF(C169&lt;IF(Aturan!$C$54="",0,Aturan!$C$54),"Kurang",IF(C169&gt;=IF(Aturan!$D$54="",Aturan!$C$54,Aturan!$D$54),"Nyaman","Cukup")))))</f>
        <v/>
      </c>
      <c r="L169" s="70" t="str">
        <f aca="false">IF($A169="","",IF(AND(Aturan!$C$55="",Aturan!$D$55=""),"Tidak dinilai",IF(D169="","Belum ada data",IF(D169&lt;IF(Aturan!$C$55="",0,Aturan!$C$55),"Kurang",IF(D169&gt;=IF(Aturan!$D$55="",Aturan!$C$55,Aturan!$D$55),"Nyaman","Cukup")))))</f>
        <v/>
      </c>
      <c r="M169" s="70" t="str">
        <f aca="false">IF($A169="","",IF(AND(Aturan!$C$56="",Aturan!$D$56=""),"Tidak dinilai",IF(E169="","Belum ada data",IF(E169&lt;IF(Aturan!$C$56="",0,Aturan!$C$56),"Kurang",IF(E169&gt;=IF(Aturan!$D$56="",Aturan!$C$56,Aturan!$D$56),"Nyaman","Cukup")))))</f>
        <v/>
      </c>
      <c r="N169" s="70" t="str">
        <f aca="false">IF($A169="","",IF(AND(Aturan!$C$57="",Aturan!$D$57=""),"Tidak dinilai",IF(F169="","Belum ada data",IF(F169&lt;IF(Aturan!$C$57="",0,Aturan!$C$57),"Kurang",IF(F169&gt;=IF(Aturan!$D$57="",Aturan!$C$57,Aturan!$D$57),"Nyaman","Cukup")))))</f>
        <v/>
      </c>
      <c r="O169" s="70" t="str">
        <f aca="false">IF($A169="","",IF(AND(Aturan!$C$58="",Aturan!$D$58=""),"Tidak dinilai",IF(G169="","Belum ada data",IF(G169&lt;IF(Aturan!$C$58="",0,Aturan!$C$58),"Kurang",IF(G169&gt;=IF(Aturan!$D$58="",Aturan!$C$58,Aturan!$D$58),"Nyaman","Cukup")))))</f>
        <v/>
      </c>
      <c r="P169" s="70" t="str">
        <f aca="false">IF($A169="","",IF(AND(Aturan!$C$59="",Aturan!$D$59=""),"Tidak dinilai",IF(H169="","Belum ada data",IF(H169&lt;IF(Aturan!$C$59="",0,Aturan!$C$59),"Kurang",IF(H169&gt;=IF(Aturan!$D$59="",Aturan!$C$59,Aturan!$D$59),"Nyaman","Cukup")))))</f>
        <v/>
      </c>
      <c r="Q169" s="70" t="str">
        <f aca="false">IF($A169="","",IF(COUNTIF(K169:P169,"Tidak dinilai")=6,"Tidak dinilai",IF(COUNTIF(K169:P169,"Kurang")&gt;0,"Kurang cocok",IF(COUNTIF(K169:P169,"Belum ada data")&gt;0,"Data belum lengkap",IF(COUNTIF(K169:P169,"Cukup")&gt;0,"Bisa, dengan catatan","Cocok")))))</f>
        <v/>
      </c>
      <c r="R169" s="33" t="str">
        <f aca="false">IF($A169="","",IF(K169="Kurang","prosesor tingkat "&amp;C169&amp;" dari 5, di bawah batas minimal (tingkat "&amp;Aturan!$C$54&amp;")",IF(K169="Cukup","prosesor tingkat "&amp;C169&amp;" dari 5 cukup, nyamannya mulai tingkat "&amp;Aturan!$D$54,IF(K169="Belum ada data","tingkat prosesor belum diisi",""))))</f>
        <v/>
      </c>
      <c r="S169" s="33" t="str">
        <f aca="false">IF($A169="","",IF(L169="Kurang","grafis tingkat "&amp;D169&amp;" dari 5, di bawah batas minimal (tingkat "&amp;Aturan!$C$55&amp;")",IF(L169="Cukup","grafis tingkat "&amp;D169&amp;" dari 5 cukup, nyamannya mulai tingkat "&amp;Aturan!$D$55,IF(L169="Belum ada data","tingkat grafis belum diisi",""))))</f>
        <v/>
      </c>
      <c r="T169" s="33" t="str">
        <f aca="false">IF($A169="","",IF(M169="Kurang","RAM "&amp;E169&amp;" GB, di bawah batas minimal "&amp;Aturan!$C$56&amp;" GB ("&amp;I169&amp;")",IF(M169="Cukup","RAM "&amp;E169&amp;" GB cukup, nyamannya "&amp;Aturan!$D$56&amp;" GB atau lebih ("&amp;I169&amp;")",IF(M169="Belum ada data","ukuran RAM belum diisi",""))))</f>
        <v/>
      </c>
      <c r="U169" s="33" t="str">
        <f aca="false">IF($A169="","",IF(N169="Kurang","penyimpanan "&amp;F169&amp;" GB, di bawah batas minimal "&amp;Aturan!$C$57&amp;" GB ("&amp;J169&amp;")",IF(N169="Cukup","penyimpanan "&amp;F169&amp;" GB cukup, nyamannya "&amp;Aturan!$D$57&amp;" GB atau lebih ("&amp;J169&amp;")",IF(N169="Belum ada data","ukuran penyimpanan belum diisi",""))))</f>
        <v/>
      </c>
      <c r="V169" s="33" t="str">
        <f aca="false">IF($A169="","",IF(O169="Kurang","layar "&amp;Varian!$AG37&amp;", di bawah batas minimal ("&amp;IFERROR(INDEX(Aturan!$A$63:$A$66,MATCH(Aturan!$C$58,Aturan!$B$63:$B$66,0)),"peringkat "&amp;Aturan!$C$58)&amp;")",IF(O169="Cukup","layar "&amp;Varian!$AG37&amp;" cukup, nyamannya "&amp;IFERROR(INDEX(Aturan!$A$63:$A$66,MATCH(Aturan!$D$58,Aturan!$B$63:$B$66,0)),"peringkat "&amp;Aturan!$D$58),IF(O169="Belum ada data","jenis layar belum diketahui",""))))</f>
        <v/>
      </c>
      <c r="W169" s="33" t="str">
        <f aca="false">IF($A169="","",IF(P169="Kurang","layar "&amp;H169&amp;" Hz, di bawah batas minimal "&amp;Aturan!$C$59&amp;" Hz",IF(P169="Cukup","layar "&amp;H169&amp;" Hz cukup, nyamannya "&amp;Aturan!$D$59&amp;" Hz atau lebih",IF(P169="Belum ada data","refresh rate belum diketahui",""))))</f>
        <v/>
      </c>
      <c r="X169" s="33" t="str">
        <f aca="false">IF($A169="","",IF(K169="Kurang",R169&amp;"; ","")&amp;IF(L169="Kurang",S169&amp;"; ","")&amp;IF(M169="Kurang",T169&amp;"; ","")&amp;IF(N169="Kurang",U169&amp;"; ","")&amp;IF(O169="Kurang",V169&amp;"; ","")&amp;IF(P169="Kurang",W169&amp;"; ","")&amp;IF(K169="Belum ada data",R169&amp;"; ","")&amp;IF(L169="Belum ada data",S169&amp;"; ","")&amp;IF(M169="Belum ada data",T169&amp;"; ","")&amp;IF(N169="Belum ada data",U169&amp;"; ","")&amp;IF(O169="Belum ada data",V169&amp;"; ","")&amp;IF(P169="Belum ada data",W169&amp;"; ","")&amp;IF(K169="Cukup",R169&amp;"; ","")&amp;IF(L169="Cukup",S169&amp;"; ","")&amp;IF(M169="Cukup",T169&amp;"; ","")&amp;IF(N169="Cukup",U169&amp;"; ","")&amp;IF(O169="Cukup",V169&amp;"; ","")&amp;IF(P169="Cukup",W169&amp;"; ",""))</f>
        <v/>
      </c>
      <c r="Y169" s="33" t="str">
        <f aca="false">IF($A169="","",IF(K169="Nyaman","prosesor, ","")&amp;IF(L169="Nyaman","grafis, ","")&amp;IF(M169="Nyaman","RAM, ","")&amp;IF(N169="Nyaman","penyimpanan, ","")&amp;IF(O169="Nyaman","layar, ","")&amp;IF(P169="Nyaman","refresh rate, ",""))</f>
        <v/>
      </c>
      <c r="Z169" s="33" t="str">
        <f aca="false">IF($A169="","",IF(Q169="Tidak dinilai","Belum ada kriteria yang dinilai untuk kebutuhan ini.",IF(Q169="Cocok","Semua kriteria yang dinilai sudah nyaman: "&amp;LEFT(Y169,LEN(Y169)-2)&amp;".",UPPER(LEFT(X169,1))&amp;MID(X169,2,LEN(X169)-3)&amp;"."&amp;IF(Y169="",""," Sudah nyaman: "&amp;LEFT(Y169,LEN(Y169)-2)&amp;"."))))</f>
        <v/>
      </c>
      <c r="AA169" s="33"/>
      <c r="AB169" s="33"/>
      <c r="AC169" s="69"/>
    </row>
    <row r="170" customFormat="false" ht="15" hidden="false" customHeight="true" outlineLevel="0" collapsed="false">
      <c r="A170" s="66" t="str">
        <f aca="false">IF(Varian!$A38="","",Varian!$A38)</f>
        <v/>
      </c>
      <c r="B170" s="66" t="str">
        <f aca="false">IF($A170="","",Aturan!$A$21)</f>
        <v/>
      </c>
      <c r="C170" s="67" t="str">
        <f aca="false">IF($A170="","",IFERROR(IF(ISNUMBER(INDEX(CPU!$J$4:$J$64,MATCH(Varian!$J38,CPU!$A$4:$A$64,0))),INDEX(CPU!$J$4:$J$64,MATCH(Varian!$J38,CPU!$A$4:$A$64,0)),""),""))</f>
        <v/>
      </c>
      <c r="D170" s="67" t="str">
        <f aca="false">IF($A170="","",IFERROR(IF(ISNUMBER(INDEX(GPU!$G$4:$G$64,MATCH(Varian!$K38,GPU!$A$4:$A$64,0))),INDEX(GPU!$G$4:$G$64,MATCH(Varian!$K38,GPU!$A$4:$A$64,0)),""),""))</f>
        <v/>
      </c>
      <c r="E170" s="67" t="str">
        <f aca="false">IF($A170="","",IF(ISNUMBER(Varian!$M38),Varian!$M38,""))</f>
        <v/>
      </c>
      <c r="F170" s="67" t="str">
        <f aca="false">IF($A170="","",IF(ISNUMBER(Varian!$V38),Varian!$V38,""))</f>
        <v/>
      </c>
      <c r="G170" s="67" t="str">
        <f aca="false">IF($A170="","",IFERROR(INDEX(Aturan!$B$63:$B$66,MATCH(Varian!$AG38,Aturan!$A$63:$A$66,0)),""))</f>
        <v/>
      </c>
      <c r="H170" s="67" t="str">
        <f aca="false">IF($A170="","",IF(ISNUMBER(Varian!$AI38),Varian!$AI38,""))</f>
        <v/>
      </c>
      <c r="I170" s="66" t="str">
        <f aca="false">IF($A170="","",IF(Varian!$Q38="disolder","menempel di papan utama, tidak bisa ditambah",IF(OR(Varian!$Q38="slot",Varian!$Q38="setengah_disolder"),IF(Varian!$Q38="setengah_disolder","sebagian menempel, ","")&amp;IF(ISNUMBER(Varian!$U38),IF(AND(ISNUMBER(Varian!$M38),Varian!$U38&gt;Varian!$M38),"bisa dinaikkan lewat slot sampai "&amp;Varian!$U38&amp;" GB","sudah di batas maksimal "&amp;Varian!$U38&amp;" GB"),"ada slot, batas maksimalnya belum diketahui"),"belum diketahui apakah bisa ditambah")))</f>
        <v/>
      </c>
      <c r="J170" s="66" t="str">
        <f aca="false">IF($A170="","",IF(Varian!$Z38="ya","bisa diganti dengan yang lebih besar",IF(Varian!$Z38="tidak","menempel, tidak bisa diganti","belum diketahui apakah bisa diganti")))</f>
        <v/>
      </c>
      <c r="K170" s="68" t="str">
        <f aca="false">IF($A170="","",IF(AND(Aturan!$C$30="",Aturan!$D$30=""),"Tidak dinilai",IF(C170="","Belum ada data",IF(C170&lt;IF(Aturan!$C$30="",0,Aturan!$C$30),"Kurang",IF(C170&gt;=IF(Aturan!$D$30="",Aturan!$C$30,Aturan!$D$30),"Nyaman","Cukup")))))</f>
        <v/>
      </c>
      <c r="L170" s="68" t="str">
        <f aca="false">IF($A170="","",IF(AND(Aturan!$C$31="",Aturan!$D$31=""),"Tidak dinilai",IF(D170="","Belum ada data",IF(D170&lt;IF(Aturan!$C$31="",0,Aturan!$C$31),"Kurang",IF(D170&gt;=IF(Aturan!$D$31="",Aturan!$C$31,Aturan!$D$31),"Nyaman","Cukup")))))</f>
        <v/>
      </c>
      <c r="M170" s="68" t="str">
        <f aca="false">IF($A170="","",IF(AND(Aturan!$C$32="",Aturan!$D$32=""),"Tidak dinilai",IF(E170="","Belum ada data",IF(E170&lt;IF(Aturan!$C$32="",0,Aturan!$C$32),"Kurang",IF(E170&gt;=IF(Aturan!$D$32="",Aturan!$C$32,Aturan!$D$32),"Nyaman","Cukup")))))</f>
        <v/>
      </c>
      <c r="N170" s="68" t="str">
        <f aca="false">IF($A170="","",IF(AND(Aturan!$C$33="",Aturan!$D$33=""),"Tidak dinilai",IF(F170="","Belum ada data",IF(F170&lt;IF(Aturan!$C$33="",0,Aturan!$C$33),"Kurang",IF(F170&gt;=IF(Aturan!$D$33="",Aturan!$C$33,Aturan!$D$33),"Nyaman","Cukup")))))</f>
        <v/>
      </c>
      <c r="O170" s="68" t="str">
        <f aca="false">IF($A170="","",IF(AND(Aturan!$C$34="",Aturan!$D$34=""),"Tidak dinilai",IF(G170="","Belum ada data",IF(G170&lt;IF(Aturan!$C$34="",0,Aturan!$C$34),"Kurang",IF(G170&gt;=IF(Aturan!$D$34="",Aturan!$C$34,Aturan!$D$34),"Nyaman","Cukup")))))</f>
        <v/>
      </c>
      <c r="P170" s="68" t="str">
        <f aca="false">IF($A170="","",IF(AND(Aturan!$C$35="",Aturan!$D$35=""),"Tidak dinilai",IF(H170="","Belum ada data",IF(H170&lt;IF(Aturan!$C$35="",0,Aturan!$C$35),"Kurang",IF(H170&gt;=IF(Aturan!$D$35="",Aturan!$C$35,Aturan!$D$35),"Nyaman","Cukup")))))</f>
        <v/>
      </c>
      <c r="Q170" s="68" t="str">
        <f aca="false">IF($A170="","",IF(COUNTIF(K170:P170,"Tidak dinilai")=6,"Tidak dinilai",IF(COUNTIF(K170:P170,"Kurang")&gt;0,"Kurang cocok",IF(COUNTIF(K170:P170,"Belum ada data")&gt;0,"Data belum lengkap",IF(COUNTIF(K170:P170,"Cukup")&gt;0,"Bisa, dengan catatan","Cocok")))))</f>
        <v/>
      </c>
      <c r="R170" s="66" t="str">
        <f aca="false">IF($A170="","",IF(K170="Kurang","prosesor tingkat "&amp;C170&amp;" dari 5, di bawah batas minimal (tingkat "&amp;Aturan!$C$30&amp;")",IF(K170="Cukup","prosesor tingkat "&amp;C170&amp;" dari 5 cukup, nyamannya mulai tingkat "&amp;Aturan!$D$30,IF(K170="Belum ada data","tingkat prosesor belum diisi",""))))</f>
        <v/>
      </c>
      <c r="S170" s="66" t="str">
        <f aca="false">IF($A170="","",IF(L170="Kurang","grafis tingkat "&amp;D170&amp;" dari 5, di bawah batas minimal (tingkat "&amp;Aturan!$C$31&amp;")",IF(L170="Cukup","grafis tingkat "&amp;D170&amp;" dari 5 cukup, nyamannya mulai tingkat "&amp;Aturan!$D$31,IF(L170="Belum ada data","tingkat grafis belum diisi",""))))</f>
        <v/>
      </c>
      <c r="T170" s="66" t="str">
        <f aca="false">IF($A170="","",IF(M170="Kurang","RAM "&amp;E170&amp;" GB, di bawah batas minimal "&amp;Aturan!$C$32&amp;" GB ("&amp;I170&amp;")",IF(M170="Cukup","RAM "&amp;E170&amp;" GB cukup, nyamannya "&amp;Aturan!$D$32&amp;" GB atau lebih ("&amp;I170&amp;")",IF(M170="Belum ada data","ukuran RAM belum diisi",""))))</f>
        <v/>
      </c>
      <c r="U170" s="66" t="str">
        <f aca="false">IF($A170="","",IF(N170="Kurang","penyimpanan "&amp;F170&amp;" GB, di bawah batas minimal "&amp;Aturan!$C$33&amp;" GB ("&amp;J170&amp;")",IF(N170="Cukup","penyimpanan "&amp;F170&amp;" GB cukup, nyamannya "&amp;Aturan!$D$33&amp;" GB atau lebih ("&amp;J170&amp;")",IF(N170="Belum ada data","ukuran penyimpanan belum diisi",""))))</f>
        <v/>
      </c>
      <c r="V170" s="66" t="str">
        <f aca="false">IF($A170="","",IF(O170="Kurang","layar "&amp;Varian!$AG38&amp;", di bawah batas minimal ("&amp;IFERROR(INDEX(Aturan!$A$63:$A$66,MATCH(Aturan!$C$34,Aturan!$B$63:$B$66,0)),"peringkat "&amp;Aturan!$C$34)&amp;")",IF(O170="Cukup","layar "&amp;Varian!$AG38&amp;" cukup, nyamannya "&amp;IFERROR(INDEX(Aturan!$A$63:$A$66,MATCH(Aturan!$D$34,Aturan!$B$63:$B$66,0)),"peringkat "&amp;Aturan!$D$34),IF(O170="Belum ada data","jenis layar belum diketahui",""))))</f>
        <v/>
      </c>
      <c r="W170" s="66" t="str">
        <f aca="false">IF($A170="","",IF(P170="Kurang","layar "&amp;H170&amp;" Hz, di bawah batas minimal "&amp;Aturan!$C$35&amp;" Hz",IF(P170="Cukup","layar "&amp;H170&amp;" Hz cukup, nyamannya "&amp;Aturan!$D$35&amp;" Hz atau lebih",IF(P170="Belum ada data","refresh rate belum diketahui",""))))</f>
        <v/>
      </c>
      <c r="X170" s="66" t="str">
        <f aca="false">IF($A170="","",IF(K170="Kurang",R170&amp;"; ","")&amp;IF(L170="Kurang",S170&amp;"; ","")&amp;IF(M170="Kurang",T170&amp;"; ","")&amp;IF(N170="Kurang",U170&amp;"; ","")&amp;IF(O170="Kurang",V170&amp;"; ","")&amp;IF(P170="Kurang",W170&amp;"; ","")&amp;IF(K170="Belum ada data",R170&amp;"; ","")&amp;IF(L170="Belum ada data",S170&amp;"; ","")&amp;IF(M170="Belum ada data",T170&amp;"; ","")&amp;IF(N170="Belum ada data",U170&amp;"; ","")&amp;IF(O170="Belum ada data",V170&amp;"; ","")&amp;IF(P170="Belum ada data",W170&amp;"; ","")&amp;IF(K170="Cukup",R170&amp;"; ","")&amp;IF(L170="Cukup",S170&amp;"; ","")&amp;IF(M170="Cukup",T170&amp;"; ","")&amp;IF(N170="Cukup",U170&amp;"; ","")&amp;IF(O170="Cukup",V170&amp;"; ","")&amp;IF(P170="Cukup",W170&amp;"; ",""))</f>
        <v/>
      </c>
      <c r="Y170" s="66" t="str">
        <f aca="false">IF($A170="","",IF(K170="Nyaman","prosesor, ","")&amp;IF(L170="Nyaman","grafis, ","")&amp;IF(M170="Nyaman","RAM, ","")&amp;IF(N170="Nyaman","penyimpanan, ","")&amp;IF(O170="Nyaman","layar, ","")&amp;IF(P170="Nyaman","refresh rate, ",""))</f>
        <v/>
      </c>
      <c r="Z170" s="66" t="str">
        <f aca="false">IF($A170="","",IF(Q170="Tidak dinilai","Belum ada kriteria yang dinilai untuk kebutuhan ini.",IF(Q170="Cocok","Semua kriteria yang dinilai sudah nyaman: "&amp;LEFT(Y170,LEN(Y170)-2)&amp;".",UPPER(LEFT(X170,1))&amp;MID(X170,2,LEN(X170)-3)&amp;"."&amp;IF(Y170="",""," Sudah nyaman: "&amp;LEFT(Y170,LEN(Y170)-2)&amp;"."))))</f>
        <v/>
      </c>
      <c r="AA170" s="66" t="str">
        <f aca="false">IF($A170="","",IF(Varian!$AR38="Windows 10","• "&amp;Aturan!$E$71&amp;CHAR(10),"")&amp;IF(Varian!$BB38="tidak","• "&amp;Aturan!$E$72&amp;CHAR(10),"")&amp;IF(OR(Varian!$AD38="belum terverifikasi",Varian!$AD38="tidak diketahui"),"• "&amp;Aturan!$E$73&amp;CHAR(10),"")&amp;IF(Varian!$AH38="1366x768","• "&amp;Aturan!$E$74&amp;CHAR(10),"")&amp;IF(Varian!$AG38="TN","• "&amp;Aturan!$E$75&amp;CHAR(10),"")&amp;IF(AND(Varian!$Q38="disolder",ISNUMBER(Varian!$M38),Varian!$M38&lt;=8),"• "&amp;Aturan!$E$76&amp;CHAR(10),""))</f>
        <v/>
      </c>
      <c r="AB170" s="66" t="str">
        <f aca="false">IF($A170="","",IF(AA170="","",LEFT(AA170,LEN(AA170)-1)))</f>
        <v/>
      </c>
      <c r="AC170" s="67" t="str">
        <f aca="false">IF($A170="","",IF(AA170="",0,LEN(AA170)-LEN(SUBSTITUTE(AA170,CHAR(10),""))))</f>
        <v/>
      </c>
    </row>
    <row r="171" customFormat="false" ht="15" hidden="false" customHeight="true" outlineLevel="0" collapsed="false">
      <c r="A171" s="33" t="str">
        <f aca="false">IF(Varian!$A38="","",Varian!$A38)</f>
        <v/>
      </c>
      <c r="B171" s="33" t="str">
        <f aca="false">IF($A171="","",Aturan!$A$22)</f>
        <v/>
      </c>
      <c r="C171" s="69" t="str">
        <f aca="false">IF($A171="","",IFERROR(IF(ISNUMBER(INDEX(CPU!$J$4:$J$64,MATCH(Varian!$J38,CPU!$A$4:$A$64,0))),INDEX(CPU!$J$4:$J$64,MATCH(Varian!$J38,CPU!$A$4:$A$64,0)),""),""))</f>
        <v/>
      </c>
      <c r="D171" s="69" t="str">
        <f aca="false">IF($A171="","",IFERROR(IF(ISNUMBER(INDEX(GPU!$G$4:$G$64,MATCH(Varian!$K38,GPU!$A$4:$A$64,0))),INDEX(GPU!$G$4:$G$64,MATCH(Varian!$K38,GPU!$A$4:$A$64,0)),""),""))</f>
        <v/>
      </c>
      <c r="E171" s="69" t="str">
        <f aca="false">IF($A171="","",IF(ISNUMBER(Varian!$M38),Varian!$M38,""))</f>
        <v/>
      </c>
      <c r="F171" s="69" t="str">
        <f aca="false">IF($A171="","",IF(ISNUMBER(Varian!$V38),Varian!$V38,""))</f>
        <v/>
      </c>
      <c r="G171" s="69" t="str">
        <f aca="false">IF($A171="","",IFERROR(INDEX(Aturan!$B$63:$B$66,MATCH(Varian!$AG38,Aturan!$A$63:$A$66,0)),""))</f>
        <v/>
      </c>
      <c r="H171" s="69" t="str">
        <f aca="false">IF($A171="","",IF(ISNUMBER(Varian!$AI38),Varian!$AI38,""))</f>
        <v/>
      </c>
      <c r="I171" s="33" t="str">
        <f aca="false">IF($A171="","",IF(Varian!$Q38="disolder","menempel di papan utama, tidak bisa ditambah",IF(OR(Varian!$Q38="slot",Varian!$Q38="setengah_disolder"),IF(Varian!$Q38="setengah_disolder","sebagian menempel, ","")&amp;IF(ISNUMBER(Varian!$U38),IF(AND(ISNUMBER(Varian!$M38),Varian!$U38&gt;Varian!$M38),"bisa dinaikkan lewat slot sampai "&amp;Varian!$U38&amp;" GB","sudah di batas maksimal "&amp;Varian!$U38&amp;" GB"),"ada slot, batas maksimalnya belum diketahui"),"belum diketahui apakah bisa ditambah")))</f>
        <v/>
      </c>
      <c r="J171" s="33" t="str">
        <f aca="false">IF($A171="","",IF(Varian!$Z38="ya","bisa diganti dengan yang lebih besar",IF(Varian!$Z38="tidak","menempel, tidak bisa diganti","belum diketahui apakah bisa diganti")))</f>
        <v/>
      </c>
      <c r="K171" s="70" t="str">
        <f aca="false">IF($A171="","",IF(AND(Aturan!$C$36="",Aturan!$D$36=""),"Tidak dinilai",IF(C171="","Belum ada data",IF(C171&lt;IF(Aturan!$C$36="",0,Aturan!$C$36),"Kurang",IF(C171&gt;=IF(Aturan!$D$36="",Aturan!$C$36,Aturan!$D$36),"Nyaman","Cukup")))))</f>
        <v/>
      </c>
      <c r="L171" s="70" t="str">
        <f aca="false">IF($A171="","",IF(AND(Aturan!$C$37="",Aturan!$D$37=""),"Tidak dinilai",IF(D171="","Belum ada data",IF(D171&lt;IF(Aturan!$C$37="",0,Aturan!$C$37),"Kurang",IF(D171&gt;=IF(Aturan!$D$37="",Aturan!$C$37,Aturan!$D$37),"Nyaman","Cukup")))))</f>
        <v/>
      </c>
      <c r="M171" s="70" t="str">
        <f aca="false">IF($A171="","",IF(AND(Aturan!$C$38="",Aturan!$D$38=""),"Tidak dinilai",IF(E171="","Belum ada data",IF(E171&lt;IF(Aturan!$C$38="",0,Aturan!$C$38),"Kurang",IF(E171&gt;=IF(Aturan!$D$38="",Aturan!$C$38,Aturan!$D$38),"Nyaman","Cukup")))))</f>
        <v/>
      </c>
      <c r="N171" s="70" t="str">
        <f aca="false">IF($A171="","",IF(AND(Aturan!$C$39="",Aturan!$D$39=""),"Tidak dinilai",IF(F171="","Belum ada data",IF(F171&lt;IF(Aturan!$C$39="",0,Aturan!$C$39),"Kurang",IF(F171&gt;=IF(Aturan!$D$39="",Aturan!$C$39,Aturan!$D$39),"Nyaman","Cukup")))))</f>
        <v/>
      </c>
      <c r="O171" s="70" t="str">
        <f aca="false">IF($A171="","",IF(AND(Aturan!$C$40="",Aturan!$D$40=""),"Tidak dinilai",IF(G171="","Belum ada data",IF(G171&lt;IF(Aturan!$C$40="",0,Aturan!$C$40),"Kurang",IF(G171&gt;=IF(Aturan!$D$40="",Aturan!$C$40,Aturan!$D$40),"Nyaman","Cukup")))))</f>
        <v/>
      </c>
      <c r="P171" s="70" t="str">
        <f aca="false">IF($A171="","",IF(AND(Aturan!$C$41="",Aturan!$D$41=""),"Tidak dinilai",IF(H171="","Belum ada data",IF(H171&lt;IF(Aturan!$C$41="",0,Aturan!$C$41),"Kurang",IF(H171&gt;=IF(Aturan!$D$41="",Aturan!$C$41,Aturan!$D$41),"Nyaman","Cukup")))))</f>
        <v/>
      </c>
      <c r="Q171" s="70" t="str">
        <f aca="false">IF($A171="","",IF(COUNTIF(K171:P171,"Tidak dinilai")=6,"Tidak dinilai",IF(COUNTIF(K171:P171,"Kurang")&gt;0,"Kurang cocok",IF(COUNTIF(K171:P171,"Belum ada data")&gt;0,"Data belum lengkap",IF(COUNTIF(K171:P171,"Cukup")&gt;0,"Bisa, dengan catatan","Cocok")))))</f>
        <v/>
      </c>
      <c r="R171" s="33" t="str">
        <f aca="false">IF($A171="","",IF(K171="Kurang","prosesor tingkat "&amp;C171&amp;" dari 5, di bawah batas minimal (tingkat "&amp;Aturan!$C$36&amp;")",IF(K171="Cukup","prosesor tingkat "&amp;C171&amp;" dari 5 cukup, nyamannya mulai tingkat "&amp;Aturan!$D$36,IF(K171="Belum ada data","tingkat prosesor belum diisi",""))))</f>
        <v/>
      </c>
      <c r="S171" s="33" t="str">
        <f aca="false">IF($A171="","",IF(L171="Kurang","grafis tingkat "&amp;D171&amp;" dari 5, di bawah batas minimal (tingkat "&amp;Aturan!$C$37&amp;")",IF(L171="Cukup","grafis tingkat "&amp;D171&amp;" dari 5 cukup, nyamannya mulai tingkat "&amp;Aturan!$D$37,IF(L171="Belum ada data","tingkat grafis belum diisi",""))))</f>
        <v/>
      </c>
      <c r="T171" s="33" t="str">
        <f aca="false">IF($A171="","",IF(M171="Kurang","RAM "&amp;E171&amp;" GB, di bawah batas minimal "&amp;Aturan!$C$38&amp;" GB ("&amp;I171&amp;")",IF(M171="Cukup","RAM "&amp;E171&amp;" GB cukup, nyamannya "&amp;Aturan!$D$38&amp;" GB atau lebih ("&amp;I171&amp;")",IF(M171="Belum ada data","ukuran RAM belum diisi",""))))</f>
        <v/>
      </c>
      <c r="U171" s="33" t="str">
        <f aca="false">IF($A171="","",IF(N171="Kurang","penyimpanan "&amp;F171&amp;" GB, di bawah batas minimal "&amp;Aturan!$C$39&amp;" GB ("&amp;J171&amp;")",IF(N171="Cukup","penyimpanan "&amp;F171&amp;" GB cukup, nyamannya "&amp;Aturan!$D$39&amp;" GB atau lebih ("&amp;J171&amp;")",IF(N171="Belum ada data","ukuran penyimpanan belum diisi",""))))</f>
        <v/>
      </c>
      <c r="V171" s="33" t="str">
        <f aca="false">IF($A171="","",IF(O171="Kurang","layar "&amp;Varian!$AG38&amp;", di bawah batas minimal ("&amp;IFERROR(INDEX(Aturan!$A$63:$A$66,MATCH(Aturan!$C$40,Aturan!$B$63:$B$66,0)),"peringkat "&amp;Aturan!$C$40)&amp;")",IF(O171="Cukup","layar "&amp;Varian!$AG38&amp;" cukup, nyamannya "&amp;IFERROR(INDEX(Aturan!$A$63:$A$66,MATCH(Aturan!$D$40,Aturan!$B$63:$B$66,0)),"peringkat "&amp;Aturan!$D$40),IF(O171="Belum ada data","jenis layar belum diketahui",""))))</f>
        <v/>
      </c>
      <c r="W171" s="33" t="str">
        <f aca="false">IF($A171="","",IF(P171="Kurang","layar "&amp;H171&amp;" Hz, di bawah batas minimal "&amp;Aturan!$C$41&amp;" Hz",IF(P171="Cukup","layar "&amp;H171&amp;" Hz cukup, nyamannya "&amp;Aturan!$D$41&amp;" Hz atau lebih",IF(P171="Belum ada data","refresh rate belum diketahui",""))))</f>
        <v/>
      </c>
      <c r="X171" s="33" t="str">
        <f aca="false">IF($A171="","",IF(K171="Kurang",R171&amp;"; ","")&amp;IF(L171="Kurang",S171&amp;"; ","")&amp;IF(M171="Kurang",T171&amp;"; ","")&amp;IF(N171="Kurang",U171&amp;"; ","")&amp;IF(O171="Kurang",V171&amp;"; ","")&amp;IF(P171="Kurang",W171&amp;"; ","")&amp;IF(K171="Belum ada data",R171&amp;"; ","")&amp;IF(L171="Belum ada data",S171&amp;"; ","")&amp;IF(M171="Belum ada data",T171&amp;"; ","")&amp;IF(N171="Belum ada data",U171&amp;"; ","")&amp;IF(O171="Belum ada data",V171&amp;"; ","")&amp;IF(P171="Belum ada data",W171&amp;"; ","")&amp;IF(K171="Cukup",R171&amp;"; ","")&amp;IF(L171="Cukup",S171&amp;"; ","")&amp;IF(M171="Cukup",T171&amp;"; ","")&amp;IF(N171="Cukup",U171&amp;"; ","")&amp;IF(O171="Cukup",V171&amp;"; ","")&amp;IF(P171="Cukup",W171&amp;"; ",""))</f>
        <v/>
      </c>
      <c r="Y171" s="33" t="str">
        <f aca="false">IF($A171="","",IF(K171="Nyaman","prosesor, ","")&amp;IF(L171="Nyaman","grafis, ","")&amp;IF(M171="Nyaman","RAM, ","")&amp;IF(N171="Nyaman","penyimpanan, ","")&amp;IF(O171="Nyaman","layar, ","")&amp;IF(P171="Nyaman","refresh rate, ",""))</f>
        <v/>
      </c>
      <c r="Z171" s="33" t="str">
        <f aca="false">IF($A171="","",IF(Q171="Tidak dinilai","Belum ada kriteria yang dinilai untuk kebutuhan ini.",IF(Q171="Cocok","Semua kriteria yang dinilai sudah nyaman: "&amp;LEFT(Y171,LEN(Y171)-2)&amp;".",UPPER(LEFT(X171,1))&amp;MID(X171,2,LEN(X171)-3)&amp;"."&amp;IF(Y171="",""," Sudah nyaman: "&amp;LEFT(Y171,LEN(Y171)-2)&amp;"."))))</f>
        <v/>
      </c>
      <c r="AA171" s="33"/>
      <c r="AB171" s="33"/>
      <c r="AC171" s="69"/>
    </row>
    <row r="172" customFormat="false" ht="15" hidden="false" customHeight="true" outlineLevel="0" collapsed="false">
      <c r="A172" s="33" t="str">
        <f aca="false">IF(Varian!$A38="","",Varian!$A38)</f>
        <v/>
      </c>
      <c r="B172" s="33" t="str">
        <f aca="false">IF($A172="","",Aturan!$A$23)</f>
        <v/>
      </c>
      <c r="C172" s="69" t="str">
        <f aca="false">IF($A172="","",IFERROR(IF(ISNUMBER(INDEX(CPU!$J$4:$J$64,MATCH(Varian!$J38,CPU!$A$4:$A$64,0))),INDEX(CPU!$J$4:$J$64,MATCH(Varian!$J38,CPU!$A$4:$A$64,0)),""),""))</f>
        <v/>
      </c>
      <c r="D172" s="69" t="str">
        <f aca="false">IF($A172="","",IFERROR(IF(ISNUMBER(INDEX(GPU!$G$4:$G$64,MATCH(Varian!$K38,GPU!$A$4:$A$64,0))),INDEX(GPU!$G$4:$G$64,MATCH(Varian!$K38,GPU!$A$4:$A$64,0)),""),""))</f>
        <v/>
      </c>
      <c r="E172" s="69" t="str">
        <f aca="false">IF($A172="","",IF(ISNUMBER(Varian!$M38),Varian!$M38,""))</f>
        <v/>
      </c>
      <c r="F172" s="69" t="str">
        <f aca="false">IF($A172="","",IF(ISNUMBER(Varian!$V38),Varian!$V38,""))</f>
        <v/>
      </c>
      <c r="G172" s="69" t="str">
        <f aca="false">IF($A172="","",IFERROR(INDEX(Aturan!$B$63:$B$66,MATCH(Varian!$AG38,Aturan!$A$63:$A$66,0)),""))</f>
        <v/>
      </c>
      <c r="H172" s="69" t="str">
        <f aca="false">IF($A172="","",IF(ISNUMBER(Varian!$AI38),Varian!$AI38,""))</f>
        <v/>
      </c>
      <c r="I172" s="33" t="str">
        <f aca="false">IF($A172="","",IF(Varian!$Q38="disolder","menempel di papan utama, tidak bisa ditambah",IF(OR(Varian!$Q38="slot",Varian!$Q38="setengah_disolder"),IF(Varian!$Q38="setengah_disolder","sebagian menempel, ","")&amp;IF(ISNUMBER(Varian!$U38),IF(AND(ISNUMBER(Varian!$M38),Varian!$U38&gt;Varian!$M38),"bisa dinaikkan lewat slot sampai "&amp;Varian!$U38&amp;" GB","sudah di batas maksimal "&amp;Varian!$U38&amp;" GB"),"ada slot, batas maksimalnya belum diketahui"),"belum diketahui apakah bisa ditambah")))</f>
        <v/>
      </c>
      <c r="J172" s="33" t="str">
        <f aca="false">IF($A172="","",IF(Varian!$Z38="ya","bisa diganti dengan yang lebih besar",IF(Varian!$Z38="tidak","menempel, tidak bisa diganti","belum diketahui apakah bisa diganti")))</f>
        <v/>
      </c>
      <c r="K172" s="70" t="str">
        <f aca="false">IF($A172="","",IF(AND(Aturan!$C$42="",Aturan!$D$42=""),"Tidak dinilai",IF(C172="","Belum ada data",IF(C172&lt;IF(Aturan!$C$42="",0,Aturan!$C$42),"Kurang",IF(C172&gt;=IF(Aturan!$D$42="",Aturan!$C$42,Aturan!$D$42),"Nyaman","Cukup")))))</f>
        <v/>
      </c>
      <c r="L172" s="70" t="str">
        <f aca="false">IF($A172="","",IF(AND(Aturan!$C$43="",Aturan!$D$43=""),"Tidak dinilai",IF(D172="","Belum ada data",IF(D172&lt;IF(Aturan!$C$43="",0,Aturan!$C$43),"Kurang",IF(D172&gt;=IF(Aturan!$D$43="",Aturan!$C$43,Aturan!$D$43),"Nyaman","Cukup")))))</f>
        <v/>
      </c>
      <c r="M172" s="70" t="str">
        <f aca="false">IF($A172="","",IF(AND(Aturan!$C$44="",Aturan!$D$44=""),"Tidak dinilai",IF(E172="","Belum ada data",IF(E172&lt;IF(Aturan!$C$44="",0,Aturan!$C$44),"Kurang",IF(E172&gt;=IF(Aturan!$D$44="",Aturan!$C$44,Aturan!$D$44),"Nyaman","Cukup")))))</f>
        <v/>
      </c>
      <c r="N172" s="70" t="str">
        <f aca="false">IF($A172="","",IF(AND(Aturan!$C$45="",Aturan!$D$45=""),"Tidak dinilai",IF(F172="","Belum ada data",IF(F172&lt;IF(Aturan!$C$45="",0,Aturan!$C$45),"Kurang",IF(F172&gt;=IF(Aturan!$D$45="",Aturan!$C$45,Aturan!$D$45),"Nyaman","Cukup")))))</f>
        <v/>
      </c>
      <c r="O172" s="70" t="str">
        <f aca="false">IF($A172="","",IF(AND(Aturan!$C$46="",Aturan!$D$46=""),"Tidak dinilai",IF(G172="","Belum ada data",IF(G172&lt;IF(Aturan!$C$46="",0,Aturan!$C$46),"Kurang",IF(G172&gt;=IF(Aturan!$D$46="",Aturan!$C$46,Aturan!$D$46),"Nyaman","Cukup")))))</f>
        <v/>
      </c>
      <c r="P172" s="70" t="str">
        <f aca="false">IF($A172="","",IF(AND(Aturan!$C$47="",Aturan!$D$47=""),"Tidak dinilai",IF(H172="","Belum ada data",IF(H172&lt;IF(Aturan!$C$47="",0,Aturan!$C$47),"Kurang",IF(H172&gt;=IF(Aturan!$D$47="",Aturan!$C$47,Aturan!$D$47),"Nyaman","Cukup")))))</f>
        <v/>
      </c>
      <c r="Q172" s="70" t="str">
        <f aca="false">IF($A172="","",IF(COUNTIF(K172:P172,"Tidak dinilai")=6,"Tidak dinilai",IF(COUNTIF(K172:P172,"Kurang")&gt;0,"Kurang cocok",IF(COUNTIF(K172:P172,"Belum ada data")&gt;0,"Data belum lengkap",IF(COUNTIF(K172:P172,"Cukup")&gt;0,"Bisa, dengan catatan","Cocok")))))</f>
        <v/>
      </c>
      <c r="R172" s="33" t="str">
        <f aca="false">IF($A172="","",IF(K172="Kurang","prosesor tingkat "&amp;C172&amp;" dari 5, di bawah batas minimal (tingkat "&amp;Aturan!$C$42&amp;")",IF(K172="Cukup","prosesor tingkat "&amp;C172&amp;" dari 5 cukup, nyamannya mulai tingkat "&amp;Aturan!$D$42,IF(K172="Belum ada data","tingkat prosesor belum diisi",""))))</f>
        <v/>
      </c>
      <c r="S172" s="33" t="str">
        <f aca="false">IF($A172="","",IF(L172="Kurang","grafis tingkat "&amp;D172&amp;" dari 5, di bawah batas minimal (tingkat "&amp;Aturan!$C$43&amp;")",IF(L172="Cukup","grafis tingkat "&amp;D172&amp;" dari 5 cukup, nyamannya mulai tingkat "&amp;Aturan!$D$43,IF(L172="Belum ada data","tingkat grafis belum diisi",""))))</f>
        <v/>
      </c>
      <c r="T172" s="33" t="str">
        <f aca="false">IF($A172="","",IF(M172="Kurang","RAM "&amp;E172&amp;" GB, di bawah batas minimal "&amp;Aturan!$C$44&amp;" GB ("&amp;I172&amp;")",IF(M172="Cukup","RAM "&amp;E172&amp;" GB cukup, nyamannya "&amp;Aturan!$D$44&amp;" GB atau lebih ("&amp;I172&amp;")",IF(M172="Belum ada data","ukuran RAM belum diisi",""))))</f>
        <v/>
      </c>
      <c r="U172" s="33" t="str">
        <f aca="false">IF($A172="","",IF(N172="Kurang","penyimpanan "&amp;F172&amp;" GB, di bawah batas minimal "&amp;Aturan!$C$45&amp;" GB ("&amp;J172&amp;")",IF(N172="Cukup","penyimpanan "&amp;F172&amp;" GB cukup, nyamannya "&amp;Aturan!$D$45&amp;" GB atau lebih ("&amp;J172&amp;")",IF(N172="Belum ada data","ukuran penyimpanan belum diisi",""))))</f>
        <v/>
      </c>
      <c r="V172" s="33" t="str">
        <f aca="false">IF($A172="","",IF(O172="Kurang","layar "&amp;Varian!$AG38&amp;", di bawah batas minimal ("&amp;IFERROR(INDEX(Aturan!$A$63:$A$66,MATCH(Aturan!$C$46,Aturan!$B$63:$B$66,0)),"peringkat "&amp;Aturan!$C$46)&amp;")",IF(O172="Cukup","layar "&amp;Varian!$AG38&amp;" cukup, nyamannya "&amp;IFERROR(INDEX(Aturan!$A$63:$A$66,MATCH(Aturan!$D$46,Aturan!$B$63:$B$66,0)),"peringkat "&amp;Aturan!$D$46),IF(O172="Belum ada data","jenis layar belum diketahui",""))))</f>
        <v/>
      </c>
      <c r="W172" s="33" t="str">
        <f aca="false">IF($A172="","",IF(P172="Kurang","layar "&amp;H172&amp;" Hz, di bawah batas minimal "&amp;Aturan!$C$47&amp;" Hz",IF(P172="Cukup","layar "&amp;H172&amp;" Hz cukup, nyamannya "&amp;Aturan!$D$47&amp;" Hz atau lebih",IF(P172="Belum ada data","refresh rate belum diketahui",""))))</f>
        <v/>
      </c>
      <c r="X172" s="33" t="str">
        <f aca="false">IF($A172="","",IF(K172="Kurang",R172&amp;"; ","")&amp;IF(L172="Kurang",S172&amp;"; ","")&amp;IF(M172="Kurang",T172&amp;"; ","")&amp;IF(N172="Kurang",U172&amp;"; ","")&amp;IF(O172="Kurang",V172&amp;"; ","")&amp;IF(P172="Kurang",W172&amp;"; ","")&amp;IF(K172="Belum ada data",R172&amp;"; ","")&amp;IF(L172="Belum ada data",S172&amp;"; ","")&amp;IF(M172="Belum ada data",T172&amp;"; ","")&amp;IF(N172="Belum ada data",U172&amp;"; ","")&amp;IF(O172="Belum ada data",V172&amp;"; ","")&amp;IF(P172="Belum ada data",W172&amp;"; ","")&amp;IF(K172="Cukup",R172&amp;"; ","")&amp;IF(L172="Cukup",S172&amp;"; ","")&amp;IF(M172="Cukup",T172&amp;"; ","")&amp;IF(N172="Cukup",U172&amp;"; ","")&amp;IF(O172="Cukup",V172&amp;"; ","")&amp;IF(P172="Cukup",W172&amp;"; ",""))</f>
        <v/>
      </c>
      <c r="Y172" s="33" t="str">
        <f aca="false">IF($A172="","",IF(K172="Nyaman","prosesor, ","")&amp;IF(L172="Nyaman","grafis, ","")&amp;IF(M172="Nyaman","RAM, ","")&amp;IF(N172="Nyaman","penyimpanan, ","")&amp;IF(O172="Nyaman","layar, ","")&amp;IF(P172="Nyaman","refresh rate, ",""))</f>
        <v/>
      </c>
      <c r="Z172" s="33" t="str">
        <f aca="false">IF($A172="","",IF(Q172="Tidak dinilai","Belum ada kriteria yang dinilai untuk kebutuhan ini.",IF(Q172="Cocok","Semua kriteria yang dinilai sudah nyaman: "&amp;LEFT(Y172,LEN(Y172)-2)&amp;".",UPPER(LEFT(X172,1))&amp;MID(X172,2,LEN(X172)-3)&amp;"."&amp;IF(Y172="",""," Sudah nyaman: "&amp;LEFT(Y172,LEN(Y172)-2)&amp;"."))))</f>
        <v/>
      </c>
      <c r="AA172" s="33"/>
      <c r="AB172" s="33"/>
      <c r="AC172" s="69"/>
    </row>
    <row r="173" customFormat="false" ht="15" hidden="false" customHeight="true" outlineLevel="0" collapsed="false">
      <c r="A173" s="33" t="str">
        <f aca="false">IF(Varian!$A38="","",Varian!$A38)</f>
        <v/>
      </c>
      <c r="B173" s="33" t="str">
        <f aca="false">IF($A173="","",Aturan!$A$24)</f>
        <v/>
      </c>
      <c r="C173" s="69" t="str">
        <f aca="false">IF($A173="","",IFERROR(IF(ISNUMBER(INDEX(CPU!$J$4:$J$64,MATCH(Varian!$J38,CPU!$A$4:$A$64,0))),INDEX(CPU!$J$4:$J$64,MATCH(Varian!$J38,CPU!$A$4:$A$64,0)),""),""))</f>
        <v/>
      </c>
      <c r="D173" s="69" t="str">
        <f aca="false">IF($A173="","",IFERROR(IF(ISNUMBER(INDEX(GPU!$G$4:$G$64,MATCH(Varian!$K38,GPU!$A$4:$A$64,0))),INDEX(GPU!$G$4:$G$64,MATCH(Varian!$K38,GPU!$A$4:$A$64,0)),""),""))</f>
        <v/>
      </c>
      <c r="E173" s="69" t="str">
        <f aca="false">IF($A173="","",IF(ISNUMBER(Varian!$M38),Varian!$M38,""))</f>
        <v/>
      </c>
      <c r="F173" s="69" t="str">
        <f aca="false">IF($A173="","",IF(ISNUMBER(Varian!$V38),Varian!$V38,""))</f>
        <v/>
      </c>
      <c r="G173" s="69" t="str">
        <f aca="false">IF($A173="","",IFERROR(INDEX(Aturan!$B$63:$B$66,MATCH(Varian!$AG38,Aturan!$A$63:$A$66,0)),""))</f>
        <v/>
      </c>
      <c r="H173" s="69" t="str">
        <f aca="false">IF($A173="","",IF(ISNUMBER(Varian!$AI38),Varian!$AI38,""))</f>
        <v/>
      </c>
      <c r="I173" s="33" t="str">
        <f aca="false">IF($A173="","",IF(Varian!$Q38="disolder","menempel di papan utama, tidak bisa ditambah",IF(OR(Varian!$Q38="slot",Varian!$Q38="setengah_disolder"),IF(Varian!$Q38="setengah_disolder","sebagian menempel, ","")&amp;IF(ISNUMBER(Varian!$U38),IF(AND(ISNUMBER(Varian!$M38),Varian!$U38&gt;Varian!$M38),"bisa dinaikkan lewat slot sampai "&amp;Varian!$U38&amp;" GB","sudah di batas maksimal "&amp;Varian!$U38&amp;" GB"),"ada slot, batas maksimalnya belum diketahui"),"belum diketahui apakah bisa ditambah")))</f>
        <v/>
      </c>
      <c r="J173" s="33" t="str">
        <f aca="false">IF($A173="","",IF(Varian!$Z38="ya","bisa diganti dengan yang lebih besar",IF(Varian!$Z38="tidak","menempel, tidak bisa diganti","belum diketahui apakah bisa diganti")))</f>
        <v/>
      </c>
      <c r="K173" s="70" t="str">
        <f aca="false">IF($A173="","",IF(AND(Aturan!$C$48="",Aturan!$D$48=""),"Tidak dinilai",IF(C173="","Belum ada data",IF(C173&lt;IF(Aturan!$C$48="",0,Aturan!$C$48),"Kurang",IF(C173&gt;=IF(Aturan!$D$48="",Aturan!$C$48,Aturan!$D$48),"Nyaman","Cukup")))))</f>
        <v/>
      </c>
      <c r="L173" s="70" t="str">
        <f aca="false">IF($A173="","",IF(AND(Aturan!$C$49="",Aturan!$D$49=""),"Tidak dinilai",IF(D173="","Belum ada data",IF(D173&lt;IF(Aturan!$C$49="",0,Aturan!$C$49),"Kurang",IF(D173&gt;=IF(Aturan!$D$49="",Aturan!$C$49,Aturan!$D$49),"Nyaman","Cukup")))))</f>
        <v/>
      </c>
      <c r="M173" s="70" t="str">
        <f aca="false">IF($A173="","",IF(AND(Aturan!$C$50="",Aturan!$D$50=""),"Tidak dinilai",IF(E173="","Belum ada data",IF(E173&lt;IF(Aturan!$C$50="",0,Aturan!$C$50),"Kurang",IF(E173&gt;=IF(Aturan!$D$50="",Aturan!$C$50,Aturan!$D$50),"Nyaman","Cukup")))))</f>
        <v/>
      </c>
      <c r="N173" s="70" t="str">
        <f aca="false">IF($A173="","",IF(AND(Aturan!$C$51="",Aturan!$D$51=""),"Tidak dinilai",IF(F173="","Belum ada data",IF(F173&lt;IF(Aturan!$C$51="",0,Aturan!$C$51),"Kurang",IF(F173&gt;=IF(Aturan!$D$51="",Aturan!$C$51,Aturan!$D$51),"Nyaman","Cukup")))))</f>
        <v/>
      </c>
      <c r="O173" s="70" t="str">
        <f aca="false">IF($A173="","",IF(AND(Aturan!$C$52="",Aturan!$D$52=""),"Tidak dinilai",IF(G173="","Belum ada data",IF(G173&lt;IF(Aturan!$C$52="",0,Aturan!$C$52),"Kurang",IF(G173&gt;=IF(Aturan!$D$52="",Aturan!$C$52,Aturan!$D$52),"Nyaman","Cukup")))))</f>
        <v/>
      </c>
      <c r="P173" s="70" t="str">
        <f aca="false">IF($A173="","",IF(AND(Aturan!$C$53="",Aturan!$D$53=""),"Tidak dinilai",IF(H173="","Belum ada data",IF(H173&lt;IF(Aturan!$C$53="",0,Aturan!$C$53),"Kurang",IF(H173&gt;=IF(Aturan!$D$53="",Aturan!$C$53,Aturan!$D$53),"Nyaman","Cukup")))))</f>
        <v/>
      </c>
      <c r="Q173" s="70" t="str">
        <f aca="false">IF($A173="","",IF(COUNTIF(K173:P173,"Tidak dinilai")=6,"Tidak dinilai",IF(COUNTIF(K173:P173,"Kurang")&gt;0,"Kurang cocok",IF(COUNTIF(K173:P173,"Belum ada data")&gt;0,"Data belum lengkap",IF(COUNTIF(K173:P173,"Cukup")&gt;0,"Bisa, dengan catatan","Cocok")))))</f>
        <v/>
      </c>
      <c r="R173" s="33" t="str">
        <f aca="false">IF($A173="","",IF(K173="Kurang","prosesor tingkat "&amp;C173&amp;" dari 5, di bawah batas minimal (tingkat "&amp;Aturan!$C$48&amp;")",IF(K173="Cukup","prosesor tingkat "&amp;C173&amp;" dari 5 cukup, nyamannya mulai tingkat "&amp;Aturan!$D$48,IF(K173="Belum ada data","tingkat prosesor belum diisi",""))))</f>
        <v/>
      </c>
      <c r="S173" s="33" t="str">
        <f aca="false">IF($A173="","",IF(L173="Kurang","grafis tingkat "&amp;D173&amp;" dari 5, di bawah batas minimal (tingkat "&amp;Aturan!$C$49&amp;")",IF(L173="Cukup","grafis tingkat "&amp;D173&amp;" dari 5 cukup, nyamannya mulai tingkat "&amp;Aturan!$D$49,IF(L173="Belum ada data","tingkat grafis belum diisi",""))))</f>
        <v/>
      </c>
      <c r="T173" s="33" t="str">
        <f aca="false">IF($A173="","",IF(M173="Kurang","RAM "&amp;E173&amp;" GB, di bawah batas minimal "&amp;Aturan!$C$50&amp;" GB ("&amp;I173&amp;")",IF(M173="Cukup","RAM "&amp;E173&amp;" GB cukup, nyamannya "&amp;Aturan!$D$50&amp;" GB atau lebih ("&amp;I173&amp;")",IF(M173="Belum ada data","ukuran RAM belum diisi",""))))</f>
        <v/>
      </c>
      <c r="U173" s="33" t="str">
        <f aca="false">IF($A173="","",IF(N173="Kurang","penyimpanan "&amp;F173&amp;" GB, di bawah batas minimal "&amp;Aturan!$C$51&amp;" GB ("&amp;J173&amp;")",IF(N173="Cukup","penyimpanan "&amp;F173&amp;" GB cukup, nyamannya "&amp;Aturan!$D$51&amp;" GB atau lebih ("&amp;J173&amp;")",IF(N173="Belum ada data","ukuran penyimpanan belum diisi",""))))</f>
        <v/>
      </c>
      <c r="V173" s="33" t="str">
        <f aca="false">IF($A173="","",IF(O173="Kurang","layar "&amp;Varian!$AG38&amp;", di bawah batas minimal ("&amp;IFERROR(INDEX(Aturan!$A$63:$A$66,MATCH(Aturan!$C$52,Aturan!$B$63:$B$66,0)),"peringkat "&amp;Aturan!$C$52)&amp;")",IF(O173="Cukup","layar "&amp;Varian!$AG38&amp;" cukup, nyamannya "&amp;IFERROR(INDEX(Aturan!$A$63:$A$66,MATCH(Aturan!$D$52,Aturan!$B$63:$B$66,0)),"peringkat "&amp;Aturan!$D$52),IF(O173="Belum ada data","jenis layar belum diketahui",""))))</f>
        <v/>
      </c>
      <c r="W173" s="33" t="str">
        <f aca="false">IF($A173="","",IF(P173="Kurang","layar "&amp;H173&amp;" Hz, di bawah batas minimal "&amp;Aturan!$C$53&amp;" Hz",IF(P173="Cukup","layar "&amp;H173&amp;" Hz cukup, nyamannya "&amp;Aturan!$D$53&amp;" Hz atau lebih",IF(P173="Belum ada data","refresh rate belum diketahui",""))))</f>
        <v/>
      </c>
      <c r="X173" s="33" t="str">
        <f aca="false">IF($A173="","",IF(K173="Kurang",R173&amp;"; ","")&amp;IF(L173="Kurang",S173&amp;"; ","")&amp;IF(M173="Kurang",T173&amp;"; ","")&amp;IF(N173="Kurang",U173&amp;"; ","")&amp;IF(O173="Kurang",V173&amp;"; ","")&amp;IF(P173="Kurang",W173&amp;"; ","")&amp;IF(K173="Belum ada data",R173&amp;"; ","")&amp;IF(L173="Belum ada data",S173&amp;"; ","")&amp;IF(M173="Belum ada data",T173&amp;"; ","")&amp;IF(N173="Belum ada data",U173&amp;"; ","")&amp;IF(O173="Belum ada data",V173&amp;"; ","")&amp;IF(P173="Belum ada data",W173&amp;"; ","")&amp;IF(K173="Cukup",R173&amp;"; ","")&amp;IF(L173="Cukup",S173&amp;"; ","")&amp;IF(M173="Cukup",T173&amp;"; ","")&amp;IF(N173="Cukup",U173&amp;"; ","")&amp;IF(O173="Cukup",V173&amp;"; ","")&amp;IF(P173="Cukup",W173&amp;"; ",""))</f>
        <v/>
      </c>
      <c r="Y173" s="33" t="str">
        <f aca="false">IF($A173="","",IF(K173="Nyaman","prosesor, ","")&amp;IF(L173="Nyaman","grafis, ","")&amp;IF(M173="Nyaman","RAM, ","")&amp;IF(N173="Nyaman","penyimpanan, ","")&amp;IF(O173="Nyaman","layar, ","")&amp;IF(P173="Nyaman","refresh rate, ",""))</f>
        <v/>
      </c>
      <c r="Z173" s="33" t="str">
        <f aca="false">IF($A173="","",IF(Q173="Tidak dinilai","Belum ada kriteria yang dinilai untuk kebutuhan ini.",IF(Q173="Cocok","Semua kriteria yang dinilai sudah nyaman: "&amp;LEFT(Y173,LEN(Y173)-2)&amp;".",UPPER(LEFT(X173,1))&amp;MID(X173,2,LEN(X173)-3)&amp;"."&amp;IF(Y173="",""," Sudah nyaman: "&amp;LEFT(Y173,LEN(Y173)-2)&amp;"."))))</f>
        <v/>
      </c>
      <c r="AA173" s="33"/>
      <c r="AB173" s="33"/>
      <c r="AC173" s="69"/>
    </row>
    <row r="174" customFormat="false" ht="15" hidden="false" customHeight="true" outlineLevel="0" collapsed="false">
      <c r="A174" s="33" t="str">
        <f aca="false">IF(Varian!$A38="","",Varian!$A38)</f>
        <v/>
      </c>
      <c r="B174" s="33" t="str">
        <f aca="false">IF($A174="","",Aturan!$A$25)</f>
        <v/>
      </c>
      <c r="C174" s="69" t="str">
        <f aca="false">IF($A174="","",IFERROR(IF(ISNUMBER(INDEX(CPU!$J$4:$J$64,MATCH(Varian!$J38,CPU!$A$4:$A$64,0))),INDEX(CPU!$J$4:$J$64,MATCH(Varian!$J38,CPU!$A$4:$A$64,0)),""),""))</f>
        <v/>
      </c>
      <c r="D174" s="69" t="str">
        <f aca="false">IF($A174="","",IFERROR(IF(ISNUMBER(INDEX(GPU!$G$4:$G$64,MATCH(Varian!$K38,GPU!$A$4:$A$64,0))),INDEX(GPU!$G$4:$G$64,MATCH(Varian!$K38,GPU!$A$4:$A$64,0)),""),""))</f>
        <v/>
      </c>
      <c r="E174" s="69" t="str">
        <f aca="false">IF($A174="","",IF(ISNUMBER(Varian!$M38),Varian!$M38,""))</f>
        <v/>
      </c>
      <c r="F174" s="69" t="str">
        <f aca="false">IF($A174="","",IF(ISNUMBER(Varian!$V38),Varian!$V38,""))</f>
        <v/>
      </c>
      <c r="G174" s="69" t="str">
        <f aca="false">IF($A174="","",IFERROR(INDEX(Aturan!$B$63:$B$66,MATCH(Varian!$AG38,Aturan!$A$63:$A$66,0)),""))</f>
        <v/>
      </c>
      <c r="H174" s="69" t="str">
        <f aca="false">IF($A174="","",IF(ISNUMBER(Varian!$AI38),Varian!$AI38,""))</f>
        <v/>
      </c>
      <c r="I174" s="33" t="str">
        <f aca="false">IF($A174="","",IF(Varian!$Q38="disolder","menempel di papan utama, tidak bisa ditambah",IF(OR(Varian!$Q38="slot",Varian!$Q38="setengah_disolder"),IF(Varian!$Q38="setengah_disolder","sebagian menempel, ","")&amp;IF(ISNUMBER(Varian!$U38),IF(AND(ISNUMBER(Varian!$M38),Varian!$U38&gt;Varian!$M38),"bisa dinaikkan lewat slot sampai "&amp;Varian!$U38&amp;" GB","sudah di batas maksimal "&amp;Varian!$U38&amp;" GB"),"ada slot, batas maksimalnya belum diketahui"),"belum diketahui apakah bisa ditambah")))</f>
        <v/>
      </c>
      <c r="J174" s="33" t="str">
        <f aca="false">IF($A174="","",IF(Varian!$Z38="ya","bisa diganti dengan yang lebih besar",IF(Varian!$Z38="tidak","menempel, tidak bisa diganti","belum diketahui apakah bisa diganti")))</f>
        <v/>
      </c>
      <c r="K174" s="70" t="str">
        <f aca="false">IF($A174="","",IF(AND(Aturan!$C$54="",Aturan!$D$54=""),"Tidak dinilai",IF(C174="","Belum ada data",IF(C174&lt;IF(Aturan!$C$54="",0,Aturan!$C$54),"Kurang",IF(C174&gt;=IF(Aturan!$D$54="",Aturan!$C$54,Aturan!$D$54),"Nyaman","Cukup")))))</f>
        <v/>
      </c>
      <c r="L174" s="70" t="str">
        <f aca="false">IF($A174="","",IF(AND(Aturan!$C$55="",Aturan!$D$55=""),"Tidak dinilai",IF(D174="","Belum ada data",IF(D174&lt;IF(Aturan!$C$55="",0,Aturan!$C$55),"Kurang",IF(D174&gt;=IF(Aturan!$D$55="",Aturan!$C$55,Aturan!$D$55),"Nyaman","Cukup")))))</f>
        <v/>
      </c>
      <c r="M174" s="70" t="str">
        <f aca="false">IF($A174="","",IF(AND(Aturan!$C$56="",Aturan!$D$56=""),"Tidak dinilai",IF(E174="","Belum ada data",IF(E174&lt;IF(Aturan!$C$56="",0,Aturan!$C$56),"Kurang",IF(E174&gt;=IF(Aturan!$D$56="",Aturan!$C$56,Aturan!$D$56),"Nyaman","Cukup")))))</f>
        <v/>
      </c>
      <c r="N174" s="70" t="str">
        <f aca="false">IF($A174="","",IF(AND(Aturan!$C$57="",Aturan!$D$57=""),"Tidak dinilai",IF(F174="","Belum ada data",IF(F174&lt;IF(Aturan!$C$57="",0,Aturan!$C$57),"Kurang",IF(F174&gt;=IF(Aturan!$D$57="",Aturan!$C$57,Aturan!$D$57),"Nyaman","Cukup")))))</f>
        <v/>
      </c>
      <c r="O174" s="70" t="str">
        <f aca="false">IF($A174="","",IF(AND(Aturan!$C$58="",Aturan!$D$58=""),"Tidak dinilai",IF(G174="","Belum ada data",IF(G174&lt;IF(Aturan!$C$58="",0,Aturan!$C$58),"Kurang",IF(G174&gt;=IF(Aturan!$D$58="",Aturan!$C$58,Aturan!$D$58),"Nyaman","Cukup")))))</f>
        <v/>
      </c>
      <c r="P174" s="70" t="str">
        <f aca="false">IF($A174="","",IF(AND(Aturan!$C$59="",Aturan!$D$59=""),"Tidak dinilai",IF(H174="","Belum ada data",IF(H174&lt;IF(Aturan!$C$59="",0,Aturan!$C$59),"Kurang",IF(H174&gt;=IF(Aturan!$D$59="",Aturan!$C$59,Aturan!$D$59),"Nyaman","Cukup")))))</f>
        <v/>
      </c>
      <c r="Q174" s="70" t="str">
        <f aca="false">IF($A174="","",IF(COUNTIF(K174:P174,"Tidak dinilai")=6,"Tidak dinilai",IF(COUNTIF(K174:P174,"Kurang")&gt;0,"Kurang cocok",IF(COUNTIF(K174:P174,"Belum ada data")&gt;0,"Data belum lengkap",IF(COUNTIF(K174:P174,"Cukup")&gt;0,"Bisa, dengan catatan","Cocok")))))</f>
        <v/>
      </c>
      <c r="R174" s="33" t="str">
        <f aca="false">IF($A174="","",IF(K174="Kurang","prosesor tingkat "&amp;C174&amp;" dari 5, di bawah batas minimal (tingkat "&amp;Aturan!$C$54&amp;")",IF(K174="Cukup","prosesor tingkat "&amp;C174&amp;" dari 5 cukup, nyamannya mulai tingkat "&amp;Aturan!$D$54,IF(K174="Belum ada data","tingkat prosesor belum diisi",""))))</f>
        <v/>
      </c>
      <c r="S174" s="33" t="str">
        <f aca="false">IF($A174="","",IF(L174="Kurang","grafis tingkat "&amp;D174&amp;" dari 5, di bawah batas minimal (tingkat "&amp;Aturan!$C$55&amp;")",IF(L174="Cukup","grafis tingkat "&amp;D174&amp;" dari 5 cukup, nyamannya mulai tingkat "&amp;Aturan!$D$55,IF(L174="Belum ada data","tingkat grafis belum diisi",""))))</f>
        <v/>
      </c>
      <c r="T174" s="33" t="str">
        <f aca="false">IF($A174="","",IF(M174="Kurang","RAM "&amp;E174&amp;" GB, di bawah batas minimal "&amp;Aturan!$C$56&amp;" GB ("&amp;I174&amp;")",IF(M174="Cukup","RAM "&amp;E174&amp;" GB cukup, nyamannya "&amp;Aturan!$D$56&amp;" GB atau lebih ("&amp;I174&amp;")",IF(M174="Belum ada data","ukuran RAM belum diisi",""))))</f>
        <v/>
      </c>
      <c r="U174" s="33" t="str">
        <f aca="false">IF($A174="","",IF(N174="Kurang","penyimpanan "&amp;F174&amp;" GB, di bawah batas minimal "&amp;Aturan!$C$57&amp;" GB ("&amp;J174&amp;")",IF(N174="Cukup","penyimpanan "&amp;F174&amp;" GB cukup, nyamannya "&amp;Aturan!$D$57&amp;" GB atau lebih ("&amp;J174&amp;")",IF(N174="Belum ada data","ukuran penyimpanan belum diisi",""))))</f>
        <v/>
      </c>
      <c r="V174" s="33" t="str">
        <f aca="false">IF($A174="","",IF(O174="Kurang","layar "&amp;Varian!$AG38&amp;", di bawah batas minimal ("&amp;IFERROR(INDEX(Aturan!$A$63:$A$66,MATCH(Aturan!$C$58,Aturan!$B$63:$B$66,0)),"peringkat "&amp;Aturan!$C$58)&amp;")",IF(O174="Cukup","layar "&amp;Varian!$AG38&amp;" cukup, nyamannya "&amp;IFERROR(INDEX(Aturan!$A$63:$A$66,MATCH(Aturan!$D$58,Aturan!$B$63:$B$66,0)),"peringkat "&amp;Aturan!$D$58),IF(O174="Belum ada data","jenis layar belum diketahui",""))))</f>
        <v/>
      </c>
      <c r="W174" s="33" t="str">
        <f aca="false">IF($A174="","",IF(P174="Kurang","layar "&amp;H174&amp;" Hz, di bawah batas minimal "&amp;Aturan!$C$59&amp;" Hz",IF(P174="Cukup","layar "&amp;H174&amp;" Hz cukup, nyamannya "&amp;Aturan!$D$59&amp;" Hz atau lebih",IF(P174="Belum ada data","refresh rate belum diketahui",""))))</f>
        <v/>
      </c>
      <c r="X174" s="33" t="str">
        <f aca="false">IF($A174="","",IF(K174="Kurang",R174&amp;"; ","")&amp;IF(L174="Kurang",S174&amp;"; ","")&amp;IF(M174="Kurang",T174&amp;"; ","")&amp;IF(N174="Kurang",U174&amp;"; ","")&amp;IF(O174="Kurang",V174&amp;"; ","")&amp;IF(P174="Kurang",W174&amp;"; ","")&amp;IF(K174="Belum ada data",R174&amp;"; ","")&amp;IF(L174="Belum ada data",S174&amp;"; ","")&amp;IF(M174="Belum ada data",T174&amp;"; ","")&amp;IF(N174="Belum ada data",U174&amp;"; ","")&amp;IF(O174="Belum ada data",V174&amp;"; ","")&amp;IF(P174="Belum ada data",W174&amp;"; ","")&amp;IF(K174="Cukup",R174&amp;"; ","")&amp;IF(L174="Cukup",S174&amp;"; ","")&amp;IF(M174="Cukup",T174&amp;"; ","")&amp;IF(N174="Cukup",U174&amp;"; ","")&amp;IF(O174="Cukup",V174&amp;"; ","")&amp;IF(P174="Cukup",W174&amp;"; ",""))</f>
        <v/>
      </c>
      <c r="Y174" s="33" t="str">
        <f aca="false">IF($A174="","",IF(K174="Nyaman","prosesor, ","")&amp;IF(L174="Nyaman","grafis, ","")&amp;IF(M174="Nyaman","RAM, ","")&amp;IF(N174="Nyaman","penyimpanan, ","")&amp;IF(O174="Nyaman","layar, ","")&amp;IF(P174="Nyaman","refresh rate, ",""))</f>
        <v/>
      </c>
      <c r="Z174" s="33" t="str">
        <f aca="false">IF($A174="","",IF(Q174="Tidak dinilai","Belum ada kriteria yang dinilai untuk kebutuhan ini.",IF(Q174="Cocok","Semua kriteria yang dinilai sudah nyaman: "&amp;LEFT(Y174,LEN(Y174)-2)&amp;".",UPPER(LEFT(X174,1))&amp;MID(X174,2,LEN(X174)-3)&amp;"."&amp;IF(Y174="",""," Sudah nyaman: "&amp;LEFT(Y174,LEN(Y174)-2)&amp;"."))))</f>
        <v/>
      </c>
      <c r="AA174" s="33"/>
      <c r="AB174" s="33"/>
      <c r="AC174" s="69"/>
    </row>
    <row r="175" customFormat="false" ht="15" hidden="false" customHeight="true" outlineLevel="0" collapsed="false">
      <c r="A175" s="66" t="str">
        <f aca="false">IF(Varian!$A39="","",Varian!$A39)</f>
        <v/>
      </c>
      <c r="B175" s="66" t="str">
        <f aca="false">IF($A175="","",Aturan!$A$21)</f>
        <v/>
      </c>
      <c r="C175" s="67" t="str">
        <f aca="false">IF($A175="","",IFERROR(IF(ISNUMBER(INDEX(CPU!$J$4:$J$64,MATCH(Varian!$J39,CPU!$A$4:$A$64,0))),INDEX(CPU!$J$4:$J$64,MATCH(Varian!$J39,CPU!$A$4:$A$64,0)),""),""))</f>
        <v/>
      </c>
      <c r="D175" s="67" t="str">
        <f aca="false">IF($A175="","",IFERROR(IF(ISNUMBER(INDEX(GPU!$G$4:$G$64,MATCH(Varian!$K39,GPU!$A$4:$A$64,0))),INDEX(GPU!$G$4:$G$64,MATCH(Varian!$K39,GPU!$A$4:$A$64,0)),""),""))</f>
        <v/>
      </c>
      <c r="E175" s="67" t="str">
        <f aca="false">IF($A175="","",IF(ISNUMBER(Varian!$M39),Varian!$M39,""))</f>
        <v/>
      </c>
      <c r="F175" s="67" t="str">
        <f aca="false">IF($A175="","",IF(ISNUMBER(Varian!$V39),Varian!$V39,""))</f>
        <v/>
      </c>
      <c r="G175" s="67" t="str">
        <f aca="false">IF($A175="","",IFERROR(INDEX(Aturan!$B$63:$B$66,MATCH(Varian!$AG39,Aturan!$A$63:$A$66,0)),""))</f>
        <v/>
      </c>
      <c r="H175" s="67" t="str">
        <f aca="false">IF($A175="","",IF(ISNUMBER(Varian!$AI39),Varian!$AI39,""))</f>
        <v/>
      </c>
      <c r="I175" s="66" t="str">
        <f aca="false">IF($A175="","",IF(Varian!$Q39="disolder","menempel di papan utama, tidak bisa ditambah",IF(OR(Varian!$Q39="slot",Varian!$Q39="setengah_disolder"),IF(Varian!$Q39="setengah_disolder","sebagian menempel, ","")&amp;IF(ISNUMBER(Varian!$U39),IF(AND(ISNUMBER(Varian!$M39),Varian!$U39&gt;Varian!$M39),"bisa dinaikkan lewat slot sampai "&amp;Varian!$U39&amp;" GB","sudah di batas maksimal "&amp;Varian!$U39&amp;" GB"),"ada slot, batas maksimalnya belum diketahui"),"belum diketahui apakah bisa ditambah")))</f>
        <v/>
      </c>
      <c r="J175" s="66" t="str">
        <f aca="false">IF($A175="","",IF(Varian!$Z39="ya","bisa diganti dengan yang lebih besar",IF(Varian!$Z39="tidak","menempel, tidak bisa diganti","belum diketahui apakah bisa diganti")))</f>
        <v/>
      </c>
      <c r="K175" s="68" t="str">
        <f aca="false">IF($A175="","",IF(AND(Aturan!$C$30="",Aturan!$D$30=""),"Tidak dinilai",IF(C175="","Belum ada data",IF(C175&lt;IF(Aturan!$C$30="",0,Aturan!$C$30),"Kurang",IF(C175&gt;=IF(Aturan!$D$30="",Aturan!$C$30,Aturan!$D$30),"Nyaman","Cukup")))))</f>
        <v/>
      </c>
      <c r="L175" s="68" t="str">
        <f aca="false">IF($A175="","",IF(AND(Aturan!$C$31="",Aturan!$D$31=""),"Tidak dinilai",IF(D175="","Belum ada data",IF(D175&lt;IF(Aturan!$C$31="",0,Aturan!$C$31),"Kurang",IF(D175&gt;=IF(Aturan!$D$31="",Aturan!$C$31,Aturan!$D$31),"Nyaman","Cukup")))))</f>
        <v/>
      </c>
      <c r="M175" s="68" t="str">
        <f aca="false">IF($A175="","",IF(AND(Aturan!$C$32="",Aturan!$D$32=""),"Tidak dinilai",IF(E175="","Belum ada data",IF(E175&lt;IF(Aturan!$C$32="",0,Aturan!$C$32),"Kurang",IF(E175&gt;=IF(Aturan!$D$32="",Aturan!$C$32,Aturan!$D$32),"Nyaman","Cukup")))))</f>
        <v/>
      </c>
      <c r="N175" s="68" t="str">
        <f aca="false">IF($A175="","",IF(AND(Aturan!$C$33="",Aturan!$D$33=""),"Tidak dinilai",IF(F175="","Belum ada data",IF(F175&lt;IF(Aturan!$C$33="",0,Aturan!$C$33),"Kurang",IF(F175&gt;=IF(Aturan!$D$33="",Aturan!$C$33,Aturan!$D$33),"Nyaman","Cukup")))))</f>
        <v/>
      </c>
      <c r="O175" s="68" t="str">
        <f aca="false">IF($A175="","",IF(AND(Aturan!$C$34="",Aturan!$D$34=""),"Tidak dinilai",IF(G175="","Belum ada data",IF(G175&lt;IF(Aturan!$C$34="",0,Aturan!$C$34),"Kurang",IF(G175&gt;=IF(Aturan!$D$34="",Aturan!$C$34,Aturan!$D$34),"Nyaman","Cukup")))))</f>
        <v/>
      </c>
      <c r="P175" s="68" t="str">
        <f aca="false">IF($A175="","",IF(AND(Aturan!$C$35="",Aturan!$D$35=""),"Tidak dinilai",IF(H175="","Belum ada data",IF(H175&lt;IF(Aturan!$C$35="",0,Aturan!$C$35),"Kurang",IF(H175&gt;=IF(Aturan!$D$35="",Aturan!$C$35,Aturan!$D$35),"Nyaman","Cukup")))))</f>
        <v/>
      </c>
      <c r="Q175" s="68" t="str">
        <f aca="false">IF($A175="","",IF(COUNTIF(K175:P175,"Tidak dinilai")=6,"Tidak dinilai",IF(COUNTIF(K175:P175,"Kurang")&gt;0,"Kurang cocok",IF(COUNTIF(K175:P175,"Belum ada data")&gt;0,"Data belum lengkap",IF(COUNTIF(K175:P175,"Cukup")&gt;0,"Bisa, dengan catatan","Cocok")))))</f>
        <v/>
      </c>
      <c r="R175" s="66" t="str">
        <f aca="false">IF($A175="","",IF(K175="Kurang","prosesor tingkat "&amp;C175&amp;" dari 5, di bawah batas minimal (tingkat "&amp;Aturan!$C$30&amp;")",IF(K175="Cukup","prosesor tingkat "&amp;C175&amp;" dari 5 cukup, nyamannya mulai tingkat "&amp;Aturan!$D$30,IF(K175="Belum ada data","tingkat prosesor belum diisi",""))))</f>
        <v/>
      </c>
      <c r="S175" s="66" t="str">
        <f aca="false">IF($A175="","",IF(L175="Kurang","grafis tingkat "&amp;D175&amp;" dari 5, di bawah batas minimal (tingkat "&amp;Aturan!$C$31&amp;")",IF(L175="Cukup","grafis tingkat "&amp;D175&amp;" dari 5 cukup, nyamannya mulai tingkat "&amp;Aturan!$D$31,IF(L175="Belum ada data","tingkat grafis belum diisi",""))))</f>
        <v/>
      </c>
      <c r="T175" s="66" t="str">
        <f aca="false">IF($A175="","",IF(M175="Kurang","RAM "&amp;E175&amp;" GB, di bawah batas minimal "&amp;Aturan!$C$32&amp;" GB ("&amp;I175&amp;")",IF(M175="Cukup","RAM "&amp;E175&amp;" GB cukup, nyamannya "&amp;Aturan!$D$32&amp;" GB atau lebih ("&amp;I175&amp;")",IF(M175="Belum ada data","ukuran RAM belum diisi",""))))</f>
        <v/>
      </c>
      <c r="U175" s="66" t="str">
        <f aca="false">IF($A175="","",IF(N175="Kurang","penyimpanan "&amp;F175&amp;" GB, di bawah batas minimal "&amp;Aturan!$C$33&amp;" GB ("&amp;J175&amp;")",IF(N175="Cukup","penyimpanan "&amp;F175&amp;" GB cukup, nyamannya "&amp;Aturan!$D$33&amp;" GB atau lebih ("&amp;J175&amp;")",IF(N175="Belum ada data","ukuran penyimpanan belum diisi",""))))</f>
        <v/>
      </c>
      <c r="V175" s="66" t="str">
        <f aca="false">IF($A175="","",IF(O175="Kurang","layar "&amp;Varian!$AG39&amp;", di bawah batas minimal ("&amp;IFERROR(INDEX(Aturan!$A$63:$A$66,MATCH(Aturan!$C$34,Aturan!$B$63:$B$66,0)),"peringkat "&amp;Aturan!$C$34)&amp;")",IF(O175="Cukup","layar "&amp;Varian!$AG39&amp;" cukup, nyamannya "&amp;IFERROR(INDEX(Aturan!$A$63:$A$66,MATCH(Aturan!$D$34,Aturan!$B$63:$B$66,0)),"peringkat "&amp;Aturan!$D$34),IF(O175="Belum ada data","jenis layar belum diketahui",""))))</f>
        <v/>
      </c>
      <c r="W175" s="66" t="str">
        <f aca="false">IF($A175="","",IF(P175="Kurang","layar "&amp;H175&amp;" Hz, di bawah batas minimal "&amp;Aturan!$C$35&amp;" Hz",IF(P175="Cukup","layar "&amp;H175&amp;" Hz cukup, nyamannya "&amp;Aturan!$D$35&amp;" Hz atau lebih",IF(P175="Belum ada data","refresh rate belum diketahui",""))))</f>
        <v/>
      </c>
      <c r="X175" s="66" t="str">
        <f aca="false">IF($A175="","",IF(K175="Kurang",R175&amp;"; ","")&amp;IF(L175="Kurang",S175&amp;"; ","")&amp;IF(M175="Kurang",T175&amp;"; ","")&amp;IF(N175="Kurang",U175&amp;"; ","")&amp;IF(O175="Kurang",V175&amp;"; ","")&amp;IF(P175="Kurang",W175&amp;"; ","")&amp;IF(K175="Belum ada data",R175&amp;"; ","")&amp;IF(L175="Belum ada data",S175&amp;"; ","")&amp;IF(M175="Belum ada data",T175&amp;"; ","")&amp;IF(N175="Belum ada data",U175&amp;"; ","")&amp;IF(O175="Belum ada data",V175&amp;"; ","")&amp;IF(P175="Belum ada data",W175&amp;"; ","")&amp;IF(K175="Cukup",R175&amp;"; ","")&amp;IF(L175="Cukup",S175&amp;"; ","")&amp;IF(M175="Cukup",T175&amp;"; ","")&amp;IF(N175="Cukup",U175&amp;"; ","")&amp;IF(O175="Cukup",V175&amp;"; ","")&amp;IF(P175="Cukup",W175&amp;"; ",""))</f>
        <v/>
      </c>
      <c r="Y175" s="66" t="str">
        <f aca="false">IF($A175="","",IF(K175="Nyaman","prosesor, ","")&amp;IF(L175="Nyaman","grafis, ","")&amp;IF(M175="Nyaman","RAM, ","")&amp;IF(N175="Nyaman","penyimpanan, ","")&amp;IF(O175="Nyaman","layar, ","")&amp;IF(P175="Nyaman","refresh rate, ",""))</f>
        <v/>
      </c>
      <c r="Z175" s="66" t="str">
        <f aca="false">IF($A175="","",IF(Q175="Tidak dinilai","Belum ada kriteria yang dinilai untuk kebutuhan ini.",IF(Q175="Cocok","Semua kriteria yang dinilai sudah nyaman: "&amp;LEFT(Y175,LEN(Y175)-2)&amp;".",UPPER(LEFT(X175,1))&amp;MID(X175,2,LEN(X175)-3)&amp;"."&amp;IF(Y175="",""," Sudah nyaman: "&amp;LEFT(Y175,LEN(Y175)-2)&amp;"."))))</f>
        <v/>
      </c>
      <c r="AA175" s="66" t="str">
        <f aca="false">IF($A175="","",IF(Varian!$AR39="Windows 10","• "&amp;Aturan!$E$71&amp;CHAR(10),"")&amp;IF(Varian!$BB39="tidak","• "&amp;Aturan!$E$72&amp;CHAR(10),"")&amp;IF(OR(Varian!$AD39="belum terverifikasi",Varian!$AD39="tidak diketahui"),"• "&amp;Aturan!$E$73&amp;CHAR(10),"")&amp;IF(Varian!$AH39="1366x768","• "&amp;Aturan!$E$74&amp;CHAR(10),"")&amp;IF(Varian!$AG39="TN","• "&amp;Aturan!$E$75&amp;CHAR(10),"")&amp;IF(AND(Varian!$Q39="disolder",ISNUMBER(Varian!$M39),Varian!$M39&lt;=8),"• "&amp;Aturan!$E$76&amp;CHAR(10),""))</f>
        <v/>
      </c>
      <c r="AB175" s="66" t="str">
        <f aca="false">IF($A175="","",IF(AA175="","",LEFT(AA175,LEN(AA175)-1)))</f>
        <v/>
      </c>
      <c r="AC175" s="67" t="str">
        <f aca="false">IF($A175="","",IF(AA175="",0,LEN(AA175)-LEN(SUBSTITUTE(AA175,CHAR(10),""))))</f>
        <v/>
      </c>
    </row>
    <row r="176" customFormat="false" ht="15" hidden="false" customHeight="true" outlineLevel="0" collapsed="false">
      <c r="A176" s="33" t="str">
        <f aca="false">IF(Varian!$A39="","",Varian!$A39)</f>
        <v/>
      </c>
      <c r="B176" s="33" t="str">
        <f aca="false">IF($A176="","",Aturan!$A$22)</f>
        <v/>
      </c>
      <c r="C176" s="69" t="str">
        <f aca="false">IF($A176="","",IFERROR(IF(ISNUMBER(INDEX(CPU!$J$4:$J$64,MATCH(Varian!$J39,CPU!$A$4:$A$64,0))),INDEX(CPU!$J$4:$J$64,MATCH(Varian!$J39,CPU!$A$4:$A$64,0)),""),""))</f>
        <v/>
      </c>
      <c r="D176" s="69" t="str">
        <f aca="false">IF($A176="","",IFERROR(IF(ISNUMBER(INDEX(GPU!$G$4:$G$64,MATCH(Varian!$K39,GPU!$A$4:$A$64,0))),INDEX(GPU!$G$4:$G$64,MATCH(Varian!$K39,GPU!$A$4:$A$64,0)),""),""))</f>
        <v/>
      </c>
      <c r="E176" s="69" t="str">
        <f aca="false">IF($A176="","",IF(ISNUMBER(Varian!$M39),Varian!$M39,""))</f>
        <v/>
      </c>
      <c r="F176" s="69" t="str">
        <f aca="false">IF($A176="","",IF(ISNUMBER(Varian!$V39),Varian!$V39,""))</f>
        <v/>
      </c>
      <c r="G176" s="69" t="str">
        <f aca="false">IF($A176="","",IFERROR(INDEX(Aturan!$B$63:$B$66,MATCH(Varian!$AG39,Aturan!$A$63:$A$66,0)),""))</f>
        <v/>
      </c>
      <c r="H176" s="69" t="str">
        <f aca="false">IF($A176="","",IF(ISNUMBER(Varian!$AI39),Varian!$AI39,""))</f>
        <v/>
      </c>
      <c r="I176" s="33" t="str">
        <f aca="false">IF($A176="","",IF(Varian!$Q39="disolder","menempel di papan utama, tidak bisa ditambah",IF(OR(Varian!$Q39="slot",Varian!$Q39="setengah_disolder"),IF(Varian!$Q39="setengah_disolder","sebagian menempel, ","")&amp;IF(ISNUMBER(Varian!$U39),IF(AND(ISNUMBER(Varian!$M39),Varian!$U39&gt;Varian!$M39),"bisa dinaikkan lewat slot sampai "&amp;Varian!$U39&amp;" GB","sudah di batas maksimal "&amp;Varian!$U39&amp;" GB"),"ada slot, batas maksimalnya belum diketahui"),"belum diketahui apakah bisa ditambah")))</f>
        <v/>
      </c>
      <c r="J176" s="33" t="str">
        <f aca="false">IF($A176="","",IF(Varian!$Z39="ya","bisa diganti dengan yang lebih besar",IF(Varian!$Z39="tidak","menempel, tidak bisa diganti","belum diketahui apakah bisa diganti")))</f>
        <v/>
      </c>
      <c r="K176" s="70" t="str">
        <f aca="false">IF($A176="","",IF(AND(Aturan!$C$36="",Aturan!$D$36=""),"Tidak dinilai",IF(C176="","Belum ada data",IF(C176&lt;IF(Aturan!$C$36="",0,Aturan!$C$36),"Kurang",IF(C176&gt;=IF(Aturan!$D$36="",Aturan!$C$36,Aturan!$D$36),"Nyaman","Cukup")))))</f>
        <v/>
      </c>
      <c r="L176" s="70" t="str">
        <f aca="false">IF($A176="","",IF(AND(Aturan!$C$37="",Aturan!$D$37=""),"Tidak dinilai",IF(D176="","Belum ada data",IF(D176&lt;IF(Aturan!$C$37="",0,Aturan!$C$37),"Kurang",IF(D176&gt;=IF(Aturan!$D$37="",Aturan!$C$37,Aturan!$D$37),"Nyaman","Cukup")))))</f>
        <v/>
      </c>
      <c r="M176" s="70" t="str">
        <f aca="false">IF($A176="","",IF(AND(Aturan!$C$38="",Aturan!$D$38=""),"Tidak dinilai",IF(E176="","Belum ada data",IF(E176&lt;IF(Aturan!$C$38="",0,Aturan!$C$38),"Kurang",IF(E176&gt;=IF(Aturan!$D$38="",Aturan!$C$38,Aturan!$D$38),"Nyaman","Cukup")))))</f>
        <v/>
      </c>
      <c r="N176" s="70" t="str">
        <f aca="false">IF($A176="","",IF(AND(Aturan!$C$39="",Aturan!$D$39=""),"Tidak dinilai",IF(F176="","Belum ada data",IF(F176&lt;IF(Aturan!$C$39="",0,Aturan!$C$39),"Kurang",IF(F176&gt;=IF(Aturan!$D$39="",Aturan!$C$39,Aturan!$D$39),"Nyaman","Cukup")))))</f>
        <v/>
      </c>
      <c r="O176" s="70" t="str">
        <f aca="false">IF($A176="","",IF(AND(Aturan!$C$40="",Aturan!$D$40=""),"Tidak dinilai",IF(G176="","Belum ada data",IF(G176&lt;IF(Aturan!$C$40="",0,Aturan!$C$40),"Kurang",IF(G176&gt;=IF(Aturan!$D$40="",Aturan!$C$40,Aturan!$D$40),"Nyaman","Cukup")))))</f>
        <v/>
      </c>
      <c r="P176" s="70" t="str">
        <f aca="false">IF($A176="","",IF(AND(Aturan!$C$41="",Aturan!$D$41=""),"Tidak dinilai",IF(H176="","Belum ada data",IF(H176&lt;IF(Aturan!$C$41="",0,Aturan!$C$41),"Kurang",IF(H176&gt;=IF(Aturan!$D$41="",Aturan!$C$41,Aturan!$D$41),"Nyaman","Cukup")))))</f>
        <v/>
      </c>
      <c r="Q176" s="70" t="str">
        <f aca="false">IF($A176="","",IF(COUNTIF(K176:P176,"Tidak dinilai")=6,"Tidak dinilai",IF(COUNTIF(K176:P176,"Kurang")&gt;0,"Kurang cocok",IF(COUNTIF(K176:P176,"Belum ada data")&gt;0,"Data belum lengkap",IF(COUNTIF(K176:P176,"Cukup")&gt;0,"Bisa, dengan catatan","Cocok")))))</f>
        <v/>
      </c>
      <c r="R176" s="33" t="str">
        <f aca="false">IF($A176="","",IF(K176="Kurang","prosesor tingkat "&amp;C176&amp;" dari 5, di bawah batas minimal (tingkat "&amp;Aturan!$C$36&amp;")",IF(K176="Cukup","prosesor tingkat "&amp;C176&amp;" dari 5 cukup, nyamannya mulai tingkat "&amp;Aturan!$D$36,IF(K176="Belum ada data","tingkat prosesor belum diisi",""))))</f>
        <v/>
      </c>
      <c r="S176" s="33" t="str">
        <f aca="false">IF($A176="","",IF(L176="Kurang","grafis tingkat "&amp;D176&amp;" dari 5, di bawah batas minimal (tingkat "&amp;Aturan!$C$37&amp;")",IF(L176="Cukup","grafis tingkat "&amp;D176&amp;" dari 5 cukup, nyamannya mulai tingkat "&amp;Aturan!$D$37,IF(L176="Belum ada data","tingkat grafis belum diisi",""))))</f>
        <v/>
      </c>
      <c r="T176" s="33" t="str">
        <f aca="false">IF($A176="","",IF(M176="Kurang","RAM "&amp;E176&amp;" GB, di bawah batas minimal "&amp;Aturan!$C$38&amp;" GB ("&amp;I176&amp;")",IF(M176="Cukup","RAM "&amp;E176&amp;" GB cukup, nyamannya "&amp;Aturan!$D$38&amp;" GB atau lebih ("&amp;I176&amp;")",IF(M176="Belum ada data","ukuran RAM belum diisi",""))))</f>
        <v/>
      </c>
      <c r="U176" s="33" t="str">
        <f aca="false">IF($A176="","",IF(N176="Kurang","penyimpanan "&amp;F176&amp;" GB, di bawah batas minimal "&amp;Aturan!$C$39&amp;" GB ("&amp;J176&amp;")",IF(N176="Cukup","penyimpanan "&amp;F176&amp;" GB cukup, nyamannya "&amp;Aturan!$D$39&amp;" GB atau lebih ("&amp;J176&amp;")",IF(N176="Belum ada data","ukuran penyimpanan belum diisi",""))))</f>
        <v/>
      </c>
      <c r="V176" s="33" t="str">
        <f aca="false">IF($A176="","",IF(O176="Kurang","layar "&amp;Varian!$AG39&amp;", di bawah batas minimal ("&amp;IFERROR(INDEX(Aturan!$A$63:$A$66,MATCH(Aturan!$C$40,Aturan!$B$63:$B$66,0)),"peringkat "&amp;Aturan!$C$40)&amp;")",IF(O176="Cukup","layar "&amp;Varian!$AG39&amp;" cukup, nyamannya "&amp;IFERROR(INDEX(Aturan!$A$63:$A$66,MATCH(Aturan!$D$40,Aturan!$B$63:$B$66,0)),"peringkat "&amp;Aturan!$D$40),IF(O176="Belum ada data","jenis layar belum diketahui",""))))</f>
        <v/>
      </c>
      <c r="W176" s="33" t="str">
        <f aca="false">IF($A176="","",IF(P176="Kurang","layar "&amp;H176&amp;" Hz, di bawah batas minimal "&amp;Aturan!$C$41&amp;" Hz",IF(P176="Cukup","layar "&amp;H176&amp;" Hz cukup, nyamannya "&amp;Aturan!$D$41&amp;" Hz atau lebih",IF(P176="Belum ada data","refresh rate belum diketahui",""))))</f>
        <v/>
      </c>
      <c r="X176" s="33" t="str">
        <f aca="false">IF($A176="","",IF(K176="Kurang",R176&amp;"; ","")&amp;IF(L176="Kurang",S176&amp;"; ","")&amp;IF(M176="Kurang",T176&amp;"; ","")&amp;IF(N176="Kurang",U176&amp;"; ","")&amp;IF(O176="Kurang",V176&amp;"; ","")&amp;IF(P176="Kurang",W176&amp;"; ","")&amp;IF(K176="Belum ada data",R176&amp;"; ","")&amp;IF(L176="Belum ada data",S176&amp;"; ","")&amp;IF(M176="Belum ada data",T176&amp;"; ","")&amp;IF(N176="Belum ada data",U176&amp;"; ","")&amp;IF(O176="Belum ada data",V176&amp;"; ","")&amp;IF(P176="Belum ada data",W176&amp;"; ","")&amp;IF(K176="Cukup",R176&amp;"; ","")&amp;IF(L176="Cukup",S176&amp;"; ","")&amp;IF(M176="Cukup",T176&amp;"; ","")&amp;IF(N176="Cukup",U176&amp;"; ","")&amp;IF(O176="Cukup",V176&amp;"; ","")&amp;IF(P176="Cukup",W176&amp;"; ",""))</f>
        <v/>
      </c>
      <c r="Y176" s="33" t="str">
        <f aca="false">IF($A176="","",IF(K176="Nyaman","prosesor, ","")&amp;IF(L176="Nyaman","grafis, ","")&amp;IF(M176="Nyaman","RAM, ","")&amp;IF(N176="Nyaman","penyimpanan, ","")&amp;IF(O176="Nyaman","layar, ","")&amp;IF(P176="Nyaman","refresh rate, ",""))</f>
        <v/>
      </c>
      <c r="Z176" s="33" t="str">
        <f aca="false">IF($A176="","",IF(Q176="Tidak dinilai","Belum ada kriteria yang dinilai untuk kebutuhan ini.",IF(Q176="Cocok","Semua kriteria yang dinilai sudah nyaman: "&amp;LEFT(Y176,LEN(Y176)-2)&amp;".",UPPER(LEFT(X176,1))&amp;MID(X176,2,LEN(X176)-3)&amp;"."&amp;IF(Y176="",""," Sudah nyaman: "&amp;LEFT(Y176,LEN(Y176)-2)&amp;"."))))</f>
        <v/>
      </c>
      <c r="AA176" s="33"/>
      <c r="AB176" s="33"/>
      <c r="AC176" s="69"/>
    </row>
    <row r="177" customFormat="false" ht="15" hidden="false" customHeight="true" outlineLevel="0" collapsed="false">
      <c r="A177" s="33" t="str">
        <f aca="false">IF(Varian!$A39="","",Varian!$A39)</f>
        <v/>
      </c>
      <c r="B177" s="33" t="str">
        <f aca="false">IF($A177="","",Aturan!$A$23)</f>
        <v/>
      </c>
      <c r="C177" s="69" t="str">
        <f aca="false">IF($A177="","",IFERROR(IF(ISNUMBER(INDEX(CPU!$J$4:$J$64,MATCH(Varian!$J39,CPU!$A$4:$A$64,0))),INDEX(CPU!$J$4:$J$64,MATCH(Varian!$J39,CPU!$A$4:$A$64,0)),""),""))</f>
        <v/>
      </c>
      <c r="D177" s="69" t="str">
        <f aca="false">IF($A177="","",IFERROR(IF(ISNUMBER(INDEX(GPU!$G$4:$G$64,MATCH(Varian!$K39,GPU!$A$4:$A$64,0))),INDEX(GPU!$G$4:$G$64,MATCH(Varian!$K39,GPU!$A$4:$A$64,0)),""),""))</f>
        <v/>
      </c>
      <c r="E177" s="69" t="str">
        <f aca="false">IF($A177="","",IF(ISNUMBER(Varian!$M39),Varian!$M39,""))</f>
        <v/>
      </c>
      <c r="F177" s="69" t="str">
        <f aca="false">IF($A177="","",IF(ISNUMBER(Varian!$V39),Varian!$V39,""))</f>
        <v/>
      </c>
      <c r="G177" s="69" t="str">
        <f aca="false">IF($A177="","",IFERROR(INDEX(Aturan!$B$63:$B$66,MATCH(Varian!$AG39,Aturan!$A$63:$A$66,0)),""))</f>
        <v/>
      </c>
      <c r="H177" s="69" t="str">
        <f aca="false">IF($A177="","",IF(ISNUMBER(Varian!$AI39),Varian!$AI39,""))</f>
        <v/>
      </c>
      <c r="I177" s="33" t="str">
        <f aca="false">IF($A177="","",IF(Varian!$Q39="disolder","menempel di papan utama, tidak bisa ditambah",IF(OR(Varian!$Q39="slot",Varian!$Q39="setengah_disolder"),IF(Varian!$Q39="setengah_disolder","sebagian menempel, ","")&amp;IF(ISNUMBER(Varian!$U39),IF(AND(ISNUMBER(Varian!$M39),Varian!$U39&gt;Varian!$M39),"bisa dinaikkan lewat slot sampai "&amp;Varian!$U39&amp;" GB","sudah di batas maksimal "&amp;Varian!$U39&amp;" GB"),"ada slot, batas maksimalnya belum diketahui"),"belum diketahui apakah bisa ditambah")))</f>
        <v/>
      </c>
      <c r="J177" s="33" t="str">
        <f aca="false">IF($A177="","",IF(Varian!$Z39="ya","bisa diganti dengan yang lebih besar",IF(Varian!$Z39="tidak","menempel, tidak bisa diganti","belum diketahui apakah bisa diganti")))</f>
        <v/>
      </c>
      <c r="K177" s="70" t="str">
        <f aca="false">IF($A177="","",IF(AND(Aturan!$C$42="",Aturan!$D$42=""),"Tidak dinilai",IF(C177="","Belum ada data",IF(C177&lt;IF(Aturan!$C$42="",0,Aturan!$C$42),"Kurang",IF(C177&gt;=IF(Aturan!$D$42="",Aturan!$C$42,Aturan!$D$42),"Nyaman","Cukup")))))</f>
        <v/>
      </c>
      <c r="L177" s="70" t="str">
        <f aca="false">IF($A177="","",IF(AND(Aturan!$C$43="",Aturan!$D$43=""),"Tidak dinilai",IF(D177="","Belum ada data",IF(D177&lt;IF(Aturan!$C$43="",0,Aturan!$C$43),"Kurang",IF(D177&gt;=IF(Aturan!$D$43="",Aturan!$C$43,Aturan!$D$43),"Nyaman","Cukup")))))</f>
        <v/>
      </c>
      <c r="M177" s="70" t="str">
        <f aca="false">IF($A177="","",IF(AND(Aturan!$C$44="",Aturan!$D$44=""),"Tidak dinilai",IF(E177="","Belum ada data",IF(E177&lt;IF(Aturan!$C$44="",0,Aturan!$C$44),"Kurang",IF(E177&gt;=IF(Aturan!$D$44="",Aturan!$C$44,Aturan!$D$44),"Nyaman","Cukup")))))</f>
        <v/>
      </c>
      <c r="N177" s="70" t="str">
        <f aca="false">IF($A177="","",IF(AND(Aturan!$C$45="",Aturan!$D$45=""),"Tidak dinilai",IF(F177="","Belum ada data",IF(F177&lt;IF(Aturan!$C$45="",0,Aturan!$C$45),"Kurang",IF(F177&gt;=IF(Aturan!$D$45="",Aturan!$C$45,Aturan!$D$45),"Nyaman","Cukup")))))</f>
        <v/>
      </c>
      <c r="O177" s="70" t="str">
        <f aca="false">IF($A177="","",IF(AND(Aturan!$C$46="",Aturan!$D$46=""),"Tidak dinilai",IF(G177="","Belum ada data",IF(G177&lt;IF(Aturan!$C$46="",0,Aturan!$C$46),"Kurang",IF(G177&gt;=IF(Aturan!$D$46="",Aturan!$C$46,Aturan!$D$46),"Nyaman","Cukup")))))</f>
        <v/>
      </c>
      <c r="P177" s="70" t="str">
        <f aca="false">IF($A177="","",IF(AND(Aturan!$C$47="",Aturan!$D$47=""),"Tidak dinilai",IF(H177="","Belum ada data",IF(H177&lt;IF(Aturan!$C$47="",0,Aturan!$C$47),"Kurang",IF(H177&gt;=IF(Aturan!$D$47="",Aturan!$C$47,Aturan!$D$47),"Nyaman","Cukup")))))</f>
        <v/>
      </c>
      <c r="Q177" s="70" t="str">
        <f aca="false">IF($A177="","",IF(COUNTIF(K177:P177,"Tidak dinilai")=6,"Tidak dinilai",IF(COUNTIF(K177:P177,"Kurang")&gt;0,"Kurang cocok",IF(COUNTIF(K177:P177,"Belum ada data")&gt;0,"Data belum lengkap",IF(COUNTIF(K177:P177,"Cukup")&gt;0,"Bisa, dengan catatan","Cocok")))))</f>
        <v/>
      </c>
      <c r="R177" s="33" t="str">
        <f aca="false">IF($A177="","",IF(K177="Kurang","prosesor tingkat "&amp;C177&amp;" dari 5, di bawah batas minimal (tingkat "&amp;Aturan!$C$42&amp;")",IF(K177="Cukup","prosesor tingkat "&amp;C177&amp;" dari 5 cukup, nyamannya mulai tingkat "&amp;Aturan!$D$42,IF(K177="Belum ada data","tingkat prosesor belum diisi",""))))</f>
        <v/>
      </c>
      <c r="S177" s="33" t="str">
        <f aca="false">IF($A177="","",IF(L177="Kurang","grafis tingkat "&amp;D177&amp;" dari 5, di bawah batas minimal (tingkat "&amp;Aturan!$C$43&amp;")",IF(L177="Cukup","grafis tingkat "&amp;D177&amp;" dari 5 cukup, nyamannya mulai tingkat "&amp;Aturan!$D$43,IF(L177="Belum ada data","tingkat grafis belum diisi",""))))</f>
        <v/>
      </c>
      <c r="T177" s="33" t="str">
        <f aca="false">IF($A177="","",IF(M177="Kurang","RAM "&amp;E177&amp;" GB, di bawah batas minimal "&amp;Aturan!$C$44&amp;" GB ("&amp;I177&amp;")",IF(M177="Cukup","RAM "&amp;E177&amp;" GB cukup, nyamannya "&amp;Aturan!$D$44&amp;" GB atau lebih ("&amp;I177&amp;")",IF(M177="Belum ada data","ukuran RAM belum diisi",""))))</f>
        <v/>
      </c>
      <c r="U177" s="33" t="str">
        <f aca="false">IF($A177="","",IF(N177="Kurang","penyimpanan "&amp;F177&amp;" GB, di bawah batas minimal "&amp;Aturan!$C$45&amp;" GB ("&amp;J177&amp;")",IF(N177="Cukup","penyimpanan "&amp;F177&amp;" GB cukup, nyamannya "&amp;Aturan!$D$45&amp;" GB atau lebih ("&amp;J177&amp;")",IF(N177="Belum ada data","ukuran penyimpanan belum diisi",""))))</f>
        <v/>
      </c>
      <c r="V177" s="33" t="str">
        <f aca="false">IF($A177="","",IF(O177="Kurang","layar "&amp;Varian!$AG39&amp;", di bawah batas minimal ("&amp;IFERROR(INDEX(Aturan!$A$63:$A$66,MATCH(Aturan!$C$46,Aturan!$B$63:$B$66,0)),"peringkat "&amp;Aturan!$C$46)&amp;")",IF(O177="Cukup","layar "&amp;Varian!$AG39&amp;" cukup, nyamannya "&amp;IFERROR(INDEX(Aturan!$A$63:$A$66,MATCH(Aturan!$D$46,Aturan!$B$63:$B$66,0)),"peringkat "&amp;Aturan!$D$46),IF(O177="Belum ada data","jenis layar belum diketahui",""))))</f>
        <v/>
      </c>
      <c r="W177" s="33" t="str">
        <f aca="false">IF($A177="","",IF(P177="Kurang","layar "&amp;H177&amp;" Hz, di bawah batas minimal "&amp;Aturan!$C$47&amp;" Hz",IF(P177="Cukup","layar "&amp;H177&amp;" Hz cukup, nyamannya "&amp;Aturan!$D$47&amp;" Hz atau lebih",IF(P177="Belum ada data","refresh rate belum diketahui",""))))</f>
        <v/>
      </c>
      <c r="X177" s="33" t="str">
        <f aca="false">IF($A177="","",IF(K177="Kurang",R177&amp;"; ","")&amp;IF(L177="Kurang",S177&amp;"; ","")&amp;IF(M177="Kurang",T177&amp;"; ","")&amp;IF(N177="Kurang",U177&amp;"; ","")&amp;IF(O177="Kurang",V177&amp;"; ","")&amp;IF(P177="Kurang",W177&amp;"; ","")&amp;IF(K177="Belum ada data",R177&amp;"; ","")&amp;IF(L177="Belum ada data",S177&amp;"; ","")&amp;IF(M177="Belum ada data",T177&amp;"; ","")&amp;IF(N177="Belum ada data",U177&amp;"; ","")&amp;IF(O177="Belum ada data",V177&amp;"; ","")&amp;IF(P177="Belum ada data",W177&amp;"; ","")&amp;IF(K177="Cukup",R177&amp;"; ","")&amp;IF(L177="Cukup",S177&amp;"; ","")&amp;IF(M177="Cukup",T177&amp;"; ","")&amp;IF(N177="Cukup",U177&amp;"; ","")&amp;IF(O177="Cukup",V177&amp;"; ","")&amp;IF(P177="Cukup",W177&amp;"; ",""))</f>
        <v/>
      </c>
      <c r="Y177" s="33" t="str">
        <f aca="false">IF($A177="","",IF(K177="Nyaman","prosesor, ","")&amp;IF(L177="Nyaman","grafis, ","")&amp;IF(M177="Nyaman","RAM, ","")&amp;IF(N177="Nyaman","penyimpanan, ","")&amp;IF(O177="Nyaman","layar, ","")&amp;IF(P177="Nyaman","refresh rate, ",""))</f>
        <v/>
      </c>
      <c r="Z177" s="33" t="str">
        <f aca="false">IF($A177="","",IF(Q177="Tidak dinilai","Belum ada kriteria yang dinilai untuk kebutuhan ini.",IF(Q177="Cocok","Semua kriteria yang dinilai sudah nyaman: "&amp;LEFT(Y177,LEN(Y177)-2)&amp;".",UPPER(LEFT(X177,1))&amp;MID(X177,2,LEN(X177)-3)&amp;"."&amp;IF(Y177="",""," Sudah nyaman: "&amp;LEFT(Y177,LEN(Y177)-2)&amp;"."))))</f>
        <v/>
      </c>
      <c r="AA177" s="33"/>
      <c r="AB177" s="33"/>
      <c r="AC177" s="69"/>
    </row>
    <row r="178" customFormat="false" ht="15" hidden="false" customHeight="true" outlineLevel="0" collapsed="false">
      <c r="A178" s="33" t="str">
        <f aca="false">IF(Varian!$A39="","",Varian!$A39)</f>
        <v/>
      </c>
      <c r="B178" s="33" t="str">
        <f aca="false">IF($A178="","",Aturan!$A$24)</f>
        <v/>
      </c>
      <c r="C178" s="69" t="str">
        <f aca="false">IF($A178="","",IFERROR(IF(ISNUMBER(INDEX(CPU!$J$4:$J$64,MATCH(Varian!$J39,CPU!$A$4:$A$64,0))),INDEX(CPU!$J$4:$J$64,MATCH(Varian!$J39,CPU!$A$4:$A$64,0)),""),""))</f>
        <v/>
      </c>
      <c r="D178" s="69" t="str">
        <f aca="false">IF($A178="","",IFERROR(IF(ISNUMBER(INDEX(GPU!$G$4:$G$64,MATCH(Varian!$K39,GPU!$A$4:$A$64,0))),INDEX(GPU!$G$4:$G$64,MATCH(Varian!$K39,GPU!$A$4:$A$64,0)),""),""))</f>
        <v/>
      </c>
      <c r="E178" s="69" t="str">
        <f aca="false">IF($A178="","",IF(ISNUMBER(Varian!$M39),Varian!$M39,""))</f>
        <v/>
      </c>
      <c r="F178" s="69" t="str">
        <f aca="false">IF($A178="","",IF(ISNUMBER(Varian!$V39),Varian!$V39,""))</f>
        <v/>
      </c>
      <c r="G178" s="69" t="str">
        <f aca="false">IF($A178="","",IFERROR(INDEX(Aturan!$B$63:$B$66,MATCH(Varian!$AG39,Aturan!$A$63:$A$66,0)),""))</f>
        <v/>
      </c>
      <c r="H178" s="69" t="str">
        <f aca="false">IF($A178="","",IF(ISNUMBER(Varian!$AI39),Varian!$AI39,""))</f>
        <v/>
      </c>
      <c r="I178" s="33" t="str">
        <f aca="false">IF($A178="","",IF(Varian!$Q39="disolder","menempel di papan utama, tidak bisa ditambah",IF(OR(Varian!$Q39="slot",Varian!$Q39="setengah_disolder"),IF(Varian!$Q39="setengah_disolder","sebagian menempel, ","")&amp;IF(ISNUMBER(Varian!$U39),IF(AND(ISNUMBER(Varian!$M39),Varian!$U39&gt;Varian!$M39),"bisa dinaikkan lewat slot sampai "&amp;Varian!$U39&amp;" GB","sudah di batas maksimal "&amp;Varian!$U39&amp;" GB"),"ada slot, batas maksimalnya belum diketahui"),"belum diketahui apakah bisa ditambah")))</f>
        <v/>
      </c>
      <c r="J178" s="33" t="str">
        <f aca="false">IF($A178="","",IF(Varian!$Z39="ya","bisa diganti dengan yang lebih besar",IF(Varian!$Z39="tidak","menempel, tidak bisa diganti","belum diketahui apakah bisa diganti")))</f>
        <v/>
      </c>
      <c r="K178" s="70" t="str">
        <f aca="false">IF($A178="","",IF(AND(Aturan!$C$48="",Aturan!$D$48=""),"Tidak dinilai",IF(C178="","Belum ada data",IF(C178&lt;IF(Aturan!$C$48="",0,Aturan!$C$48),"Kurang",IF(C178&gt;=IF(Aturan!$D$48="",Aturan!$C$48,Aturan!$D$48),"Nyaman","Cukup")))))</f>
        <v/>
      </c>
      <c r="L178" s="70" t="str">
        <f aca="false">IF($A178="","",IF(AND(Aturan!$C$49="",Aturan!$D$49=""),"Tidak dinilai",IF(D178="","Belum ada data",IF(D178&lt;IF(Aturan!$C$49="",0,Aturan!$C$49),"Kurang",IF(D178&gt;=IF(Aturan!$D$49="",Aturan!$C$49,Aturan!$D$49),"Nyaman","Cukup")))))</f>
        <v/>
      </c>
      <c r="M178" s="70" t="str">
        <f aca="false">IF($A178="","",IF(AND(Aturan!$C$50="",Aturan!$D$50=""),"Tidak dinilai",IF(E178="","Belum ada data",IF(E178&lt;IF(Aturan!$C$50="",0,Aturan!$C$50),"Kurang",IF(E178&gt;=IF(Aturan!$D$50="",Aturan!$C$50,Aturan!$D$50),"Nyaman","Cukup")))))</f>
        <v/>
      </c>
      <c r="N178" s="70" t="str">
        <f aca="false">IF($A178="","",IF(AND(Aturan!$C$51="",Aturan!$D$51=""),"Tidak dinilai",IF(F178="","Belum ada data",IF(F178&lt;IF(Aturan!$C$51="",0,Aturan!$C$51),"Kurang",IF(F178&gt;=IF(Aturan!$D$51="",Aturan!$C$51,Aturan!$D$51),"Nyaman","Cukup")))))</f>
        <v/>
      </c>
      <c r="O178" s="70" t="str">
        <f aca="false">IF($A178="","",IF(AND(Aturan!$C$52="",Aturan!$D$52=""),"Tidak dinilai",IF(G178="","Belum ada data",IF(G178&lt;IF(Aturan!$C$52="",0,Aturan!$C$52),"Kurang",IF(G178&gt;=IF(Aturan!$D$52="",Aturan!$C$52,Aturan!$D$52),"Nyaman","Cukup")))))</f>
        <v/>
      </c>
      <c r="P178" s="70" t="str">
        <f aca="false">IF($A178="","",IF(AND(Aturan!$C$53="",Aturan!$D$53=""),"Tidak dinilai",IF(H178="","Belum ada data",IF(H178&lt;IF(Aturan!$C$53="",0,Aturan!$C$53),"Kurang",IF(H178&gt;=IF(Aturan!$D$53="",Aturan!$C$53,Aturan!$D$53),"Nyaman","Cukup")))))</f>
        <v/>
      </c>
      <c r="Q178" s="70" t="str">
        <f aca="false">IF($A178="","",IF(COUNTIF(K178:P178,"Tidak dinilai")=6,"Tidak dinilai",IF(COUNTIF(K178:P178,"Kurang")&gt;0,"Kurang cocok",IF(COUNTIF(K178:P178,"Belum ada data")&gt;0,"Data belum lengkap",IF(COUNTIF(K178:P178,"Cukup")&gt;0,"Bisa, dengan catatan","Cocok")))))</f>
        <v/>
      </c>
      <c r="R178" s="33" t="str">
        <f aca="false">IF($A178="","",IF(K178="Kurang","prosesor tingkat "&amp;C178&amp;" dari 5, di bawah batas minimal (tingkat "&amp;Aturan!$C$48&amp;")",IF(K178="Cukup","prosesor tingkat "&amp;C178&amp;" dari 5 cukup, nyamannya mulai tingkat "&amp;Aturan!$D$48,IF(K178="Belum ada data","tingkat prosesor belum diisi",""))))</f>
        <v/>
      </c>
      <c r="S178" s="33" t="str">
        <f aca="false">IF($A178="","",IF(L178="Kurang","grafis tingkat "&amp;D178&amp;" dari 5, di bawah batas minimal (tingkat "&amp;Aturan!$C$49&amp;")",IF(L178="Cukup","grafis tingkat "&amp;D178&amp;" dari 5 cukup, nyamannya mulai tingkat "&amp;Aturan!$D$49,IF(L178="Belum ada data","tingkat grafis belum diisi",""))))</f>
        <v/>
      </c>
      <c r="T178" s="33" t="str">
        <f aca="false">IF($A178="","",IF(M178="Kurang","RAM "&amp;E178&amp;" GB, di bawah batas minimal "&amp;Aturan!$C$50&amp;" GB ("&amp;I178&amp;")",IF(M178="Cukup","RAM "&amp;E178&amp;" GB cukup, nyamannya "&amp;Aturan!$D$50&amp;" GB atau lebih ("&amp;I178&amp;")",IF(M178="Belum ada data","ukuran RAM belum diisi",""))))</f>
        <v/>
      </c>
      <c r="U178" s="33" t="str">
        <f aca="false">IF($A178="","",IF(N178="Kurang","penyimpanan "&amp;F178&amp;" GB, di bawah batas minimal "&amp;Aturan!$C$51&amp;" GB ("&amp;J178&amp;")",IF(N178="Cukup","penyimpanan "&amp;F178&amp;" GB cukup, nyamannya "&amp;Aturan!$D$51&amp;" GB atau lebih ("&amp;J178&amp;")",IF(N178="Belum ada data","ukuran penyimpanan belum diisi",""))))</f>
        <v/>
      </c>
      <c r="V178" s="33" t="str">
        <f aca="false">IF($A178="","",IF(O178="Kurang","layar "&amp;Varian!$AG39&amp;", di bawah batas minimal ("&amp;IFERROR(INDEX(Aturan!$A$63:$A$66,MATCH(Aturan!$C$52,Aturan!$B$63:$B$66,0)),"peringkat "&amp;Aturan!$C$52)&amp;")",IF(O178="Cukup","layar "&amp;Varian!$AG39&amp;" cukup, nyamannya "&amp;IFERROR(INDEX(Aturan!$A$63:$A$66,MATCH(Aturan!$D$52,Aturan!$B$63:$B$66,0)),"peringkat "&amp;Aturan!$D$52),IF(O178="Belum ada data","jenis layar belum diketahui",""))))</f>
        <v/>
      </c>
      <c r="W178" s="33" t="str">
        <f aca="false">IF($A178="","",IF(P178="Kurang","layar "&amp;H178&amp;" Hz, di bawah batas minimal "&amp;Aturan!$C$53&amp;" Hz",IF(P178="Cukup","layar "&amp;H178&amp;" Hz cukup, nyamannya "&amp;Aturan!$D$53&amp;" Hz atau lebih",IF(P178="Belum ada data","refresh rate belum diketahui",""))))</f>
        <v/>
      </c>
      <c r="X178" s="33" t="str">
        <f aca="false">IF($A178="","",IF(K178="Kurang",R178&amp;"; ","")&amp;IF(L178="Kurang",S178&amp;"; ","")&amp;IF(M178="Kurang",T178&amp;"; ","")&amp;IF(N178="Kurang",U178&amp;"; ","")&amp;IF(O178="Kurang",V178&amp;"; ","")&amp;IF(P178="Kurang",W178&amp;"; ","")&amp;IF(K178="Belum ada data",R178&amp;"; ","")&amp;IF(L178="Belum ada data",S178&amp;"; ","")&amp;IF(M178="Belum ada data",T178&amp;"; ","")&amp;IF(N178="Belum ada data",U178&amp;"; ","")&amp;IF(O178="Belum ada data",V178&amp;"; ","")&amp;IF(P178="Belum ada data",W178&amp;"; ","")&amp;IF(K178="Cukup",R178&amp;"; ","")&amp;IF(L178="Cukup",S178&amp;"; ","")&amp;IF(M178="Cukup",T178&amp;"; ","")&amp;IF(N178="Cukup",U178&amp;"; ","")&amp;IF(O178="Cukup",V178&amp;"; ","")&amp;IF(P178="Cukup",W178&amp;"; ",""))</f>
        <v/>
      </c>
      <c r="Y178" s="33" t="str">
        <f aca="false">IF($A178="","",IF(K178="Nyaman","prosesor, ","")&amp;IF(L178="Nyaman","grafis, ","")&amp;IF(M178="Nyaman","RAM, ","")&amp;IF(N178="Nyaman","penyimpanan, ","")&amp;IF(O178="Nyaman","layar, ","")&amp;IF(P178="Nyaman","refresh rate, ",""))</f>
        <v/>
      </c>
      <c r="Z178" s="33" t="str">
        <f aca="false">IF($A178="","",IF(Q178="Tidak dinilai","Belum ada kriteria yang dinilai untuk kebutuhan ini.",IF(Q178="Cocok","Semua kriteria yang dinilai sudah nyaman: "&amp;LEFT(Y178,LEN(Y178)-2)&amp;".",UPPER(LEFT(X178,1))&amp;MID(X178,2,LEN(X178)-3)&amp;"."&amp;IF(Y178="",""," Sudah nyaman: "&amp;LEFT(Y178,LEN(Y178)-2)&amp;"."))))</f>
        <v/>
      </c>
      <c r="AA178" s="33"/>
      <c r="AB178" s="33"/>
      <c r="AC178" s="69"/>
    </row>
    <row r="179" customFormat="false" ht="15" hidden="false" customHeight="true" outlineLevel="0" collapsed="false">
      <c r="A179" s="33" t="str">
        <f aca="false">IF(Varian!$A39="","",Varian!$A39)</f>
        <v/>
      </c>
      <c r="B179" s="33" t="str">
        <f aca="false">IF($A179="","",Aturan!$A$25)</f>
        <v/>
      </c>
      <c r="C179" s="69" t="str">
        <f aca="false">IF($A179="","",IFERROR(IF(ISNUMBER(INDEX(CPU!$J$4:$J$64,MATCH(Varian!$J39,CPU!$A$4:$A$64,0))),INDEX(CPU!$J$4:$J$64,MATCH(Varian!$J39,CPU!$A$4:$A$64,0)),""),""))</f>
        <v/>
      </c>
      <c r="D179" s="69" t="str">
        <f aca="false">IF($A179="","",IFERROR(IF(ISNUMBER(INDEX(GPU!$G$4:$G$64,MATCH(Varian!$K39,GPU!$A$4:$A$64,0))),INDEX(GPU!$G$4:$G$64,MATCH(Varian!$K39,GPU!$A$4:$A$64,0)),""),""))</f>
        <v/>
      </c>
      <c r="E179" s="69" t="str">
        <f aca="false">IF($A179="","",IF(ISNUMBER(Varian!$M39),Varian!$M39,""))</f>
        <v/>
      </c>
      <c r="F179" s="69" t="str">
        <f aca="false">IF($A179="","",IF(ISNUMBER(Varian!$V39),Varian!$V39,""))</f>
        <v/>
      </c>
      <c r="G179" s="69" t="str">
        <f aca="false">IF($A179="","",IFERROR(INDEX(Aturan!$B$63:$B$66,MATCH(Varian!$AG39,Aturan!$A$63:$A$66,0)),""))</f>
        <v/>
      </c>
      <c r="H179" s="69" t="str">
        <f aca="false">IF($A179="","",IF(ISNUMBER(Varian!$AI39),Varian!$AI39,""))</f>
        <v/>
      </c>
      <c r="I179" s="33" t="str">
        <f aca="false">IF($A179="","",IF(Varian!$Q39="disolder","menempel di papan utama, tidak bisa ditambah",IF(OR(Varian!$Q39="slot",Varian!$Q39="setengah_disolder"),IF(Varian!$Q39="setengah_disolder","sebagian menempel, ","")&amp;IF(ISNUMBER(Varian!$U39),IF(AND(ISNUMBER(Varian!$M39),Varian!$U39&gt;Varian!$M39),"bisa dinaikkan lewat slot sampai "&amp;Varian!$U39&amp;" GB","sudah di batas maksimal "&amp;Varian!$U39&amp;" GB"),"ada slot, batas maksimalnya belum diketahui"),"belum diketahui apakah bisa ditambah")))</f>
        <v/>
      </c>
      <c r="J179" s="33" t="str">
        <f aca="false">IF($A179="","",IF(Varian!$Z39="ya","bisa diganti dengan yang lebih besar",IF(Varian!$Z39="tidak","menempel, tidak bisa diganti","belum diketahui apakah bisa diganti")))</f>
        <v/>
      </c>
      <c r="K179" s="70" t="str">
        <f aca="false">IF($A179="","",IF(AND(Aturan!$C$54="",Aturan!$D$54=""),"Tidak dinilai",IF(C179="","Belum ada data",IF(C179&lt;IF(Aturan!$C$54="",0,Aturan!$C$54),"Kurang",IF(C179&gt;=IF(Aturan!$D$54="",Aturan!$C$54,Aturan!$D$54),"Nyaman","Cukup")))))</f>
        <v/>
      </c>
      <c r="L179" s="70" t="str">
        <f aca="false">IF($A179="","",IF(AND(Aturan!$C$55="",Aturan!$D$55=""),"Tidak dinilai",IF(D179="","Belum ada data",IF(D179&lt;IF(Aturan!$C$55="",0,Aturan!$C$55),"Kurang",IF(D179&gt;=IF(Aturan!$D$55="",Aturan!$C$55,Aturan!$D$55),"Nyaman","Cukup")))))</f>
        <v/>
      </c>
      <c r="M179" s="70" t="str">
        <f aca="false">IF($A179="","",IF(AND(Aturan!$C$56="",Aturan!$D$56=""),"Tidak dinilai",IF(E179="","Belum ada data",IF(E179&lt;IF(Aturan!$C$56="",0,Aturan!$C$56),"Kurang",IF(E179&gt;=IF(Aturan!$D$56="",Aturan!$C$56,Aturan!$D$56),"Nyaman","Cukup")))))</f>
        <v/>
      </c>
      <c r="N179" s="70" t="str">
        <f aca="false">IF($A179="","",IF(AND(Aturan!$C$57="",Aturan!$D$57=""),"Tidak dinilai",IF(F179="","Belum ada data",IF(F179&lt;IF(Aturan!$C$57="",0,Aturan!$C$57),"Kurang",IF(F179&gt;=IF(Aturan!$D$57="",Aturan!$C$57,Aturan!$D$57),"Nyaman","Cukup")))))</f>
        <v/>
      </c>
      <c r="O179" s="70" t="str">
        <f aca="false">IF($A179="","",IF(AND(Aturan!$C$58="",Aturan!$D$58=""),"Tidak dinilai",IF(G179="","Belum ada data",IF(G179&lt;IF(Aturan!$C$58="",0,Aturan!$C$58),"Kurang",IF(G179&gt;=IF(Aturan!$D$58="",Aturan!$C$58,Aturan!$D$58),"Nyaman","Cukup")))))</f>
        <v/>
      </c>
      <c r="P179" s="70" t="str">
        <f aca="false">IF($A179="","",IF(AND(Aturan!$C$59="",Aturan!$D$59=""),"Tidak dinilai",IF(H179="","Belum ada data",IF(H179&lt;IF(Aturan!$C$59="",0,Aturan!$C$59),"Kurang",IF(H179&gt;=IF(Aturan!$D$59="",Aturan!$C$59,Aturan!$D$59),"Nyaman","Cukup")))))</f>
        <v/>
      </c>
      <c r="Q179" s="70" t="str">
        <f aca="false">IF($A179="","",IF(COUNTIF(K179:P179,"Tidak dinilai")=6,"Tidak dinilai",IF(COUNTIF(K179:P179,"Kurang")&gt;0,"Kurang cocok",IF(COUNTIF(K179:P179,"Belum ada data")&gt;0,"Data belum lengkap",IF(COUNTIF(K179:P179,"Cukup")&gt;0,"Bisa, dengan catatan","Cocok")))))</f>
        <v/>
      </c>
      <c r="R179" s="33" t="str">
        <f aca="false">IF($A179="","",IF(K179="Kurang","prosesor tingkat "&amp;C179&amp;" dari 5, di bawah batas minimal (tingkat "&amp;Aturan!$C$54&amp;")",IF(K179="Cukup","prosesor tingkat "&amp;C179&amp;" dari 5 cukup, nyamannya mulai tingkat "&amp;Aturan!$D$54,IF(K179="Belum ada data","tingkat prosesor belum diisi",""))))</f>
        <v/>
      </c>
      <c r="S179" s="33" t="str">
        <f aca="false">IF($A179="","",IF(L179="Kurang","grafis tingkat "&amp;D179&amp;" dari 5, di bawah batas minimal (tingkat "&amp;Aturan!$C$55&amp;")",IF(L179="Cukup","grafis tingkat "&amp;D179&amp;" dari 5 cukup, nyamannya mulai tingkat "&amp;Aturan!$D$55,IF(L179="Belum ada data","tingkat grafis belum diisi",""))))</f>
        <v/>
      </c>
      <c r="T179" s="33" t="str">
        <f aca="false">IF($A179="","",IF(M179="Kurang","RAM "&amp;E179&amp;" GB, di bawah batas minimal "&amp;Aturan!$C$56&amp;" GB ("&amp;I179&amp;")",IF(M179="Cukup","RAM "&amp;E179&amp;" GB cukup, nyamannya "&amp;Aturan!$D$56&amp;" GB atau lebih ("&amp;I179&amp;")",IF(M179="Belum ada data","ukuran RAM belum diisi",""))))</f>
        <v/>
      </c>
      <c r="U179" s="33" t="str">
        <f aca="false">IF($A179="","",IF(N179="Kurang","penyimpanan "&amp;F179&amp;" GB, di bawah batas minimal "&amp;Aturan!$C$57&amp;" GB ("&amp;J179&amp;")",IF(N179="Cukup","penyimpanan "&amp;F179&amp;" GB cukup, nyamannya "&amp;Aturan!$D$57&amp;" GB atau lebih ("&amp;J179&amp;")",IF(N179="Belum ada data","ukuran penyimpanan belum diisi",""))))</f>
        <v/>
      </c>
      <c r="V179" s="33" t="str">
        <f aca="false">IF($A179="","",IF(O179="Kurang","layar "&amp;Varian!$AG39&amp;", di bawah batas minimal ("&amp;IFERROR(INDEX(Aturan!$A$63:$A$66,MATCH(Aturan!$C$58,Aturan!$B$63:$B$66,0)),"peringkat "&amp;Aturan!$C$58)&amp;")",IF(O179="Cukup","layar "&amp;Varian!$AG39&amp;" cukup, nyamannya "&amp;IFERROR(INDEX(Aturan!$A$63:$A$66,MATCH(Aturan!$D$58,Aturan!$B$63:$B$66,0)),"peringkat "&amp;Aturan!$D$58),IF(O179="Belum ada data","jenis layar belum diketahui",""))))</f>
        <v/>
      </c>
      <c r="W179" s="33" t="str">
        <f aca="false">IF($A179="","",IF(P179="Kurang","layar "&amp;H179&amp;" Hz, di bawah batas minimal "&amp;Aturan!$C$59&amp;" Hz",IF(P179="Cukup","layar "&amp;H179&amp;" Hz cukup, nyamannya "&amp;Aturan!$D$59&amp;" Hz atau lebih",IF(P179="Belum ada data","refresh rate belum diketahui",""))))</f>
        <v/>
      </c>
      <c r="X179" s="33" t="str">
        <f aca="false">IF($A179="","",IF(K179="Kurang",R179&amp;"; ","")&amp;IF(L179="Kurang",S179&amp;"; ","")&amp;IF(M179="Kurang",T179&amp;"; ","")&amp;IF(N179="Kurang",U179&amp;"; ","")&amp;IF(O179="Kurang",V179&amp;"; ","")&amp;IF(P179="Kurang",W179&amp;"; ","")&amp;IF(K179="Belum ada data",R179&amp;"; ","")&amp;IF(L179="Belum ada data",S179&amp;"; ","")&amp;IF(M179="Belum ada data",T179&amp;"; ","")&amp;IF(N179="Belum ada data",U179&amp;"; ","")&amp;IF(O179="Belum ada data",V179&amp;"; ","")&amp;IF(P179="Belum ada data",W179&amp;"; ","")&amp;IF(K179="Cukup",R179&amp;"; ","")&amp;IF(L179="Cukup",S179&amp;"; ","")&amp;IF(M179="Cukup",T179&amp;"; ","")&amp;IF(N179="Cukup",U179&amp;"; ","")&amp;IF(O179="Cukup",V179&amp;"; ","")&amp;IF(P179="Cukup",W179&amp;"; ",""))</f>
        <v/>
      </c>
      <c r="Y179" s="33" t="str">
        <f aca="false">IF($A179="","",IF(K179="Nyaman","prosesor, ","")&amp;IF(L179="Nyaman","grafis, ","")&amp;IF(M179="Nyaman","RAM, ","")&amp;IF(N179="Nyaman","penyimpanan, ","")&amp;IF(O179="Nyaman","layar, ","")&amp;IF(P179="Nyaman","refresh rate, ",""))</f>
        <v/>
      </c>
      <c r="Z179" s="33" t="str">
        <f aca="false">IF($A179="","",IF(Q179="Tidak dinilai","Belum ada kriteria yang dinilai untuk kebutuhan ini.",IF(Q179="Cocok","Semua kriteria yang dinilai sudah nyaman: "&amp;LEFT(Y179,LEN(Y179)-2)&amp;".",UPPER(LEFT(X179,1))&amp;MID(X179,2,LEN(X179)-3)&amp;"."&amp;IF(Y179="",""," Sudah nyaman: "&amp;LEFT(Y179,LEN(Y179)-2)&amp;"."))))</f>
        <v/>
      </c>
      <c r="AA179" s="33"/>
      <c r="AB179" s="33"/>
      <c r="AC179" s="69"/>
    </row>
    <row r="180" customFormat="false" ht="15" hidden="false" customHeight="true" outlineLevel="0" collapsed="false">
      <c r="A180" s="66" t="str">
        <f aca="false">IF(Varian!$A40="","",Varian!$A40)</f>
        <v/>
      </c>
      <c r="B180" s="66" t="str">
        <f aca="false">IF($A180="","",Aturan!$A$21)</f>
        <v/>
      </c>
      <c r="C180" s="67" t="str">
        <f aca="false">IF($A180="","",IFERROR(IF(ISNUMBER(INDEX(CPU!$J$4:$J$64,MATCH(Varian!$J40,CPU!$A$4:$A$64,0))),INDEX(CPU!$J$4:$J$64,MATCH(Varian!$J40,CPU!$A$4:$A$64,0)),""),""))</f>
        <v/>
      </c>
      <c r="D180" s="67" t="str">
        <f aca="false">IF($A180="","",IFERROR(IF(ISNUMBER(INDEX(GPU!$G$4:$G$64,MATCH(Varian!$K40,GPU!$A$4:$A$64,0))),INDEX(GPU!$G$4:$G$64,MATCH(Varian!$K40,GPU!$A$4:$A$64,0)),""),""))</f>
        <v/>
      </c>
      <c r="E180" s="67" t="str">
        <f aca="false">IF($A180="","",IF(ISNUMBER(Varian!$M40),Varian!$M40,""))</f>
        <v/>
      </c>
      <c r="F180" s="67" t="str">
        <f aca="false">IF($A180="","",IF(ISNUMBER(Varian!$V40),Varian!$V40,""))</f>
        <v/>
      </c>
      <c r="G180" s="67" t="str">
        <f aca="false">IF($A180="","",IFERROR(INDEX(Aturan!$B$63:$B$66,MATCH(Varian!$AG40,Aturan!$A$63:$A$66,0)),""))</f>
        <v/>
      </c>
      <c r="H180" s="67" t="str">
        <f aca="false">IF($A180="","",IF(ISNUMBER(Varian!$AI40),Varian!$AI40,""))</f>
        <v/>
      </c>
      <c r="I180" s="66" t="str">
        <f aca="false">IF($A180="","",IF(Varian!$Q40="disolder","menempel di papan utama, tidak bisa ditambah",IF(OR(Varian!$Q40="slot",Varian!$Q40="setengah_disolder"),IF(Varian!$Q40="setengah_disolder","sebagian menempel, ","")&amp;IF(ISNUMBER(Varian!$U40),IF(AND(ISNUMBER(Varian!$M40),Varian!$U40&gt;Varian!$M40),"bisa dinaikkan lewat slot sampai "&amp;Varian!$U40&amp;" GB","sudah di batas maksimal "&amp;Varian!$U40&amp;" GB"),"ada slot, batas maksimalnya belum diketahui"),"belum diketahui apakah bisa ditambah")))</f>
        <v/>
      </c>
      <c r="J180" s="66" t="str">
        <f aca="false">IF($A180="","",IF(Varian!$Z40="ya","bisa diganti dengan yang lebih besar",IF(Varian!$Z40="tidak","menempel, tidak bisa diganti","belum diketahui apakah bisa diganti")))</f>
        <v/>
      </c>
      <c r="K180" s="68" t="str">
        <f aca="false">IF($A180="","",IF(AND(Aturan!$C$30="",Aturan!$D$30=""),"Tidak dinilai",IF(C180="","Belum ada data",IF(C180&lt;IF(Aturan!$C$30="",0,Aturan!$C$30),"Kurang",IF(C180&gt;=IF(Aturan!$D$30="",Aturan!$C$30,Aturan!$D$30),"Nyaman","Cukup")))))</f>
        <v/>
      </c>
      <c r="L180" s="68" t="str">
        <f aca="false">IF($A180="","",IF(AND(Aturan!$C$31="",Aturan!$D$31=""),"Tidak dinilai",IF(D180="","Belum ada data",IF(D180&lt;IF(Aturan!$C$31="",0,Aturan!$C$31),"Kurang",IF(D180&gt;=IF(Aturan!$D$31="",Aturan!$C$31,Aturan!$D$31),"Nyaman","Cukup")))))</f>
        <v/>
      </c>
      <c r="M180" s="68" t="str">
        <f aca="false">IF($A180="","",IF(AND(Aturan!$C$32="",Aturan!$D$32=""),"Tidak dinilai",IF(E180="","Belum ada data",IF(E180&lt;IF(Aturan!$C$32="",0,Aturan!$C$32),"Kurang",IF(E180&gt;=IF(Aturan!$D$32="",Aturan!$C$32,Aturan!$D$32),"Nyaman","Cukup")))))</f>
        <v/>
      </c>
      <c r="N180" s="68" t="str">
        <f aca="false">IF($A180="","",IF(AND(Aturan!$C$33="",Aturan!$D$33=""),"Tidak dinilai",IF(F180="","Belum ada data",IF(F180&lt;IF(Aturan!$C$33="",0,Aturan!$C$33),"Kurang",IF(F180&gt;=IF(Aturan!$D$33="",Aturan!$C$33,Aturan!$D$33),"Nyaman","Cukup")))))</f>
        <v/>
      </c>
      <c r="O180" s="68" t="str">
        <f aca="false">IF($A180="","",IF(AND(Aturan!$C$34="",Aturan!$D$34=""),"Tidak dinilai",IF(G180="","Belum ada data",IF(G180&lt;IF(Aturan!$C$34="",0,Aturan!$C$34),"Kurang",IF(G180&gt;=IF(Aturan!$D$34="",Aturan!$C$34,Aturan!$D$34),"Nyaman","Cukup")))))</f>
        <v/>
      </c>
      <c r="P180" s="68" t="str">
        <f aca="false">IF($A180="","",IF(AND(Aturan!$C$35="",Aturan!$D$35=""),"Tidak dinilai",IF(H180="","Belum ada data",IF(H180&lt;IF(Aturan!$C$35="",0,Aturan!$C$35),"Kurang",IF(H180&gt;=IF(Aturan!$D$35="",Aturan!$C$35,Aturan!$D$35),"Nyaman","Cukup")))))</f>
        <v/>
      </c>
      <c r="Q180" s="68" t="str">
        <f aca="false">IF($A180="","",IF(COUNTIF(K180:P180,"Tidak dinilai")=6,"Tidak dinilai",IF(COUNTIF(K180:P180,"Kurang")&gt;0,"Kurang cocok",IF(COUNTIF(K180:P180,"Belum ada data")&gt;0,"Data belum lengkap",IF(COUNTIF(K180:P180,"Cukup")&gt;0,"Bisa, dengan catatan","Cocok")))))</f>
        <v/>
      </c>
      <c r="R180" s="66" t="str">
        <f aca="false">IF($A180="","",IF(K180="Kurang","prosesor tingkat "&amp;C180&amp;" dari 5, di bawah batas minimal (tingkat "&amp;Aturan!$C$30&amp;")",IF(K180="Cukup","prosesor tingkat "&amp;C180&amp;" dari 5 cukup, nyamannya mulai tingkat "&amp;Aturan!$D$30,IF(K180="Belum ada data","tingkat prosesor belum diisi",""))))</f>
        <v/>
      </c>
      <c r="S180" s="66" t="str">
        <f aca="false">IF($A180="","",IF(L180="Kurang","grafis tingkat "&amp;D180&amp;" dari 5, di bawah batas minimal (tingkat "&amp;Aturan!$C$31&amp;")",IF(L180="Cukup","grafis tingkat "&amp;D180&amp;" dari 5 cukup, nyamannya mulai tingkat "&amp;Aturan!$D$31,IF(L180="Belum ada data","tingkat grafis belum diisi",""))))</f>
        <v/>
      </c>
      <c r="T180" s="66" t="str">
        <f aca="false">IF($A180="","",IF(M180="Kurang","RAM "&amp;E180&amp;" GB, di bawah batas minimal "&amp;Aturan!$C$32&amp;" GB ("&amp;I180&amp;")",IF(M180="Cukup","RAM "&amp;E180&amp;" GB cukup, nyamannya "&amp;Aturan!$D$32&amp;" GB atau lebih ("&amp;I180&amp;")",IF(M180="Belum ada data","ukuran RAM belum diisi",""))))</f>
        <v/>
      </c>
      <c r="U180" s="66" t="str">
        <f aca="false">IF($A180="","",IF(N180="Kurang","penyimpanan "&amp;F180&amp;" GB, di bawah batas minimal "&amp;Aturan!$C$33&amp;" GB ("&amp;J180&amp;")",IF(N180="Cukup","penyimpanan "&amp;F180&amp;" GB cukup, nyamannya "&amp;Aturan!$D$33&amp;" GB atau lebih ("&amp;J180&amp;")",IF(N180="Belum ada data","ukuran penyimpanan belum diisi",""))))</f>
        <v/>
      </c>
      <c r="V180" s="66" t="str">
        <f aca="false">IF($A180="","",IF(O180="Kurang","layar "&amp;Varian!$AG40&amp;", di bawah batas minimal ("&amp;IFERROR(INDEX(Aturan!$A$63:$A$66,MATCH(Aturan!$C$34,Aturan!$B$63:$B$66,0)),"peringkat "&amp;Aturan!$C$34)&amp;")",IF(O180="Cukup","layar "&amp;Varian!$AG40&amp;" cukup, nyamannya "&amp;IFERROR(INDEX(Aturan!$A$63:$A$66,MATCH(Aturan!$D$34,Aturan!$B$63:$B$66,0)),"peringkat "&amp;Aturan!$D$34),IF(O180="Belum ada data","jenis layar belum diketahui",""))))</f>
        <v/>
      </c>
      <c r="W180" s="66" t="str">
        <f aca="false">IF($A180="","",IF(P180="Kurang","layar "&amp;H180&amp;" Hz, di bawah batas minimal "&amp;Aturan!$C$35&amp;" Hz",IF(P180="Cukup","layar "&amp;H180&amp;" Hz cukup, nyamannya "&amp;Aturan!$D$35&amp;" Hz atau lebih",IF(P180="Belum ada data","refresh rate belum diketahui",""))))</f>
        <v/>
      </c>
      <c r="X180" s="66" t="str">
        <f aca="false">IF($A180="","",IF(K180="Kurang",R180&amp;"; ","")&amp;IF(L180="Kurang",S180&amp;"; ","")&amp;IF(M180="Kurang",T180&amp;"; ","")&amp;IF(N180="Kurang",U180&amp;"; ","")&amp;IF(O180="Kurang",V180&amp;"; ","")&amp;IF(P180="Kurang",W180&amp;"; ","")&amp;IF(K180="Belum ada data",R180&amp;"; ","")&amp;IF(L180="Belum ada data",S180&amp;"; ","")&amp;IF(M180="Belum ada data",T180&amp;"; ","")&amp;IF(N180="Belum ada data",U180&amp;"; ","")&amp;IF(O180="Belum ada data",V180&amp;"; ","")&amp;IF(P180="Belum ada data",W180&amp;"; ","")&amp;IF(K180="Cukup",R180&amp;"; ","")&amp;IF(L180="Cukup",S180&amp;"; ","")&amp;IF(M180="Cukup",T180&amp;"; ","")&amp;IF(N180="Cukup",U180&amp;"; ","")&amp;IF(O180="Cukup",V180&amp;"; ","")&amp;IF(P180="Cukup",W180&amp;"; ",""))</f>
        <v/>
      </c>
      <c r="Y180" s="66" t="str">
        <f aca="false">IF($A180="","",IF(K180="Nyaman","prosesor, ","")&amp;IF(L180="Nyaman","grafis, ","")&amp;IF(M180="Nyaman","RAM, ","")&amp;IF(N180="Nyaman","penyimpanan, ","")&amp;IF(O180="Nyaman","layar, ","")&amp;IF(P180="Nyaman","refresh rate, ",""))</f>
        <v/>
      </c>
      <c r="Z180" s="66" t="str">
        <f aca="false">IF($A180="","",IF(Q180="Tidak dinilai","Belum ada kriteria yang dinilai untuk kebutuhan ini.",IF(Q180="Cocok","Semua kriteria yang dinilai sudah nyaman: "&amp;LEFT(Y180,LEN(Y180)-2)&amp;".",UPPER(LEFT(X180,1))&amp;MID(X180,2,LEN(X180)-3)&amp;"."&amp;IF(Y180="",""," Sudah nyaman: "&amp;LEFT(Y180,LEN(Y180)-2)&amp;"."))))</f>
        <v/>
      </c>
      <c r="AA180" s="66" t="str">
        <f aca="false">IF($A180="","",IF(Varian!$AR40="Windows 10","• "&amp;Aturan!$E$71&amp;CHAR(10),"")&amp;IF(Varian!$BB40="tidak","• "&amp;Aturan!$E$72&amp;CHAR(10),"")&amp;IF(OR(Varian!$AD40="belum terverifikasi",Varian!$AD40="tidak diketahui"),"• "&amp;Aturan!$E$73&amp;CHAR(10),"")&amp;IF(Varian!$AH40="1366x768","• "&amp;Aturan!$E$74&amp;CHAR(10),"")&amp;IF(Varian!$AG40="TN","• "&amp;Aturan!$E$75&amp;CHAR(10),"")&amp;IF(AND(Varian!$Q40="disolder",ISNUMBER(Varian!$M40),Varian!$M40&lt;=8),"• "&amp;Aturan!$E$76&amp;CHAR(10),""))</f>
        <v/>
      </c>
      <c r="AB180" s="66" t="str">
        <f aca="false">IF($A180="","",IF(AA180="","",LEFT(AA180,LEN(AA180)-1)))</f>
        <v/>
      </c>
      <c r="AC180" s="67" t="str">
        <f aca="false">IF($A180="","",IF(AA180="",0,LEN(AA180)-LEN(SUBSTITUTE(AA180,CHAR(10),""))))</f>
        <v/>
      </c>
    </row>
    <row r="181" customFormat="false" ht="15" hidden="false" customHeight="true" outlineLevel="0" collapsed="false">
      <c r="A181" s="33" t="str">
        <f aca="false">IF(Varian!$A40="","",Varian!$A40)</f>
        <v/>
      </c>
      <c r="B181" s="33" t="str">
        <f aca="false">IF($A181="","",Aturan!$A$22)</f>
        <v/>
      </c>
      <c r="C181" s="69" t="str">
        <f aca="false">IF($A181="","",IFERROR(IF(ISNUMBER(INDEX(CPU!$J$4:$J$64,MATCH(Varian!$J40,CPU!$A$4:$A$64,0))),INDEX(CPU!$J$4:$J$64,MATCH(Varian!$J40,CPU!$A$4:$A$64,0)),""),""))</f>
        <v/>
      </c>
      <c r="D181" s="69" t="str">
        <f aca="false">IF($A181="","",IFERROR(IF(ISNUMBER(INDEX(GPU!$G$4:$G$64,MATCH(Varian!$K40,GPU!$A$4:$A$64,0))),INDEX(GPU!$G$4:$G$64,MATCH(Varian!$K40,GPU!$A$4:$A$64,0)),""),""))</f>
        <v/>
      </c>
      <c r="E181" s="69" t="str">
        <f aca="false">IF($A181="","",IF(ISNUMBER(Varian!$M40),Varian!$M40,""))</f>
        <v/>
      </c>
      <c r="F181" s="69" t="str">
        <f aca="false">IF($A181="","",IF(ISNUMBER(Varian!$V40),Varian!$V40,""))</f>
        <v/>
      </c>
      <c r="G181" s="69" t="str">
        <f aca="false">IF($A181="","",IFERROR(INDEX(Aturan!$B$63:$B$66,MATCH(Varian!$AG40,Aturan!$A$63:$A$66,0)),""))</f>
        <v/>
      </c>
      <c r="H181" s="69" t="str">
        <f aca="false">IF($A181="","",IF(ISNUMBER(Varian!$AI40),Varian!$AI40,""))</f>
        <v/>
      </c>
      <c r="I181" s="33" t="str">
        <f aca="false">IF($A181="","",IF(Varian!$Q40="disolder","menempel di papan utama, tidak bisa ditambah",IF(OR(Varian!$Q40="slot",Varian!$Q40="setengah_disolder"),IF(Varian!$Q40="setengah_disolder","sebagian menempel, ","")&amp;IF(ISNUMBER(Varian!$U40),IF(AND(ISNUMBER(Varian!$M40),Varian!$U40&gt;Varian!$M40),"bisa dinaikkan lewat slot sampai "&amp;Varian!$U40&amp;" GB","sudah di batas maksimal "&amp;Varian!$U40&amp;" GB"),"ada slot, batas maksimalnya belum diketahui"),"belum diketahui apakah bisa ditambah")))</f>
        <v/>
      </c>
      <c r="J181" s="33" t="str">
        <f aca="false">IF($A181="","",IF(Varian!$Z40="ya","bisa diganti dengan yang lebih besar",IF(Varian!$Z40="tidak","menempel, tidak bisa diganti","belum diketahui apakah bisa diganti")))</f>
        <v/>
      </c>
      <c r="K181" s="70" t="str">
        <f aca="false">IF($A181="","",IF(AND(Aturan!$C$36="",Aturan!$D$36=""),"Tidak dinilai",IF(C181="","Belum ada data",IF(C181&lt;IF(Aturan!$C$36="",0,Aturan!$C$36),"Kurang",IF(C181&gt;=IF(Aturan!$D$36="",Aturan!$C$36,Aturan!$D$36),"Nyaman","Cukup")))))</f>
        <v/>
      </c>
      <c r="L181" s="70" t="str">
        <f aca="false">IF($A181="","",IF(AND(Aturan!$C$37="",Aturan!$D$37=""),"Tidak dinilai",IF(D181="","Belum ada data",IF(D181&lt;IF(Aturan!$C$37="",0,Aturan!$C$37),"Kurang",IF(D181&gt;=IF(Aturan!$D$37="",Aturan!$C$37,Aturan!$D$37),"Nyaman","Cukup")))))</f>
        <v/>
      </c>
      <c r="M181" s="70" t="str">
        <f aca="false">IF($A181="","",IF(AND(Aturan!$C$38="",Aturan!$D$38=""),"Tidak dinilai",IF(E181="","Belum ada data",IF(E181&lt;IF(Aturan!$C$38="",0,Aturan!$C$38),"Kurang",IF(E181&gt;=IF(Aturan!$D$38="",Aturan!$C$38,Aturan!$D$38),"Nyaman","Cukup")))))</f>
        <v/>
      </c>
      <c r="N181" s="70" t="str">
        <f aca="false">IF($A181="","",IF(AND(Aturan!$C$39="",Aturan!$D$39=""),"Tidak dinilai",IF(F181="","Belum ada data",IF(F181&lt;IF(Aturan!$C$39="",0,Aturan!$C$39),"Kurang",IF(F181&gt;=IF(Aturan!$D$39="",Aturan!$C$39,Aturan!$D$39),"Nyaman","Cukup")))))</f>
        <v/>
      </c>
      <c r="O181" s="70" t="str">
        <f aca="false">IF($A181="","",IF(AND(Aturan!$C$40="",Aturan!$D$40=""),"Tidak dinilai",IF(G181="","Belum ada data",IF(G181&lt;IF(Aturan!$C$40="",0,Aturan!$C$40),"Kurang",IF(G181&gt;=IF(Aturan!$D$40="",Aturan!$C$40,Aturan!$D$40),"Nyaman","Cukup")))))</f>
        <v/>
      </c>
      <c r="P181" s="70" t="str">
        <f aca="false">IF($A181="","",IF(AND(Aturan!$C$41="",Aturan!$D$41=""),"Tidak dinilai",IF(H181="","Belum ada data",IF(H181&lt;IF(Aturan!$C$41="",0,Aturan!$C$41),"Kurang",IF(H181&gt;=IF(Aturan!$D$41="",Aturan!$C$41,Aturan!$D$41),"Nyaman","Cukup")))))</f>
        <v/>
      </c>
      <c r="Q181" s="70" t="str">
        <f aca="false">IF($A181="","",IF(COUNTIF(K181:P181,"Tidak dinilai")=6,"Tidak dinilai",IF(COUNTIF(K181:P181,"Kurang")&gt;0,"Kurang cocok",IF(COUNTIF(K181:P181,"Belum ada data")&gt;0,"Data belum lengkap",IF(COUNTIF(K181:P181,"Cukup")&gt;0,"Bisa, dengan catatan","Cocok")))))</f>
        <v/>
      </c>
      <c r="R181" s="33" t="str">
        <f aca="false">IF($A181="","",IF(K181="Kurang","prosesor tingkat "&amp;C181&amp;" dari 5, di bawah batas minimal (tingkat "&amp;Aturan!$C$36&amp;")",IF(K181="Cukup","prosesor tingkat "&amp;C181&amp;" dari 5 cukup, nyamannya mulai tingkat "&amp;Aturan!$D$36,IF(K181="Belum ada data","tingkat prosesor belum diisi",""))))</f>
        <v/>
      </c>
      <c r="S181" s="33" t="str">
        <f aca="false">IF($A181="","",IF(L181="Kurang","grafis tingkat "&amp;D181&amp;" dari 5, di bawah batas minimal (tingkat "&amp;Aturan!$C$37&amp;")",IF(L181="Cukup","grafis tingkat "&amp;D181&amp;" dari 5 cukup, nyamannya mulai tingkat "&amp;Aturan!$D$37,IF(L181="Belum ada data","tingkat grafis belum diisi",""))))</f>
        <v/>
      </c>
      <c r="T181" s="33" t="str">
        <f aca="false">IF($A181="","",IF(M181="Kurang","RAM "&amp;E181&amp;" GB, di bawah batas minimal "&amp;Aturan!$C$38&amp;" GB ("&amp;I181&amp;")",IF(M181="Cukup","RAM "&amp;E181&amp;" GB cukup, nyamannya "&amp;Aturan!$D$38&amp;" GB atau lebih ("&amp;I181&amp;")",IF(M181="Belum ada data","ukuran RAM belum diisi",""))))</f>
        <v/>
      </c>
      <c r="U181" s="33" t="str">
        <f aca="false">IF($A181="","",IF(N181="Kurang","penyimpanan "&amp;F181&amp;" GB, di bawah batas minimal "&amp;Aturan!$C$39&amp;" GB ("&amp;J181&amp;")",IF(N181="Cukup","penyimpanan "&amp;F181&amp;" GB cukup, nyamannya "&amp;Aturan!$D$39&amp;" GB atau lebih ("&amp;J181&amp;")",IF(N181="Belum ada data","ukuran penyimpanan belum diisi",""))))</f>
        <v/>
      </c>
      <c r="V181" s="33" t="str">
        <f aca="false">IF($A181="","",IF(O181="Kurang","layar "&amp;Varian!$AG40&amp;", di bawah batas minimal ("&amp;IFERROR(INDEX(Aturan!$A$63:$A$66,MATCH(Aturan!$C$40,Aturan!$B$63:$B$66,0)),"peringkat "&amp;Aturan!$C$40)&amp;")",IF(O181="Cukup","layar "&amp;Varian!$AG40&amp;" cukup, nyamannya "&amp;IFERROR(INDEX(Aturan!$A$63:$A$66,MATCH(Aturan!$D$40,Aturan!$B$63:$B$66,0)),"peringkat "&amp;Aturan!$D$40),IF(O181="Belum ada data","jenis layar belum diketahui",""))))</f>
        <v/>
      </c>
      <c r="W181" s="33" t="str">
        <f aca="false">IF($A181="","",IF(P181="Kurang","layar "&amp;H181&amp;" Hz, di bawah batas minimal "&amp;Aturan!$C$41&amp;" Hz",IF(P181="Cukup","layar "&amp;H181&amp;" Hz cukup, nyamannya "&amp;Aturan!$D$41&amp;" Hz atau lebih",IF(P181="Belum ada data","refresh rate belum diketahui",""))))</f>
        <v/>
      </c>
      <c r="X181" s="33" t="str">
        <f aca="false">IF($A181="","",IF(K181="Kurang",R181&amp;"; ","")&amp;IF(L181="Kurang",S181&amp;"; ","")&amp;IF(M181="Kurang",T181&amp;"; ","")&amp;IF(N181="Kurang",U181&amp;"; ","")&amp;IF(O181="Kurang",V181&amp;"; ","")&amp;IF(P181="Kurang",W181&amp;"; ","")&amp;IF(K181="Belum ada data",R181&amp;"; ","")&amp;IF(L181="Belum ada data",S181&amp;"; ","")&amp;IF(M181="Belum ada data",T181&amp;"; ","")&amp;IF(N181="Belum ada data",U181&amp;"; ","")&amp;IF(O181="Belum ada data",V181&amp;"; ","")&amp;IF(P181="Belum ada data",W181&amp;"; ","")&amp;IF(K181="Cukup",R181&amp;"; ","")&amp;IF(L181="Cukup",S181&amp;"; ","")&amp;IF(M181="Cukup",T181&amp;"; ","")&amp;IF(N181="Cukup",U181&amp;"; ","")&amp;IF(O181="Cukup",V181&amp;"; ","")&amp;IF(P181="Cukup",W181&amp;"; ",""))</f>
        <v/>
      </c>
      <c r="Y181" s="33" t="str">
        <f aca="false">IF($A181="","",IF(K181="Nyaman","prosesor, ","")&amp;IF(L181="Nyaman","grafis, ","")&amp;IF(M181="Nyaman","RAM, ","")&amp;IF(N181="Nyaman","penyimpanan, ","")&amp;IF(O181="Nyaman","layar, ","")&amp;IF(P181="Nyaman","refresh rate, ",""))</f>
        <v/>
      </c>
      <c r="Z181" s="33" t="str">
        <f aca="false">IF($A181="","",IF(Q181="Tidak dinilai","Belum ada kriteria yang dinilai untuk kebutuhan ini.",IF(Q181="Cocok","Semua kriteria yang dinilai sudah nyaman: "&amp;LEFT(Y181,LEN(Y181)-2)&amp;".",UPPER(LEFT(X181,1))&amp;MID(X181,2,LEN(X181)-3)&amp;"."&amp;IF(Y181="",""," Sudah nyaman: "&amp;LEFT(Y181,LEN(Y181)-2)&amp;"."))))</f>
        <v/>
      </c>
      <c r="AA181" s="33"/>
      <c r="AB181" s="33"/>
      <c r="AC181" s="69"/>
    </row>
    <row r="182" customFormat="false" ht="15" hidden="false" customHeight="true" outlineLevel="0" collapsed="false">
      <c r="A182" s="33" t="str">
        <f aca="false">IF(Varian!$A40="","",Varian!$A40)</f>
        <v/>
      </c>
      <c r="B182" s="33" t="str">
        <f aca="false">IF($A182="","",Aturan!$A$23)</f>
        <v/>
      </c>
      <c r="C182" s="69" t="str">
        <f aca="false">IF($A182="","",IFERROR(IF(ISNUMBER(INDEX(CPU!$J$4:$J$64,MATCH(Varian!$J40,CPU!$A$4:$A$64,0))),INDEX(CPU!$J$4:$J$64,MATCH(Varian!$J40,CPU!$A$4:$A$64,0)),""),""))</f>
        <v/>
      </c>
      <c r="D182" s="69" t="str">
        <f aca="false">IF($A182="","",IFERROR(IF(ISNUMBER(INDEX(GPU!$G$4:$G$64,MATCH(Varian!$K40,GPU!$A$4:$A$64,0))),INDEX(GPU!$G$4:$G$64,MATCH(Varian!$K40,GPU!$A$4:$A$64,0)),""),""))</f>
        <v/>
      </c>
      <c r="E182" s="69" t="str">
        <f aca="false">IF($A182="","",IF(ISNUMBER(Varian!$M40),Varian!$M40,""))</f>
        <v/>
      </c>
      <c r="F182" s="69" t="str">
        <f aca="false">IF($A182="","",IF(ISNUMBER(Varian!$V40),Varian!$V40,""))</f>
        <v/>
      </c>
      <c r="G182" s="69" t="str">
        <f aca="false">IF($A182="","",IFERROR(INDEX(Aturan!$B$63:$B$66,MATCH(Varian!$AG40,Aturan!$A$63:$A$66,0)),""))</f>
        <v/>
      </c>
      <c r="H182" s="69" t="str">
        <f aca="false">IF($A182="","",IF(ISNUMBER(Varian!$AI40),Varian!$AI40,""))</f>
        <v/>
      </c>
      <c r="I182" s="33" t="str">
        <f aca="false">IF($A182="","",IF(Varian!$Q40="disolder","menempel di papan utama, tidak bisa ditambah",IF(OR(Varian!$Q40="slot",Varian!$Q40="setengah_disolder"),IF(Varian!$Q40="setengah_disolder","sebagian menempel, ","")&amp;IF(ISNUMBER(Varian!$U40),IF(AND(ISNUMBER(Varian!$M40),Varian!$U40&gt;Varian!$M40),"bisa dinaikkan lewat slot sampai "&amp;Varian!$U40&amp;" GB","sudah di batas maksimal "&amp;Varian!$U40&amp;" GB"),"ada slot, batas maksimalnya belum diketahui"),"belum diketahui apakah bisa ditambah")))</f>
        <v/>
      </c>
      <c r="J182" s="33" t="str">
        <f aca="false">IF($A182="","",IF(Varian!$Z40="ya","bisa diganti dengan yang lebih besar",IF(Varian!$Z40="tidak","menempel, tidak bisa diganti","belum diketahui apakah bisa diganti")))</f>
        <v/>
      </c>
      <c r="K182" s="70" t="str">
        <f aca="false">IF($A182="","",IF(AND(Aturan!$C$42="",Aturan!$D$42=""),"Tidak dinilai",IF(C182="","Belum ada data",IF(C182&lt;IF(Aturan!$C$42="",0,Aturan!$C$42),"Kurang",IF(C182&gt;=IF(Aturan!$D$42="",Aturan!$C$42,Aturan!$D$42),"Nyaman","Cukup")))))</f>
        <v/>
      </c>
      <c r="L182" s="70" t="str">
        <f aca="false">IF($A182="","",IF(AND(Aturan!$C$43="",Aturan!$D$43=""),"Tidak dinilai",IF(D182="","Belum ada data",IF(D182&lt;IF(Aturan!$C$43="",0,Aturan!$C$43),"Kurang",IF(D182&gt;=IF(Aturan!$D$43="",Aturan!$C$43,Aturan!$D$43),"Nyaman","Cukup")))))</f>
        <v/>
      </c>
      <c r="M182" s="70" t="str">
        <f aca="false">IF($A182="","",IF(AND(Aturan!$C$44="",Aturan!$D$44=""),"Tidak dinilai",IF(E182="","Belum ada data",IF(E182&lt;IF(Aturan!$C$44="",0,Aturan!$C$44),"Kurang",IF(E182&gt;=IF(Aturan!$D$44="",Aturan!$C$44,Aturan!$D$44),"Nyaman","Cukup")))))</f>
        <v/>
      </c>
      <c r="N182" s="70" t="str">
        <f aca="false">IF($A182="","",IF(AND(Aturan!$C$45="",Aturan!$D$45=""),"Tidak dinilai",IF(F182="","Belum ada data",IF(F182&lt;IF(Aturan!$C$45="",0,Aturan!$C$45),"Kurang",IF(F182&gt;=IF(Aturan!$D$45="",Aturan!$C$45,Aturan!$D$45),"Nyaman","Cukup")))))</f>
        <v/>
      </c>
      <c r="O182" s="70" t="str">
        <f aca="false">IF($A182="","",IF(AND(Aturan!$C$46="",Aturan!$D$46=""),"Tidak dinilai",IF(G182="","Belum ada data",IF(G182&lt;IF(Aturan!$C$46="",0,Aturan!$C$46),"Kurang",IF(G182&gt;=IF(Aturan!$D$46="",Aturan!$C$46,Aturan!$D$46),"Nyaman","Cukup")))))</f>
        <v/>
      </c>
      <c r="P182" s="70" t="str">
        <f aca="false">IF($A182="","",IF(AND(Aturan!$C$47="",Aturan!$D$47=""),"Tidak dinilai",IF(H182="","Belum ada data",IF(H182&lt;IF(Aturan!$C$47="",0,Aturan!$C$47),"Kurang",IF(H182&gt;=IF(Aturan!$D$47="",Aturan!$C$47,Aturan!$D$47),"Nyaman","Cukup")))))</f>
        <v/>
      </c>
      <c r="Q182" s="70" t="str">
        <f aca="false">IF($A182="","",IF(COUNTIF(K182:P182,"Tidak dinilai")=6,"Tidak dinilai",IF(COUNTIF(K182:P182,"Kurang")&gt;0,"Kurang cocok",IF(COUNTIF(K182:P182,"Belum ada data")&gt;0,"Data belum lengkap",IF(COUNTIF(K182:P182,"Cukup")&gt;0,"Bisa, dengan catatan","Cocok")))))</f>
        <v/>
      </c>
      <c r="R182" s="33" t="str">
        <f aca="false">IF($A182="","",IF(K182="Kurang","prosesor tingkat "&amp;C182&amp;" dari 5, di bawah batas minimal (tingkat "&amp;Aturan!$C$42&amp;")",IF(K182="Cukup","prosesor tingkat "&amp;C182&amp;" dari 5 cukup, nyamannya mulai tingkat "&amp;Aturan!$D$42,IF(K182="Belum ada data","tingkat prosesor belum diisi",""))))</f>
        <v/>
      </c>
      <c r="S182" s="33" t="str">
        <f aca="false">IF($A182="","",IF(L182="Kurang","grafis tingkat "&amp;D182&amp;" dari 5, di bawah batas minimal (tingkat "&amp;Aturan!$C$43&amp;")",IF(L182="Cukup","grafis tingkat "&amp;D182&amp;" dari 5 cukup, nyamannya mulai tingkat "&amp;Aturan!$D$43,IF(L182="Belum ada data","tingkat grafis belum diisi",""))))</f>
        <v/>
      </c>
      <c r="T182" s="33" t="str">
        <f aca="false">IF($A182="","",IF(M182="Kurang","RAM "&amp;E182&amp;" GB, di bawah batas minimal "&amp;Aturan!$C$44&amp;" GB ("&amp;I182&amp;")",IF(M182="Cukup","RAM "&amp;E182&amp;" GB cukup, nyamannya "&amp;Aturan!$D$44&amp;" GB atau lebih ("&amp;I182&amp;")",IF(M182="Belum ada data","ukuran RAM belum diisi",""))))</f>
        <v/>
      </c>
      <c r="U182" s="33" t="str">
        <f aca="false">IF($A182="","",IF(N182="Kurang","penyimpanan "&amp;F182&amp;" GB, di bawah batas minimal "&amp;Aturan!$C$45&amp;" GB ("&amp;J182&amp;")",IF(N182="Cukup","penyimpanan "&amp;F182&amp;" GB cukup, nyamannya "&amp;Aturan!$D$45&amp;" GB atau lebih ("&amp;J182&amp;")",IF(N182="Belum ada data","ukuran penyimpanan belum diisi",""))))</f>
        <v/>
      </c>
      <c r="V182" s="33" t="str">
        <f aca="false">IF($A182="","",IF(O182="Kurang","layar "&amp;Varian!$AG40&amp;", di bawah batas minimal ("&amp;IFERROR(INDEX(Aturan!$A$63:$A$66,MATCH(Aturan!$C$46,Aturan!$B$63:$B$66,0)),"peringkat "&amp;Aturan!$C$46)&amp;")",IF(O182="Cukup","layar "&amp;Varian!$AG40&amp;" cukup, nyamannya "&amp;IFERROR(INDEX(Aturan!$A$63:$A$66,MATCH(Aturan!$D$46,Aturan!$B$63:$B$66,0)),"peringkat "&amp;Aturan!$D$46),IF(O182="Belum ada data","jenis layar belum diketahui",""))))</f>
        <v/>
      </c>
      <c r="W182" s="33" t="str">
        <f aca="false">IF($A182="","",IF(P182="Kurang","layar "&amp;H182&amp;" Hz, di bawah batas minimal "&amp;Aturan!$C$47&amp;" Hz",IF(P182="Cukup","layar "&amp;H182&amp;" Hz cukup, nyamannya "&amp;Aturan!$D$47&amp;" Hz atau lebih",IF(P182="Belum ada data","refresh rate belum diketahui",""))))</f>
        <v/>
      </c>
      <c r="X182" s="33" t="str">
        <f aca="false">IF($A182="","",IF(K182="Kurang",R182&amp;"; ","")&amp;IF(L182="Kurang",S182&amp;"; ","")&amp;IF(M182="Kurang",T182&amp;"; ","")&amp;IF(N182="Kurang",U182&amp;"; ","")&amp;IF(O182="Kurang",V182&amp;"; ","")&amp;IF(P182="Kurang",W182&amp;"; ","")&amp;IF(K182="Belum ada data",R182&amp;"; ","")&amp;IF(L182="Belum ada data",S182&amp;"; ","")&amp;IF(M182="Belum ada data",T182&amp;"; ","")&amp;IF(N182="Belum ada data",U182&amp;"; ","")&amp;IF(O182="Belum ada data",V182&amp;"; ","")&amp;IF(P182="Belum ada data",W182&amp;"; ","")&amp;IF(K182="Cukup",R182&amp;"; ","")&amp;IF(L182="Cukup",S182&amp;"; ","")&amp;IF(M182="Cukup",T182&amp;"; ","")&amp;IF(N182="Cukup",U182&amp;"; ","")&amp;IF(O182="Cukup",V182&amp;"; ","")&amp;IF(P182="Cukup",W182&amp;"; ",""))</f>
        <v/>
      </c>
      <c r="Y182" s="33" t="str">
        <f aca="false">IF($A182="","",IF(K182="Nyaman","prosesor, ","")&amp;IF(L182="Nyaman","grafis, ","")&amp;IF(M182="Nyaman","RAM, ","")&amp;IF(N182="Nyaman","penyimpanan, ","")&amp;IF(O182="Nyaman","layar, ","")&amp;IF(P182="Nyaman","refresh rate, ",""))</f>
        <v/>
      </c>
      <c r="Z182" s="33" t="str">
        <f aca="false">IF($A182="","",IF(Q182="Tidak dinilai","Belum ada kriteria yang dinilai untuk kebutuhan ini.",IF(Q182="Cocok","Semua kriteria yang dinilai sudah nyaman: "&amp;LEFT(Y182,LEN(Y182)-2)&amp;".",UPPER(LEFT(X182,1))&amp;MID(X182,2,LEN(X182)-3)&amp;"."&amp;IF(Y182="",""," Sudah nyaman: "&amp;LEFT(Y182,LEN(Y182)-2)&amp;"."))))</f>
        <v/>
      </c>
      <c r="AA182" s="33"/>
      <c r="AB182" s="33"/>
      <c r="AC182" s="69"/>
    </row>
    <row r="183" customFormat="false" ht="15" hidden="false" customHeight="true" outlineLevel="0" collapsed="false">
      <c r="A183" s="33" t="str">
        <f aca="false">IF(Varian!$A40="","",Varian!$A40)</f>
        <v/>
      </c>
      <c r="B183" s="33" t="str">
        <f aca="false">IF($A183="","",Aturan!$A$24)</f>
        <v/>
      </c>
      <c r="C183" s="69" t="str">
        <f aca="false">IF($A183="","",IFERROR(IF(ISNUMBER(INDEX(CPU!$J$4:$J$64,MATCH(Varian!$J40,CPU!$A$4:$A$64,0))),INDEX(CPU!$J$4:$J$64,MATCH(Varian!$J40,CPU!$A$4:$A$64,0)),""),""))</f>
        <v/>
      </c>
      <c r="D183" s="69" t="str">
        <f aca="false">IF($A183="","",IFERROR(IF(ISNUMBER(INDEX(GPU!$G$4:$G$64,MATCH(Varian!$K40,GPU!$A$4:$A$64,0))),INDEX(GPU!$G$4:$G$64,MATCH(Varian!$K40,GPU!$A$4:$A$64,0)),""),""))</f>
        <v/>
      </c>
      <c r="E183" s="69" t="str">
        <f aca="false">IF($A183="","",IF(ISNUMBER(Varian!$M40),Varian!$M40,""))</f>
        <v/>
      </c>
      <c r="F183" s="69" t="str">
        <f aca="false">IF($A183="","",IF(ISNUMBER(Varian!$V40),Varian!$V40,""))</f>
        <v/>
      </c>
      <c r="G183" s="69" t="str">
        <f aca="false">IF($A183="","",IFERROR(INDEX(Aturan!$B$63:$B$66,MATCH(Varian!$AG40,Aturan!$A$63:$A$66,0)),""))</f>
        <v/>
      </c>
      <c r="H183" s="69" t="str">
        <f aca="false">IF($A183="","",IF(ISNUMBER(Varian!$AI40),Varian!$AI40,""))</f>
        <v/>
      </c>
      <c r="I183" s="33" t="str">
        <f aca="false">IF($A183="","",IF(Varian!$Q40="disolder","menempel di papan utama, tidak bisa ditambah",IF(OR(Varian!$Q40="slot",Varian!$Q40="setengah_disolder"),IF(Varian!$Q40="setengah_disolder","sebagian menempel, ","")&amp;IF(ISNUMBER(Varian!$U40),IF(AND(ISNUMBER(Varian!$M40),Varian!$U40&gt;Varian!$M40),"bisa dinaikkan lewat slot sampai "&amp;Varian!$U40&amp;" GB","sudah di batas maksimal "&amp;Varian!$U40&amp;" GB"),"ada slot, batas maksimalnya belum diketahui"),"belum diketahui apakah bisa ditambah")))</f>
        <v/>
      </c>
      <c r="J183" s="33" t="str">
        <f aca="false">IF($A183="","",IF(Varian!$Z40="ya","bisa diganti dengan yang lebih besar",IF(Varian!$Z40="tidak","menempel, tidak bisa diganti","belum diketahui apakah bisa diganti")))</f>
        <v/>
      </c>
      <c r="K183" s="70" t="str">
        <f aca="false">IF($A183="","",IF(AND(Aturan!$C$48="",Aturan!$D$48=""),"Tidak dinilai",IF(C183="","Belum ada data",IF(C183&lt;IF(Aturan!$C$48="",0,Aturan!$C$48),"Kurang",IF(C183&gt;=IF(Aturan!$D$48="",Aturan!$C$48,Aturan!$D$48),"Nyaman","Cukup")))))</f>
        <v/>
      </c>
      <c r="L183" s="70" t="str">
        <f aca="false">IF($A183="","",IF(AND(Aturan!$C$49="",Aturan!$D$49=""),"Tidak dinilai",IF(D183="","Belum ada data",IF(D183&lt;IF(Aturan!$C$49="",0,Aturan!$C$49),"Kurang",IF(D183&gt;=IF(Aturan!$D$49="",Aturan!$C$49,Aturan!$D$49),"Nyaman","Cukup")))))</f>
        <v/>
      </c>
      <c r="M183" s="70" t="str">
        <f aca="false">IF($A183="","",IF(AND(Aturan!$C$50="",Aturan!$D$50=""),"Tidak dinilai",IF(E183="","Belum ada data",IF(E183&lt;IF(Aturan!$C$50="",0,Aturan!$C$50),"Kurang",IF(E183&gt;=IF(Aturan!$D$50="",Aturan!$C$50,Aturan!$D$50),"Nyaman","Cukup")))))</f>
        <v/>
      </c>
      <c r="N183" s="70" t="str">
        <f aca="false">IF($A183="","",IF(AND(Aturan!$C$51="",Aturan!$D$51=""),"Tidak dinilai",IF(F183="","Belum ada data",IF(F183&lt;IF(Aturan!$C$51="",0,Aturan!$C$51),"Kurang",IF(F183&gt;=IF(Aturan!$D$51="",Aturan!$C$51,Aturan!$D$51),"Nyaman","Cukup")))))</f>
        <v/>
      </c>
      <c r="O183" s="70" t="str">
        <f aca="false">IF($A183="","",IF(AND(Aturan!$C$52="",Aturan!$D$52=""),"Tidak dinilai",IF(G183="","Belum ada data",IF(G183&lt;IF(Aturan!$C$52="",0,Aturan!$C$52),"Kurang",IF(G183&gt;=IF(Aturan!$D$52="",Aturan!$C$52,Aturan!$D$52),"Nyaman","Cukup")))))</f>
        <v/>
      </c>
      <c r="P183" s="70" t="str">
        <f aca="false">IF($A183="","",IF(AND(Aturan!$C$53="",Aturan!$D$53=""),"Tidak dinilai",IF(H183="","Belum ada data",IF(H183&lt;IF(Aturan!$C$53="",0,Aturan!$C$53),"Kurang",IF(H183&gt;=IF(Aturan!$D$53="",Aturan!$C$53,Aturan!$D$53),"Nyaman","Cukup")))))</f>
        <v/>
      </c>
      <c r="Q183" s="70" t="str">
        <f aca="false">IF($A183="","",IF(COUNTIF(K183:P183,"Tidak dinilai")=6,"Tidak dinilai",IF(COUNTIF(K183:P183,"Kurang")&gt;0,"Kurang cocok",IF(COUNTIF(K183:P183,"Belum ada data")&gt;0,"Data belum lengkap",IF(COUNTIF(K183:P183,"Cukup")&gt;0,"Bisa, dengan catatan","Cocok")))))</f>
        <v/>
      </c>
      <c r="R183" s="33" t="str">
        <f aca="false">IF($A183="","",IF(K183="Kurang","prosesor tingkat "&amp;C183&amp;" dari 5, di bawah batas minimal (tingkat "&amp;Aturan!$C$48&amp;")",IF(K183="Cukup","prosesor tingkat "&amp;C183&amp;" dari 5 cukup, nyamannya mulai tingkat "&amp;Aturan!$D$48,IF(K183="Belum ada data","tingkat prosesor belum diisi",""))))</f>
        <v/>
      </c>
      <c r="S183" s="33" t="str">
        <f aca="false">IF($A183="","",IF(L183="Kurang","grafis tingkat "&amp;D183&amp;" dari 5, di bawah batas minimal (tingkat "&amp;Aturan!$C$49&amp;")",IF(L183="Cukup","grafis tingkat "&amp;D183&amp;" dari 5 cukup, nyamannya mulai tingkat "&amp;Aturan!$D$49,IF(L183="Belum ada data","tingkat grafis belum diisi",""))))</f>
        <v/>
      </c>
      <c r="T183" s="33" t="str">
        <f aca="false">IF($A183="","",IF(M183="Kurang","RAM "&amp;E183&amp;" GB, di bawah batas minimal "&amp;Aturan!$C$50&amp;" GB ("&amp;I183&amp;")",IF(M183="Cukup","RAM "&amp;E183&amp;" GB cukup, nyamannya "&amp;Aturan!$D$50&amp;" GB atau lebih ("&amp;I183&amp;")",IF(M183="Belum ada data","ukuran RAM belum diisi",""))))</f>
        <v/>
      </c>
      <c r="U183" s="33" t="str">
        <f aca="false">IF($A183="","",IF(N183="Kurang","penyimpanan "&amp;F183&amp;" GB, di bawah batas minimal "&amp;Aturan!$C$51&amp;" GB ("&amp;J183&amp;")",IF(N183="Cukup","penyimpanan "&amp;F183&amp;" GB cukup, nyamannya "&amp;Aturan!$D$51&amp;" GB atau lebih ("&amp;J183&amp;")",IF(N183="Belum ada data","ukuran penyimpanan belum diisi",""))))</f>
        <v/>
      </c>
      <c r="V183" s="33" t="str">
        <f aca="false">IF($A183="","",IF(O183="Kurang","layar "&amp;Varian!$AG40&amp;", di bawah batas minimal ("&amp;IFERROR(INDEX(Aturan!$A$63:$A$66,MATCH(Aturan!$C$52,Aturan!$B$63:$B$66,0)),"peringkat "&amp;Aturan!$C$52)&amp;")",IF(O183="Cukup","layar "&amp;Varian!$AG40&amp;" cukup, nyamannya "&amp;IFERROR(INDEX(Aturan!$A$63:$A$66,MATCH(Aturan!$D$52,Aturan!$B$63:$B$66,0)),"peringkat "&amp;Aturan!$D$52),IF(O183="Belum ada data","jenis layar belum diketahui",""))))</f>
        <v/>
      </c>
      <c r="W183" s="33" t="str">
        <f aca="false">IF($A183="","",IF(P183="Kurang","layar "&amp;H183&amp;" Hz, di bawah batas minimal "&amp;Aturan!$C$53&amp;" Hz",IF(P183="Cukup","layar "&amp;H183&amp;" Hz cukup, nyamannya "&amp;Aturan!$D$53&amp;" Hz atau lebih",IF(P183="Belum ada data","refresh rate belum diketahui",""))))</f>
        <v/>
      </c>
      <c r="X183" s="33" t="str">
        <f aca="false">IF($A183="","",IF(K183="Kurang",R183&amp;"; ","")&amp;IF(L183="Kurang",S183&amp;"; ","")&amp;IF(M183="Kurang",T183&amp;"; ","")&amp;IF(N183="Kurang",U183&amp;"; ","")&amp;IF(O183="Kurang",V183&amp;"; ","")&amp;IF(P183="Kurang",W183&amp;"; ","")&amp;IF(K183="Belum ada data",R183&amp;"; ","")&amp;IF(L183="Belum ada data",S183&amp;"; ","")&amp;IF(M183="Belum ada data",T183&amp;"; ","")&amp;IF(N183="Belum ada data",U183&amp;"; ","")&amp;IF(O183="Belum ada data",V183&amp;"; ","")&amp;IF(P183="Belum ada data",W183&amp;"; ","")&amp;IF(K183="Cukup",R183&amp;"; ","")&amp;IF(L183="Cukup",S183&amp;"; ","")&amp;IF(M183="Cukup",T183&amp;"; ","")&amp;IF(N183="Cukup",U183&amp;"; ","")&amp;IF(O183="Cukup",V183&amp;"; ","")&amp;IF(P183="Cukup",W183&amp;"; ",""))</f>
        <v/>
      </c>
      <c r="Y183" s="33" t="str">
        <f aca="false">IF($A183="","",IF(K183="Nyaman","prosesor, ","")&amp;IF(L183="Nyaman","grafis, ","")&amp;IF(M183="Nyaman","RAM, ","")&amp;IF(N183="Nyaman","penyimpanan, ","")&amp;IF(O183="Nyaman","layar, ","")&amp;IF(P183="Nyaman","refresh rate, ",""))</f>
        <v/>
      </c>
      <c r="Z183" s="33" t="str">
        <f aca="false">IF($A183="","",IF(Q183="Tidak dinilai","Belum ada kriteria yang dinilai untuk kebutuhan ini.",IF(Q183="Cocok","Semua kriteria yang dinilai sudah nyaman: "&amp;LEFT(Y183,LEN(Y183)-2)&amp;".",UPPER(LEFT(X183,1))&amp;MID(X183,2,LEN(X183)-3)&amp;"."&amp;IF(Y183="",""," Sudah nyaman: "&amp;LEFT(Y183,LEN(Y183)-2)&amp;"."))))</f>
        <v/>
      </c>
      <c r="AA183" s="33"/>
      <c r="AB183" s="33"/>
      <c r="AC183" s="69"/>
    </row>
    <row r="184" customFormat="false" ht="15" hidden="false" customHeight="true" outlineLevel="0" collapsed="false">
      <c r="A184" s="33" t="str">
        <f aca="false">IF(Varian!$A40="","",Varian!$A40)</f>
        <v/>
      </c>
      <c r="B184" s="33" t="str">
        <f aca="false">IF($A184="","",Aturan!$A$25)</f>
        <v/>
      </c>
      <c r="C184" s="69" t="str">
        <f aca="false">IF($A184="","",IFERROR(IF(ISNUMBER(INDEX(CPU!$J$4:$J$64,MATCH(Varian!$J40,CPU!$A$4:$A$64,0))),INDEX(CPU!$J$4:$J$64,MATCH(Varian!$J40,CPU!$A$4:$A$64,0)),""),""))</f>
        <v/>
      </c>
      <c r="D184" s="69" t="str">
        <f aca="false">IF($A184="","",IFERROR(IF(ISNUMBER(INDEX(GPU!$G$4:$G$64,MATCH(Varian!$K40,GPU!$A$4:$A$64,0))),INDEX(GPU!$G$4:$G$64,MATCH(Varian!$K40,GPU!$A$4:$A$64,0)),""),""))</f>
        <v/>
      </c>
      <c r="E184" s="69" t="str">
        <f aca="false">IF($A184="","",IF(ISNUMBER(Varian!$M40),Varian!$M40,""))</f>
        <v/>
      </c>
      <c r="F184" s="69" t="str">
        <f aca="false">IF($A184="","",IF(ISNUMBER(Varian!$V40),Varian!$V40,""))</f>
        <v/>
      </c>
      <c r="G184" s="69" t="str">
        <f aca="false">IF($A184="","",IFERROR(INDEX(Aturan!$B$63:$B$66,MATCH(Varian!$AG40,Aturan!$A$63:$A$66,0)),""))</f>
        <v/>
      </c>
      <c r="H184" s="69" t="str">
        <f aca="false">IF($A184="","",IF(ISNUMBER(Varian!$AI40),Varian!$AI40,""))</f>
        <v/>
      </c>
      <c r="I184" s="33" t="str">
        <f aca="false">IF($A184="","",IF(Varian!$Q40="disolder","menempel di papan utama, tidak bisa ditambah",IF(OR(Varian!$Q40="slot",Varian!$Q40="setengah_disolder"),IF(Varian!$Q40="setengah_disolder","sebagian menempel, ","")&amp;IF(ISNUMBER(Varian!$U40),IF(AND(ISNUMBER(Varian!$M40),Varian!$U40&gt;Varian!$M40),"bisa dinaikkan lewat slot sampai "&amp;Varian!$U40&amp;" GB","sudah di batas maksimal "&amp;Varian!$U40&amp;" GB"),"ada slot, batas maksimalnya belum diketahui"),"belum diketahui apakah bisa ditambah")))</f>
        <v/>
      </c>
      <c r="J184" s="33" t="str">
        <f aca="false">IF($A184="","",IF(Varian!$Z40="ya","bisa diganti dengan yang lebih besar",IF(Varian!$Z40="tidak","menempel, tidak bisa diganti","belum diketahui apakah bisa diganti")))</f>
        <v/>
      </c>
      <c r="K184" s="70" t="str">
        <f aca="false">IF($A184="","",IF(AND(Aturan!$C$54="",Aturan!$D$54=""),"Tidak dinilai",IF(C184="","Belum ada data",IF(C184&lt;IF(Aturan!$C$54="",0,Aturan!$C$54),"Kurang",IF(C184&gt;=IF(Aturan!$D$54="",Aturan!$C$54,Aturan!$D$54),"Nyaman","Cukup")))))</f>
        <v/>
      </c>
      <c r="L184" s="70" t="str">
        <f aca="false">IF($A184="","",IF(AND(Aturan!$C$55="",Aturan!$D$55=""),"Tidak dinilai",IF(D184="","Belum ada data",IF(D184&lt;IF(Aturan!$C$55="",0,Aturan!$C$55),"Kurang",IF(D184&gt;=IF(Aturan!$D$55="",Aturan!$C$55,Aturan!$D$55),"Nyaman","Cukup")))))</f>
        <v/>
      </c>
      <c r="M184" s="70" t="str">
        <f aca="false">IF($A184="","",IF(AND(Aturan!$C$56="",Aturan!$D$56=""),"Tidak dinilai",IF(E184="","Belum ada data",IF(E184&lt;IF(Aturan!$C$56="",0,Aturan!$C$56),"Kurang",IF(E184&gt;=IF(Aturan!$D$56="",Aturan!$C$56,Aturan!$D$56),"Nyaman","Cukup")))))</f>
        <v/>
      </c>
      <c r="N184" s="70" t="str">
        <f aca="false">IF($A184="","",IF(AND(Aturan!$C$57="",Aturan!$D$57=""),"Tidak dinilai",IF(F184="","Belum ada data",IF(F184&lt;IF(Aturan!$C$57="",0,Aturan!$C$57),"Kurang",IF(F184&gt;=IF(Aturan!$D$57="",Aturan!$C$57,Aturan!$D$57),"Nyaman","Cukup")))))</f>
        <v/>
      </c>
      <c r="O184" s="70" t="str">
        <f aca="false">IF($A184="","",IF(AND(Aturan!$C$58="",Aturan!$D$58=""),"Tidak dinilai",IF(G184="","Belum ada data",IF(G184&lt;IF(Aturan!$C$58="",0,Aturan!$C$58),"Kurang",IF(G184&gt;=IF(Aturan!$D$58="",Aturan!$C$58,Aturan!$D$58),"Nyaman","Cukup")))))</f>
        <v/>
      </c>
      <c r="P184" s="70" t="str">
        <f aca="false">IF($A184="","",IF(AND(Aturan!$C$59="",Aturan!$D$59=""),"Tidak dinilai",IF(H184="","Belum ada data",IF(H184&lt;IF(Aturan!$C$59="",0,Aturan!$C$59),"Kurang",IF(H184&gt;=IF(Aturan!$D$59="",Aturan!$C$59,Aturan!$D$59),"Nyaman","Cukup")))))</f>
        <v/>
      </c>
      <c r="Q184" s="70" t="str">
        <f aca="false">IF($A184="","",IF(COUNTIF(K184:P184,"Tidak dinilai")=6,"Tidak dinilai",IF(COUNTIF(K184:P184,"Kurang")&gt;0,"Kurang cocok",IF(COUNTIF(K184:P184,"Belum ada data")&gt;0,"Data belum lengkap",IF(COUNTIF(K184:P184,"Cukup")&gt;0,"Bisa, dengan catatan","Cocok")))))</f>
        <v/>
      </c>
      <c r="R184" s="33" t="str">
        <f aca="false">IF($A184="","",IF(K184="Kurang","prosesor tingkat "&amp;C184&amp;" dari 5, di bawah batas minimal (tingkat "&amp;Aturan!$C$54&amp;")",IF(K184="Cukup","prosesor tingkat "&amp;C184&amp;" dari 5 cukup, nyamannya mulai tingkat "&amp;Aturan!$D$54,IF(K184="Belum ada data","tingkat prosesor belum diisi",""))))</f>
        <v/>
      </c>
      <c r="S184" s="33" t="str">
        <f aca="false">IF($A184="","",IF(L184="Kurang","grafis tingkat "&amp;D184&amp;" dari 5, di bawah batas minimal (tingkat "&amp;Aturan!$C$55&amp;")",IF(L184="Cukup","grafis tingkat "&amp;D184&amp;" dari 5 cukup, nyamannya mulai tingkat "&amp;Aturan!$D$55,IF(L184="Belum ada data","tingkat grafis belum diisi",""))))</f>
        <v/>
      </c>
      <c r="T184" s="33" t="str">
        <f aca="false">IF($A184="","",IF(M184="Kurang","RAM "&amp;E184&amp;" GB, di bawah batas minimal "&amp;Aturan!$C$56&amp;" GB ("&amp;I184&amp;")",IF(M184="Cukup","RAM "&amp;E184&amp;" GB cukup, nyamannya "&amp;Aturan!$D$56&amp;" GB atau lebih ("&amp;I184&amp;")",IF(M184="Belum ada data","ukuran RAM belum diisi",""))))</f>
        <v/>
      </c>
      <c r="U184" s="33" t="str">
        <f aca="false">IF($A184="","",IF(N184="Kurang","penyimpanan "&amp;F184&amp;" GB, di bawah batas minimal "&amp;Aturan!$C$57&amp;" GB ("&amp;J184&amp;")",IF(N184="Cukup","penyimpanan "&amp;F184&amp;" GB cukup, nyamannya "&amp;Aturan!$D$57&amp;" GB atau lebih ("&amp;J184&amp;")",IF(N184="Belum ada data","ukuran penyimpanan belum diisi",""))))</f>
        <v/>
      </c>
      <c r="V184" s="33" t="str">
        <f aca="false">IF($A184="","",IF(O184="Kurang","layar "&amp;Varian!$AG40&amp;", di bawah batas minimal ("&amp;IFERROR(INDEX(Aturan!$A$63:$A$66,MATCH(Aturan!$C$58,Aturan!$B$63:$B$66,0)),"peringkat "&amp;Aturan!$C$58)&amp;")",IF(O184="Cukup","layar "&amp;Varian!$AG40&amp;" cukup, nyamannya "&amp;IFERROR(INDEX(Aturan!$A$63:$A$66,MATCH(Aturan!$D$58,Aturan!$B$63:$B$66,0)),"peringkat "&amp;Aturan!$D$58),IF(O184="Belum ada data","jenis layar belum diketahui",""))))</f>
        <v/>
      </c>
      <c r="W184" s="33" t="str">
        <f aca="false">IF($A184="","",IF(P184="Kurang","layar "&amp;H184&amp;" Hz, di bawah batas minimal "&amp;Aturan!$C$59&amp;" Hz",IF(P184="Cukup","layar "&amp;H184&amp;" Hz cukup, nyamannya "&amp;Aturan!$D$59&amp;" Hz atau lebih",IF(P184="Belum ada data","refresh rate belum diketahui",""))))</f>
        <v/>
      </c>
      <c r="X184" s="33" t="str">
        <f aca="false">IF($A184="","",IF(K184="Kurang",R184&amp;"; ","")&amp;IF(L184="Kurang",S184&amp;"; ","")&amp;IF(M184="Kurang",T184&amp;"; ","")&amp;IF(N184="Kurang",U184&amp;"; ","")&amp;IF(O184="Kurang",V184&amp;"; ","")&amp;IF(P184="Kurang",W184&amp;"; ","")&amp;IF(K184="Belum ada data",R184&amp;"; ","")&amp;IF(L184="Belum ada data",S184&amp;"; ","")&amp;IF(M184="Belum ada data",T184&amp;"; ","")&amp;IF(N184="Belum ada data",U184&amp;"; ","")&amp;IF(O184="Belum ada data",V184&amp;"; ","")&amp;IF(P184="Belum ada data",W184&amp;"; ","")&amp;IF(K184="Cukup",R184&amp;"; ","")&amp;IF(L184="Cukup",S184&amp;"; ","")&amp;IF(M184="Cukup",T184&amp;"; ","")&amp;IF(N184="Cukup",U184&amp;"; ","")&amp;IF(O184="Cukup",V184&amp;"; ","")&amp;IF(P184="Cukup",W184&amp;"; ",""))</f>
        <v/>
      </c>
      <c r="Y184" s="33" t="str">
        <f aca="false">IF($A184="","",IF(K184="Nyaman","prosesor, ","")&amp;IF(L184="Nyaman","grafis, ","")&amp;IF(M184="Nyaman","RAM, ","")&amp;IF(N184="Nyaman","penyimpanan, ","")&amp;IF(O184="Nyaman","layar, ","")&amp;IF(P184="Nyaman","refresh rate, ",""))</f>
        <v/>
      </c>
      <c r="Z184" s="33" t="str">
        <f aca="false">IF($A184="","",IF(Q184="Tidak dinilai","Belum ada kriteria yang dinilai untuk kebutuhan ini.",IF(Q184="Cocok","Semua kriteria yang dinilai sudah nyaman: "&amp;LEFT(Y184,LEN(Y184)-2)&amp;".",UPPER(LEFT(X184,1))&amp;MID(X184,2,LEN(X184)-3)&amp;"."&amp;IF(Y184="",""," Sudah nyaman: "&amp;LEFT(Y184,LEN(Y184)-2)&amp;"."))))</f>
        <v/>
      </c>
      <c r="AA184" s="33"/>
      <c r="AB184" s="33"/>
      <c r="AC184" s="69"/>
    </row>
    <row r="185" customFormat="false" ht="15" hidden="false" customHeight="true" outlineLevel="0" collapsed="false">
      <c r="A185" s="66" t="str">
        <f aca="false">IF(Varian!$A41="","",Varian!$A41)</f>
        <v/>
      </c>
      <c r="B185" s="66" t="str">
        <f aca="false">IF($A185="","",Aturan!$A$21)</f>
        <v/>
      </c>
      <c r="C185" s="67" t="str">
        <f aca="false">IF($A185="","",IFERROR(IF(ISNUMBER(INDEX(CPU!$J$4:$J$64,MATCH(Varian!$J41,CPU!$A$4:$A$64,0))),INDEX(CPU!$J$4:$J$64,MATCH(Varian!$J41,CPU!$A$4:$A$64,0)),""),""))</f>
        <v/>
      </c>
      <c r="D185" s="67" t="str">
        <f aca="false">IF($A185="","",IFERROR(IF(ISNUMBER(INDEX(GPU!$G$4:$G$64,MATCH(Varian!$K41,GPU!$A$4:$A$64,0))),INDEX(GPU!$G$4:$G$64,MATCH(Varian!$K41,GPU!$A$4:$A$64,0)),""),""))</f>
        <v/>
      </c>
      <c r="E185" s="67" t="str">
        <f aca="false">IF($A185="","",IF(ISNUMBER(Varian!$M41),Varian!$M41,""))</f>
        <v/>
      </c>
      <c r="F185" s="67" t="str">
        <f aca="false">IF($A185="","",IF(ISNUMBER(Varian!$V41),Varian!$V41,""))</f>
        <v/>
      </c>
      <c r="G185" s="67" t="str">
        <f aca="false">IF($A185="","",IFERROR(INDEX(Aturan!$B$63:$B$66,MATCH(Varian!$AG41,Aturan!$A$63:$A$66,0)),""))</f>
        <v/>
      </c>
      <c r="H185" s="67" t="str">
        <f aca="false">IF($A185="","",IF(ISNUMBER(Varian!$AI41),Varian!$AI41,""))</f>
        <v/>
      </c>
      <c r="I185" s="66" t="str">
        <f aca="false">IF($A185="","",IF(Varian!$Q41="disolder","menempel di papan utama, tidak bisa ditambah",IF(OR(Varian!$Q41="slot",Varian!$Q41="setengah_disolder"),IF(Varian!$Q41="setengah_disolder","sebagian menempel, ","")&amp;IF(ISNUMBER(Varian!$U41),IF(AND(ISNUMBER(Varian!$M41),Varian!$U41&gt;Varian!$M41),"bisa dinaikkan lewat slot sampai "&amp;Varian!$U41&amp;" GB","sudah di batas maksimal "&amp;Varian!$U41&amp;" GB"),"ada slot, batas maksimalnya belum diketahui"),"belum diketahui apakah bisa ditambah")))</f>
        <v/>
      </c>
      <c r="J185" s="66" t="str">
        <f aca="false">IF($A185="","",IF(Varian!$Z41="ya","bisa diganti dengan yang lebih besar",IF(Varian!$Z41="tidak","menempel, tidak bisa diganti","belum diketahui apakah bisa diganti")))</f>
        <v/>
      </c>
      <c r="K185" s="68" t="str">
        <f aca="false">IF($A185="","",IF(AND(Aturan!$C$30="",Aturan!$D$30=""),"Tidak dinilai",IF(C185="","Belum ada data",IF(C185&lt;IF(Aturan!$C$30="",0,Aturan!$C$30),"Kurang",IF(C185&gt;=IF(Aturan!$D$30="",Aturan!$C$30,Aturan!$D$30),"Nyaman","Cukup")))))</f>
        <v/>
      </c>
      <c r="L185" s="68" t="str">
        <f aca="false">IF($A185="","",IF(AND(Aturan!$C$31="",Aturan!$D$31=""),"Tidak dinilai",IF(D185="","Belum ada data",IF(D185&lt;IF(Aturan!$C$31="",0,Aturan!$C$31),"Kurang",IF(D185&gt;=IF(Aturan!$D$31="",Aturan!$C$31,Aturan!$D$31),"Nyaman","Cukup")))))</f>
        <v/>
      </c>
      <c r="M185" s="68" t="str">
        <f aca="false">IF($A185="","",IF(AND(Aturan!$C$32="",Aturan!$D$32=""),"Tidak dinilai",IF(E185="","Belum ada data",IF(E185&lt;IF(Aturan!$C$32="",0,Aturan!$C$32),"Kurang",IF(E185&gt;=IF(Aturan!$D$32="",Aturan!$C$32,Aturan!$D$32),"Nyaman","Cukup")))))</f>
        <v/>
      </c>
      <c r="N185" s="68" t="str">
        <f aca="false">IF($A185="","",IF(AND(Aturan!$C$33="",Aturan!$D$33=""),"Tidak dinilai",IF(F185="","Belum ada data",IF(F185&lt;IF(Aturan!$C$33="",0,Aturan!$C$33),"Kurang",IF(F185&gt;=IF(Aturan!$D$33="",Aturan!$C$33,Aturan!$D$33),"Nyaman","Cukup")))))</f>
        <v/>
      </c>
      <c r="O185" s="68" t="str">
        <f aca="false">IF($A185="","",IF(AND(Aturan!$C$34="",Aturan!$D$34=""),"Tidak dinilai",IF(G185="","Belum ada data",IF(G185&lt;IF(Aturan!$C$34="",0,Aturan!$C$34),"Kurang",IF(G185&gt;=IF(Aturan!$D$34="",Aturan!$C$34,Aturan!$D$34),"Nyaman","Cukup")))))</f>
        <v/>
      </c>
      <c r="P185" s="68" t="str">
        <f aca="false">IF($A185="","",IF(AND(Aturan!$C$35="",Aturan!$D$35=""),"Tidak dinilai",IF(H185="","Belum ada data",IF(H185&lt;IF(Aturan!$C$35="",0,Aturan!$C$35),"Kurang",IF(H185&gt;=IF(Aturan!$D$35="",Aturan!$C$35,Aturan!$D$35),"Nyaman","Cukup")))))</f>
        <v/>
      </c>
      <c r="Q185" s="68" t="str">
        <f aca="false">IF($A185="","",IF(COUNTIF(K185:P185,"Tidak dinilai")=6,"Tidak dinilai",IF(COUNTIF(K185:P185,"Kurang")&gt;0,"Kurang cocok",IF(COUNTIF(K185:P185,"Belum ada data")&gt;0,"Data belum lengkap",IF(COUNTIF(K185:P185,"Cukup")&gt;0,"Bisa, dengan catatan","Cocok")))))</f>
        <v/>
      </c>
      <c r="R185" s="66" t="str">
        <f aca="false">IF($A185="","",IF(K185="Kurang","prosesor tingkat "&amp;C185&amp;" dari 5, di bawah batas minimal (tingkat "&amp;Aturan!$C$30&amp;")",IF(K185="Cukup","prosesor tingkat "&amp;C185&amp;" dari 5 cukup, nyamannya mulai tingkat "&amp;Aturan!$D$30,IF(K185="Belum ada data","tingkat prosesor belum diisi",""))))</f>
        <v/>
      </c>
      <c r="S185" s="66" t="str">
        <f aca="false">IF($A185="","",IF(L185="Kurang","grafis tingkat "&amp;D185&amp;" dari 5, di bawah batas minimal (tingkat "&amp;Aturan!$C$31&amp;")",IF(L185="Cukup","grafis tingkat "&amp;D185&amp;" dari 5 cukup, nyamannya mulai tingkat "&amp;Aturan!$D$31,IF(L185="Belum ada data","tingkat grafis belum diisi",""))))</f>
        <v/>
      </c>
      <c r="T185" s="66" t="str">
        <f aca="false">IF($A185="","",IF(M185="Kurang","RAM "&amp;E185&amp;" GB, di bawah batas minimal "&amp;Aturan!$C$32&amp;" GB ("&amp;I185&amp;")",IF(M185="Cukup","RAM "&amp;E185&amp;" GB cukup, nyamannya "&amp;Aturan!$D$32&amp;" GB atau lebih ("&amp;I185&amp;")",IF(M185="Belum ada data","ukuran RAM belum diisi",""))))</f>
        <v/>
      </c>
      <c r="U185" s="66" t="str">
        <f aca="false">IF($A185="","",IF(N185="Kurang","penyimpanan "&amp;F185&amp;" GB, di bawah batas minimal "&amp;Aturan!$C$33&amp;" GB ("&amp;J185&amp;")",IF(N185="Cukup","penyimpanan "&amp;F185&amp;" GB cukup, nyamannya "&amp;Aturan!$D$33&amp;" GB atau lebih ("&amp;J185&amp;")",IF(N185="Belum ada data","ukuran penyimpanan belum diisi",""))))</f>
        <v/>
      </c>
      <c r="V185" s="66" t="str">
        <f aca="false">IF($A185="","",IF(O185="Kurang","layar "&amp;Varian!$AG41&amp;", di bawah batas minimal ("&amp;IFERROR(INDEX(Aturan!$A$63:$A$66,MATCH(Aturan!$C$34,Aturan!$B$63:$B$66,0)),"peringkat "&amp;Aturan!$C$34)&amp;")",IF(O185="Cukup","layar "&amp;Varian!$AG41&amp;" cukup, nyamannya "&amp;IFERROR(INDEX(Aturan!$A$63:$A$66,MATCH(Aturan!$D$34,Aturan!$B$63:$B$66,0)),"peringkat "&amp;Aturan!$D$34),IF(O185="Belum ada data","jenis layar belum diketahui",""))))</f>
        <v/>
      </c>
      <c r="W185" s="66" t="str">
        <f aca="false">IF($A185="","",IF(P185="Kurang","layar "&amp;H185&amp;" Hz, di bawah batas minimal "&amp;Aturan!$C$35&amp;" Hz",IF(P185="Cukup","layar "&amp;H185&amp;" Hz cukup, nyamannya "&amp;Aturan!$D$35&amp;" Hz atau lebih",IF(P185="Belum ada data","refresh rate belum diketahui",""))))</f>
        <v/>
      </c>
      <c r="X185" s="66" t="str">
        <f aca="false">IF($A185="","",IF(K185="Kurang",R185&amp;"; ","")&amp;IF(L185="Kurang",S185&amp;"; ","")&amp;IF(M185="Kurang",T185&amp;"; ","")&amp;IF(N185="Kurang",U185&amp;"; ","")&amp;IF(O185="Kurang",V185&amp;"; ","")&amp;IF(P185="Kurang",W185&amp;"; ","")&amp;IF(K185="Belum ada data",R185&amp;"; ","")&amp;IF(L185="Belum ada data",S185&amp;"; ","")&amp;IF(M185="Belum ada data",T185&amp;"; ","")&amp;IF(N185="Belum ada data",U185&amp;"; ","")&amp;IF(O185="Belum ada data",V185&amp;"; ","")&amp;IF(P185="Belum ada data",W185&amp;"; ","")&amp;IF(K185="Cukup",R185&amp;"; ","")&amp;IF(L185="Cukup",S185&amp;"; ","")&amp;IF(M185="Cukup",T185&amp;"; ","")&amp;IF(N185="Cukup",U185&amp;"; ","")&amp;IF(O185="Cukup",V185&amp;"; ","")&amp;IF(P185="Cukup",W185&amp;"; ",""))</f>
        <v/>
      </c>
      <c r="Y185" s="66" t="str">
        <f aca="false">IF($A185="","",IF(K185="Nyaman","prosesor, ","")&amp;IF(L185="Nyaman","grafis, ","")&amp;IF(M185="Nyaman","RAM, ","")&amp;IF(N185="Nyaman","penyimpanan, ","")&amp;IF(O185="Nyaman","layar, ","")&amp;IF(P185="Nyaman","refresh rate, ",""))</f>
        <v/>
      </c>
      <c r="Z185" s="66" t="str">
        <f aca="false">IF($A185="","",IF(Q185="Tidak dinilai","Belum ada kriteria yang dinilai untuk kebutuhan ini.",IF(Q185="Cocok","Semua kriteria yang dinilai sudah nyaman: "&amp;LEFT(Y185,LEN(Y185)-2)&amp;".",UPPER(LEFT(X185,1))&amp;MID(X185,2,LEN(X185)-3)&amp;"."&amp;IF(Y185="",""," Sudah nyaman: "&amp;LEFT(Y185,LEN(Y185)-2)&amp;"."))))</f>
        <v/>
      </c>
      <c r="AA185" s="66" t="str">
        <f aca="false">IF($A185="","",IF(Varian!$AR41="Windows 10","• "&amp;Aturan!$E$71&amp;CHAR(10),"")&amp;IF(Varian!$BB41="tidak","• "&amp;Aturan!$E$72&amp;CHAR(10),"")&amp;IF(OR(Varian!$AD41="belum terverifikasi",Varian!$AD41="tidak diketahui"),"• "&amp;Aturan!$E$73&amp;CHAR(10),"")&amp;IF(Varian!$AH41="1366x768","• "&amp;Aturan!$E$74&amp;CHAR(10),"")&amp;IF(Varian!$AG41="TN","• "&amp;Aturan!$E$75&amp;CHAR(10),"")&amp;IF(AND(Varian!$Q41="disolder",ISNUMBER(Varian!$M41),Varian!$M41&lt;=8),"• "&amp;Aturan!$E$76&amp;CHAR(10),""))</f>
        <v/>
      </c>
      <c r="AB185" s="66" t="str">
        <f aca="false">IF($A185="","",IF(AA185="","",LEFT(AA185,LEN(AA185)-1)))</f>
        <v/>
      </c>
      <c r="AC185" s="67" t="str">
        <f aca="false">IF($A185="","",IF(AA185="",0,LEN(AA185)-LEN(SUBSTITUTE(AA185,CHAR(10),""))))</f>
        <v/>
      </c>
    </row>
    <row r="186" customFormat="false" ht="15" hidden="false" customHeight="true" outlineLevel="0" collapsed="false">
      <c r="A186" s="33" t="str">
        <f aca="false">IF(Varian!$A41="","",Varian!$A41)</f>
        <v/>
      </c>
      <c r="B186" s="33" t="str">
        <f aca="false">IF($A186="","",Aturan!$A$22)</f>
        <v/>
      </c>
      <c r="C186" s="69" t="str">
        <f aca="false">IF($A186="","",IFERROR(IF(ISNUMBER(INDEX(CPU!$J$4:$J$64,MATCH(Varian!$J41,CPU!$A$4:$A$64,0))),INDEX(CPU!$J$4:$J$64,MATCH(Varian!$J41,CPU!$A$4:$A$64,0)),""),""))</f>
        <v/>
      </c>
      <c r="D186" s="69" t="str">
        <f aca="false">IF($A186="","",IFERROR(IF(ISNUMBER(INDEX(GPU!$G$4:$G$64,MATCH(Varian!$K41,GPU!$A$4:$A$64,0))),INDEX(GPU!$G$4:$G$64,MATCH(Varian!$K41,GPU!$A$4:$A$64,0)),""),""))</f>
        <v/>
      </c>
      <c r="E186" s="69" t="str">
        <f aca="false">IF($A186="","",IF(ISNUMBER(Varian!$M41),Varian!$M41,""))</f>
        <v/>
      </c>
      <c r="F186" s="69" t="str">
        <f aca="false">IF($A186="","",IF(ISNUMBER(Varian!$V41),Varian!$V41,""))</f>
        <v/>
      </c>
      <c r="G186" s="69" t="str">
        <f aca="false">IF($A186="","",IFERROR(INDEX(Aturan!$B$63:$B$66,MATCH(Varian!$AG41,Aturan!$A$63:$A$66,0)),""))</f>
        <v/>
      </c>
      <c r="H186" s="69" t="str">
        <f aca="false">IF($A186="","",IF(ISNUMBER(Varian!$AI41),Varian!$AI41,""))</f>
        <v/>
      </c>
      <c r="I186" s="33" t="str">
        <f aca="false">IF($A186="","",IF(Varian!$Q41="disolder","menempel di papan utama, tidak bisa ditambah",IF(OR(Varian!$Q41="slot",Varian!$Q41="setengah_disolder"),IF(Varian!$Q41="setengah_disolder","sebagian menempel, ","")&amp;IF(ISNUMBER(Varian!$U41),IF(AND(ISNUMBER(Varian!$M41),Varian!$U41&gt;Varian!$M41),"bisa dinaikkan lewat slot sampai "&amp;Varian!$U41&amp;" GB","sudah di batas maksimal "&amp;Varian!$U41&amp;" GB"),"ada slot, batas maksimalnya belum diketahui"),"belum diketahui apakah bisa ditambah")))</f>
        <v/>
      </c>
      <c r="J186" s="33" t="str">
        <f aca="false">IF($A186="","",IF(Varian!$Z41="ya","bisa diganti dengan yang lebih besar",IF(Varian!$Z41="tidak","menempel, tidak bisa diganti","belum diketahui apakah bisa diganti")))</f>
        <v/>
      </c>
      <c r="K186" s="70" t="str">
        <f aca="false">IF($A186="","",IF(AND(Aturan!$C$36="",Aturan!$D$36=""),"Tidak dinilai",IF(C186="","Belum ada data",IF(C186&lt;IF(Aturan!$C$36="",0,Aturan!$C$36),"Kurang",IF(C186&gt;=IF(Aturan!$D$36="",Aturan!$C$36,Aturan!$D$36),"Nyaman","Cukup")))))</f>
        <v/>
      </c>
      <c r="L186" s="70" t="str">
        <f aca="false">IF($A186="","",IF(AND(Aturan!$C$37="",Aturan!$D$37=""),"Tidak dinilai",IF(D186="","Belum ada data",IF(D186&lt;IF(Aturan!$C$37="",0,Aturan!$C$37),"Kurang",IF(D186&gt;=IF(Aturan!$D$37="",Aturan!$C$37,Aturan!$D$37),"Nyaman","Cukup")))))</f>
        <v/>
      </c>
      <c r="M186" s="70" t="str">
        <f aca="false">IF($A186="","",IF(AND(Aturan!$C$38="",Aturan!$D$38=""),"Tidak dinilai",IF(E186="","Belum ada data",IF(E186&lt;IF(Aturan!$C$38="",0,Aturan!$C$38),"Kurang",IF(E186&gt;=IF(Aturan!$D$38="",Aturan!$C$38,Aturan!$D$38),"Nyaman","Cukup")))))</f>
        <v/>
      </c>
      <c r="N186" s="70" t="str">
        <f aca="false">IF($A186="","",IF(AND(Aturan!$C$39="",Aturan!$D$39=""),"Tidak dinilai",IF(F186="","Belum ada data",IF(F186&lt;IF(Aturan!$C$39="",0,Aturan!$C$39),"Kurang",IF(F186&gt;=IF(Aturan!$D$39="",Aturan!$C$39,Aturan!$D$39),"Nyaman","Cukup")))))</f>
        <v/>
      </c>
      <c r="O186" s="70" t="str">
        <f aca="false">IF($A186="","",IF(AND(Aturan!$C$40="",Aturan!$D$40=""),"Tidak dinilai",IF(G186="","Belum ada data",IF(G186&lt;IF(Aturan!$C$40="",0,Aturan!$C$40),"Kurang",IF(G186&gt;=IF(Aturan!$D$40="",Aturan!$C$40,Aturan!$D$40),"Nyaman","Cukup")))))</f>
        <v/>
      </c>
      <c r="P186" s="70" t="str">
        <f aca="false">IF($A186="","",IF(AND(Aturan!$C$41="",Aturan!$D$41=""),"Tidak dinilai",IF(H186="","Belum ada data",IF(H186&lt;IF(Aturan!$C$41="",0,Aturan!$C$41),"Kurang",IF(H186&gt;=IF(Aturan!$D$41="",Aturan!$C$41,Aturan!$D$41),"Nyaman","Cukup")))))</f>
        <v/>
      </c>
      <c r="Q186" s="70" t="str">
        <f aca="false">IF($A186="","",IF(COUNTIF(K186:P186,"Tidak dinilai")=6,"Tidak dinilai",IF(COUNTIF(K186:P186,"Kurang")&gt;0,"Kurang cocok",IF(COUNTIF(K186:P186,"Belum ada data")&gt;0,"Data belum lengkap",IF(COUNTIF(K186:P186,"Cukup")&gt;0,"Bisa, dengan catatan","Cocok")))))</f>
        <v/>
      </c>
      <c r="R186" s="33" t="str">
        <f aca="false">IF($A186="","",IF(K186="Kurang","prosesor tingkat "&amp;C186&amp;" dari 5, di bawah batas minimal (tingkat "&amp;Aturan!$C$36&amp;")",IF(K186="Cukup","prosesor tingkat "&amp;C186&amp;" dari 5 cukup, nyamannya mulai tingkat "&amp;Aturan!$D$36,IF(K186="Belum ada data","tingkat prosesor belum diisi",""))))</f>
        <v/>
      </c>
      <c r="S186" s="33" t="str">
        <f aca="false">IF($A186="","",IF(L186="Kurang","grafis tingkat "&amp;D186&amp;" dari 5, di bawah batas minimal (tingkat "&amp;Aturan!$C$37&amp;")",IF(L186="Cukup","grafis tingkat "&amp;D186&amp;" dari 5 cukup, nyamannya mulai tingkat "&amp;Aturan!$D$37,IF(L186="Belum ada data","tingkat grafis belum diisi",""))))</f>
        <v/>
      </c>
      <c r="T186" s="33" t="str">
        <f aca="false">IF($A186="","",IF(M186="Kurang","RAM "&amp;E186&amp;" GB, di bawah batas minimal "&amp;Aturan!$C$38&amp;" GB ("&amp;I186&amp;")",IF(M186="Cukup","RAM "&amp;E186&amp;" GB cukup, nyamannya "&amp;Aturan!$D$38&amp;" GB atau lebih ("&amp;I186&amp;")",IF(M186="Belum ada data","ukuran RAM belum diisi",""))))</f>
        <v/>
      </c>
      <c r="U186" s="33" t="str">
        <f aca="false">IF($A186="","",IF(N186="Kurang","penyimpanan "&amp;F186&amp;" GB, di bawah batas minimal "&amp;Aturan!$C$39&amp;" GB ("&amp;J186&amp;")",IF(N186="Cukup","penyimpanan "&amp;F186&amp;" GB cukup, nyamannya "&amp;Aturan!$D$39&amp;" GB atau lebih ("&amp;J186&amp;")",IF(N186="Belum ada data","ukuran penyimpanan belum diisi",""))))</f>
        <v/>
      </c>
      <c r="V186" s="33" t="str">
        <f aca="false">IF($A186="","",IF(O186="Kurang","layar "&amp;Varian!$AG41&amp;", di bawah batas minimal ("&amp;IFERROR(INDEX(Aturan!$A$63:$A$66,MATCH(Aturan!$C$40,Aturan!$B$63:$B$66,0)),"peringkat "&amp;Aturan!$C$40)&amp;")",IF(O186="Cukup","layar "&amp;Varian!$AG41&amp;" cukup, nyamannya "&amp;IFERROR(INDEX(Aturan!$A$63:$A$66,MATCH(Aturan!$D$40,Aturan!$B$63:$B$66,0)),"peringkat "&amp;Aturan!$D$40),IF(O186="Belum ada data","jenis layar belum diketahui",""))))</f>
        <v/>
      </c>
      <c r="W186" s="33" t="str">
        <f aca="false">IF($A186="","",IF(P186="Kurang","layar "&amp;H186&amp;" Hz, di bawah batas minimal "&amp;Aturan!$C$41&amp;" Hz",IF(P186="Cukup","layar "&amp;H186&amp;" Hz cukup, nyamannya "&amp;Aturan!$D$41&amp;" Hz atau lebih",IF(P186="Belum ada data","refresh rate belum diketahui",""))))</f>
        <v/>
      </c>
      <c r="X186" s="33" t="str">
        <f aca="false">IF($A186="","",IF(K186="Kurang",R186&amp;"; ","")&amp;IF(L186="Kurang",S186&amp;"; ","")&amp;IF(M186="Kurang",T186&amp;"; ","")&amp;IF(N186="Kurang",U186&amp;"; ","")&amp;IF(O186="Kurang",V186&amp;"; ","")&amp;IF(P186="Kurang",W186&amp;"; ","")&amp;IF(K186="Belum ada data",R186&amp;"; ","")&amp;IF(L186="Belum ada data",S186&amp;"; ","")&amp;IF(M186="Belum ada data",T186&amp;"; ","")&amp;IF(N186="Belum ada data",U186&amp;"; ","")&amp;IF(O186="Belum ada data",V186&amp;"; ","")&amp;IF(P186="Belum ada data",W186&amp;"; ","")&amp;IF(K186="Cukup",R186&amp;"; ","")&amp;IF(L186="Cukup",S186&amp;"; ","")&amp;IF(M186="Cukup",T186&amp;"; ","")&amp;IF(N186="Cukup",U186&amp;"; ","")&amp;IF(O186="Cukup",V186&amp;"; ","")&amp;IF(P186="Cukup",W186&amp;"; ",""))</f>
        <v/>
      </c>
      <c r="Y186" s="33" t="str">
        <f aca="false">IF($A186="","",IF(K186="Nyaman","prosesor, ","")&amp;IF(L186="Nyaman","grafis, ","")&amp;IF(M186="Nyaman","RAM, ","")&amp;IF(N186="Nyaman","penyimpanan, ","")&amp;IF(O186="Nyaman","layar, ","")&amp;IF(P186="Nyaman","refresh rate, ",""))</f>
        <v/>
      </c>
      <c r="Z186" s="33" t="str">
        <f aca="false">IF($A186="","",IF(Q186="Tidak dinilai","Belum ada kriteria yang dinilai untuk kebutuhan ini.",IF(Q186="Cocok","Semua kriteria yang dinilai sudah nyaman: "&amp;LEFT(Y186,LEN(Y186)-2)&amp;".",UPPER(LEFT(X186,1))&amp;MID(X186,2,LEN(X186)-3)&amp;"."&amp;IF(Y186="",""," Sudah nyaman: "&amp;LEFT(Y186,LEN(Y186)-2)&amp;"."))))</f>
        <v/>
      </c>
      <c r="AA186" s="33"/>
      <c r="AB186" s="33"/>
      <c r="AC186" s="69"/>
    </row>
    <row r="187" customFormat="false" ht="15" hidden="false" customHeight="true" outlineLevel="0" collapsed="false">
      <c r="A187" s="33" t="str">
        <f aca="false">IF(Varian!$A41="","",Varian!$A41)</f>
        <v/>
      </c>
      <c r="B187" s="33" t="str">
        <f aca="false">IF($A187="","",Aturan!$A$23)</f>
        <v/>
      </c>
      <c r="C187" s="69" t="str">
        <f aca="false">IF($A187="","",IFERROR(IF(ISNUMBER(INDEX(CPU!$J$4:$J$64,MATCH(Varian!$J41,CPU!$A$4:$A$64,0))),INDEX(CPU!$J$4:$J$64,MATCH(Varian!$J41,CPU!$A$4:$A$64,0)),""),""))</f>
        <v/>
      </c>
      <c r="D187" s="69" t="str">
        <f aca="false">IF($A187="","",IFERROR(IF(ISNUMBER(INDEX(GPU!$G$4:$G$64,MATCH(Varian!$K41,GPU!$A$4:$A$64,0))),INDEX(GPU!$G$4:$G$64,MATCH(Varian!$K41,GPU!$A$4:$A$64,0)),""),""))</f>
        <v/>
      </c>
      <c r="E187" s="69" t="str">
        <f aca="false">IF($A187="","",IF(ISNUMBER(Varian!$M41),Varian!$M41,""))</f>
        <v/>
      </c>
      <c r="F187" s="69" t="str">
        <f aca="false">IF($A187="","",IF(ISNUMBER(Varian!$V41),Varian!$V41,""))</f>
        <v/>
      </c>
      <c r="G187" s="69" t="str">
        <f aca="false">IF($A187="","",IFERROR(INDEX(Aturan!$B$63:$B$66,MATCH(Varian!$AG41,Aturan!$A$63:$A$66,0)),""))</f>
        <v/>
      </c>
      <c r="H187" s="69" t="str">
        <f aca="false">IF($A187="","",IF(ISNUMBER(Varian!$AI41),Varian!$AI41,""))</f>
        <v/>
      </c>
      <c r="I187" s="33" t="str">
        <f aca="false">IF($A187="","",IF(Varian!$Q41="disolder","menempel di papan utama, tidak bisa ditambah",IF(OR(Varian!$Q41="slot",Varian!$Q41="setengah_disolder"),IF(Varian!$Q41="setengah_disolder","sebagian menempel, ","")&amp;IF(ISNUMBER(Varian!$U41),IF(AND(ISNUMBER(Varian!$M41),Varian!$U41&gt;Varian!$M41),"bisa dinaikkan lewat slot sampai "&amp;Varian!$U41&amp;" GB","sudah di batas maksimal "&amp;Varian!$U41&amp;" GB"),"ada slot, batas maksimalnya belum diketahui"),"belum diketahui apakah bisa ditambah")))</f>
        <v/>
      </c>
      <c r="J187" s="33" t="str">
        <f aca="false">IF($A187="","",IF(Varian!$Z41="ya","bisa diganti dengan yang lebih besar",IF(Varian!$Z41="tidak","menempel, tidak bisa diganti","belum diketahui apakah bisa diganti")))</f>
        <v/>
      </c>
      <c r="K187" s="70" t="str">
        <f aca="false">IF($A187="","",IF(AND(Aturan!$C$42="",Aturan!$D$42=""),"Tidak dinilai",IF(C187="","Belum ada data",IF(C187&lt;IF(Aturan!$C$42="",0,Aturan!$C$42),"Kurang",IF(C187&gt;=IF(Aturan!$D$42="",Aturan!$C$42,Aturan!$D$42),"Nyaman","Cukup")))))</f>
        <v/>
      </c>
      <c r="L187" s="70" t="str">
        <f aca="false">IF($A187="","",IF(AND(Aturan!$C$43="",Aturan!$D$43=""),"Tidak dinilai",IF(D187="","Belum ada data",IF(D187&lt;IF(Aturan!$C$43="",0,Aturan!$C$43),"Kurang",IF(D187&gt;=IF(Aturan!$D$43="",Aturan!$C$43,Aturan!$D$43),"Nyaman","Cukup")))))</f>
        <v/>
      </c>
      <c r="M187" s="70" t="str">
        <f aca="false">IF($A187="","",IF(AND(Aturan!$C$44="",Aturan!$D$44=""),"Tidak dinilai",IF(E187="","Belum ada data",IF(E187&lt;IF(Aturan!$C$44="",0,Aturan!$C$44),"Kurang",IF(E187&gt;=IF(Aturan!$D$44="",Aturan!$C$44,Aturan!$D$44),"Nyaman","Cukup")))))</f>
        <v/>
      </c>
      <c r="N187" s="70" t="str">
        <f aca="false">IF($A187="","",IF(AND(Aturan!$C$45="",Aturan!$D$45=""),"Tidak dinilai",IF(F187="","Belum ada data",IF(F187&lt;IF(Aturan!$C$45="",0,Aturan!$C$45),"Kurang",IF(F187&gt;=IF(Aturan!$D$45="",Aturan!$C$45,Aturan!$D$45),"Nyaman","Cukup")))))</f>
        <v/>
      </c>
      <c r="O187" s="70" t="str">
        <f aca="false">IF($A187="","",IF(AND(Aturan!$C$46="",Aturan!$D$46=""),"Tidak dinilai",IF(G187="","Belum ada data",IF(G187&lt;IF(Aturan!$C$46="",0,Aturan!$C$46),"Kurang",IF(G187&gt;=IF(Aturan!$D$46="",Aturan!$C$46,Aturan!$D$46),"Nyaman","Cukup")))))</f>
        <v/>
      </c>
      <c r="P187" s="70" t="str">
        <f aca="false">IF($A187="","",IF(AND(Aturan!$C$47="",Aturan!$D$47=""),"Tidak dinilai",IF(H187="","Belum ada data",IF(H187&lt;IF(Aturan!$C$47="",0,Aturan!$C$47),"Kurang",IF(H187&gt;=IF(Aturan!$D$47="",Aturan!$C$47,Aturan!$D$47),"Nyaman","Cukup")))))</f>
        <v/>
      </c>
      <c r="Q187" s="70" t="str">
        <f aca="false">IF($A187="","",IF(COUNTIF(K187:P187,"Tidak dinilai")=6,"Tidak dinilai",IF(COUNTIF(K187:P187,"Kurang")&gt;0,"Kurang cocok",IF(COUNTIF(K187:P187,"Belum ada data")&gt;0,"Data belum lengkap",IF(COUNTIF(K187:P187,"Cukup")&gt;0,"Bisa, dengan catatan","Cocok")))))</f>
        <v/>
      </c>
      <c r="R187" s="33" t="str">
        <f aca="false">IF($A187="","",IF(K187="Kurang","prosesor tingkat "&amp;C187&amp;" dari 5, di bawah batas minimal (tingkat "&amp;Aturan!$C$42&amp;")",IF(K187="Cukup","prosesor tingkat "&amp;C187&amp;" dari 5 cukup, nyamannya mulai tingkat "&amp;Aturan!$D$42,IF(K187="Belum ada data","tingkat prosesor belum diisi",""))))</f>
        <v/>
      </c>
      <c r="S187" s="33" t="str">
        <f aca="false">IF($A187="","",IF(L187="Kurang","grafis tingkat "&amp;D187&amp;" dari 5, di bawah batas minimal (tingkat "&amp;Aturan!$C$43&amp;")",IF(L187="Cukup","grafis tingkat "&amp;D187&amp;" dari 5 cukup, nyamannya mulai tingkat "&amp;Aturan!$D$43,IF(L187="Belum ada data","tingkat grafis belum diisi",""))))</f>
        <v/>
      </c>
      <c r="T187" s="33" t="str">
        <f aca="false">IF($A187="","",IF(M187="Kurang","RAM "&amp;E187&amp;" GB, di bawah batas minimal "&amp;Aturan!$C$44&amp;" GB ("&amp;I187&amp;")",IF(M187="Cukup","RAM "&amp;E187&amp;" GB cukup, nyamannya "&amp;Aturan!$D$44&amp;" GB atau lebih ("&amp;I187&amp;")",IF(M187="Belum ada data","ukuran RAM belum diisi",""))))</f>
        <v/>
      </c>
      <c r="U187" s="33" t="str">
        <f aca="false">IF($A187="","",IF(N187="Kurang","penyimpanan "&amp;F187&amp;" GB, di bawah batas minimal "&amp;Aturan!$C$45&amp;" GB ("&amp;J187&amp;")",IF(N187="Cukup","penyimpanan "&amp;F187&amp;" GB cukup, nyamannya "&amp;Aturan!$D$45&amp;" GB atau lebih ("&amp;J187&amp;")",IF(N187="Belum ada data","ukuran penyimpanan belum diisi",""))))</f>
        <v/>
      </c>
      <c r="V187" s="33" t="str">
        <f aca="false">IF($A187="","",IF(O187="Kurang","layar "&amp;Varian!$AG41&amp;", di bawah batas minimal ("&amp;IFERROR(INDEX(Aturan!$A$63:$A$66,MATCH(Aturan!$C$46,Aturan!$B$63:$B$66,0)),"peringkat "&amp;Aturan!$C$46)&amp;")",IF(O187="Cukup","layar "&amp;Varian!$AG41&amp;" cukup, nyamannya "&amp;IFERROR(INDEX(Aturan!$A$63:$A$66,MATCH(Aturan!$D$46,Aturan!$B$63:$B$66,0)),"peringkat "&amp;Aturan!$D$46),IF(O187="Belum ada data","jenis layar belum diketahui",""))))</f>
        <v/>
      </c>
      <c r="W187" s="33" t="str">
        <f aca="false">IF($A187="","",IF(P187="Kurang","layar "&amp;H187&amp;" Hz, di bawah batas minimal "&amp;Aturan!$C$47&amp;" Hz",IF(P187="Cukup","layar "&amp;H187&amp;" Hz cukup, nyamannya "&amp;Aturan!$D$47&amp;" Hz atau lebih",IF(P187="Belum ada data","refresh rate belum diketahui",""))))</f>
        <v/>
      </c>
      <c r="X187" s="33" t="str">
        <f aca="false">IF($A187="","",IF(K187="Kurang",R187&amp;"; ","")&amp;IF(L187="Kurang",S187&amp;"; ","")&amp;IF(M187="Kurang",T187&amp;"; ","")&amp;IF(N187="Kurang",U187&amp;"; ","")&amp;IF(O187="Kurang",V187&amp;"; ","")&amp;IF(P187="Kurang",W187&amp;"; ","")&amp;IF(K187="Belum ada data",R187&amp;"; ","")&amp;IF(L187="Belum ada data",S187&amp;"; ","")&amp;IF(M187="Belum ada data",T187&amp;"; ","")&amp;IF(N187="Belum ada data",U187&amp;"; ","")&amp;IF(O187="Belum ada data",V187&amp;"; ","")&amp;IF(P187="Belum ada data",W187&amp;"; ","")&amp;IF(K187="Cukup",R187&amp;"; ","")&amp;IF(L187="Cukup",S187&amp;"; ","")&amp;IF(M187="Cukup",T187&amp;"; ","")&amp;IF(N187="Cukup",U187&amp;"; ","")&amp;IF(O187="Cukup",V187&amp;"; ","")&amp;IF(P187="Cukup",W187&amp;"; ",""))</f>
        <v/>
      </c>
      <c r="Y187" s="33" t="str">
        <f aca="false">IF($A187="","",IF(K187="Nyaman","prosesor, ","")&amp;IF(L187="Nyaman","grafis, ","")&amp;IF(M187="Nyaman","RAM, ","")&amp;IF(N187="Nyaman","penyimpanan, ","")&amp;IF(O187="Nyaman","layar, ","")&amp;IF(P187="Nyaman","refresh rate, ",""))</f>
        <v/>
      </c>
      <c r="Z187" s="33" t="str">
        <f aca="false">IF($A187="","",IF(Q187="Tidak dinilai","Belum ada kriteria yang dinilai untuk kebutuhan ini.",IF(Q187="Cocok","Semua kriteria yang dinilai sudah nyaman: "&amp;LEFT(Y187,LEN(Y187)-2)&amp;".",UPPER(LEFT(X187,1))&amp;MID(X187,2,LEN(X187)-3)&amp;"."&amp;IF(Y187="",""," Sudah nyaman: "&amp;LEFT(Y187,LEN(Y187)-2)&amp;"."))))</f>
        <v/>
      </c>
      <c r="AA187" s="33"/>
      <c r="AB187" s="33"/>
      <c r="AC187" s="69"/>
    </row>
    <row r="188" customFormat="false" ht="15" hidden="false" customHeight="true" outlineLevel="0" collapsed="false">
      <c r="A188" s="33" t="str">
        <f aca="false">IF(Varian!$A41="","",Varian!$A41)</f>
        <v/>
      </c>
      <c r="B188" s="33" t="str">
        <f aca="false">IF($A188="","",Aturan!$A$24)</f>
        <v/>
      </c>
      <c r="C188" s="69" t="str">
        <f aca="false">IF($A188="","",IFERROR(IF(ISNUMBER(INDEX(CPU!$J$4:$J$64,MATCH(Varian!$J41,CPU!$A$4:$A$64,0))),INDEX(CPU!$J$4:$J$64,MATCH(Varian!$J41,CPU!$A$4:$A$64,0)),""),""))</f>
        <v/>
      </c>
      <c r="D188" s="69" t="str">
        <f aca="false">IF($A188="","",IFERROR(IF(ISNUMBER(INDEX(GPU!$G$4:$G$64,MATCH(Varian!$K41,GPU!$A$4:$A$64,0))),INDEX(GPU!$G$4:$G$64,MATCH(Varian!$K41,GPU!$A$4:$A$64,0)),""),""))</f>
        <v/>
      </c>
      <c r="E188" s="69" t="str">
        <f aca="false">IF($A188="","",IF(ISNUMBER(Varian!$M41),Varian!$M41,""))</f>
        <v/>
      </c>
      <c r="F188" s="69" t="str">
        <f aca="false">IF($A188="","",IF(ISNUMBER(Varian!$V41),Varian!$V41,""))</f>
        <v/>
      </c>
      <c r="G188" s="69" t="str">
        <f aca="false">IF($A188="","",IFERROR(INDEX(Aturan!$B$63:$B$66,MATCH(Varian!$AG41,Aturan!$A$63:$A$66,0)),""))</f>
        <v/>
      </c>
      <c r="H188" s="69" t="str">
        <f aca="false">IF($A188="","",IF(ISNUMBER(Varian!$AI41),Varian!$AI41,""))</f>
        <v/>
      </c>
      <c r="I188" s="33" t="str">
        <f aca="false">IF($A188="","",IF(Varian!$Q41="disolder","menempel di papan utama, tidak bisa ditambah",IF(OR(Varian!$Q41="slot",Varian!$Q41="setengah_disolder"),IF(Varian!$Q41="setengah_disolder","sebagian menempel, ","")&amp;IF(ISNUMBER(Varian!$U41),IF(AND(ISNUMBER(Varian!$M41),Varian!$U41&gt;Varian!$M41),"bisa dinaikkan lewat slot sampai "&amp;Varian!$U41&amp;" GB","sudah di batas maksimal "&amp;Varian!$U41&amp;" GB"),"ada slot, batas maksimalnya belum diketahui"),"belum diketahui apakah bisa ditambah")))</f>
        <v/>
      </c>
      <c r="J188" s="33" t="str">
        <f aca="false">IF($A188="","",IF(Varian!$Z41="ya","bisa diganti dengan yang lebih besar",IF(Varian!$Z41="tidak","menempel, tidak bisa diganti","belum diketahui apakah bisa diganti")))</f>
        <v/>
      </c>
      <c r="K188" s="70" t="str">
        <f aca="false">IF($A188="","",IF(AND(Aturan!$C$48="",Aturan!$D$48=""),"Tidak dinilai",IF(C188="","Belum ada data",IF(C188&lt;IF(Aturan!$C$48="",0,Aturan!$C$48),"Kurang",IF(C188&gt;=IF(Aturan!$D$48="",Aturan!$C$48,Aturan!$D$48),"Nyaman","Cukup")))))</f>
        <v/>
      </c>
      <c r="L188" s="70" t="str">
        <f aca="false">IF($A188="","",IF(AND(Aturan!$C$49="",Aturan!$D$49=""),"Tidak dinilai",IF(D188="","Belum ada data",IF(D188&lt;IF(Aturan!$C$49="",0,Aturan!$C$49),"Kurang",IF(D188&gt;=IF(Aturan!$D$49="",Aturan!$C$49,Aturan!$D$49),"Nyaman","Cukup")))))</f>
        <v/>
      </c>
      <c r="M188" s="70" t="str">
        <f aca="false">IF($A188="","",IF(AND(Aturan!$C$50="",Aturan!$D$50=""),"Tidak dinilai",IF(E188="","Belum ada data",IF(E188&lt;IF(Aturan!$C$50="",0,Aturan!$C$50),"Kurang",IF(E188&gt;=IF(Aturan!$D$50="",Aturan!$C$50,Aturan!$D$50),"Nyaman","Cukup")))))</f>
        <v/>
      </c>
      <c r="N188" s="70" t="str">
        <f aca="false">IF($A188="","",IF(AND(Aturan!$C$51="",Aturan!$D$51=""),"Tidak dinilai",IF(F188="","Belum ada data",IF(F188&lt;IF(Aturan!$C$51="",0,Aturan!$C$51),"Kurang",IF(F188&gt;=IF(Aturan!$D$51="",Aturan!$C$51,Aturan!$D$51),"Nyaman","Cukup")))))</f>
        <v/>
      </c>
      <c r="O188" s="70" t="str">
        <f aca="false">IF($A188="","",IF(AND(Aturan!$C$52="",Aturan!$D$52=""),"Tidak dinilai",IF(G188="","Belum ada data",IF(G188&lt;IF(Aturan!$C$52="",0,Aturan!$C$52),"Kurang",IF(G188&gt;=IF(Aturan!$D$52="",Aturan!$C$52,Aturan!$D$52),"Nyaman","Cukup")))))</f>
        <v/>
      </c>
      <c r="P188" s="70" t="str">
        <f aca="false">IF($A188="","",IF(AND(Aturan!$C$53="",Aturan!$D$53=""),"Tidak dinilai",IF(H188="","Belum ada data",IF(H188&lt;IF(Aturan!$C$53="",0,Aturan!$C$53),"Kurang",IF(H188&gt;=IF(Aturan!$D$53="",Aturan!$C$53,Aturan!$D$53),"Nyaman","Cukup")))))</f>
        <v/>
      </c>
      <c r="Q188" s="70" t="str">
        <f aca="false">IF($A188="","",IF(COUNTIF(K188:P188,"Tidak dinilai")=6,"Tidak dinilai",IF(COUNTIF(K188:P188,"Kurang")&gt;0,"Kurang cocok",IF(COUNTIF(K188:P188,"Belum ada data")&gt;0,"Data belum lengkap",IF(COUNTIF(K188:P188,"Cukup")&gt;0,"Bisa, dengan catatan","Cocok")))))</f>
        <v/>
      </c>
      <c r="R188" s="33" t="str">
        <f aca="false">IF($A188="","",IF(K188="Kurang","prosesor tingkat "&amp;C188&amp;" dari 5, di bawah batas minimal (tingkat "&amp;Aturan!$C$48&amp;")",IF(K188="Cukup","prosesor tingkat "&amp;C188&amp;" dari 5 cukup, nyamannya mulai tingkat "&amp;Aturan!$D$48,IF(K188="Belum ada data","tingkat prosesor belum diisi",""))))</f>
        <v/>
      </c>
      <c r="S188" s="33" t="str">
        <f aca="false">IF($A188="","",IF(L188="Kurang","grafis tingkat "&amp;D188&amp;" dari 5, di bawah batas minimal (tingkat "&amp;Aturan!$C$49&amp;")",IF(L188="Cukup","grafis tingkat "&amp;D188&amp;" dari 5 cukup, nyamannya mulai tingkat "&amp;Aturan!$D$49,IF(L188="Belum ada data","tingkat grafis belum diisi",""))))</f>
        <v/>
      </c>
      <c r="T188" s="33" t="str">
        <f aca="false">IF($A188="","",IF(M188="Kurang","RAM "&amp;E188&amp;" GB, di bawah batas minimal "&amp;Aturan!$C$50&amp;" GB ("&amp;I188&amp;")",IF(M188="Cukup","RAM "&amp;E188&amp;" GB cukup, nyamannya "&amp;Aturan!$D$50&amp;" GB atau lebih ("&amp;I188&amp;")",IF(M188="Belum ada data","ukuran RAM belum diisi",""))))</f>
        <v/>
      </c>
      <c r="U188" s="33" t="str">
        <f aca="false">IF($A188="","",IF(N188="Kurang","penyimpanan "&amp;F188&amp;" GB, di bawah batas minimal "&amp;Aturan!$C$51&amp;" GB ("&amp;J188&amp;")",IF(N188="Cukup","penyimpanan "&amp;F188&amp;" GB cukup, nyamannya "&amp;Aturan!$D$51&amp;" GB atau lebih ("&amp;J188&amp;")",IF(N188="Belum ada data","ukuran penyimpanan belum diisi",""))))</f>
        <v/>
      </c>
      <c r="V188" s="33" t="str">
        <f aca="false">IF($A188="","",IF(O188="Kurang","layar "&amp;Varian!$AG41&amp;", di bawah batas minimal ("&amp;IFERROR(INDEX(Aturan!$A$63:$A$66,MATCH(Aturan!$C$52,Aturan!$B$63:$B$66,0)),"peringkat "&amp;Aturan!$C$52)&amp;")",IF(O188="Cukup","layar "&amp;Varian!$AG41&amp;" cukup, nyamannya "&amp;IFERROR(INDEX(Aturan!$A$63:$A$66,MATCH(Aturan!$D$52,Aturan!$B$63:$B$66,0)),"peringkat "&amp;Aturan!$D$52),IF(O188="Belum ada data","jenis layar belum diketahui",""))))</f>
        <v/>
      </c>
      <c r="W188" s="33" t="str">
        <f aca="false">IF($A188="","",IF(P188="Kurang","layar "&amp;H188&amp;" Hz, di bawah batas minimal "&amp;Aturan!$C$53&amp;" Hz",IF(P188="Cukup","layar "&amp;H188&amp;" Hz cukup, nyamannya "&amp;Aturan!$D$53&amp;" Hz atau lebih",IF(P188="Belum ada data","refresh rate belum diketahui",""))))</f>
        <v/>
      </c>
      <c r="X188" s="33" t="str">
        <f aca="false">IF($A188="","",IF(K188="Kurang",R188&amp;"; ","")&amp;IF(L188="Kurang",S188&amp;"; ","")&amp;IF(M188="Kurang",T188&amp;"; ","")&amp;IF(N188="Kurang",U188&amp;"; ","")&amp;IF(O188="Kurang",V188&amp;"; ","")&amp;IF(P188="Kurang",W188&amp;"; ","")&amp;IF(K188="Belum ada data",R188&amp;"; ","")&amp;IF(L188="Belum ada data",S188&amp;"; ","")&amp;IF(M188="Belum ada data",T188&amp;"; ","")&amp;IF(N188="Belum ada data",U188&amp;"; ","")&amp;IF(O188="Belum ada data",V188&amp;"; ","")&amp;IF(P188="Belum ada data",W188&amp;"; ","")&amp;IF(K188="Cukup",R188&amp;"; ","")&amp;IF(L188="Cukup",S188&amp;"; ","")&amp;IF(M188="Cukup",T188&amp;"; ","")&amp;IF(N188="Cukup",U188&amp;"; ","")&amp;IF(O188="Cukup",V188&amp;"; ","")&amp;IF(P188="Cukup",W188&amp;"; ",""))</f>
        <v/>
      </c>
      <c r="Y188" s="33" t="str">
        <f aca="false">IF($A188="","",IF(K188="Nyaman","prosesor, ","")&amp;IF(L188="Nyaman","grafis, ","")&amp;IF(M188="Nyaman","RAM, ","")&amp;IF(N188="Nyaman","penyimpanan, ","")&amp;IF(O188="Nyaman","layar, ","")&amp;IF(P188="Nyaman","refresh rate, ",""))</f>
        <v/>
      </c>
      <c r="Z188" s="33" t="str">
        <f aca="false">IF($A188="","",IF(Q188="Tidak dinilai","Belum ada kriteria yang dinilai untuk kebutuhan ini.",IF(Q188="Cocok","Semua kriteria yang dinilai sudah nyaman: "&amp;LEFT(Y188,LEN(Y188)-2)&amp;".",UPPER(LEFT(X188,1))&amp;MID(X188,2,LEN(X188)-3)&amp;"."&amp;IF(Y188="",""," Sudah nyaman: "&amp;LEFT(Y188,LEN(Y188)-2)&amp;"."))))</f>
        <v/>
      </c>
      <c r="AA188" s="33"/>
      <c r="AB188" s="33"/>
      <c r="AC188" s="69"/>
    </row>
    <row r="189" customFormat="false" ht="15" hidden="false" customHeight="true" outlineLevel="0" collapsed="false">
      <c r="A189" s="33" t="str">
        <f aca="false">IF(Varian!$A41="","",Varian!$A41)</f>
        <v/>
      </c>
      <c r="B189" s="33" t="str">
        <f aca="false">IF($A189="","",Aturan!$A$25)</f>
        <v/>
      </c>
      <c r="C189" s="69" t="str">
        <f aca="false">IF($A189="","",IFERROR(IF(ISNUMBER(INDEX(CPU!$J$4:$J$64,MATCH(Varian!$J41,CPU!$A$4:$A$64,0))),INDEX(CPU!$J$4:$J$64,MATCH(Varian!$J41,CPU!$A$4:$A$64,0)),""),""))</f>
        <v/>
      </c>
      <c r="D189" s="69" t="str">
        <f aca="false">IF($A189="","",IFERROR(IF(ISNUMBER(INDEX(GPU!$G$4:$G$64,MATCH(Varian!$K41,GPU!$A$4:$A$64,0))),INDEX(GPU!$G$4:$G$64,MATCH(Varian!$K41,GPU!$A$4:$A$64,0)),""),""))</f>
        <v/>
      </c>
      <c r="E189" s="69" t="str">
        <f aca="false">IF($A189="","",IF(ISNUMBER(Varian!$M41),Varian!$M41,""))</f>
        <v/>
      </c>
      <c r="F189" s="69" t="str">
        <f aca="false">IF($A189="","",IF(ISNUMBER(Varian!$V41),Varian!$V41,""))</f>
        <v/>
      </c>
      <c r="G189" s="69" t="str">
        <f aca="false">IF($A189="","",IFERROR(INDEX(Aturan!$B$63:$B$66,MATCH(Varian!$AG41,Aturan!$A$63:$A$66,0)),""))</f>
        <v/>
      </c>
      <c r="H189" s="69" t="str">
        <f aca="false">IF($A189="","",IF(ISNUMBER(Varian!$AI41),Varian!$AI41,""))</f>
        <v/>
      </c>
      <c r="I189" s="33" t="str">
        <f aca="false">IF($A189="","",IF(Varian!$Q41="disolder","menempel di papan utama, tidak bisa ditambah",IF(OR(Varian!$Q41="slot",Varian!$Q41="setengah_disolder"),IF(Varian!$Q41="setengah_disolder","sebagian menempel, ","")&amp;IF(ISNUMBER(Varian!$U41),IF(AND(ISNUMBER(Varian!$M41),Varian!$U41&gt;Varian!$M41),"bisa dinaikkan lewat slot sampai "&amp;Varian!$U41&amp;" GB","sudah di batas maksimal "&amp;Varian!$U41&amp;" GB"),"ada slot, batas maksimalnya belum diketahui"),"belum diketahui apakah bisa ditambah")))</f>
        <v/>
      </c>
      <c r="J189" s="33" t="str">
        <f aca="false">IF($A189="","",IF(Varian!$Z41="ya","bisa diganti dengan yang lebih besar",IF(Varian!$Z41="tidak","menempel, tidak bisa diganti","belum diketahui apakah bisa diganti")))</f>
        <v/>
      </c>
      <c r="K189" s="70" t="str">
        <f aca="false">IF($A189="","",IF(AND(Aturan!$C$54="",Aturan!$D$54=""),"Tidak dinilai",IF(C189="","Belum ada data",IF(C189&lt;IF(Aturan!$C$54="",0,Aturan!$C$54),"Kurang",IF(C189&gt;=IF(Aturan!$D$54="",Aturan!$C$54,Aturan!$D$54),"Nyaman","Cukup")))))</f>
        <v/>
      </c>
      <c r="L189" s="70" t="str">
        <f aca="false">IF($A189="","",IF(AND(Aturan!$C$55="",Aturan!$D$55=""),"Tidak dinilai",IF(D189="","Belum ada data",IF(D189&lt;IF(Aturan!$C$55="",0,Aturan!$C$55),"Kurang",IF(D189&gt;=IF(Aturan!$D$55="",Aturan!$C$55,Aturan!$D$55),"Nyaman","Cukup")))))</f>
        <v/>
      </c>
      <c r="M189" s="70" t="str">
        <f aca="false">IF($A189="","",IF(AND(Aturan!$C$56="",Aturan!$D$56=""),"Tidak dinilai",IF(E189="","Belum ada data",IF(E189&lt;IF(Aturan!$C$56="",0,Aturan!$C$56),"Kurang",IF(E189&gt;=IF(Aturan!$D$56="",Aturan!$C$56,Aturan!$D$56),"Nyaman","Cukup")))))</f>
        <v/>
      </c>
      <c r="N189" s="70" t="str">
        <f aca="false">IF($A189="","",IF(AND(Aturan!$C$57="",Aturan!$D$57=""),"Tidak dinilai",IF(F189="","Belum ada data",IF(F189&lt;IF(Aturan!$C$57="",0,Aturan!$C$57),"Kurang",IF(F189&gt;=IF(Aturan!$D$57="",Aturan!$C$57,Aturan!$D$57),"Nyaman","Cukup")))))</f>
        <v/>
      </c>
      <c r="O189" s="70" t="str">
        <f aca="false">IF($A189="","",IF(AND(Aturan!$C$58="",Aturan!$D$58=""),"Tidak dinilai",IF(G189="","Belum ada data",IF(G189&lt;IF(Aturan!$C$58="",0,Aturan!$C$58),"Kurang",IF(G189&gt;=IF(Aturan!$D$58="",Aturan!$C$58,Aturan!$D$58),"Nyaman","Cukup")))))</f>
        <v/>
      </c>
      <c r="P189" s="70" t="str">
        <f aca="false">IF($A189="","",IF(AND(Aturan!$C$59="",Aturan!$D$59=""),"Tidak dinilai",IF(H189="","Belum ada data",IF(H189&lt;IF(Aturan!$C$59="",0,Aturan!$C$59),"Kurang",IF(H189&gt;=IF(Aturan!$D$59="",Aturan!$C$59,Aturan!$D$59),"Nyaman","Cukup")))))</f>
        <v/>
      </c>
      <c r="Q189" s="70" t="str">
        <f aca="false">IF($A189="","",IF(COUNTIF(K189:P189,"Tidak dinilai")=6,"Tidak dinilai",IF(COUNTIF(K189:P189,"Kurang")&gt;0,"Kurang cocok",IF(COUNTIF(K189:P189,"Belum ada data")&gt;0,"Data belum lengkap",IF(COUNTIF(K189:P189,"Cukup")&gt;0,"Bisa, dengan catatan","Cocok")))))</f>
        <v/>
      </c>
      <c r="R189" s="33" t="str">
        <f aca="false">IF($A189="","",IF(K189="Kurang","prosesor tingkat "&amp;C189&amp;" dari 5, di bawah batas minimal (tingkat "&amp;Aturan!$C$54&amp;")",IF(K189="Cukup","prosesor tingkat "&amp;C189&amp;" dari 5 cukup, nyamannya mulai tingkat "&amp;Aturan!$D$54,IF(K189="Belum ada data","tingkat prosesor belum diisi",""))))</f>
        <v/>
      </c>
      <c r="S189" s="33" t="str">
        <f aca="false">IF($A189="","",IF(L189="Kurang","grafis tingkat "&amp;D189&amp;" dari 5, di bawah batas minimal (tingkat "&amp;Aturan!$C$55&amp;")",IF(L189="Cukup","grafis tingkat "&amp;D189&amp;" dari 5 cukup, nyamannya mulai tingkat "&amp;Aturan!$D$55,IF(L189="Belum ada data","tingkat grafis belum diisi",""))))</f>
        <v/>
      </c>
      <c r="T189" s="33" t="str">
        <f aca="false">IF($A189="","",IF(M189="Kurang","RAM "&amp;E189&amp;" GB, di bawah batas minimal "&amp;Aturan!$C$56&amp;" GB ("&amp;I189&amp;")",IF(M189="Cukup","RAM "&amp;E189&amp;" GB cukup, nyamannya "&amp;Aturan!$D$56&amp;" GB atau lebih ("&amp;I189&amp;")",IF(M189="Belum ada data","ukuran RAM belum diisi",""))))</f>
        <v/>
      </c>
      <c r="U189" s="33" t="str">
        <f aca="false">IF($A189="","",IF(N189="Kurang","penyimpanan "&amp;F189&amp;" GB, di bawah batas minimal "&amp;Aturan!$C$57&amp;" GB ("&amp;J189&amp;")",IF(N189="Cukup","penyimpanan "&amp;F189&amp;" GB cukup, nyamannya "&amp;Aturan!$D$57&amp;" GB atau lebih ("&amp;J189&amp;")",IF(N189="Belum ada data","ukuran penyimpanan belum diisi",""))))</f>
        <v/>
      </c>
      <c r="V189" s="33" t="str">
        <f aca="false">IF($A189="","",IF(O189="Kurang","layar "&amp;Varian!$AG41&amp;", di bawah batas minimal ("&amp;IFERROR(INDEX(Aturan!$A$63:$A$66,MATCH(Aturan!$C$58,Aturan!$B$63:$B$66,0)),"peringkat "&amp;Aturan!$C$58)&amp;")",IF(O189="Cukup","layar "&amp;Varian!$AG41&amp;" cukup, nyamannya "&amp;IFERROR(INDEX(Aturan!$A$63:$A$66,MATCH(Aturan!$D$58,Aturan!$B$63:$B$66,0)),"peringkat "&amp;Aturan!$D$58),IF(O189="Belum ada data","jenis layar belum diketahui",""))))</f>
        <v/>
      </c>
      <c r="W189" s="33" t="str">
        <f aca="false">IF($A189="","",IF(P189="Kurang","layar "&amp;H189&amp;" Hz, di bawah batas minimal "&amp;Aturan!$C$59&amp;" Hz",IF(P189="Cukup","layar "&amp;H189&amp;" Hz cukup, nyamannya "&amp;Aturan!$D$59&amp;" Hz atau lebih",IF(P189="Belum ada data","refresh rate belum diketahui",""))))</f>
        <v/>
      </c>
      <c r="X189" s="33" t="str">
        <f aca="false">IF($A189="","",IF(K189="Kurang",R189&amp;"; ","")&amp;IF(L189="Kurang",S189&amp;"; ","")&amp;IF(M189="Kurang",T189&amp;"; ","")&amp;IF(N189="Kurang",U189&amp;"; ","")&amp;IF(O189="Kurang",V189&amp;"; ","")&amp;IF(P189="Kurang",W189&amp;"; ","")&amp;IF(K189="Belum ada data",R189&amp;"; ","")&amp;IF(L189="Belum ada data",S189&amp;"; ","")&amp;IF(M189="Belum ada data",T189&amp;"; ","")&amp;IF(N189="Belum ada data",U189&amp;"; ","")&amp;IF(O189="Belum ada data",V189&amp;"; ","")&amp;IF(P189="Belum ada data",W189&amp;"; ","")&amp;IF(K189="Cukup",R189&amp;"; ","")&amp;IF(L189="Cukup",S189&amp;"; ","")&amp;IF(M189="Cukup",T189&amp;"; ","")&amp;IF(N189="Cukup",U189&amp;"; ","")&amp;IF(O189="Cukup",V189&amp;"; ","")&amp;IF(P189="Cukup",W189&amp;"; ",""))</f>
        <v/>
      </c>
      <c r="Y189" s="33" t="str">
        <f aca="false">IF($A189="","",IF(K189="Nyaman","prosesor, ","")&amp;IF(L189="Nyaman","grafis, ","")&amp;IF(M189="Nyaman","RAM, ","")&amp;IF(N189="Nyaman","penyimpanan, ","")&amp;IF(O189="Nyaman","layar, ","")&amp;IF(P189="Nyaman","refresh rate, ",""))</f>
        <v/>
      </c>
      <c r="Z189" s="33" t="str">
        <f aca="false">IF($A189="","",IF(Q189="Tidak dinilai","Belum ada kriteria yang dinilai untuk kebutuhan ini.",IF(Q189="Cocok","Semua kriteria yang dinilai sudah nyaman: "&amp;LEFT(Y189,LEN(Y189)-2)&amp;".",UPPER(LEFT(X189,1))&amp;MID(X189,2,LEN(X189)-3)&amp;"."&amp;IF(Y189="",""," Sudah nyaman: "&amp;LEFT(Y189,LEN(Y189)-2)&amp;"."))))</f>
        <v/>
      </c>
      <c r="AA189" s="33"/>
      <c r="AB189" s="33"/>
      <c r="AC189" s="69"/>
    </row>
    <row r="190" customFormat="false" ht="15" hidden="false" customHeight="true" outlineLevel="0" collapsed="false">
      <c r="A190" s="66" t="str">
        <f aca="false">IF(Varian!$A42="","",Varian!$A42)</f>
        <v/>
      </c>
      <c r="B190" s="66" t="str">
        <f aca="false">IF($A190="","",Aturan!$A$21)</f>
        <v/>
      </c>
      <c r="C190" s="67" t="str">
        <f aca="false">IF($A190="","",IFERROR(IF(ISNUMBER(INDEX(CPU!$J$4:$J$64,MATCH(Varian!$J42,CPU!$A$4:$A$64,0))),INDEX(CPU!$J$4:$J$64,MATCH(Varian!$J42,CPU!$A$4:$A$64,0)),""),""))</f>
        <v/>
      </c>
      <c r="D190" s="67" t="str">
        <f aca="false">IF($A190="","",IFERROR(IF(ISNUMBER(INDEX(GPU!$G$4:$G$64,MATCH(Varian!$K42,GPU!$A$4:$A$64,0))),INDEX(GPU!$G$4:$G$64,MATCH(Varian!$K42,GPU!$A$4:$A$64,0)),""),""))</f>
        <v/>
      </c>
      <c r="E190" s="67" t="str">
        <f aca="false">IF($A190="","",IF(ISNUMBER(Varian!$M42),Varian!$M42,""))</f>
        <v/>
      </c>
      <c r="F190" s="67" t="str">
        <f aca="false">IF($A190="","",IF(ISNUMBER(Varian!$V42),Varian!$V42,""))</f>
        <v/>
      </c>
      <c r="G190" s="67" t="str">
        <f aca="false">IF($A190="","",IFERROR(INDEX(Aturan!$B$63:$B$66,MATCH(Varian!$AG42,Aturan!$A$63:$A$66,0)),""))</f>
        <v/>
      </c>
      <c r="H190" s="67" t="str">
        <f aca="false">IF($A190="","",IF(ISNUMBER(Varian!$AI42),Varian!$AI42,""))</f>
        <v/>
      </c>
      <c r="I190" s="66" t="str">
        <f aca="false">IF($A190="","",IF(Varian!$Q42="disolder","menempel di papan utama, tidak bisa ditambah",IF(OR(Varian!$Q42="slot",Varian!$Q42="setengah_disolder"),IF(Varian!$Q42="setengah_disolder","sebagian menempel, ","")&amp;IF(ISNUMBER(Varian!$U42),IF(AND(ISNUMBER(Varian!$M42),Varian!$U42&gt;Varian!$M42),"bisa dinaikkan lewat slot sampai "&amp;Varian!$U42&amp;" GB","sudah di batas maksimal "&amp;Varian!$U42&amp;" GB"),"ada slot, batas maksimalnya belum diketahui"),"belum diketahui apakah bisa ditambah")))</f>
        <v/>
      </c>
      <c r="J190" s="66" t="str">
        <f aca="false">IF($A190="","",IF(Varian!$Z42="ya","bisa diganti dengan yang lebih besar",IF(Varian!$Z42="tidak","menempel, tidak bisa diganti","belum diketahui apakah bisa diganti")))</f>
        <v/>
      </c>
      <c r="K190" s="68" t="str">
        <f aca="false">IF($A190="","",IF(AND(Aturan!$C$30="",Aturan!$D$30=""),"Tidak dinilai",IF(C190="","Belum ada data",IF(C190&lt;IF(Aturan!$C$30="",0,Aturan!$C$30),"Kurang",IF(C190&gt;=IF(Aturan!$D$30="",Aturan!$C$30,Aturan!$D$30),"Nyaman","Cukup")))))</f>
        <v/>
      </c>
      <c r="L190" s="68" t="str">
        <f aca="false">IF($A190="","",IF(AND(Aturan!$C$31="",Aturan!$D$31=""),"Tidak dinilai",IF(D190="","Belum ada data",IF(D190&lt;IF(Aturan!$C$31="",0,Aturan!$C$31),"Kurang",IF(D190&gt;=IF(Aturan!$D$31="",Aturan!$C$31,Aturan!$D$31),"Nyaman","Cukup")))))</f>
        <v/>
      </c>
      <c r="M190" s="68" t="str">
        <f aca="false">IF($A190="","",IF(AND(Aturan!$C$32="",Aturan!$D$32=""),"Tidak dinilai",IF(E190="","Belum ada data",IF(E190&lt;IF(Aturan!$C$32="",0,Aturan!$C$32),"Kurang",IF(E190&gt;=IF(Aturan!$D$32="",Aturan!$C$32,Aturan!$D$32),"Nyaman","Cukup")))))</f>
        <v/>
      </c>
      <c r="N190" s="68" t="str">
        <f aca="false">IF($A190="","",IF(AND(Aturan!$C$33="",Aturan!$D$33=""),"Tidak dinilai",IF(F190="","Belum ada data",IF(F190&lt;IF(Aturan!$C$33="",0,Aturan!$C$33),"Kurang",IF(F190&gt;=IF(Aturan!$D$33="",Aturan!$C$33,Aturan!$D$33),"Nyaman","Cukup")))))</f>
        <v/>
      </c>
      <c r="O190" s="68" t="str">
        <f aca="false">IF($A190="","",IF(AND(Aturan!$C$34="",Aturan!$D$34=""),"Tidak dinilai",IF(G190="","Belum ada data",IF(G190&lt;IF(Aturan!$C$34="",0,Aturan!$C$34),"Kurang",IF(G190&gt;=IF(Aturan!$D$34="",Aturan!$C$34,Aturan!$D$34),"Nyaman","Cukup")))))</f>
        <v/>
      </c>
      <c r="P190" s="68" t="str">
        <f aca="false">IF($A190="","",IF(AND(Aturan!$C$35="",Aturan!$D$35=""),"Tidak dinilai",IF(H190="","Belum ada data",IF(H190&lt;IF(Aturan!$C$35="",0,Aturan!$C$35),"Kurang",IF(H190&gt;=IF(Aturan!$D$35="",Aturan!$C$35,Aturan!$D$35),"Nyaman","Cukup")))))</f>
        <v/>
      </c>
      <c r="Q190" s="68" t="str">
        <f aca="false">IF($A190="","",IF(COUNTIF(K190:P190,"Tidak dinilai")=6,"Tidak dinilai",IF(COUNTIF(K190:P190,"Kurang")&gt;0,"Kurang cocok",IF(COUNTIF(K190:P190,"Belum ada data")&gt;0,"Data belum lengkap",IF(COUNTIF(K190:P190,"Cukup")&gt;0,"Bisa, dengan catatan","Cocok")))))</f>
        <v/>
      </c>
      <c r="R190" s="66" t="str">
        <f aca="false">IF($A190="","",IF(K190="Kurang","prosesor tingkat "&amp;C190&amp;" dari 5, di bawah batas minimal (tingkat "&amp;Aturan!$C$30&amp;")",IF(K190="Cukup","prosesor tingkat "&amp;C190&amp;" dari 5 cukup, nyamannya mulai tingkat "&amp;Aturan!$D$30,IF(K190="Belum ada data","tingkat prosesor belum diisi",""))))</f>
        <v/>
      </c>
      <c r="S190" s="66" t="str">
        <f aca="false">IF($A190="","",IF(L190="Kurang","grafis tingkat "&amp;D190&amp;" dari 5, di bawah batas minimal (tingkat "&amp;Aturan!$C$31&amp;")",IF(L190="Cukup","grafis tingkat "&amp;D190&amp;" dari 5 cukup, nyamannya mulai tingkat "&amp;Aturan!$D$31,IF(L190="Belum ada data","tingkat grafis belum diisi",""))))</f>
        <v/>
      </c>
      <c r="T190" s="66" t="str">
        <f aca="false">IF($A190="","",IF(M190="Kurang","RAM "&amp;E190&amp;" GB, di bawah batas minimal "&amp;Aturan!$C$32&amp;" GB ("&amp;I190&amp;")",IF(M190="Cukup","RAM "&amp;E190&amp;" GB cukup, nyamannya "&amp;Aturan!$D$32&amp;" GB atau lebih ("&amp;I190&amp;")",IF(M190="Belum ada data","ukuran RAM belum diisi",""))))</f>
        <v/>
      </c>
      <c r="U190" s="66" t="str">
        <f aca="false">IF($A190="","",IF(N190="Kurang","penyimpanan "&amp;F190&amp;" GB, di bawah batas minimal "&amp;Aturan!$C$33&amp;" GB ("&amp;J190&amp;")",IF(N190="Cukup","penyimpanan "&amp;F190&amp;" GB cukup, nyamannya "&amp;Aturan!$D$33&amp;" GB atau lebih ("&amp;J190&amp;")",IF(N190="Belum ada data","ukuran penyimpanan belum diisi",""))))</f>
        <v/>
      </c>
      <c r="V190" s="66" t="str">
        <f aca="false">IF($A190="","",IF(O190="Kurang","layar "&amp;Varian!$AG42&amp;", di bawah batas minimal ("&amp;IFERROR(INDEX(Aturan!$A$63:$A$66,MATCH(Aturan!$C$34,Aturan!$B$63:$B$66,0)),"peringkat "&amp;Aturan!$C$34)&amp;")",IF(O190="Cukup","layar "&amp;Varian!$AG42&amp;" cukup, nyamannya "&amp;IFERROR(INDEX(Aturan!$A$63:$A$66,MATCH(Aturan!$D$34,Aturan!$B$63:$B$66,0)),"peringkat "&amp;Aturan!$D$34),IF(O190="Belum ada data","jenis layar belum diketahui",""))))</f>
        <v/>
      </c>
      <c r="W190" s="66" t="str">
        <f aca="false">IF($A190="","",IF(P190="Kurang","layar "&amp;H190&amp;" Hz, di bawah batas minimal "&amp;Aturan!$C$35&amp;" Hz",IF(P190="Cukup","layar "&amp;H190&amp;" Hz cukup, nyamannya "&amp;Aturan!$D$35&amp;" Hz atau lebih",IF(P190="Belum ada data","refresh rate belum diketahui",""))))</f>
        <v/>
      </c>
      <c r="X190" s="66" t="str">
        <f aca="false">IF($A190="","",IF(K190="Kurang",R190&amp;"; ","")&amp;IF(L190="Kurang",S190&amp;"; ","")&amp;IF(M190="Kurang",T190&amp;"; ","")&amp;IF(N190="Kurang",U190&amp;"; ","")&amp;IF(O190="Kurang",V190&amp;"; ","")&amp;IF(P190="Kurang",W190&amp;"; ","")&amp;IF(K190="Belum ada data",R190&amp;"; ","")&amp;IF(L190="Belum ada data",S190&amp;"; ","")&amp;IF(M190="Belum ada data",T190&amp;"; ","")&amp;IF(N190="Belum ada data",U190&amp;"; ","")&amp;IF(O190="Belum ada data",V190&amp;"; ","")&amp;IF(P190="Belum ada data",W190&amp;"; ","")&amp;IF(K190="Cukup",R190&amp;"; ","")&amp;IF(L190="Cukup",S190&amp;"; ","")&amp;IF(M190="Cukup",T190&amp;"; ","")&amp;IF(N190="Cukup",U190&amp;"; ","")&amp;IF(O190="Cukup",V190&amp;"; ","")&amp;IF(P190="Cukup",W190&amp;"; ",""))</f>
        <v/>
      </c>
      <c r="Y190" s="66" t="str">
        <f aca="false">IF($A190="","",IF(K190="Nyaman","prosesor, ","")&amp;IF(L190="Nyaman","grafis, ","")&amp;IF(M190="Nyaman","RAM, ","")&amp;IF(N190="Nyaman","penyimpanan, ","")&amp;IF(O190="Nyaman","layar, ","")&amp;IF(P190="Nyaman","refresh rate, ",""))</f>
        <v/>
      </c>
      <c r="Z190" s="66" t="str">
        <f aca="false">IF($A190="","",IF(Q190="Tidak dinilai","Belum ada kriteria yang dinilai untuk kebutuhan ini.",IF(Q190="Cocok","Semua kriteria yang dinilai sudah nyaman: "&amp;LEFT(Y190,LEN(Y190)-2)&amp;".",UPPER(LEFT(X190,1))&amp;MID(X190,2,LEN(X190)-3)&amp;"."&amp;IF(Y190="",""," Sudah nyaman: "&amp;LEFT(Y190,LEN(Y190)-2)&amp;"."))))</f>
        <v/>
      </c>
      <c r="AA190" s="66" t="str">
        <f aca="false">IF($A190="","",IF(Varian!$AR42="Windows 10","• "&amp;Aturan!$E$71&amp;CHAR(10),"")&amp;IF(Varian!$BB42="tidak","• "&amp;Aturan!$E$72&amp;CHAR(10),"")&amp;IF(OR(Varian!$AD42="belum terverifikasi",Varian!$AD42="tidak diketahui"),"• "&amp;Aturan!$E$73&amp;CHAR(10),"")&amp;IF(Varian!$AH42="1366x768","• "&amp;Aturan!$E$74&amp;CHAR(10),"")&amp;IF(Varian!$AG42="TN","• "&amp;Aturan!$E$75&amp;CHAR(10),"")&amp;IF(AND(Varian!$Q42="disolder",ISNUMBER(Varian!$M42),Varian!$M42&lt;=8),"• "&amp;Aturan!$E$76&amp;CHAR(10),""))</f>
        <v/>
      </c>
      <c r="AB190" s="66" t="str">
        <f aca="false">IF($A190="","",IF(AA190="","",LEFT(AA190,LEN(AA190)-1)))</f>
        <v/>
      </c>
      <c r="AC190" s="67" t="str">
        <f aca="false">IF($A190="","",IF(AA190="",0,LEN(AA190)-LEN(SUBSTITUTE(AA190,CHAR(10),""))))</f>
        <v/>
      </c>
    </row>
    <row r="191" customFormat="false" ht="15" hidden="false" customHeight="true" outlineLevel="0" collapsed="false">
      <c r="A191" s="33" t="str">
        <f aca="false">IF(Varian!$A42="","",Varian!$A42)</f>
        <v/>
      </c>
      <c r="B191" s="33" t="str">
        <f aca="false">IF($A191="","",Aturan!$A$22)</f>
        <v/>
      </c>
      <c r="C191" s="69" t="str">
        <f aca="false">IF($A191="","",IFERROR(IF(ISNUMBER(INDEX(CPU!$J$4:$J$64,MATCH(Varian!$J42,CPU!$A$4:$A$64,0))),INDEX(CPU!$J$4:$J$64,MATCH(Varian!$J42,CPU!$A$4:$A$64,0)),""),""))</f>
        <v/>
      </c>
      <c r="D191" s="69" t="str">
        <f aca="false">IF($A191="","",IFERROR(IF(ISNUMBER(INDEX(GPU!$G$4:$G$64,MATCH(Varian!$K42,GPU!$A$4:$A$64,0))),INDEX(GPU!$G$4:$G$64,MATCH(Varian!$K42,GPU!$A$4:$A$64,0)),""),""))</f>
        <v/>
      </c>
      <c r="E191" s="69" t="str">
        <f aca="false">IF($A191="","",IF(ISNUMBER(Varian!$M42),Varian!$M42,""))</f>
        <v/>
      </c>
      <c r="F191" s="69" t="str">
        <f aca="false">IF($A191="","",IF(ISNUMBER(Varian!$V42),Varian!$V42,""))</f>
        <v/>
      </c>
      <c r="G191" s="69" t="str">
        <f aca="false">IF($A191="","",IFERROR(INDEX(Aturan!$B$63:$B$66,MATCH(Varian!$AG42,Aturan!$A$63:$A$66,0)),""))</f>
        <v/>
      </c>
      <c r="H191" s="69" t="str">
        <f aca="false">IF($A191="","",IF(ISNUMBER(Varian!$AI42),Varian!$AI42,""))</f>
        <v/>
      </c>
      <c r="I191" s="33" t="str">
        <f aca="false">IF($A191="","",IF(Varian!$Q42="disolder","menempel di papan utama, tidak bisa ditambah",IF(OR(Varian!$Q42="slot",Varian!$Q42="setengah_disolder"),IF(Varian!$Q42="setengah_disolder","sebagian menempel, ","")&amp;IF(ISNUMBER(Varian!$U42),IF(AND(ISNUMBER(Varian!$M42),Varian!$U42&gt;Varian!$M42),"bisa dinaikkan lewat slot sampai "&amp;Varian!$U42&amp;" GB","sudah di batas maksimal "&amp;Varian!$U42&amp;" GB"),"ada slot, batas maksimalnya belum diketahui"),"belum diketahui apakah bisa ditambah")))</f>
        <v/>
      </c>
      <c r="J191" s="33" t="str">
        <f aca="false">IF($A191="","",IF(Varian!$Z42="ya","bisa diganti dengan yang lebih besar",IF(Varian!$Z42="tidak","menempel, tidak bisa diganti","belum diketahui apakah bisa diganti")))</f>
        <v/>
      </c>
      <c r="K191" s="70" t="str">
        <f aca="false">IF($A191="","",IF(AND(Aturan!$C$36="",Aturan!$D$36=""),"Tidak dinilai",IF(C191="","Belum ada data",IF(C191&lt;IF(Aturan!$C$36="",0,Aturan!$C$36),"Kurang",IF(C191&gt;=IF(Aturan!$D$36="",Aturan!$C$36,Aturan!$D$36),"Nyaman","Cukup")))))</f>
        <v/>
      </c>
      <c r="L191" s="70" t="str">
        <f aca="false">IF($A191="","",IF(AND(Aturan!$C$37="",Aturan!$D$37=""),"Tidak dinilai",IF(D191="","Belum ada data",IF(D191&lt;IF(Aturan!$C$37="",0,Aturan!$C$37),"Kurang",IF(D191&gt;=IF(Aturan!$D$37="",Aturan!$C$37,Aturan!$D$37),"Nyaman","Cukup")))))</f>
        <v/>
      </c>
      <c r="M191" s="70" t="str">
        <f aca="false">IF($A191="","",IF(AND(Aturan!$C$38="",Aturan!$D$38=""),"Tidak dinilai",IF(E191="","Belum ada data",IF(E191&lt;IF(Aturan!$C$38="",0,Aturan!$C$38),"Kurang",IF(E191&gt;=IF(Aturan!$D$38="",Aturan!$C$38,Aturan!$D$38),"Nyaman","Cukup")))))</f>
        <v/>
      </c>
      <c r="N191" s="70" t="str">
        <f aca="false">IF($A191="","",IF(AND(Aturan!$C$39="",Aturan!$D$39=""),"Tidak dinilai",IF(F191="","Belum ada data",IF(F191&lt;IF(Aturan!$C$39="",0,Aturan!$C$39),"Kurang",IF(F191&gt;=IF(Aturan!$D$39="",Aturan!$C$39,Aturan!$D$39),"Nyaman","Cukup")))))</f>
        <v/>
      </c>
      <c r="O191" s="70" t="str">
        <f aca="false">IF($A191="","",IF(AND(Aturan!$C$40="",Aturan!$D$40=""),"Tidak dinilai",IF(G191="","Belum ada data",IF(G191&lt;IF(Aturan!$C$40="",0,Aturan!$C$40),"Kurang",IF(G191&gt;=IF(Aturan!$D$40="",Aturan!$C$40,Aturan!$D$40),"Nyaman","Cukup")))))</f>
        <v/>
      </c>
      <c r="P191" s="70" t="str">
        <f aca="false">IF($A191="","",IF(AND(Aturan!$C$41="",Aturan!$D$41=""),"Tidak dinilai",IF(H191="","Belum ada data",IF(H191&lt;IF(Aturan!$C$41="",0,Aturan!$C$41),"Kurang",IF(H191&gt;=IF(Aturan!$D$41="",Aturan!$C$41,Aturan!$D$41),"Nyaman","Cukup")))))</f>
        <v/>
      </c>
      <c r="Q191" s="70" t="str">
        <f aca="false">IF($A191="","",IF(COUNTIF(K191:P191,"Tidak dinilai")=6,"Tidak dinilai",IF(COUNTIF(K191:P191,"Kurang")&gt;0,"Kurang cocok",IF(COUNTIF(K191:P191,"Belum ada data")&gt;0,"Data belum lengkap",IF(COUNTIF(K191:P191,"Cukup")&gt;0,"Bisa, dengan catatan","Cocok")))))</f>
        <v/>
      </c>
      <c r="R191" s="33" t="str">
        <f aca="false">IF($A191="","",IF(K191="Kurang","prosesor tingkat "&amp;C191&amp;" dari 5, di bawah batas minimal (tingkat "&amp;Aturan!$C$36&amp;")",IF(K191="Cukup","prosesor tingkat "&amp;C191&amp;" dari 5 cukup, nyamannya mulai tingkat "&amp;Aturan!$D$36,IF(K191="Belum ada data","tingkat prosesor belum diisi",""))))</f>
        <v/>
      </c>
      <c r="S191" s="33" t="str">
        <f aca="false">IF($A191="","",IF(L191="Kurang","grafis tingkat "&amp;D191&amp;" dari 5, di bawah batas minimal (tingkat "&amp;Aturan!$C$37&amp;")",IF(L191="Cukup","grafis tingkat "&amp;D191&amp;" dari 5 cukup, nyamannya mulai tingkat "&amp;Aturan!$D$37,IF(L191="Belum ada data","tingkat grafis belum diisi",""))))</f>
        <v/>
      </c>
      <c r="T191" s="33" t="str">
        <f aca="false">IF($A191="","",IF(M191="Kurang","RAM "&amp;E191&amp;" GB, di bawah batas minimal "&amp;Aturan!$C$38&amp;" GB ("&amp;I191&amp;")",IF(M191="Cukup","RAM "&amp;E191&amp;" GB cukup, nyamannya "&amp;Aturan!$D$38&amp;" GB atau lebih ("&amp;I191&amp;")",IF(M191="Belum ada data","ukuran RAM belum diisi",""))))</f>
        <v/>
      </c>
      <c r="U191" s="33" t="str">
        <f aca="false">IF($A191="","",IF(N191="Kurang","penyimpanan "&amp;F191&amp;" GB, di bawah batas minimal "&amp;Aturan!$C$39&amp;" GB ("&amp;J191&amp;")",IF(N191="Cukup","penyimpanan "&amp;F191&amp;" GB cukup, nyamannya "&amp;Aturan!$D$39&amp;" GB atau lebih ("&amp;J191&amp;")",IF(N191="Belum ada data","ukuran penyimpanan belum diisi",""))))</f>
        <v/>
      </c>
      <c r="V191" s="33" t="str">
        <f aca="false">IF($A191="","",IF(O191="Kurang","layar "&amp;Varian!$AG42&amp;", di bawah batas minimal ("&amp;IFERROR(INDEX(Aturan!$A$63:$A$66,MATCH(Aturan!$C$40,Aturan!$B$63:$B$66,0)),"peringkat "&amp;Aturan!$C$40)&amp;")",IF(O191="Cukup","layar "&amp;Varian!$AG42&amp;" cukup, nyamannya "&amp;IFERROR(INDEX(Aturan!$A$63:$A$66,MATCH(Aturan!$D$40,Aturan!$B$63:$B$66,0)),"peringkat "&amp;Aturan!$D$40),IF(O191="Belum ada data","jenis layar belum diketahui",""))))</f>
        <v/>
      </c>
      <c r="W191" s="33" t="str">
        <f aca="false">IF($A191="","",IF(P191="Kurang","layar "&amp;H191&amp;" Hz, di bawah batas minimal "&amp;Aturan!$C$41&amp;" Hz",IF(P191="Cukup","layar "&amp;H191&amp;" Hz cukup, nyamannya "&amp;Aturan!$D$41&amp;" Hz atau lebih",IF(P191="Belum ada data","refresh rate belum diketahui",""))))</f>
        <v/>
      </c>
      <c r="X191" s="33" t="str">
        <f aca="false">IF($A191="","",IF(K191="Kurang",R191&amp;"; ","")&amp;IF(L191="Kurang",S191&amp;"; ","")&amp;IF(M191="Kurang",T191&amp;"; ","")&amp;IF(N191="Kurang",U191&amp;"; ","")&amp;IF(O191="Kurang",V191&amp;"; ","")&amp;IF(P191="Kurang",W191&amp;"; ","")&amp;IF(K191="Belum ada data",R191&amp;"; ","")&amp;IF(L191="Belum ada data",S191&amp;"; ","")&amp;IF(M191="Belum ada data",T191&amp;"; ","")&amp;IF(N191="Belum ada data",U191&amp;"; ","")&amp;IF(O191="Belum ada data",V191&amp;"; ","")&amp;IF(P191="Belum ada data",W191&amp;"; ","")&amp;IF(K191="Cukup",R191&amp;"; ","")&amp;IF(L191="Cukup",S191&amp;"; ","")&amp;IF(M191="Cukup",T191&amp;"; ","")&amp;IF(N191="Cukup",U191&amp;"; ","")&amp;IF(O191="Cukup",V191&amp;"; ","")&amp;IF(P191="Cukup",W191&amp;"; ",""))</f>
        <v/>
      </c>
      <c r="Y191" s="33" t="str">
        <f aca="false">IF($A191="","",IF(K191="Nyaman","prosesor, ","")&amp;IF(L191="Nyaman","grafis, ","")&amp;IF(M191="Nyaman","RAM, ","")&amp;IF(N191="Nyaman","penyimpanan, ","")&amp;IF(O191="Nyaman","layar, ","")&amp;IF(P191="Nyaman","refresh rate, ",""))</f>
        <v/>
      </c>
      <c r="Z191" s="33" t="str">
        <f aca="false">IF($A191="","",IF(Q191="Tidak dinilai","Belum ada kriteria yang dinilai untuk kebutuhan ini.",IF(Q191="Cocok","Semua kriteria yang dinilai sudah nyaman: "&amp;LEFT(Y191,LEN(Y191)-2)&amp;".",UPPER(LEFT(X191,1))&amp;MID(X191,2,LEN(X191)-3)&amp;"."&amp;IF(Y191="",""," Sudah nyaman: "&amp;LEFT(Y191,LEN(Y191)-2)&amp;"."))))</f>
        <v/>
      </c>
      <c r="AA191" s="33"/>
      <c r="AB191" s="33"/>
      <c r="AC191" s="69"/>
    </row>
    <row r="192" customFormat="false" ht="15" hidden="false" customHeight="true" outlineLevel="0" collapsed="false">
      <c r="A192" s="33" t="str">
        <f aca="false">IF(Varian!$A42="","",Varian!$A42)</f>
        <v/>
      </c>
      <c r="B192" s="33" t="str">
        <f aca="false">IF($A192="","",Aturan!$A$23)</f>
        <v/>
      </c>
      <c r="C192" s="69" t="str">
        <f aca="false">IF($A192="","",IFERROR(IF(ISNUMBER(INDEX(CPU!$J$4:$J$64,MATCH(Varian!$J42,CPU!$A$4:$A$64,0))),INDEX(CPU!$J$4:$J$64,MATCH(Varian!$J42,CPU!$A$4:$A$64,0)),""),""))</f>
        <v/>
      </c>
      <c r="D192" s="69" t="str">
        <f aca="false">IF($A192="","",IFERROR(IF(ISNUMBER(INDEX(GPU!$G$4:$G$64,MATCH(Varian!$K42,GPU!$A$4:$A$64,0))),INDEX(GPU!$G$4:$G$64,MATCH(Varian!$K42,GPU!$A$4:$A$64,0)),""),""))</f>
        <v/>
      </c>
      <c r="E192" s="69" t="str">
        <f aca="false">IF($A192="","",IF(ISNUMBER(Varian!$M42),Varian!$M42,""))</f>
        <v/>
      </c>
      <c r="F192" s="69" t="str">
        <f aca="false">IF($A192="","",IF(ISNUMBER(Varian!$V42),Varian!$V42,""))</f>
        <v/>
      </c>
      <c r="G192" s="69" t="str">
        <f aca="false">IF($A192="","",IFERROR(INDEX(Aturan!$B$63:$B$66,MATCH(Varian!$AG42,Aturan!$A$63:$A$66,0)),""))</f>
        <v/>
      </c>
      <c r="H192" s="69" t="str">
        <f aca="false">IF($A192="","",IF(ISNUMBER(Varian!$AI42),Varian!$AI42,""))</f>
        <v/>
      </c>
      <c r="I192" s="33" t="str">
        <f aca="false">IF($A192="","",IF(Varian!$Q42="disolder","menempel di papan utama, tidak bisa ditambah",IF(OR(Varian!$Q42="slot",Varian!$Q42="setengah_disolder"),IF(Varian!$Q42="setengah_disolder","sebagian menempel, ","")&amp;IF(ISNUMBER(Varian!$U42),IF(AND(ISNUMBER(Varian!$M42),Varian!$U42&gt;Varian!$M42),"bisa dinaikkan lewat slot sampai "&amp;Varian!$U42&amp;" GB","sudah di batas maksimal "&amp;Varian!$U42&amp;" GB"),"ada slot, batas maksimalnya belum diketahui"),"belum diketahui apakah bisa ditambah")))</f>
        <v/>
      </c>
      <c r="J192" s="33" t="str">
        <f aca="false">IF($A192="","",IF(Varian!$Z42="ya","bisa diganti dengan yang lebih besar",IF(Varian!$Z42="tidak","menempel, tidak bisa diganti","belum diketahui apakah bisa diganti")))</f>
        <v/>
      </c>
      <c r="K192" s="70" t="str">
        <f aca="false">IF($A192="","",IF(AND(Aturan!$C$42="",Aturan!$D$42=""),"Tidak dinilai",IF(C192="","Belum ada data",IF(C192&lt;IF(Aturan!$C$42="",0,Aturan!$C$42),"Kurang",IF(C192&gt;=IF(Aturan!$D$42="",Aturan!$C$42,Aturan!$D$42),"Nyaman","Cukup")))))</f>
        <v/>
      </c>
      <c r="L192" s="70" t="str">
        <f aca="false">IF($A192="","",IF(AND(Aturan!$C$43="",Aturan!$D$43=""),"Tidak dinilai",IF(D192="","Belum ada data",IF(D192&lt;IF(Aturan!$C$43="",0,Aturan!$C$43),"Kurang",IF(D192&gt;=IF(Aturan!$D$43="",Aturan!$C$43,Aturan!$D$43),"Nyaman","Cukup")))))</f>
        <v/>
      </c>
      <c r="M192" s="70" t="str">
        <f aca="false">IF($A192="","",IF(AND(Aturan!$C$44="",Aturan!$D$44=""),"Tidak dinilai",IF(E192="","Belum ada data",IF(E192&lt;IF(Aturan!$C$44="",0,Aturan!$C$44),"Kurang",IF(E192&gt;=IF(Aturan!$D$44="",Aturan!$C$44,Aturan!$D$44),"Nyaman","Cukup")))))</f>
        <v/>
      </c>
      <c r="N192" s="70" t="str">
        <f aca="false">IF($A192="","",IF(AND(Aturan!$C$45="",Aturan!$D$45=""),"Tidak dinilai",IF(F192="","Belum ada data",IF(F192&lt;IF(Aturan!$C$45="",0,Aturan!$C$45),"Kurang",IF(F192&gt;=IF(Aturan!$D$45="",Aturan!$C$45,Aturan!$D$45),"Nyaman","Cukup")))))</f>
        <v/>
      </c>
      <c r="O192" s="70" t="str">
        <f aca="false">IF($A192="","",IF(AND(Aturan!$C$46="",Aturan!$D$46=""),"Tidak dinilai",IF(G192="","Belum ada data",IF(G192&lt;IF(Aturan!$C$46="",0,Aturan!$C$46),"Kurang",IF(G192&gt;=IF(Aturan!$D$46="",Aturan!$C$46,Aturan!$D$46),"Nyaman","Cukup")))))</f>
        <v/>
      </c>
      <c r="P192" s="70" t="str">
        <f aca="false">IF($A192="","",IF(AND(Aturan!$C$47="",Aturan!$D$47=""),"Tidak dinilai",IF(H192="","Belum ada data",IF(H192&lt;IF(Aturan!$C$47="",0,Aturan!$C$47),"Kurang",IF(H192&gt;=IF(Aturan!$D$47="",Aturan!$C$47,Aturan!$D$47),"Nyaman","Cukup")))))</f>
        <v/>
      </c>
      <c r="Q192" s="70" t="str">
        <f aca="false">IF($A192="","",IF(COUNTIF(K192:P192,"Tidak dinilai")=6,"Tidak dinilai",IF(COUNTIF(K192:P192,"Kurang")&gt;0,"Kurang cocok",IF(COUNTIF(K192:P192,"Belum ada data")&gt;0,"Data belum lengkap",IF(COUNTIF(K192:P192,"Cukup")&gt;0,"Bisa, dengan catatan","Cocok")))))</f>
        <v/>
      </c>
      <c r="R192" s="33" t="str">
        <f aca="false">IF($A192="","",IF(K192="Kurang","prosesor tingkat "&amp;C192&amp;" dari 5, di bawah batas minimal (tingkat "&amp;Aturan!$C$42&amp;")",IF(K192="Cukup","prosesor tingkat "&amp;C192&amp;" dari 5 cukup, nyamannya mulai tingkat "&amp;Aturan!$D$42,IF(K192="Belum ada data","tingkat prosesor belum diisi",""))))</f>
        <v/>
      </c>
      <c r="S192" s="33" t="str">
        <f aca="false">IF($A192="","",IF(L192="Kurang","grafis tingkat "&amp;D192&amp;" dari 5, di bawah batas minimal (tingkat "&amp;Aturan!$C$43&amp;")",IF(L192="Cukup","grafis tingkat "&amp;D192&amp;" dari 5 cukup, nyamannya mulai tingkat "&amp;Aturan!$D$43,IF(L192="Belum ada data","tingkat grafis belum diisi",""))))</f>
        <v/>
      </c>
      <c r="T192" s="33" t="str">
        <f aca="false">IF($A192="","",IF(M192="Kurang","RAM "&amp;E192&amp;" GB, di bawah batas minimal "&amp;Aturan!$C$44&amp;" GB ("&amp;I192&amp;")",IF(M192="Cukup","RAM "&amp;E192&amp;" GB cukup, nyamannya "&amp;Aturan!$D$44&amp;" GB atau lebih ("&amp;I192&amp;")",IF(M192="Belum ada data","ukuran RAM belum diisi",""))))</f>
        <v/>
      </c>
      <c r="U192" s="33" t="str">
        <f aca="false">IF($A192="","",IF(N192="Kurang","penyimpanan "&amp;F192&amp;" GB, di bawah batas minimal "&amp;Aturan!$C$45&amp;" GB ("&amp;J192&amp;")",IF(N192="Cukup","penyimpanan "&amp;F192&amp;" GB cukup, nyamannya "&amp;Aturan!$D$45&amp;" GB atau lebih ("&amp;J192&amp;")",IF(N192="Belum ada data","ukuran penyimpanan belum diisi",""))))</f>
        <v/>
      </c>
      <c r="V192" s="33" t="str">
        <f aca="false">IF($A192="","",IF(O192="Kurang","layar "&amp;Varian!$AG42&amp;", di bawah batas minimal ("&amp;IFERROR(INDEX(Aturan!$A$63:$A$66,MATCH(Aturan!$C$46,Aturan!$B$63:$B$66,0)),"peringkat "&amp;Aturan!$C$46)&amp;")",IF(O192="Cukup","layar "&amp;Varian!$AG42&amp;" cukup, nyamannya "&amp;IFERROR(INDEX(Aturan!$A$63:$A$66,MATCH(Aturan!$D$46,Aturan!$B$63:$B$66,0)),"peringkat "&amp;Aturan!$D$46),IF(O192="Belum ada data","jenis layar belum diketahui",""))))</f>
        <v/>
      </c>
      <c r="W192" s="33" t="str">
        <f aca="false">IF($A192="","",IF(P192="Kurang","layar "&amp;H192&amp;" Hz, di bawah batas minimal "&amp;Aturan!$C$47&amp;" Hz",IF(P192="Cukup","layar "&amp;H192&amp;" Hz cukup, nyamannya "&amp;Aturan!$D$47&amp;" Hz atau lebih",IF(P192="Belum ada data","refresh rate belum diketahui",""))))</f>
        <v/>
      </c>
      <c r="X192" s="33" t="str">
        <f aca="false">IF($A192="","",IF(K192="Kurang",R192&amp;"; ","")&amp;IF(L192="Kurang",S192&amp;"; ","")&amp;IF(M192="Kurang",T192&amp;"; ","")&amp;IF(N192="Kurang",U192&amp;"; ","")&amp;IF(O192="Kurang",V192&amp;"; ","")&amp;IF(P192="Kurang",W192&amp;"; ","")&amp;IF(K192="Belum ada data",R192&amp;"; ","")&amp;IF(L192="Belum ada data",S192&amp;"; ","")&amp;IF(M192="Belum ada data",T192&amp;"; ","")&amp;IF(N192="Belum ada data",U192&amp;"; ","")&amp;IF(O192="Belum ada data",V192&amp;"; ","")&amp;IF(P192="Belum ada data",W192&amp;"; ","")&amp;IF(K192="Cukup",R192&amp;"; ","")&amp;IF(L192="Cukup",S192&amp;"; ","")&amp;IF(M192="Cukup",T192&amp;"; ","")&amp;IF(N192="Cukup",U192&amp;"; ","")&amp;IF(O192="Cukup",V192&amp;"; ","")&amp;IF(P192="Cukup",W192&amp;"; ",""))</f>
        <v/>
      </c>
      <c r="Y192" s="33" t="str">
        <f aca="false">IF($A192="","",IF(K192="Nyaman","prosesor, ","")&amp;IF(L192="Nyaman","grafis, ","")&amp;IF(M192="Nyaman","RAM, ","")&amp;IF(N192="Nyaman","penyimpanan, ","")&amp;IF(O192="Nyaman","layar, ","")&amp;IF(P192="Nyaman","refresh rate, ",""))</f>
        <v/>
      </c>
      <c r="Z192" s="33" t="str">
        <f aca="false">IF($A192="","",IF(Q192="Tidak dinilai","Belum ada kriteria yang dinilai untuk kebutuhan ini.",IF(Q192="Cocok","Semua kriteria yang dinilai sudah nyaman: "&amp;LEFT(Y192,LEN(Y192)-2)&amp;".",UPPER(LEFT(X192,1))&amp;MID(X192,2,LEN(X192)-3)&amp;"."&amp;IF(Y192="",""," Sudah nyaman: "&amp;LEFT(Y192,LEN(Y192)-2)&amp;"."))))</f>
        <v/>
      </c>
      <c r="AA192" s="33"/>
      <c r="AB192" s="33"/>
      <c r="AC192" s="69"/>
    </row>
    <row r="193" customFormat="false" ht="15" hidden="false" customHeight="true" outlineLevel="0" collapsed="false">
      <c r="A193" s="33" t="str">
        <f aca="false">IF(Varian!$A42="","",Varian!$A42)</f>
        <v/>
      </c>
      <c r="B193" s="33" t="str">
        <f aca="false">IF($A193="","",Aturan!$A$24)</f>
        <v/>
      </c>
      <c r="C193" s="69" t="str">
        <f aca="false">IF($A193="","",IFERROR(IF(ISNUMBER(INDEX(CPU!$J$4:$J$64,MATCH(Varian!$J42,CPU!$A$4:$A$64,0))),INDEX(CPU!$J$4:$J$64,MATCH(Varian!$J42,CPU!$A$4:$A$64,0)),""),""))</f>
        <v/>
      </c>
      <c r="D193" s="69" t="str">
        <f aca="false">IF($A193="","",IFERROR(IF(ISNUMBER(INDEX(GPU!$G$4:$G$64,MATCH(Varian!$K42,GPU!$A$4:$A$64,0))),INDEX(GPU!$G$4:$G$64,MATCH(Varian!$K42,GPU!$A$4:$A$64,0)),""),""))</f>
        <v/>
      </c>
      <c r="E193" s="69" t="str">
        <f aca="false">IF($A193="","",IF(ISNUMBER(Varian!$M42),Varian!$M42,""))</f>
        <v/>
      </c>
      <c r="F193" s="69" t="str">
        <f aca="false">IF($A193="","",IF(ISNUMBER(Varian!$V42),Varian!$V42,""))</f>
        <v/>
      </c>
      <c r="G193" s="69" t="str">
        <f aca="false">IF($A193="","",IFERROR(INDEX(Aturan!$B$63:$B$66,MATCH(Varian!$AG42,Aturan!$A$63:$A$66,0)),""))</f>
        <v/>
      </c>
      <c r="H193" s="69" t="str">
        <f aca="false">IF($A193="","",IF(ISNUMBER(Varian!$AI42),Varian!$AI42,""))</f>
        <v/>
      </c>
      <c r="I193" s="33" t="str">
        <f aca="false">IF($A193="","",IF(Varian!$Q42="disolder","menempel di papan utama, tidak bisa ditambah",IF(OR(Varian!$Q42="slot",Varian!$Q42="setengah_disolder"),IF(Varian!$Q42="setengah_disolder","sebagian menempel, ","")&amp;IF(ISNUMBER(Varian!$U42),IF(AND(ISNUMBER(Varian!$M42),Varian!$U42&gt;Varian!$M42),"bisa dinaikkan lewat slot sampai "&amp;Varian!$U42&amp;" GB","sudah di batas maksimal "&amp;Varian!$U42&amp;" GB"),"ada slot, batas maksimalnya belum diketahui"),"belum diketahui apakah bisa ditambah")))</f>
        <v/>
      </c>
      <c r="J193" s="33" t="str">
        <f aca="false">IF($A193="","",IF(Varian!$Z42="ya","bisa diganti dengan yang lebih besar",IF(Varian!$Z42="tidak","menempel, tidak bisa diganti","belum diketahui apakah bisa diganti")))</f>
        <v/>
      </c>
      <c r="K193" s="70" t="str">
        <f aca="false">IF($A193="","",IF(AND(Aturan!$C$48="",Aturan!$D$48=""),"Tidak dinilai",IF(C193="","Belum ada data",IF(C193&lt;IF(Aturan!$C$48="",0,Aturan!$C$48),"Kurang",IF(C193&gt;=IF(Aturan!$D$48="",Aturan!$C$48,Aturan!$D$48),"Nyaman","Cukup")))))</f>
        <v/>
      </c>
      <c r="L193" s="70" t="str">
        <f aca="false">IF($A193="","",IF(AND(Aturan!$C$49="",Aturan!$D$49=""),"Tidak dinilai",IF(D193="","Belum ada data",IF(D193&lt;IF(Aturan!$C$49="",0,Aturan!$C$49),"Kurang",IF(D193&gt;=IF(Aturan!$D$49="",Aturan!$C$49,Aturan!$D$49),"Nyaman","Cukup")))))</f>
        <v/>
      </c>
      <c r="M193" s="70" t="str">
        <f aca="false">IF($A193="","",IF(AND(Aturan!$C$50="",Aturan!$D$50=""),"Tidak dinilai",IF(E193="","Belum ada data",IF(E193&lt;IF(Aturan!$C$50="",0,Aturan!$C$50),"Kurang",IF(E193&gt;=IF(Aturan!$D$50="",Aturan!$C$50,Aturan!$D$50),"Nyaman","Cukup")))))</f>
        <v/>
      </c>
      <c r="N193" s="70" t="str">
        <f aca="false">IF($A193="","",IF(AND(Aturan!$C$51="",Aturan!$D$51=""),"Tidak dinilai",IF(F193="","Belum ada data",IF(F193&lt;IF(Aturan!$C$51="",0,Aturan!$C$51),"Kurang",IF(F193&gt;=IF(Aturan!$D$51="",Aturan!$C$51,Aturan!$D$51),"Nyaman","Cukup")))))</f>
        <v/>
      </c>
      <c r="O193" s="70" t="str">
        <f aca="false">IF($A193="","",IF(AND(Aturan!$C$52="",Aturan!$D$52=""),"Tidak dinilai",IF(G193="","Belum ada data",IF(G193&lt;IF(Aturan!$C$52="",0,Aturan!$C$52),"Kurang",IF(G193&gt;=IF(Aturan!$D$52="",Aturan!$C$52,Aturan!$D$52),"Nyaman","Cukup")))))</f>
        <v/>
      </c>
      <c r="P193" s="70" t="str">
        <f aca="false">IF($A193="","",IF(AND(Aturan!$C$53="",Aturan!$D$53=""),"Tidak dinilai",IF(H193="","Belum ada data",IF(H193&lt;IF(Aturan!$C$53="",0,Aturan!$C$53),"Kurang",IF(H193&gt;=IF(Aturan!$D$53="",Aturan!$C$53,Aturan!$D$53),"Nyaman","Cukup")))))</f>
        <v/>
      </c>
      <c r="Q193" s="70" t="str">
        <f aca="false">IF($A193="","",IF(COUNTIF(K193:P193,"Tidak dinilai")=6,"Tidak dinilai",IF(COUNTIF(K193:P193,"Kurang")&gt;0,"Kurang cocok",IF(COUNTIF(K193:P193,"Belum ada data")&gt;0,"Data belum lengkap",IF(COUNTIF(K193:P193,"Cukup")&gt;0,"Bisa, dengan catatan","Cocok")))))</f>
        <v/>
      </c>
      <c r="R193" s="33" t="str">
        <f aca="false">IF($A193="","",IF(K193="Kurang","prosesor tingkat "&amp;C193&amp;" dari 5, di bawah batas minimal (tingkat "&amp;Aturan!$C$48&amp;")",IF(K193="Cukup","prosesor tingkat "&amp;C193&amp;" dari 5 cukup, nyamannya mulai tingkat "&amp;Aturan!$D$48,IF(K193="Belum ada data","tingkat prosesor belum diisi",""))))</f>
        <v/>
      </c>
      <c r="S193" s="33" t="str">
        <f aca="false">IF($A193="","",IF(L193="Kurang","grafis tingkat "&amp;D193&amp;" dari 5, di bawah batas minimal (tingkat "&amp;Aturan!$C$49&amp;")",IF(L193="Cukup","grafis tingkat "&amp;D193&amp;" dari 5 cukup, nyamannya mulai tingkat "&amp;Aturan!$D$49,IF(L193="Belum ada data","tingkat grafis belum diisi",""))))</f>
        <v/>
      </c>
      <c r="T193" s="33" t="str">
        <f aca="false">IF($A193="","",IF(M193="Kurang","RAM "&amp;E193&amp;" GB, di bawah batas minimal "&amp;Aturan!$C$50&amp;" GB ("&amp;I193&amp;")",IF(M193="Cukup","RAM "&amp;E193&amp;" GB cukup, nyamannya "&amp;Aturan!$D$50&amp;" GB atau lebih ("&amp;I193&amp;")",IF(M193="Belum ada data","ukuran RAM belum diisi",""))))</f>
        <v/>
      </c>
      <c r="U193" s="33" t="str">
        <f aca="false">IF($A193="","",IF(N193="Kurang","penyimpanan "&amp;F193&amp;" GB, di bawah batas minimal "&amp;Aturan!$C$51&amp;" GB ("&amp;J193&amp;")",IF(N193="Cukup","penyimpanan "&amp;F193&amp;" GB cukup, nyamannya "&amp;Aturan!$D$51&amp;" GB atau lebih ("&amp;J193&amp;")",IF(N193="Belum ada data","ukuran penyimpanan belum diisi",""))))</f>
        <v/>
      </c>
      <c r="V193" s="33" t="str">
        <f aca="false">IF($A193="","",IF(O193="Kurang","layar "&amp;Varian!$AG42&amp;", di bawah batas minimal ("&amp;IFERROR(INDEX(Aturan!$A$63:$A$66,MATCH(Aturan!$C$52,Aturan!$B$63:$B$66,0)),"peringkat "&amp;Aturan!$C$52)&amp;")",IF(O193="Cukup","layar "&amp;Varian!$AG42&amp;" cukup, nyamannya "&amp;IFERROR(INDEX(Aturan!$A$63:$A$66,MATCH(Aturan!$D$52,Aturan!$B$63:$B$66,0)),"peringkat "&amp;Aturan!$D$52),IF(O193="Belum ada data","jenis layar belum diketahui",""))))</f>
        <v/>
      </c>
      <c r="W193" s="33" t="str">
        <f aca="false">IF($A193="","",IF(P193="Kurang","layar "&amp;H193&amp;" Hz, di bawah batas minimal "&amp;Aturan!$C$53&amp;" Hz",IF(P193="Cukup","layar "&amp;H193&amp;" Hz cukup, nyamannya "&amp;Aturan!$D$53&amp;" Hz atau lebih",IF(P193="Belum ada data","refresh rate belum diketahui",""))))</f>
        <v/>
      </c>
      <c r="X193" s="33" t="str">
        <f aca="false">IF($A193="","",IF(K193="Kurang",R193&amp;"; ","")&amp;IF(L193="Kurang",S193&amp;"; ","")&amp;IF(M193="Kurang",T193&amp;"; ","")&amp;IF(N193="Kurang",U193&amp;"; ","")&amp;IF(O193="Kurang",V193&amp;"; ","")&amp;IF(P193="Kurang",W193&amp;"; ","")&amp;IF(K193="Belum ada data",R193&amp;"; ","")&amp;IF(L193="Belum ada data",S193&amp;"; ","")&amp;IF(M193="Belum ada data",T193&amp;"; ","")&amp;IF(N193="Belum ada data",U193&amp;"; ","")&amp;IF(O193="Belum ada data",V193&amp;"; ","")&amp;IF(P193="Belum ada data",W193&amp;"; ","")&amp;IF(K193="Cukup",R193&amp;"; ","")&amp;IF(L193="Cukup",S193&amp;"; ","")&amp;IF(M193="Cukup",T193&amp;"; ","")&amp;IF(N193="Cukup",U193&amp;"; ","")&amp;IF(O193="Cukup",V193&amp;"; ","")&amp;IF(P193="Cukup",W193&amp;"; ",""))</f>
        <v/>
      </c>
      <c r="Y193" s="33" t="str">
        <f aca="false">IF($A193="","",IF(K193="Nyaman","prosesor, ","")&amp;IF(L193="Nyaman","grafis, ","")&amp;IF(M193="Nyaman","RAM, ","")&amp;IF(N193="Nyaman","penyimpanan, ","")&amp;IF(O193="Nyaman","layar, ","")&amp;IF(P193="Nyaman","refresh rate, ",""))</f>
        <v/>
      </c>
      <c r="Z193" s="33" t="str">
        <f aca="false">IF($A193="","",IF(Q193="Tidak dinilai","Belum ada kriteria yang dinilai untuk kebutuhan ini.",IF(Q193="Cocok","Semua kriteria yang dinilai sudah nyaman: "&amp;LEFT(Y193,LEN(Y193)-2)&amp;".",UPPER(LEFT(X193,1))&amp;MID(X193,2,LEN(X193)-3)&amp;"."&amp;IF(Y193="",""," Sudah nyaman: "&amp;LEFT(Y193,LEN(Y193)-2)&amp;"."))))</f>
        <v/>
      </c>
      <c r="AA193" s="33"/>
      <c r="AB193" s="33"/>
      <c r="AC193" s="69"/>
    </row>
    <row r="194" customFormat="false" ht="15" hidden="false" customHeight="true" outlineLevel="0" collapsed="false">
      <c r="A194" s="33" t="str">
        <f aca="false">IF(Varian!$A42="","",Varian!$A42)</f>
        <v/>
      </c>
      <c r="B194" s="33" t="str">
        <f aca="false">IF($A194="","",Aturan!$A$25)</f>
        <v/>
      </c>
      <c r="C194" s="69" t="str">
        <f aca="false">IF($A194="","",IFERROR(IF(ISNUMBER(INDEX(CPU!$J$4:$J$64,MATCH(Varian!$J42,CPU!$A$4:$A$64,0))),INDEX(CPU!$J$4:$J$64,MATCH(Varian!$J42,CPU!$A$4:$A$64,0)),""),""))</f>
        <v/>
      </c>
      <c r="D194" s="69" t="str">
        <f aca="false">IF($A194="","",IFERROR(IF(ISNUMBER(INDEX(GPU!$G$4:$G$64,MATCH(Varian!$K42,GPU!$A$4:$A$64,0))),INDEX(GPU!$G$4:$G$64,MATCH(Varian!$K42,GPU!$A$4:$A$64,0)),""),""))</f>
        <v/>
      </c>
      <c r="E194" s="69" t="str">
        <f aca="false">IF($A194="","",IF(ISNUMBER(Varian!$M42),Varian!$M42,""))</f>
        <v/>
      </c>
      <c r="F194" s="69" t="str">
        <f aca="false">IF($A194="","",IF(ISNUMBER(Varian!$V42),Varian!$V42,""))</f>
        <v/>
      </c>
      <c r="G194" s="69" t="str">
        <f aca="false">IF($A194="","",IFERROR(INDEX(Aturan!$B$63:$B$66,MATCH(Varian!$AG42,Aturan!$A$63:$A$66,0)),""))</f>
        <v/>
      </c>
      <c r="H194" s="69" t="str">
        <f aca="false">IF($A194="","",IF(ISNUMBER(Varian!$AI42),Varian!$AI42,""))</f>
        <v/>
      </c>
      <c r="I194" s="33" t="str">
        <f aca="false">IF($A194="","",IF(Varian!$Q42="disolder","menempel di papan utama, tidak bisa ditambah",IF(OR(Varian!$Q42="slot",Varian!$Q42="setengah_disolder"),IF(Varian!$Q42="setengah_disolder","sebagian menempel, ","")&amp;IF(ISNUMBER(Varian!$U42),IF(AND(ISNUMBER(Varian!$M42),Varian!$U42&gt;Varian!$M42),"bisa dinaikkan lewat slot sampai "&amp;Varian!$U42&amp;" GB","sudah di batas maksimal "&amp;Varian!$U42&amp;" GB"),"ada slot, batas maksimalnya belum diketahui"),"belum diketahui apakah bisa ditambah")))</f>
        <v/>
      </c>
      <c r="J194" s="33" t="str">
        <f aca="false">IF($A194="","",IF(Varian!$Z42="ya","bisa diganti dengan yang lebih besar",IF(Varian!$Z42="tidak","menempel, tidak bisa diganti","belum diketahui apakah bisa diganti")))</f>
        <v/>
      </c>
      <c r="K194" s="70" t="str">
        <f aca="false">IF($A194="","",IF(AND(Aturan!$C$54="",Aturan!$D$54=""),"Tidak dinilai",IF(C194="","Belum ada data",IF(C194&lt;IF(Aturan!$C$54="",0,Aturan!$C$54),"Kurang",IF(C194&gt;=IF(Aturan!$D$54="",Aturan!$C$54,Aturan!$D$54),"Nyaman","Cukup")))))</f>
        <v/>
      </c>
      <c r="L194" s="70" t="str">
        <f aca="false">IF($A194="","",IF(AND(Aturan!$C$55="",Aturan!$D$55=""),"Tidak dinilai",IF(D194="","Belum ada data",IF(D194&lt;IF(Aturan!$C$55="",0,Aturan!$C$55),"Kurang",IF(D194&gt;=IF(Aturan!$D$55="",Aturan!$C$55,Aturan!$D$55),"Nyaman","Cukup")))))</f>
        <v/>
      </c>
      <c r="M194" s="70" t="str">
        <f aca="false">IF($A194="","",IF(AND(Aturan!$C$56="",Aturan!$D$56=""),"Tidak dinilai",IF(E194="","Belum ada data",IF(E194&lt;IF(Aturan!$C$56="",0,Aturan!$C$56),"Kurang",IF(E194&gt;=IF(Aturan!$D$56="",Aturan!$C$56,Aturan!$D$56),"Nyaman","Cukup")))))</f>
        <v/>
      </c>
      <c r="N194" s="70" t="str">
        <f aca="false">IF($A194="","",IF(AND(Aturan!$C$57="",Aturan!$D$57=""),"Tidak dinilai",IF(F194="","Belum ada data",IF(F194&lt;IF(Aturan!$C$57="",0,Aturan!$C$57),"Kurang",IF(F194&gt;=IF(Aturan!$D$57="",Aturan!$C$57,Aturan!$D$57),"Nyaman","Cukup")))))</f>
        <v/>
      </c>
      <c r="O194" s="70" t="str">
        <f aca="false">IF($A194="","",IF(AND(Aturan!$C$58="",Aturan!$D$58=""),"Tidak dinilai",IF(G194="","Belum ada data",IF(G194&lt;IF(Aturan!$C$58="",0,Aturan!$C$58),"Kurang",IF(G194&gt;=IF(Aturan!$D$58="",Aturan!$C$58,Aturan!$D$58),"Nyaman","Cukup")))))</f>
        <v/>
      </c>
      <c r="P194" s="70" t="str">
        <f aca="false">IF($A194="","",IF(AND(Aturan!$C$59="",Aturan!$D$59=""),"Tidak dinilai",IF(H194="","Belum ada data",IF(H194&lt;IF(Aturan!$C$59="",0,Aturan!$C$59),"Kurang",IF(H194&gt;=IF(Aturan!$D$59="",Aturan!$C$59,Aturan!$D$59),"Nyaman","Cukup")))))</f>
        <v/>
      </c>
      <c r="Q194" s="70" t="str">
        <f aca="false">IF($A194="","",IF(COUNTIF(K194:P194,"Tidak dinilai")=6,"Tidak dinilai",IF(COUNTIF(K194:P194,"Kurang")&gt;0,"Kurang cocok",IF(COUNTIF(K194:P194,"Belum ada data")&gt;0,"Data belum lengkap",IF(COUNTIF(K194:P194,"Cukup")&gt;0,"Bisa, dengan catatan","Cocok")))))</f>
        <v/>
      </c>
      <c r="R194" s="33" t="str">
        <f aca="false">IF($A194="","",IF(K194="Kurang","prosesor tingkat "&amp;C194&amp;" dari 5, di bawah batas minimal (tingkat "&amp;Aturan!$C$54&amp;")",IF(K194="Cukup","prosesor tingkat "&amp;C194&amp;" dari 5 cukup, nyamannya mulai tingkat "&amp;Aturan!$D$54,IF(K194="Belum ada data","tingkat prosesor belum diisi",""))))</f>
        <v/>
      </c>
      <c r="S194" s="33" t="str">
        <f aca="false">IF($A194="","",IF(L194="Kurang","grafis tingkat "&amp;D194&amp;" dari 5, di bawah batas minimal (tingkat "&amp;Aturan!$C$55&amp;")",IF(L194="Cukup","grafis tingkat "&amp;D194&amp;" dari 5 cukup, nyamannya mulai tingkat "&amp;Aturan!$D$55,IF(L194="Belum ada data","tingkat grafis belum diisi",""))))</f>
        <v/>
      </c>
      <c r="T194" s="33" t="str">
        <f aca="false">IF($A194="","",IF(M194="Kurang","RAM "&amp;E194&amp;" GB, di bawah batas minimal "&amp;Aturan!$C$56&amp;" GB ("&amp;I194&amp;")",IF(M194="Cukup","RAM "&amp;E194&amp;" GB cukup, nyamannya "&amp;Aturan!$D$56&amp;" GB atau lebih ("&amp;I194&amp;")",IF(M194="Belum ada data","ukuran RAM belum diisi",""))))</f>
        <v/>
      </c>
      <c r="U194" s="33" t="str">
        <f aca="false">IF($A194="","",IF(N194="Kurang","penyimpanan "&amp;F194&amp;" GB, di bawah batas minimal "&amp;Aturan!$C$57&amp;" GB ("&amp;J194&amp;")",IF(N194="Cukup","penyimpanan "&amp;F194&amp;" GB cukup, nyamannya "&amp;Aturan!$D$57&amp;" GB atau lebih ("&amp;J194&amp;")",IF(N194="Belum ada data","ukuran penyimpanan belum diisi",""))))</f>
        <v/>
      </c>
      <c r="V194" s="33" t="str">
        <f aca="false">IF($A194="","",IF(O194="Kurang","layar "&amp;Varian!$AG42&amp;", di bawah batas minimal ("&amp;IFERROR(INDEX(Aturan!$A$63:$A$66,MATCH(Aturan!$C$58,Aturan!$B$63:$B$66,0)),"peringkat "&amp;Aturan!$C$58)&amp;")",IF(O194="Cukup","layar "&amp;Varian!$AG42&amp;" cukup, nyamannya "&amp;IFERROR(INDEX(Aturan!$A$63:$A$66,MATCH(Aturan!$D$58,Aturan!$B$63:$B$66,0)),"peringkat "&amp;Aturan!$D$58),IF(O194="Belum ada data","jenis layar belum diketahui",""))))</f>
        <v/>
      </c>
      <c r="W194" s="33" t="str">
        <f aca="false">IF($A194="","",IF(P194="Kurang","layar "&amp;H194&amp;" Hz, di bawah batas minimal "&amp;Aturan!$C$59&amp;" Hz",IF(P194="Cukup","layar "&amp;H194&amp;" Hz cukup, nyamannya "&amp;Aturan!$D$59&amp;" Hz atau lebih",IF(P194="Belum ada data","refresh rate belum diketahui",""))))</f>
        <v/>
      </c>
      <c r="X194" s="33" t="str">
        <f aca="false">IF($A194="","",IF(K194="Kurang",R194&amp;"; ","")&amp;IF(L194="Kurang",S194&amp;"; ","")&amp;IF(M194="Kurang",T194&amp;"; ","")&amp;IF(N194="Kurang",U194&amp;"; ","")&amp;IF(O194="Kurang",V194&amp;"; ","")&amp;IF(P194="Kurang",W194&amp;"; ","")&amp;IF(K194="Belum ada data",R194&amp;"; ","")&amp;IF(L194="Belum ada data",S194&amp;"; ","")&amp;IF(M194="Belum ada data",T194&amp;"; ","")&amp;IF(N194="Belum ada data",U194&amp;"; ","")&amp;IF(O194="Belum ada data",V194&amp;"; ","")&amp;IF(P194="Belum ada data",W194&amp;"; ","")&amp;IF(K194="Cukup",R194&amp;"; ","")&amp;IF(L194="Cukup",S194&amp;"; ","")&amp;IF(M194="Cukup",T194&amp;"; ","")&amp;IF(N194="Cukup",U194&amp;"; ","")&amp;IF(O194="Cukup",V194&amp;"; ","")&amp;IF(P194="Cukup",W194&amp;"; ",""))</f>
        <v/>
      </c>
      <c r="Y194" s="33" t="str">
        <f aca="false">IF($A194="","",IF(K194="Nyaman","prosesor, ","")&amp;IF(L194="Nyaman","grafis, ","")&amp;IF(M194="Nyaman","RAM, ","")&amp;IF(N194="Nyaman","penyimpanan, ","")&amp;IF(O194="Nyaman","layar, ","")&amp;IF(P194="Nyaman","refresh rate, ",""))</f>
        <v/>
      </c>
      <c r="Z194" s="33" t="str">
        <f aca="false">IF($A194="","",IF(Q194="Tidak dinilai","Belum ada kriteria yang dinilai untuk kebutuhan ini.",IF(Q194="Cocok","Semua kriteria yang dinilai sudah nyaman: "&amp;LEFT(Y194,LEN(Y194)-2)&amp;".",UPPER(LEFT(X194,1))&amp;MID(X194,2,LEN(X194)-3)&amp;"."&amp;IF(Y194="",""," Sudah nyaman: "&amp;LEFT(Y194,LEN(Y194)-2)&amp;"."))))</f>
        <v/>
      </c>
      <c r="AA194" s="33"/>
      <c r="AB194" s="33"/>
      <c r="AC194" s="69"/>
    </row>
    <row r="195" customFormat="false" ht="15" hidden="false" customHeight="true" outlineLevel="0" collapsed="false">
      <c r="A195" s="66" t="str">
        <f aca="false">IF(Varian!$A43="","",Varian!$A43)</f>
        <v/>
      </c>
      <c r="B195" s="66" t="str">
        <f aca="false">IF($A195="","",Aturan!$A$21)</f>
        <v/>
      </c>
      <c r="C195" s="67" t="str">
        <f aca="false">IF($A195="","",IFERROR(IF(ISNUMBER(INDEX(CPU!$J$4:$J$64,MATCH(Varian!$J43,CPU!$A$4:$A$64,0))),INDEX(CPU!$J$4:$J$64,MATCH(Varian!$J43,CPU!$A$4:$A$64,0)),""),""))</f>
        <v/>
      </c>
      <c r="D195" s="67" t="str">
        <f aca="false">IF($A195="","",IFERROR(IF(ISNUMBER(INDEX(GPU!$G$4:$G$64,MATCH(Varian!$K43,GPU!$A$4:$A$64,0))),INDEX(GPU!$G$4:$G$64,MATCH(Varian!$K43,GPU!$A$4:$A$64,0)),""),""))</f>
        <v/>
      </c>
      <c r="E195" s="67" t="str">
        <f aca="false">IF($A195="","",IF(ISNUMBER(Varian!$M43),Varian!$M43,""))</f>
        <v/>
      </c>
      <c r="F195" s="67" t="str">
        <f aca="false">IF($A195="","",IF(ISNUMBER(Varian!$V43),Varian!$V43,""))</f>
        <v/>
      </c>
      <c r="G195" s="67" t="str">
        <f aca="false">IF($A195="","",IFERROR(INDEX(Aturan!$B$63:$B$66,MATCH(Varian!$AG43,Aturan!$A$63:$A$66,0)),""))</f>
        <v/>
      </c>
      <c r="H195" s="67" t="str">
        <f aca="false">IF($A195="","",IF(ISNUMBER(Varian!$AI43),Varian!$AI43,""))</f>
        <v/>
      </c>
      <c r="I195" s="66" t="str">
        <f aca="false">IF($A195="","",IF(Varian!$Q43="disolder","menempel di papan utama, tidak bisa ditambah",IF(OR(Varian!$Q43="slot",Varian!$Q43="setengah_disolder"),IF(Varian!$Q43="setengah_disolder","sebagian menempel, ","")&amp;IF(ISNUMBER(Varian!$U43),IF(AND(ISNUMBER(Varian!$M43),Varian!$U43&gt;Varian!$M43),"bisa dinaikkan lewat slot sampai "&amp;Varian!$U43&amp;" GB","sudah di batas maksimal "&amp;Varian!$U43&amp;" GB"),"ada slot, batas maksimalnya belum diketahui"),"belum diketahui apakah bisa ditambah")))</f>
        <v/>
      </c>
      <c r="J195" s="66" t="str">
        <f aca="false">IF($A195="","",IF(Varian!$Z43="ya","bisa diganti dengan yang lebih besar",IF(Varian!$Z43="tidak","menempel, tidak bisa diganti","belum diketahui apakah bisa diganti")))</f>
        <v/>
      </c>
      <c r="K195" s="68" t="str">
        <f aca="false">IF($A195="","",IF(AND(Aturan!$C$30="",Aturan!$D$30=""),"Tidak dinilai",IF(C195="","Belum ada data",IF(C195&lt;IF(Aturan!$C$30="",0,Aturan!$C$30),"Kurang",IF(C195&gt;=IF(Aturan!$D$30="",Aturan!$C$30,Aturan!$D$30),"Nyaman","Cukup")))))</f>
        <v/>
      </c>
      <c r="L195" s="68" t="str">
        <f aca="false">IF($A195="","",IF(AND(Aturan!$C$31="",Aturan!$D$31=""),"Tidak dinilai",IF(D195="","Belum ada data",IF(D195&lt;IF(Aturan!$C$31="",0,Aturan!$C$31),"Kurang",IF(D195&gt;=IF(Aturan!$D$31="",Aturan!$C$31,Aturan!$D$31),"Nyaman","Cukup")))))</f>
        <v/>
      </c>
      <c r="M195" s="68" t="str">
        <f aca="false">IF($A195="","",IF(AND(Aturan!$C$32="",Aturan!$D$32=""),"Tidak dinilai",IF(E195="","Belum ada data",IF(E195&lt;IF(Aturan!$C$32="",0,Aturan!$C$32),"Kurang",IF(E195&gt;=IF(Aturan!$D$32="",Aturan!$C$32,Aturan!$D$32),"Nyaman","Cukup")))))</f>
        <v/>
      </c>
      <c r="N195" s="68" t="str">
        <f aca="false">IF($A195="","",IF(AND(Aturan!$C$33="",Aturan!$D$33=""),"Tidak dinilai",IF(F195="","Belum ada data",IF(F195&lt;IF(Aturan!$C$33="",0,Aturan!$C$33),"Kurang",IF(F195&gt;=IF(Aturan!$D$33="",Aturan!$C$33,Aturan!$D$33),"Nyaman","Cukup")))))</f>
        <v/>
      </c>
      <c r="O195" s="68" t="str">
        <f aca="false">IF($A195="","",IF(AND(Aturan!$C$34="",Aturan!$D$34=""),"Tidak dinilai",IF(G195="","Belum ada data",IF(G195&lt;IF(Aturan!$C$34="",0,Aturan!$C$34),"Kurang",IF(G195&gt;=IF(Aturan!$D$34="",Aturan!$C$34,Aturan!$D$34),"Nyaman","Cukup")))))</f>
        <v/>
      </c>
      <c r="P195" s="68" t="str">
        <f aca="false">IF($A195="","",IF(AND(Aturan!$C$35="",Aturan!$D$35=""),"Tidak dinilai",IF(H195="","Belum ada data",IF(H195&lt;IF(Aturan!$C$35="",0,Aturan!$C$35),"Kurang",IF(H195&gt;=IF(Aturan!$D$35="",Aturan!$C$35,Aturan!$D$35),"Nyaman","Cukup")))))</f>
        <v/>
      </c>
      <c r="Q195" s="68" t="str">
        <f aca="false">IF($A195="","",IF(COUNTIF(K195:P195,"Tidak dinilai")=6,"Tidak dinilai",IF(COUNTIF(K195:P195,"Kurang")&gt;0,"Kurang cocok",IF(COUNTIF(K195:P195,"Belum ada data")&gt;0,"Data belum lengkap",IF(COUNTIF(K195:P195,"Cukup")&gt;0,"Bisa, dengan catatan","Cocok")))))</f>
        <v/>
      </c>
      <c r="R195" s="66" t="str">
        <f aca="false">IF($A195="","",IF(K195="Kurang","prosesor tingkat "&amp;C195&amp;" dari 5, di bawah batas minimal (tingkat "&amp;Aturan!$C$30&amp;")",IF(K195="Cukup","prosesor tingkat "&amp;C195&amp;" dari 5 cukup, nyamannya mulai tingkat "&amp;Aturan!$D$30,IF(K195="Belum ada data","tingkat prosesor belum diisi",""))))</f>
        <v/>
      </c>
      <c r="S195" s="66" t="str">
        <f aca="false">IF($A195="","",IF(L195="Kurang","grafis tingkat "&amp;D195&amp;" dari 5, di bawah batas minimal (tingkat "&amp;Aturan!$C$31&amp;")",IF(L195="Cukup","grafis tingkat "&amp;D195&amp;" dari 5 cukup, nyamannya mulai tingkat "&amp;Aturan!$D$31,IF(L195="Belum ada data","tingkat grafis belum diisi",""))))</f>
        <v/>
      </c>
      <c r="T195" s="66" t="str">
        <f aca="false">IF($A195="","",IF(M195="Kurang","RAM "&amp;E195&amp;" GB, di bawah batas minimal "&amp;Aturan!$C$32&amp;" GB ("&amp;I195&amp;")",IF(M195="Cukup","RAM "&amp;E195&amp;" GB cukup, nyamannya "&amp;Aturan!$D$32&amp;" GB atau lebih ("&amp;I195&amp;")",IF(M195="Belum ada data","ukuran RAM belum diisi",""))))</f>
        <v/>
      </c>
      <c r="U195" s="66" t="str">
        <f aca="false">IF($A195="","",IF(N195="Kurang","penyimpanan "&amp;F195&amp;" GB, di bawah batas minimal "&amp;Aturan!$C$33&amp;" GB ("&amp;J195&amp;")",IF(N195="Cukup","penyimpanan "&amp;F195&amp;" GB cukup, nyamannya "&amp;Aturan!$D$33&amp;" GB atau lebih ("&amp;J195&amp;")",IF(N195="Belum ada data","ukuran penyimpanan belum diisi",""))))</f>
        <v/>
      </c>
      <c r="V195" s="66" t="str">
        <f aca="false">IF($A195="","",IF(O195="Kurang","layar "&amp;Varian!$AG43&amp;", di bawah batas minimal ("&amp;IFERROR(INDEX(Aturan!$A$63:$A$66,MATCH(Aturan!$C$34,Aturan!$B$63:$B$66,0)),"peringkat "&amp;Aturan!$C$34)&amp;")",IF(O195="Cukup","layar "&amp;Varian!$AG43&amp;" cukup, nyamannya "&amp;IFERROR(INDEX(Aturan!$A$63:$A$66,MATCH(Aturan!$D$34,Aturan!$B$63:$B$66,0)),"peringkat "&amp;Aturan!$D$34),IF(O195="Belum ada data","jenis layar belum diketahui",""))))</f>
        <v/>
      </c>
      <c r="W195" s="66" t="str">
        <f aca="false">IF($A195="","",IF(P195="Kurang","layar "&amp;H195&amp;" Hz, di bawah batas minimal "&amp;Aturan!$C$35&amp;" Hz",IF(P195="Cukup","layar "&amp;H195&amp;" Hz cukup, nyamannya "&amp;Aturan!$D$35&amp;" Hz atau lebih",IF(P195="Belum ada data","refresh rate belum diketahui",""))))</f>
        <v/>
      </c>
      <c r="X195" s="66" t="str">
        <f aca="false">IF($A195="","",IF(K195="Kurang",R195&amp;"; ","")&amp;IF(L195="Kurang",S195&amp;"; ","")&amp;IF(M195="Kurang",T195&amp;"; ","")&amp;IF(N195="Kurang",U195&amp;"; ","")&amp;IF(O195="Kurang",V195&amp;"; ","")&amp;IF(P195="Kurang",W195&amp;"; ","")&amp;IF(K195="Belum ada data",R195&amp;"; ","")&amp;IF(L195="Belum ada data",S195&amp;"; ","")&amp;IF(M195="Belum ada data",T195&amp;"; ","")&amp;IF(N195="Belum ada data",U195&amp;"; ","")&amp;IF(O195="Belum ada data",V195&amp;"; ","")&amp;IF(P195="Belum ada data",W195&amp;"; ","")&amp;IF(K195="Cukup",R195&amp;"; ","")&amp;IF(L195="Cukup",S195&amp;"; ","")&amp;IF(M195="Cukup",T195&amp;"; ","")&amp;IF(N195="Cukup",U195&amp;"; ","")&amp;IF(O195="Cukup",V195&amp;"; ","")&amp;IF(P195="Cukup",W195&amp;"; ",""))</f>
        <v/>
      </c>
      <c r="Y195" s="66" t="str">
        <f aca="false">IF($A195="","",IF(K195="Nyaman","prosesor, ","")&amp;IF(L195="Nyaman","grafis, ","")&amp;IF(M195="Nyaman","RAM, ","")&amp;IF(N195="Nyaman","penyimpanan, ","")&amp;IF(O195="Nyaman","layar, ","")&amp;IF(P195="Nyaman","refresh rate, ",""))</f>
        <v/>
      </c>
      <c r="Z195" s="66" t="str">
        <f aca="false">IF($A195="","",IF(Q195="Tidak dinilai","Belum ada kriteria yang dinilai untuk kebutuhan ini.",IF(Q195="Cocok","Semua kriteria yang dinilai sudah nyaman: "&amp;LEFT(Y195,LEN(Y195)-2)&amp;".",UPPER(LEFT(X195,1))&amp;MID(X195,2,LEN(X195)-3)&amp;"."&amp;IF(Y195="",""," Sudah nyaman: "&amp;LEFT(Y195,LEN(Y195)-2)&amp;"."))))</f>
        <v/>
      </c>
      <c r="AA195" s="66" t="str">
        <f aca="false">IF($A195="","",IF(Varian!$AR43="Windows 10","• "&amp;Aturan!$E$71&amp;CHAR(10),"")&amp;IF(Varian!$BB43="tidak","• "&amp;Aturan!$E$72&amp;CHAR(10),"")&amp;IF(OR(Varian!$AD43="belum terverifikasi",Varian!$AD43="tidak diketahui"),"• "&amp;Aturan!$E$73&amp;CHAR(10),"")&amp;IF(Varian!$AH43="1366x768","• "&amp;Aturan!$E$74&amp;CHAR(10),"")&amp;IF(Varian!$AG43="TN","• "&amp;Aturan!$E$75&amp;CHAR(10),"")&amp;IF(AND(Varian!$Q43="disolder",ISNUMBER(Varian!$M43),Varian!$M43&lt;=8),"• "&amp;Aturan!$E$76&amp;CHAR(10),""))</f>
        <v/>
      </c>
      <c r="AB195" s="66" t="str">
        <f aca="false">IF($A195="","",IF(AA195="","",LEFT(AA195,LEN(AA195)-1)))</f>
        <v/>
      </c>
      <c r="AC195" s="67" t="str">
        <f aca="false">IF($A195="","",IF(AA195="",0,LEN(AA195)-LEN(SUBSTITUTE(AA195,CHAR(10),""))))</f>
        <v/>
      </c>
    </row>
    <row r="196" customFormat="false" ht="15" hidden="false" customHeight="true" outlineLevel="0" collapsed="false">
      <c r="A196" s="33" t="str">
        <f aca="false">IF(Varian!$A43="","",Varian!$A43)</f>
        <v/>
      </c>
      <c r="B196" s="33" t="str">
        <f aca="false">IF($A196="","",Aturan!$A$22)</f>
        <v/>
      </c>
      <c r="C196" s="69" t="str">
        <f aca="false">IF($A196="","",IFERROR(IF(ISNUMBER(INDEX(CPU!$J$4:$J$64,MATCH(Varian!$J43,CPU!$A$4:$A$64,0))),INDEX(CPU!$J$4:$J$64,MATCH(Varian!$J43,CPU!$A$4:$A$64,0)),""),""))</f>
        <v/>
      </c>
      <c r="D196" s="69" t="str">
        <f aca="false">IF($A196="","",IFERROR(IF(ISNUMBER(INDEX(GPU!$G$4:$G$64,MATCH(Varian!$K43,GPU!$A$4:$A$64,0))),INDEX(GPU!$G$4:$G$64,MATCH(Varian!$K43,GPU!$A$4:$A$64,0)),""),""))</f>
        <v/>
      </c>
      <c r="E196" s="69" t="str">
        <f aca="false">IF($A196="","",IF(ISNUMBER(Varian!$M43),Varian!$M43,""))</f>
        <v/>
      </c>
      <c r="F196" s="69" t="str">
        <f aca="false">IF($A196="","",IF(ISNUMBER(Varian!$V43),Varian!$V43,""))</f>
        <v/>
      </c>
      <c r="G196" s="69" t="str">
        <f aca="false">IF($A196="","",IFERROR(INDEX(Aturan!$B$63:$B$66,MATCH(Varian!$AG43,Aturan!$A$63:$A$66,0)),""))</f>
        <v/>
      </c>
      <c r="H196" s="69" t="str">
        <f aca="false">IF($A196="","",IF(ISNUMBER(Varian!$AI43),Varian!$AI43,""))</f>
        <v/>
      </c>
      <c r="I196" s="33" t="str">
        <f aca="false">IF($A196="","",IF(Varian!$Q43="disolder","menempel di papan utama, tidak bisa ditambah",IF(OR(Varian!$Q43="slot",Varian!$Q43="setengah_disolder"),IF(Varian!$Q43="setengah_disolder","sebagian menempel, ","")&amp;IF(ISNUMBER(Varian!$U43),IF(AND(ISNUMBER(Varian!$M43),Varian!$U43&gt;Varian!$M43),"bisa dinaikkan lewat slot sampai "&amp;Varian!$U43&amp;" GB","sudah di batas maksimal "&amp;Varian!$U43&amp;" GB"),"ada slot, batas maksimalnya belum diketahui"),"belum diketahui apakah bisa ditambah")))</f>
        <v/>
      </c>
      <c r="J196" s="33" t="str">
        <f aca="false">IF($A196="","",IF(Varian!$Z43="ya","bisa diganti dengan yang lebih besar",IF(Varian!$Z43="tidak","menempel, tidak bisa diganti","belum diketahui apakah bisa diganti")))</f>
        <v/>
      </c>
      <c r="K196" s="70" t="str">
        <f aca="false">IF($A196="","",IF(AND(Aturan!$C$36="",Aturan!$D$36=""),"Tidak dinilai",IF(C196="","Belum ada data",IF(C196&lt;IF(Aturan!$C$36="",0,Aturan!$C$36),"Kurang",IF(C196&gt;=IF(Aturan!$D$36="",Aturan!$C$36,Aturan!$D$36),"Nyaman","Cukup")))))</f>
        <v/>
      </c>
      <c r="L196" s="70" t="str">
        <f aca="false">IF($A196="","",IF(AND(Aturan!$C$37="",Aturan!$D$37=""),"Tidak dinilai",IF(D196="","Belum ada data",IF(D196&lt;IF(Aturan!$C$37="",0,Aturan!$C$37),"Kurang",IF(D196&gt;=IF(Aturan!$D$37="",Aturan!$C$37,Aturan!$D$37),"Nyaman","Cukup")))))</f>
        <v/>
      </c>
      <c r="M196" s="70" t="str">
        <f aca="false">IF($A196="","",IF(AND(Aturan!$C$38="",Aturan!$D$38=""),"Tidak dinilai",IF(E196="","Belum ada data",IF(E196&lt;IF(Aturan!$C$38="",0,Aturan!$C$38),"Kurang",IF(E196&gt;=IF(Aturan!$D$38="",Aturan!$C$38,Aturan!$D$38),"Nyaman","Cukup")))))</f>
        <v/>
      </c>
      <c r="N196" s="70" t="str">
        <f aca="false">IF($A196="","",IF(AND(Aturan!$C$39="",Aturan!$D$39=""),"Tidak dinilai",IF(F196="","Belum ada data",IF(F196&lt;IF(Aturan!$C$39="",0,Aturan!$C$39),"Kurang",IF(F196&gt;=IF(Aturan!$D$39="",Aturan!$C$39,Aturan!$D$39),"Nyaman","Cukup")))))</f>
        <v/>
      </c>
      <c r="O196" s="70" t="str">
        <f aca="false">IF($A196="","",IF(AND(Aturan!$C$40="",Aturan!$D$40=""),"Tidak dinilai",IF(G196="","Belum ada data",IF(G196&lt;IF(Aturan!$C$40="",0,Aturan!$C$40),"Kurang",IF(G196&gt;=IF(Aturan!$D$40="",Aturan!$C$40,Aturan!$D$40),"Nyaman","Cukup")))))</f>
        <v/>
      </c>
      <c r="P196" s="70" t="str">
        <f aca="false">IF($A196="","",IF(AND(Aturan!$C$41="",Aturan!$D$41=""),"Tidak dinilai",IF(H196="","Belum ada data",IF(H196&lt;IF(Aturan!$C$41="",0,Aturan!$C$41),"Kurang",IF(H196&gt;=IF(Aturan!$D$41="",Aturan!$C$41,Aturan!$D$41),"Nyaman","Cukup")))))</f>
        <v/>
      </c>
      <c r="Q196" s="70" t="str">
        <f aca="false">IF($A196="","",IF(COUNTIF(K196:P196,"Tidak dinilai")=6,"Tidak dinilai",IF(COUNTIF(K196:P196,"Kurang")&gt;0,"Kurang cocok",IF(COUNTIF(K196:P196,"Belum ada data")&gt;0,"Data belum lengkap",IF(COUNTIF(K196:P196,"Cukup")&gt;0,"Bisa, dengan catatan","Cocok")))))</f>
        <v/>
      </c>
      <c r="R196" s="33" t="str">
        <f aca="false">IF($A196="","",IF(K196="Kurang","prosesor tingkat "&amp;C196&amp;" dari 5, di bawah batas minimal (tingkat "&amp;Aturan!$C$36&amp;")",IF(K196="Cukup","prosesor tingkat "&amp;C196&amp;" dari 5 cukup, nyamannya mulai tingkat "&amp;Aturan!$D$36,IF(K196="Belum ada data","tingkat prosesor belum diisi",""))))</f>
        <v/>
      </c>
      <c r="S196" s="33" t="str">
        <f aca="false">IF($A196="","",IF(L196="Kurang","grafis tingkat "&amp;D196&amp;" dari 5, di bawah batas minimal (tingkat "&amp;Aturan!$C$37&amp;")",IF(L196="Cukup","grafis tingkat "&amp;D196&amp;" dari 5 cukup, nyamannya mulai tingkat "&amp;Aturan!$D$37,IF(L196="Belum ada data","tingkat grafis belum diisi",""))))</f>
        <v/>
      </c>
      <c r="T196" s="33" t="str">
        <f aca="false">IF($A196="","",IF(M196="Kurang","RAM "&amp;E196&amp;" GB, di bawah batas minimal "&amp;Aturan!$C$38&amp;" GB ("&amp;I196&amp;")",IF(M196="Cukup","RAM "&amp;E196&amp;" GB cukup, nyamannya "&amp;Aturan!$D$38&amp;" GB atau lebih ("&amp;I196&amp;")",IF(M196="Belum ada data","ukuran RAM belum diisi",""))))</f>
        <v/>
      </c>
      <c r="U196" s="33" t="str">
        <f aca="false">IF($A196="","",IF(N196="Kurang","penyimpanan "&amp;F196&amp;" GB, di bawah batas minimal "&amp;Aturan!$C$39&amp;" GB ("&amp;J196&amp;")",IF(N196="Cukup","penyimpanan "&amp;F196&amp;" GB cukup, nyamannya "&amp;Aturan!$D$39&amp;" GB atau lebih ("&amp;J196&amp;")",IF(N196="Belum ada data","ukuran penyimpanan belum diisi",""))))</f>
        <v/>
      </c>
      <c r="V196" s="33" t="str">
        <f aca="false">IF($A196="","",IF(O196="Kurang","layar "&amp;Varian!$AG43&amp;", di bawah batas minimal ("&amp;IFERROR(INDEX(Aturan!$A$63:$A$66,MATCH(Aturan!$C$40,Aturan!$B$63:$B$66,0)),"peringkat "&amp;Aturan!$C$40)&amp;")",IF(O196="Cukup","layar "&amp;Varian!$AG43&amp;" cukup, nyamannya "&amp;IFERROR(INDEX(Aturan!$A$63:$A$66,MATCH(Aturan!$D$40,Aturan!$B$63:$B$66,0)),"peringkat "&amp;Aturan!$D$40),IF(O196="Belum ada data","jenis layar belum diketahui",""))))</f>
        <v/>
      </c>
      <c r="W196" s="33" t="str">
        <f aca="false">IF($A196="","",IF(P196="Kurang","layar "&amp;H196&amp;" Hz, di bawah batas minimal "&amp;Aturan!$C$41&amp;" Hz",IF(P196="Cukup","layar "&amp;H196&amp;" Hz cukup, nyamannya "&amp;Aturan!$D$41&amp;" Hz atau lebih",IF(P196="Belum ada data","refresh rate belum diketahui",""))))</f>
        <v/>
      </c>
      <c r="X196" s="33" t="str">
        <f aca="false">IF($A196="","",IF(K196="Kurang",R196&amp;"; ","")&amp;IF(L196="Kurang",S196&amp;"; ","")&amp;IF(M196="Kurang",T196&amp;"; ","")&amp;IF(N196="Kurang",U196&amp;"; ","")&amp;IF(O196="Kurang",V196&amp;"; ","")&amp;IF(P196="Kurang",W196&amp;"; ","")&amp;IF(K196="Belum ada data",R196&amp;"; ","")&amp;IF(L196="Belum ada data",S196&amp;"; ","")&amp;IF(M196="Belum ada data",T196&amp;"; ","")&amp;IF(N196="Belum ada data",U196&amp;"; ","")&amp;IF(O196="Belum ada data",V196&amp;"; ","")&amp;IF(P196="Belum ada data",W196&amp;"; ","")&amp;IF(K196="Cukup",R196&amp;"; ","")&amp;IF(L196="Cukup",S196&amp;"; ","")&amp;IF(M196="Cukup",T196&amp;"; ","")&amp;IF(N196="Cukup",U196&amp;"; ","")&amp;IF(O196="Cukup",V196&amp;"; ","")&amp;IF(P196="Cukup",W196&amp;"; ",""))</f>
        <v/>
      </c>
      <c r="Y196" s="33" t="str">
        <f aca="false">IF($A196="","",IF(K196="Nyaman","prosesor, ","")&amp;IF(L196="Nyaman","grafis, ","")&amp;IF(M196="Nyaman","RAM, ","")&amp;IF(N196="Nyaman","penyimpanan, ","")&amp;IF(O196="Nyaman","layar, ","")&amp;IF(P196="Nyaman","refresh rate, ",""))</f>
        <v/>
      </c>
      <c r="Z196" s="33" t="str">
        <f aca="false">IF($A196="","",IF(Q196="Tidak dinilai","Belum ada kriteria yang dinilai untuk kebutuhan ini.",IF(Q196="Cocok","Semua kriteria yang dinilai sudah nyaman: "&amp;LEFT(Y196,LEN(Y196)-2)&amp;".",UPPER(LEFT(X196,1))&amp;MID(X196,2,LEN(X196)-3)&amp;"."&amp;IF(Y196="",""," Sudah nyaman: "&amp;LEFT(Y196,LEN(Y196)-2)&amp;"."))))</f>
        <v/>
      </c>
      <c r="AA196" s="33"/>
      <c r="AB196" s="33"/>
      <c r="AC196" s="69"/>
    </row>
    <row r="197" customFormat="false" ht="15" hidden="false" customHeight="true" outlineLevel="0" collapsed="false">
      <c r="A197" s="33" t="str">
        <f aca="false">IF(Varian!$A43="","",Varian!$A43)</f>
        <v/>
      </c>
      <c r="B197" s="33" t="str">
        <f aca="false">IF($A197="","",Aturan!$A$23)</f>
        <v/>
      </c>
      <c r="C197" s="69" t="str">
        <f aca="false">IF($A197="","",IFERROR(IF(ISNUMBER(INDEX(CPU!$J$4:$J$64,MATCH(Varian!$J43,CPU!$A$4:$A$64,0))),INDEX(CPU!$J$4:$J$64,MATCH(Varian!$J43,CPU!$A$4:$A$64,0)),""),""))</f>
        <v/>
      </c>
      <c r="D197" s="69" t="str">
        <f aca="false">IF($A197="","",IFERROR(IF(ISNUMBER(INDEX(GPU!$G$4:$G$64,MATCH(Varian!$K43,GPU!$A$4:$A$64,0))),INDEX(GPU!$G$4:$G$64,MATCH(Varian!$K43,GPU!$A$4:$A$64,0)),""),""))</f>
        <v/>
      </c>
      <c r="E197" s="69" t="str">
        <f aca="false">IF($A197="","",IF(ISNUMBER(Varian!$M43),Varian!$M43,""))</f>
        <v/>
      </c>
      <c r="F197" s="69" t="str">
        <f aca="false">IF($A197="","",IF(ISNUMBER(Varian!$V43),Varian!$V43,""))</f>
        <v/>
      </c>
      <c r="G197" s="69" t="str">
        <f aca="false">IF($A197="","",IFERROR(INDEX(Aturan!$B$63:$B$66,MATCH(Varian!$AG43,Aturan!$A$63:$A$66,0)),""))</f>
        <v/>
      </c>
      <c r="H197" s="69" t="str">
        <f aca="false">IF($A197="","",IF(ISNUMBER(Varian!$AI43),Varian!$AI43,""))</f>
        <v/>
      </c>
      <c r="I197" s="33" t="str">
        <f aca="false">IF($A197="","",IF(Varian!$Q43="disolder","menempel di papan utama, tidak bisa ditambah",IF(OR(Varian!$Q43="slot",Varian!$Q43="setengah_disolder"),IF(Varian!$Q43="setengah_disolder","sebagian menempel, ","")&amp;IF(ISNUMBER(Varian!$U43),IF(AND(ISNUMBER(Varian!$M43),Varian!$U43&gt;Varian!$M43),"bisa dinaikkan lewat slot sampai "&amp;Varian!$U43&amp;" GB","sudah di batas maksimal "&amp;Varian!$U43&amp;" GB"),"ada slot, batas maksimalnya belum diketahui"),"belum diketahui apakah bisa ditambah")))</f>
        <v/>
      </c>
      <c r="J197" s="33" t="str">
        <f aca="false">IF($A197="","",IF(Varian!$Z43="ya","bisa diganti dengan yang lebih besar",IF(Varian!$Z43="tidak","menempel, tidak bisa diganti","belum diketahui apakah bisa diganti")))</f>
        <v/>
      </c>
      <c r="K197" s="70" t="str">
        <f aca="false">IF($A197="","",IF(AND(Aturan!$C$42="",Aturan!$D$42=""),"Tidak dinilai",IF(C197="","Belum ada data",IF(C197&lt;IF(Aturan!$C$42="",0,Aturan!$C$42),"Kurang",IF(C197&gt;=IF(Aturan!$D$42="",Aturan!$C$42,Aturan!$D$42),"Nyaman","Cukup")))))</f>
        <v/>
      </c>
      <c r="L197" s="70" t="str">
        <f aca="false">IF($A197="","",IF(AND(Aturan!$C$43="",Aturan!$D$43=""),"Tidak dinilai",IF(D197="","Belum ada data",IF(D197&lt;IF(Aturan!$C$43="",0,Aturan!$C$43),"Kurang",IF(D197&gt;=IF(Aturan!$D$43="",Aturan!$C$43,Aturan!$D$43),"Nyaman","Cukup")))))</f>
        <v/>
      </c>
      <c r="M197" s="70" t="str">
        <f aca="false">IF($A197="","",IF(AND(Aturan!$C$44="",Aturan!$D$44=""),"Tidak dinilai",IF(E197="","Belum ada data",IF(E197&lt;IF(Aturan!$C$44="",0,Aturan!$C$44),"Kurang",IF(E197&gt;=IF(Aturan!$D$44="",Aturan!$C$44,Aturan!$D$44),"Nyaman","Cukup")))))</f>
        <v/>
      </c>
      <c r="N197" s="70" t="str">
        <f aca="false">IF($A197="","",IF(AND(Aturan!$C$45="",Aturan!$D$45=""),"Tidak dinilai",IF(F197="","Belum ada data",IF(F197&lt;IF(Aturan!$C$45="",0,Aturan!$C$45),"Kurang",IF(F197&gt;=IF(Aturan!$D$45="",Aturan!$C$45,Aturan!$D$45),"Nyaman","Cukup")))))</f>
        <v/>
      </c>
      <c r="O197" s="70" t="str">
        <f aca="false">IF($A197="","",IF(AND(Aturan!$C$46="",Aturan!$D$46=""),"Tidak dinilai",IF(G197="","Belum ada data",IF(G197&lt;IF(Aturan!$C$46="",0,Aturan!$C$46),"Kurang",IF(G197&gt;=IF(Aturan!$D$46="",Aturan!$C$46,Aturan!$D$46),"Nyaman","Cukup")))))</f>
        <v/>
      </c>
      <c r="P197" s="70" t="str">
        <f aca="false">IF($A197="","",IF(AND(Aturan!$C$47="",Aturan!$D$47=""),"Tidak dinilai",IF(H197="","Belum ada data",IF(H197&lt;IF(Aturan!$C$47="",0,Aturan!$C$47),"Kurang",IF(H197&gt;=IF(Aturan!$D$47="",Aturan!$C$47,Aturan!$D$47),"Nyaman","Cukup")))))</f>
        <v/>
      </c>
      <c r="Q197" s="70" t="str">
        <f aca="false">IF($A197="","",IF(COUNTIF(K197:P197,"Tidak dinilai")=6,"Tidak dinilai",IF(COUNTIF(K197:P197,"Kurang")&gt;0,"Kurang cocok",IF(COUNTIF(K197:P197,"Belum ada data")&gt;0,"Data belum lengkap",IF(COUNTIF(K197:P197,"Cukup")&gt;0,"Bisa, dengan catatan","Cocok")))))</f>
        <v/>
      </c>
      <c r="R197" s="33" t="str">
        <f aca="false">IF($A197="","",IF(K197="Kurang","prosesor tingkat "&amp;C197&amp;" dari 5, di bawah batas minimal (tingkat "&amp;Aturan!$C$42&amp;")",IF(K197="Cukup","prosesor tingkat "&amp;C197&amp;" dari 5 cukup, nyamannya mulai tingkat "&amp;Aturan!$D$42,IF(K197="Belum ada data","tingkat prosesor belum diisi",""))))</f>
        <v/>
      </c>
      <c r="S197" s="33" t="str">
        <f aca="false">IF($A197="","",IF(L197="Kurang","grafis tingkat "&amp;D197&amp;" dari 5, di bawah batas minimal (tingkat "&amp;Aturan!$C$43&amp;")",IF(L197="Cukup","grafis tingkat "&amp;D197&amp;" dari 5 cukup, nyamannya mulai tingkat "&amp;Aturan!$D$43,IF(L197="Belum ada data","tingkat grafis belum diisi",""))))</f>
        <v/>
      </c>
      <c r="T197" s="33" t="str">
        <f aca="false">IF($A197="","",IF(M197="Kurang","RAM "&amp;E197&amp;" GB, di bawah batas minimal "&amp;Aturan!$C$44&amp;" GB ("&amp;I197&amp;")",IF(M197="Cukup","RAM "&amp;E197&amp;" GB cukup, nyamannya "&amp;Aturan!$D$44&amp;" GB atau lebih ("&amp;I197&amp;")",IF(M197="Belum ada data","ukuran RAM belum diisi",""))))</f>
        <v/>
      </c>
      <c r="U197" s="33" t="str">
        <f aca="false">IF($A197="","",IF(N197="Kurang","penyimpanan "&amp;F197&amp;" GB, di bawah batas minimal "&amp;Aturan!$C$45&amp;" GB ("&amp;J197&amp;")",IF(N197="Cukup","penyimpanan "&amp;F197&amp;" GB cukup, nyamannya "&amp;Aturan!$D$45&amp;" GB atau lebih ("&amp;J197&amp;")",IF(N197="Belum ada data","ukuran penyimpanan belum diisi",""))))</f>
        <v/>
      </c>
      <c r="V197" s="33" t="str">
        <f aca="false">IF($A197="","",IF(O197="Kurang","layar "&amp;Varian!$AG43&amp;", di bawah batas minimal ("&amp;IFERROR(INDEX(Aturan!$A$63:$A$66,MATCH(Aturan!$C$46,Aturan!$B$63:$B$66,0)),"peringkat "&amp;Aturan!$C$46)&amp;")",IF(O197="Cukup","layar "&amp;Varian!$AG43&amp;" cukup, nyamannya "&amp;IFERROR(INDEX(Aturan!$A$63:$A$66,MATCH(Aturan!$D$46,Aturan!$B$63:$B$66,0)),"peringkat "&amp;Aturan!$D$46),IF(O197="Belum ada data","jenis layar belum diketahui",""))))</f>
        <v/>
      </c>
      <c r="W197" s="33" t="str">
        <f aca="false">IF($A197="","",IF(P197="Kurang","layar "&amp;H197&amp;" Hz, di bawah batas minimal "&amp;Aturan!$C$47&amp;" Hz",IF(P197="Cukup","layar "&amp;H197&amp;" Hz cukup, nyamannya "&amp;Aturan!$D$47&amp;" Hz atau lebih",IF(P197="Belum ada data","refresh rate belum diketahui",""))))</f>
        <v/>
      </c>
      <c r="X197" s="33" t="str">
        <f aca="false">IF($A197="","",IF(K197="Kurang",R197&amp;"; ","")&amp;IF(L197="Kurang",S197&amp;"; ","")&amp;IF(M197="Kurang",T197&amp;"; ","")&amp;IF(N197="Kurang",U197&amp;"; ","")&amp;IF(O197="Kurang",V197&amp;"; ","")&amp;IF(P197="Kurang",W197&amp;"; ","")&amp;IF(K197="Belum ada data",R197&amp;"; ","")&amp;IF(L197="Belum ada data",S197&amp;"; ","")&amp;IF(M197="Belum ada data",T197&amp;"; ","")&amp;IF(N197="Belum ada data",U197&amp;"; ","")&amp;IF(O197="Belum ada data",V197&amp;"; ","")&amp;IF(P197="Belum ada data",W197&amp;"; ","")&amp;IF(K197="Cukup",R197&amp;"; ","")&amp;IF(L197="Cukup",S197&amp;"; ","")&amp;IF(M197="Cukup",T197&amp;"; ","")&amp;IF(N197="Cukup",U197&amp;"; ","")&amp;IF(O197="Cukup",V197&amp;"; ","")&amp;IF(P197="Cukup",W197&amp;"; ",""))</f>
        <v/>
      </c>
      <c r="Y197" s="33" t="str">
        <f aca="false">IF($A197="","",IF(K197="Nyaman","prosesor, ","")&amp;IF(L197="Nyaman","grafis, ","")&amp;IF(M197="Nyaman","RAM, ","")&amp;IF(N197="Nyaman","penyimpanan, ","")&amp;IF(O197="Nyaman","layar, ","")&amp;IF(P197="Nyaman","refresh rate, ",""))</f>
        <v/>
      </c>
      <c r="Z197" s="33" t="str">
        <f aca="false">IF($A197="","",IF(Q197="Tidak dinilai","Belum ada kriteria yang dinilai untuk kebutuhan ini.",IF(Q197="Cocok","Semua kriteria yang dinilai sudah nyaman: "&amp;LEFT(Y197,LEN(Y197)-2)&amp;".",UPPER(LEFT(X197,1))&amp;MID(X197,2,LEN(X197)-3)&amp;"."&amp;IF(Y197="",""," Sudah nyaman: "&amp;LEFT(Y197,LEN(Y197)-2)&amp;"."))))</f>
        <v/>
      </c>
      <c r="AA197" s="33"/>
      <c r="AB197" s="33"/>
      <c r="AC197" s="69"/>
    </row>
    <row r="198" customFormat="false" ht="15" hidden="false" customHeight="true" outlineLevel="0" collapsed="false">
      <c r="A198" s="33" t="str">
        <f aca="false">IF(Varian!$A43="","",Varian!$A43)</f>
        <v/>
      </c>
      <c r="B198" s="33" t="str">
        <f aca="false">IF($A198="","",Aturan!$A$24)</f>
        <v/>
      </c>
      <c r="C198" s="69" t="str">
        <f aca="false">IF($A198="","",IFERROR(IF(ISNUMBER(INDEX(CPU!$J$4:$J$64,MATCH(Varian!$J43,CPU!$A$4:$A$64,0))),INDEX(CPU!$J$4:$J$64,MATCH(Varian!$J43,CPU!$A$4:$A$64,0)),""),""))</f>
        <v/>
      </c>
      <c r="D198" s="69" t="str">
        <f aca="false">IF($A198="","",IFERROR(IF(ISNUMBER(INDEX(GPU!$G$4:$G$64,MATCH(Varian!$K43,GPU!$A$4:$A$64,0))),INDEX(GPU!$G$4:$G$64,MATCH(Varian!$K43,GPU!$A$4:$A$64,0)),""),""))</f>
        <v/>
      </c>
      <c r="E198" s="69" t="str">
        <f aca="false">IF($A198="","",IF(ISNUMBER(Varian!$M43),Varian!$M43,""))</f>
        <v/>
      </c>
      <c r="F198" s="69" t="str">
        <f aca="false">IF($A198="","",IF(ISNUMBER(Varian!$V43),Varian!$V43,""))</f>
        <v/>
      </c>
      <c r="G198" s="69" t="str">
        <f aca="false">IF($A198="","",IFERROR(INDEX(Aturan!$B$63:$B$66,MATCH(Varian!$AG43,Aturan!$A$63:$A$66,0)),""))</f>
        <v/>
      </c>
      <c r="H198" s="69" t="str">
        <f aca="false">IF($A198="","",IF(ISNUMBER(Varian!$AI43),Varian!$AI43,""))</f>
        <v/>
      </c>
      <c r="I198" s="33" t="str">
        <f aca="false">IF($A198="","",IF(Varian!$Q43="disolder","menempel di papan utama, tidak bisa ditambah",IF(OR(Varian!$Q43="slot",Varian!$Q43="setengah_disolder"),IF(Varian!$Q43="setengah_disolder","sebagian menempel, ","")&amp;IF(ISNUMBER(Varian!$U43),IF(AND(ISNUMBER(Varian!$M43),Varian!$U43&gt;Varian!$M43),"bisa dinaikkan lewat slot sampai "&amp;Varian!$U43&amp;" GB","sudah di batas maksimal "&amp;Varian!$U43&amp;" GB"),"ada slot, batas maksimalnya belum diketahui"),"belum diketahui apakah bisa ditambah")))</f>
        <v/>
      </c>
      <c r="J198" s="33" t="str">
        <f aca="false">IF($A198="","",IF(Varian!$Z43="ya","bisa diganti dengan yang lebih besar",IF(Varian!$Z43="tidak","menempel, tidak bisa diganti","belum diketahui apakah bisa diganti")))</f>
        <v/>
      </c>
      <c r="K198" s="70" t="str">
        <f aca="false">IF($A198="","",IF(AND(Aturan!$C$48="",Aturan!$D$48=""),"Tidak dinilai",IF(C198="","Belum ada data",IF(C198&lt;IF(Aturan!$C$48="",0,Aturan!$C$48),"Kurang",IF(C198&gt;=IF(Aturan!$D$48="",Aturan!$C$48,Aturan!$D$48),"Nyaman","Cukup")))))</f>
        <v/>
      </c>
      <c r="L198" s="70" t="str">
        <f aca="false">IF($A198="","",IF(AND(Aturan!$C$49="",Aturan!$D$49=""),"Tidak dinilai",IF(D198="","Belum ada data",IF(D198&lt;IF(Aturan!$C$49="",0,Aturan!$C$49),"Kurang",IF(D198&gt;=IF(Aturan!$D$49="",Aturan!$C$49,Aturan!$D$49),"Nyaman","Cukup")))))</f>
        <v/>
      </c>
      <c r="M198" s="70" t="str">
        <f aca="false">IF($A198="","",IF(AND(Aturan!$C$50="",Aturan!$D$50=""),"Tidak dinilai",IF(E198="","Belum ada data",IF(E198&lt;IF(Aturan!$C$50="",0,Aturan!$C$50),"Kurang",IF(E198&gt;=IF(Aturan!$D$50="",Aturan!$C$50,Aturan!$D$50),"Nyaman","Cukup")))))</f>
        <v/>
      </c>
      <c r="N198" s="70" t="str">
        <f aca="false">IF($A198="","",IF(AND(Aturan!$C$51="",Aturan!$D$51=""),"Tidak dinilai",IF(F198="","Belum ada data",IF(F198&lt;IF(Aturan!$C$51="",0,Aturan!$C$51),"Kurang",IF(F198&gt;=IF(Aturan!$D$51="",Aturan!$C$51,Aturan!$D$51),"Nyaman","Cukup")))))</f>
        <v/>
      </c>
      <c r="O198" s="70" t="str">
        <f aca="false">IF($A198="","",IF(AND(Aturan!$C$52="",Aturan!$D$52=""),"Tidak dinilai",IF(G198="","Belum ada data",IF(G198&lt;IF(Aturan!$C$52="",0,Aturan!$C$52),"Kurang",IF(G198&gt;=IF(Aturan!$D$52="",Aturan!$C$52,Aturan!$D$52),"Nyaman","Cukup")))))</f>
        <v/>
      </c>
      <c r="P198" s="70" t="str">
        <f aca="false">IF($A198="","",IF(AND(Aturan!$C$53="",Aturan!$D$53=""),"Tidak dinilai",IF(H198="","Belum ada data",IF(H198&lt;IF(Aturan!$C$53="",0,Aturan!$C$53),"Kurang",IF(H198&gt;=IF(Aturan!$D$53="",Aturan!$C$53,Aturan!$D$53),"Nyaman","Cukup")))))</f>
        <v/>
      </c>
      <c r="Q198" s="70" t="str">
        <f aca="false">IF($A198="","",IF(COUNTIF(K198:P198,"Tidak dinilai")=6,"Tidak dinilai",IF(COUNTIF(K198:P198,"Kurang")&gt;0,"Kurang cocok",IF(COUNTIF(K198:P198,"Belum ada data")&gt;0,"Data belum lengkap",IF(COUNTIF(K198:P198,"Cukup")&gt;0,"Bisa, dengan catatan","Cocok")))))</f>
        <v/>
      </c>
      <c r="R198" s="33" t="str">
        <f aca="false">IF($A198="","",IF(K198="Kurang","prosesor tingkat "&amp;C198&amp;" dari 5, di bawah batas minimal (tingkat "&amp;Aturan!$C$48&amp;")",IF(K198="Cukup","prosesor tingkat "&amp;C198&amp;" dari 5 cukup, nyamannya mulai tingkat "&amp;Aturan!$D$48,IF(K198="Belum ada data","tingkat prosesor belum diisi",""))))</f>
        <v/>
      </c>
      <c r="S198" s="33" t="str">
        <f aca="false">IF($A198="","",IF(L198="Kurang","grafis tingkat "&amp;D198&amp;" dari 5, di bawah batas minimal (tingkat "&amp;Aturan!$C$49&amp;")",IF(L198="Cukup","grafis tingkat "&amp;D198&amp;" dari 5 cukup, nyamannya mulai tingkat "&amp;Aturan!$D$49,IF(L198="Belum ada data","tingkat grafis belum diisi",""))))</f>
        <v/>
      </c>
      <c r="T198" s="33" t="str">
        <f aca="false">IF($A198="","",IF(M198="Kurang","RAM "&amp;E198&amp;" GB, di bawah batas minimal "&amp;Aturan!$C$50&amp;" GB ("&amp;I198&amp;")",IF(M198="Cukup","RAM "&amp;E198&amp;" GB cukup, nyamannya "&amp;Aturan!$D$50&amp;" GB atau lebih ("&amp;I198&amp;")",IF(M198="Belum ada data","ukuran RAM belum diisi",""))))</f>
        <v/>
      </c>
      <c r="U198" s="33" t="str">
        <f aca="false">IF($A198="","",IF(N198="Kurang","penyimpanan "&amp;F198&amp;" GB, di bawah batas minimal "&amp;Aturan!$C$51&amp;" GB ("&amp;J198&amp;")",IF(N198="Cukup","penyimpanan "&amp;F198&amp;" GB cukup, nyamannya "&amp;Aturan!$D$51&amp;" GB atau lebih ("&amp;J198&amp;")",IF(N198="Belum ada data","ukuran penyimpanan belum diisi",""))))</f>
        <v/>
      </c>
      <c r="V198" s="33" t="str">
        <f aca="false">IF($A198="","",IF(O198="Kurang","layar "&amp;Varian!$AG43&amp;", di bawah batas minimal ("&amp;IFERROR(INDEX(Aturan!$A$63:$A$66,MATCH(Aturan!$C$52,Aturan!$B$63:$B$66,0)),"peringkat "&amp;Aturan!$C$52)&amp;")",IF(O198="Cukup","layar "&amp;Varian!$AG43&amp;" cukup, nyamannya "&amp;IFERROR(INDEX(Aturan!$A$63:$A$66,MATCH(Aturan!$D$52,Aturan!$B$63:$B$66,0)),"peringkat "&amp;Aturan!$D$52),IF(O198="Belum ada data","jenis layar belum diketahui",""))))</f>
        <v/>
      </c>
      <c r="W198" s="33" t="str">
        <f aca="false">IF($A198="","",IF(P198="Kurang","layar "&amp;H198&amp;" Hz, di bawah batas minimal "&amp;Aturan!$C$53&amp;" Hz",IF(P198="Cukup","layar "&amp;H198&amp;" Hz cukup, nyamannya "&amp;Aturan!$D$53&amp;" Hz atau lebih",IF(P198="Belum ada data","refresh rate belum diketahui",""))))</f>
        <v/>
      </c>
      <c r="X198" s="33" t="str">
        <f aca="false">IF($A198="","",IF(K198="Kurang",R198&amp;"; ","")&amp;IF(L198="Kurang",S198&amp;"; ","")&amp;IF(M198="Kurang",T198&amp;"; ","")&amp;IF(N198="Kurang",U198&amp;"; ","")&amp;IF(O198="Kurang",V198&amp;"; ","")&amp;IF(P198="Kurang",W198&amp;"; ","")&amp;IF(K198="Belum ada data",R198&amp;"; ","")&amp;IF(L198="Belum ada data",S198&amp;"; ","")&amp;IF(M198="Belum ada data",T198&amp;"; ","")&amp;IF(N198="Belum ada data",U198&amp;"; ","")&amp;IF(O198="Belum ada data",V198&amp;"; ","")&amp;IF(P198="Belum ada data",W198&amp;"; ","")&amp;IF(K198="Cukup",R198&amp;"; ","")&amp;IF(L198="Cukup",S198&amp;"; ","")&amp;IF(M198="Cukup",T198&amp;"; ","")&amp;IF(N198="Cukup",U198&amp;"; ","")&amp;IF(O198="Cukup",V198&amp;"; ","")&amp;IF(P198="Cukup",W198&amp;"; ",""))</f>
        <v/>
      </c>
      <c r="Y198" s="33" t="str">
        <f aca="false">IF($A198="","",IF(K198="Nyaman","prosesor, ","")&amp;IF(L198="Nyaman","grafis, ","")&amp;IF(M198="Nyaman","RAM, ","")&amp;IF(N198="Nyaman","penyimpanan, ","")&amp;IF(O198="Nyaman","layar, ","")&amp;IF(P198="Nyaman","refresh rate, ",""))</f>
        <v/>
      </c>
      <c r="Z198" s="33" t="str">
        <f aca="false">IF($A198="","",IF(Q198="Tidak dinilai","Belum ada kriteria yang dinilai untuk kebutuhan ini.",IF(Q198="Cocok","Semua kriteria yang dinilai sudah nyaman: "&amp;LEFT(Y198,LEN(Y198)-2)&amp;".",UPPER(LEFT(X198,1))&amp;MID(X198,2,LEN(X198)-3)&amp;"."&amp;IF(Y198="",""," Sudah nyaman: "&amp;LEFT(Y198,LEN(Y198)-2)&amp;"."))))</f>
        <v/>
      </c>
      <c r="AA198" s="33"/>
      <c r="AB198" s="33"/>
      <c r="AC198" s="69"/>
    </row>
    <row r="199" customFormat="false" ht="15" hidden="false" customHeight="true" outlineLevel="0" collapsed="false">
      <c r="A199" s="33" t="str">
        <f aca="false">IF(Varian!$A43="","",Varian!$A43)</f>
        <v/>
      </c>
      <c r="B199" s="33" t="str">
        <f aca="false">IF($A199="","",Aturan!$A$25)</f>
        <v/>
      </c>
      <c r="C199" s="69" t="str">
        <f aca="false">IF($A199="","",IFERROR(IF(ISNUMBER(INDEX(CPU!$J$4:$J$64,MATCH(Varian!$J43,CPU!$A$4:$A$64,0))),INDEX(CPU!$J$4:$J$64,MATCH(Varian!$J43,CPU!$A$4:$A$64,0)),""),""))</f>
        <v/>
      </c>
      <c r="D199" s="69" t="str">
        <f aca="false">IF($A199="","",IFERROR(IF(ISNUMBER(INDEX(GPU!$G$4:$G$64,MATCH(Varian!$K43,GPU!$A$4:$A$64,0))),INDEX(GPU!$G$4:$G$64,MATCH(Varian!$K43,GPU!$A$4:$A$64,0)),""),""))</f>
        <v/>
      </c>
      <c r="E199" s="69" t="str">
        <f aca="false">IF($A199="","",IF(ISNUMBER(Varian!$M43),Varian!$M43,""))</f>
        <v/>
      </c>
      <c r="F199" s="69" t="str">
        <f aca="false">IF($A199="","",IF(ISNUMBER(Varian!$V43),Varian!$V43,""))</f>
        <v/>
      </c>
      <c r="G199" s="69" t="str">
        <f aca="false">IF($A199="","",IFERROR(INDEX(Aturan!$B$63:$B$66,MATCH(Varian!$AG43,Aturan!$A$63:$A$66,0)),""))</f>
        <v/>
      </c>
      <c r="H199" s="69" t="str">
        <f aca="false">IF($A199="","",IF(ISNUMBER(Varian!$AI43),Varian!$AI43,""))</f>
        <v/>
      </c>
      <c r="I199" s="33" t="str">
        <f aca="false">IF($A199="","",IF(Varian!$Q43="disolder","menempel di papan utama, tidak bisa ditambah",IF(OR(Varian!$Q43="slot",Varian!$Q43="setengah_disolder"),IF(Varian!$Q43="setengah_disolder","sebagian menempel, ","")&amp;IF(ISNUMBER(Varian!$U43),IF(AND(ISNUMBER(Varian!$M43),Varian!$U43&gt;Varian!$M43),"bisa dinaikkan lewat slot sampai "&amp;Varian!$U43&amp;" GB","sudah di batas maksimal "&amp;Varian!$U43&amp;" GB"),"ada slot, batas maksimalnya belum diketahui"),"belum diketahui apakah bisa ditambah")))</f>
        <v/>
      </c>
      <c r="J199" s="33" t="str">
        <f aca="false">IF($A199="","",IF(Varian!$Z43="ya","bisa diganti dengan yang lebih besar",IF(Varian!$Z43="tidak","menempel, tidak bisa diganti","belum diketahui apakah bisa diganti")))</f>
        <v/>
      </c>
      <c r="K199" s="70" t="str">
        <f aca="false">IF($A199="","",IF(AND(Aturan!$C$54="",Aturan!$D$54=""),"Tidak dinilai",IF(C199="","Belum ada data",IF(C199&lt;IF(Aturan!$C$54="",0,Aturan!$C$54),"Kurang",IF(C199&gt;=IF(Aturan!$D$54="",Aturan!$C$54,Aturan!$D$54),"Nyaman","Cukup")))))</f>
        <v/>
      </c>
      <c r="L199" s="70" t="str">
        <f aca="false">IF($A199="","",IF(AND(Aturan!$C$55="",Aturan!$D$55=""),"Tidak dinilai",IF(D199="","Belum ada data",IF(D199&lt;IF(Aturan!$C$55="",0,Aturan!$C$55),"Kurang",IF(D199&gt;=IF(Aturan!$D$55="",Aturan!$C$55,Aturan!$D$55),"Nyaman","Cukup")))))</f>
        <v/>
      </c>
      <c r="M199" s="70" t="str">
        <f aca="false">IF($A199="","",IF(AND(Aturan!$C$56="",Aturan!$D$56=""),"Tidak dinilai",IF(E199="","Belum ada data",IF(E199&lt;IF(Aturan!$C$56="",0,Aturan!$C$56),"Kurang",IF(E199&gt;=IF(Aturan!$D$56="",Aturan!$C$56,Aturan!$D$56),"Nyaman","Cukup")))))</f>
        <v/>
      </c>
      <c r="N199" s="70" t="str">
        <f aca="false">IF($A199="","",IF(AND(Aturan!$C$57="",Aturan!$D$57=""),"Tidak dinilai",IF(F199="","Belum ada data",IF(F199&lt;IF(Aturan!$C$57="",0,Aturan!$C$57),"Kurang",IF(F199&gt;=IF(Aturan!$D$57="",Aturan!$C$57,Aturan!$D$57),"Nyaman","Cukup")))))</f>
        <v/>
      </c>
      <c r="O199" s="70" t="str">
        <f aca="false">IF($A199="","",IF(AND(Aturan!$C$58="",Aturan!$D$58=""),"Tidak dinilai",IF(G199="","Belum ada data",IF(G199&lt;IF(Aturan!$C$58="",0,Aturan!$C$58),"Kurang",IF(G199&gt;=IF(Aturan!$D$58="",Aturan!$C$58,Aturan!$D$58),"Nyaman","Cukup")))))</f>
        <v/>
      </c>
      <c r="P199" s="70" t="str">
        <f aca="false">IF($A199="","",IF(AND(Aturan!$C$59="",Aturan!$D$59=""),"Tidak dinilai",IF(H199="","Belum ada data",IF(H199&lt;IF(Aturan!$C$59="",0,Aturan!$C$59),"Kurang",IF(H199&gt;=IF(Aturan!$D$59="",Aturan!$C$59,Aturan!$D$59),"Nyaman","Cukup")))))</f>
        <v/>
      </c>
      <c r="Q199" s="70" t="str">
        <f aca="false">IF($A199="","",IF(COUNTIF(K199:P199,"Tidak dinilai")=6,"Tidak dinilai",IF(COUNTIF(K199:P199,"Kurang")&gt;0,"Kurang cocok",IF(COUNTIF(K199:P199,"Belum ada data")&gt;0,"Data belum lengkap",IF(COUNTIF(K199:P199,"Cukup")&gt;0,"Bisa, dengan catatan","Cocok")))))</f>
        <v/>
      </c>
      <c r="R199" s="33" t="str">
        <f aca="false">IF($A199="","",IF(K199="Kurang","prosesor tingkat "&amp;C199&amp;" dari 5, di bawah batas minimal (tingkat "&amp;Aturan!$C$54&amp;")",IF(K199="Cukup","prosesor tingkat "&amp;C199&amp;" dari 5 cukup, nyamannya mulai tingkat "&amp;Aturan!$D$54,IF(K199="Belum ada data","tingkat prosesor belum diisi",""))))</f>
        <v/>
      </c>
      <c r="S199" s="33" t="str">
        <f aca="false">IF($A199="","",IF(L199="Kurang","grafis tingkat "&amp;D199&amp;" dari 5, di bawah batas minimal (tingkat "&amp;Aturan!$C$55&amp;")",IF(L199="Cukup","grafis tingkat "&amp;D199&amp;" dari 5 cukup, nyamannya mulai tingkat "&amp;Aturan!$D$55,IF(L199="Belum ada data","tingkat grafis belum diisi",""))))</f>
        <v/>
      </c>
      <c r="T199" s="33" t="str">
        <f aca="false">IF($A199="","",IF(M199="Kurang","RAM "&amp;E199&amp;" GB, di bawah batas minimal "&amp;Aturan!$C$56&amp;" GB ("&amp;I199&amp;")",IF(M199="Cukup","RAM "&amp;E199&amp;" GB cukup, nyamannya "&amp;Aturan!$D$56&amp;" GB atau lebih ("&amp;I199&amp;")",IF(M199="Belum ada data","ukuran RAM belum diisi",""))))</f>
        <v/>
      </c>
      <c r="U199" s="33" t="str">
        <f aca="false">IF($A199="","",IF(N199="Kurang","penyimpanan "&amp;F199&amp;" GB, di bawah batas minimal "&amp;Aturan!$C$57&amp;" GB ("&amp;J199&amp;")",IF(N199="Cukup","penyimpanan "&amp;F199&amp;" GB cukup, nyamannya "&amp;Aturan!$D$57&amp;" GB atau lebih ("&amp;J199&amp;")",IF(N199="Belum ada data","ukuran penyimpanan belum diisi",""))))</f>
        <v/>
      </c>
      <c r="V199" s="33" t="str">
        <f aca="false">IF($A199="","",IF(O199="Kurang","layar "&amp;Varian!$AG43&amp;", di bawah batas minimal ("&amp;IFERROR(INDEX(Aturan!$A$63:$A$66,MATCH(Aturan!$C$58,Aturan!$B$63:$B$66,0)),"peringkat "&amp;Aturan!$C$58)&amp;")",IF(O199="Cukup","layar "&amp;Varian!$AG43&amp;" cukup, nyamannya "&amp;IFERROR(INDEX(Aturan!$A$63:$A$66,MATCH(Aturan!$D$58,Aturan!$B$63:$B$66,0)),"peringkat "&amp;Aturan!$D$58),IF(O199="Belum ada data","jenis layar belum diketahui",""))))</f>
        <v/>
      </c>
      <c r="W199" s="33" t="str">
        <f aca="false">IF($A199="","",IF(P199="Kurang","layar "&amp;H199&amp;" Hz, di bawah batas minimal "&amp;Aturan!$C$59&amp;" Hz",IF(P199="Cukup","layar "&amp;H199&amp;" Hz cukup, nyamannya "&amp;Aturan!$D$59&amp;" Hz atau lebih",IF(P199="Belum ada data","refresh rate belum diketahui",""))))</f>
        <v/>
      </c>
      <c r="X199" s="33" t="str">
        <f aca="false">IF($A199="","",IF(K199="Kurang",R199&amp;"; ","")&amp;IF(L199="Kurang",S199&amp;"; ","")&amp;IF(M199="Kurang",T199&amp;"; ","")&amp;IF(N199="Kurang",U199&amp;"; ","")&amp;IF(O199="Kurang",V199&amp;"; ","")&amp;IF(P199="Kurang",W199&amp;"; ","")&amp;IF(K199="Belum ada data",R199&amp;"; ","")&amp;IF(L199="Belum ada data",S199&amp;"; ","")&amp;IF(M199="Belum ada data",T199&amp;"; ","")&amp;IF(N199="Belum ada data",U199&amp;"; ","")&amp;IF(O199="Belum ada data",V199&amp;"; ","")&amp;IF(P199="Belum ada data",W199&amp;"; ","")&amp;IF(K199="Cukup",R199&amp;"; ","")&amp;IF(L199="Cukup",S199&amp;"; ","")&amp;IF(M199="Cukup",T199&amp;"; ","")&amp;IF(N199="Cukup",U199&amp;"; ","")&amp;IF(O199="Cukup",V199&amp;"; ","")&amp;IF(P199="Cukup",W199&amp;"; ",""))</f>
        <v/>
      </c>
      <c r="Y199" s="33" t="str">
        <f aca="false">IF($A199="","",IF(K199="Nyaman","prosesor, ","")&amp;IF(L199="Nyaman","grafis, ","")&amp;IF(M199="Nyaman","RAM, ","")&amp;IF(N199="Nyaman","penyimpanan, ","")&amp;IF(O199="Nyaman","layar, ","")&amp;IF(P199="Nyaman","refresh rate, ",""))</f>
        <v/>
      </c>
      <c r="Z199" s="33" t="str">
        <f aca="false">IF($A199="","",IF(Q199="Tidak dinilai","Belum ada kriteria yang dinilai untuk kebutuhan ini.",IF(Q199="Cocok","Semua kriteria yang dinilai sudah nyaman: "&amp;LEFT(Y199,LEN(Y199)-2)&amp;".",UPPER(LEFT(X199,1))&amp;MID(X199,2,LEN(X199)-3)&amp;"."&amp;IF(Y199="",""," Sudah nyaman: "&amp;LEFT(Y199,LEN(Y199)-2)&amp;"."))))</f>
        <v/>
      </c>
      <c r="AA199" s="33"/>
      <c r="AB199" s="33"/>
      <c r="AC199" s="69"/>
    </row>
    <row r="200" customFormat="false" ht="15" hidden="false" customHeight="true" outlineLevel="0" collapsed="false">
      <c r="A200" s="66" t="str">
        <f aca="false">IF(Varian!$A44="","",Varian!$A44)</f>
        <v/>
      </c>
      <c r="B200" s="66" t="str">
        <f aca="false">IF($A200="","",Aturan!$A$21)</f>
        <v/>
      </c>
      <c r="C200" s="67" t="str">
        <f aca="false">IF($A200="","",IFERROR(IF(ISNUMBER(INDEX(CPU!$J$4:$J$64,MATCH(Varian!$J44,CPU!$A$4:$A$64,0))),INDEX(CPU!$J$4:$J$64,MATCH(Varian!$J44,CPU!$A$4:$A$64,0)),""),""))</f>
        <v/>
      </c>
      <c r="D200" s="67" t="str">
        <f aca="false">IF($A200="","",IFERROR(IF(ISNUMBER(INDEX(GPU!$G$4:$G$64,MATCH(Varian!$K44,GPU!$A$4:$A$64,0))),INDEX(GPU!$G$4:$G$64,MATCH(Varian!$K44,GPU!$A$4:$A$64,0)),""),""))</f>
        <v/>
      </c>
      <c r="E200" s="67" t="str">
        <f aca="false">IF($A200="","",IF(ISNUMBER(Varian!$M44),Varian!$M44,""))</f>
        <v/>
      </c>
      <c r="F200" s="67" t="str">
        <f aca="false">IF($A200="","",IF(ISNUMBER(Varian!$V44),Varian!$V44,""))</f>
        <v/>
      </c>
      <c r="G200" s="67" t="str">
        <f aca="false">IF($A200="","",IFERROR(INDEX(Aturan!$B$63:$B$66,MATCH(Varian!$AG44,Aturan!$A$63:$A$66,0)),""))</f>
        <v/>
      </c>
      <c r="H200" s="67" t="str">
        <f aca="false">IF($A200="","",IF(ISNUMBER(Varian!$AI44),Varian!$AI44,""))</f>
        <v/>
      </c>
      <c r="I200" s="66" t="str">
        <f aca="false">IF($A200="","",IF(Varian!$Q44="disolder","menempel di papan utama, tidak bisa ditambah",IF(OR(Varian!$Q44="slot",Varian!$Q44="setengah_disolder"),IF(Varian!$Q44="setengah_disolder","sebagian menempel, ","")&amp;IF(ISNUMBER(Varian!$U44),IF(AND(ISNUMBER(Varian!$M44),Varian!$U44&gt;Varian!$M44),"bisa dinaikkan lewat slot sampai "&amp;Varian!$U44&amp;" GB","sudah di batas maksimal "&amp;Varian!$U44&amp;" GB"),"ada slot, batas maksimalnya belum diketahui"),"belum diketahui apakah bisa ditambah")))</f>
        <v/>
      </c>
      <c r="J200" s="66" t="str">
        <f aca="false">IF($A200="","",IF(Varian!$Z44="ya","bisa diganti dengan yang lebih besar",IF(Varian!$Z44="tidak","menempel, tidak bisa diganti","belum diketahui apakah bisa diganti")))</f>
        <v/>
      </c>
      <c r="K200" s="68" t="str">
        <f aca="false">IF($A200="","",IF(AND(Aturan!$C$30="",Aturan!$D$30=""),"Tidak dinilai",IF(C200="","Belum ada data",IF(C200&lt;IF(Aturan!$C$30="",0,Aturan!$C$30),"Kurang",IF(C200&gt;=IF(Aturan!$D$30="",Aturan!$C$30,Aturan!$D$30),"Nyaman","Cukup")))))</f>
        <v/>
      </c>
      <c r="L200" s="68" t="str">
        <f aca="false">IF($A200="","",IF(AND(Aturan!$C$31="",Aturan!$D$31=""),"Tidak dinilai",IF(D200="","Belum ada data",IF(D200&lt;IF(Aturan!$C$31="",0,Aturan!$C$31),"Kurang",IF(D200&gt;=IF(Aturan!$D$31="",Aturan!$C$31,Aturan!$D$31),"Nyaman","Cukup")))))</f>
        <v/>
      </c>
      <c r="M200" s="68" t="str">
        <f aca="false">IF($A200="","",IF(AND(Aturan!$C$32="",Aturan!$D$32=""),"Tidak dinilai",IF(E200="","Belum ada data",IF(E200&lt;IF(Aturan!$C$32="",0,Aturan!$C$32),"Kurang",IF(E200&gt;=IF(Aturan!$D$32="",Aturan!$C$32,Aturan!$D$32),"Nyaman","Cukup")))))</f>
        <v/>
      </c>
      <c r="N200" s="68" t="str">
        <f aca="false">IF($A200="","",IF(AND(Aturan!$C$33="",Aturan!$D$33=""),"Tidak dinilai",IF(F200="","Belum ada data",IF(F200&lt;IF(Aturan!$C$33="",0,Aturan!$C$33),"Kurang",IF(F200&gt;=IF(Aturan!$D$33="",Aturan!$C$33,Aturan!$D$33),"Nyaman","Cukup")))))</f>
        <v/>
      </c>
      <c r="O200" s="68" t="str">
        <f aca="false">IF($A200="","",IF(AND(Aturan!$C$34="",Aturan!$D$34=""),"Tidak dinilai",IF(G200="","Belum ada data",IF(G200&lt;IF(Aturan!$C$34="",0,Aturan!$C$34),"Kurang",IF(G200&gt;=IF(Aturan!$D$34="",Aturan!$C$34,Aturan!$D$34),"Nyaman","Cukup")))))</f>
        <v/>
      </c>
      <c r="P200" s="68" t="str">
        <f aca="false">IF($A200="","",IF(AND(Aturan!$C$35="",Aturan!$D$35=""),"Tidak dinilai",IF(H200="","Belum ada data",IF(H200&lt;IF(Aturan!$C$35="",0,Aturan!$C$35),"Kurang",IF(H200&gt;=IF(Aturan!$D$35="",Aturan!$C$35,Aturan!$D$35),"Nyaman","Cukup")))))</f>
        <v/>
      </c>
      <c r="Q200" s="68" t="str">
        <f aca="false">IF($A200="","",IF(COUNTIF(K200:P200,"Tidak dinilai")=6,"Tidak dinilai",IF(COUNTIF(K200:P200,"Kurang")&gt;0,"Kurang cocok",IF(COUNTIF(K200:P200,"Belum ada data")&gt;0,"Data belum lengkap",IF(COUNTIF(K200:P200,"Cukup")&gt;0,"Bisa, dengan catatan","Cocok")))))</f>
        <v/>
      </c>
      <c r="R200" s="66" t="str">
        <f aca="false">IF($A200="","",IF(K200="Kurang","prosesor tingkat "&amp;C200&amp;" dari 5, di bawah batas minimal (tingkat "&amp;Aturan!$C$30&amp;")",IF(K200="Cukup","prosesor tingkat "&amp;C200&amp;" dari 5 cukup, nyamannya mulai tingkat "&amp;Aturan!$D$30,IF(K200="Belum ada data","tingkat prosesor belum diisi",""))))</f>
        <v/>
      </c>
      <c r="S200" s="66" t="str">
        <f aca="false">IF($A200="","",IF(L200="Kurang","grafis tingkat "&amp;D200&amp;" dari 5, di bawah batas minimal (tingkat "&amp;Aturan!$C$31&amp;")",IF(L200="Cukup","grafis tingkat "&amp;D200&amp;" dari 5 cukup, nyamannya mulai tingkat "&amp;Aturan!$D$31,IF(L200="Belum ada data","tingkat grafis belum diisi",""))))</f>
        <v/>
      </c>
      <c r="T200" s="66" t="str">
        <f aca="false">IF($A200="","",IF(M200="Kurang","RAM "&amp;E200&amp;" GB, di bawah batas minimal "&amp;Aturan!$C$32&amp;" GB ("&amp;I200&amp;")",IF(M200="Cukup","RAM "&amp;E200&amp;" GB cukup, nyamannya "&amp;Aturan!$D$32&amp;" GB atau lebih ("&amp;I200&amp;")",IF(M200="Belum ada data","ukuran RAM belum diisi",""))))</f>
        <v/>
      </c>
      <c r="U200" s="66" t="str">
        <f aca="false">IF($A200="","",IF(N200="Kurang","penyimpanan "&amp;F200&amp;" GB, di bawah batas minimal "&amp;Aturan!$C$33&amp;" GB ("&amp;J200&amp;")",IF(N200="Cukup","penyimpanan "&amp;F200&amp;" GB cukup, nyamannya "&amp;Aturan!$D$33&amp;" GB atau lebih ("&amp;J200&amp;")",IF(N200="Belum ada data","ukuran penyimpanan belum diisi",""))))</f>
        <v/>
      </c>
      <c r="V200" s="66" t="str">
        <f aca="false">IF($A200="","",IF(O200="Kurang","layar "&amp;Varian!$AG44&amp;", di bawah batas minimal ("&amp;IFERROR(INDEX(Aturan!$A$63:$A$66,MATCH(Aturan!$C$34,Aturan!$B$63:$B$66,0)),"peringkat "&amp;Aturan!$C$34)&amp;")",IF(O200="Cukup","layar "&amp;Varian!$AG44&amp;" cukup, nyamannya "&amp;IFERROR(INDEX(Aturan!$A$63:$A$66,MATCH(Aturan!$D$34,Aturan!$B$63:$B$66,0)),"peringkat "&amp;Aturan!$D$34),IF(O200="Belum ada data","jenis layar belum diketahui",""))))</f>
        <v/>
      </c>
      <c r="W200" s="66" t="str">
        <f aca="false">IF($A200="","",IF(P200="Kurang","layar "&amp;H200&amp;" Hz, di bawah batas minimal "&amp;Aturan!$C$35&amp;" Hz",IF(P200="Cukup","layar "&amp;H200&amp;" Hz cukup, nyamannya "&amp;Aturan!$D$35&amp;" Hz atau lebih",IF(P200="Belum ada data","refresh rate belum diketahui",""))))</f>
        <v/>
      </c>
      <c r="X200" s="66" t="str">
        <f aca="false">IF($A200="","",IF(K200="Kurang",R200&amp;"; ","")&amp;IF(L200="Kurang",S200&amp;"; ","")&amp;IF(M200="Kurang",T200&amp;"; ","")&amp;IF(N200="Kurang",U200&amp;"; ","")&amp;IF(O200="Kurang",V200&amp;"; ","")&amp;IF(P200="Kurang",W200&amp;"; ","")&amp;IF(K200="Belum ada data",R200&amp;"; ","")&amp;IF(L200="Belum ada data",S200&amp;"; ","")&amp;IF(M200="Belum ada data",T200&amp;"; ","")&amp;IF(N200="Belum ada data",U200&amp;"; ","")&amp;IF(O200="Belum ada data",V200&amp;"; ","")&amp;IF(P200="Belum ada data",W200&amp;"; ","")&amp;IF(K200="Cukup",R200&amp;"; ","")&amp;IF(L200="Cukup",S200&amp;"; ","")&amp;IF(M200="Cukup",T200&amp;"; ","")&amp;IF(N200="Cukup",U200&amp;"; ","")&amp;IF(O200="Cukup",V200&amp;"; ","")&amp;IF(P200="Cukup",W200&amp;"; ",""))</f>
        <v/>
      </c>
      <c r="Y200" s="66" t="str">
        <f aca="false">IF($A200="","",IF(K200="Nyaman","prosesor, ","")&amp;IF(L200="Nyaman","grafis, ","")&amp;IF(M200="Nyaman","RAM, ","")&amp;IF(N200="Nyaman","penyimpanan, ","")&amp;IF(O200="Nyaman","layar, ","")&amp;IF(P200="Nyaman","refresh rate, ",""))</f>
        <v/>
      </c>
      <c r="Z200" s="66" t="str">
        <f aca="false">IF($A200="","",IF(Q200="Tidak dinilai","Belum ada kriteria yang dinilai untuk kebutuhan ini.",IF(Q200="Cocok","Semua kriteria yang dinilai sudah nyaman: "&amp;LEFT(Y200,LEN(Y200)-2)&amp;".",UPPER(LEFT(X200,1))&amp;MID(X200,2,LEN(X200)-3)&amp;"."&amp;IF(Y200="",""," Sudah nyaman: "&amp;LEFT(Y200,LEN(Y200)-2)&amp;"."))))</f>
        <v/>
      </c>
      <c r="AA200" s="66" t="str">
        <f aca="false">IF($A200="","",IF(Varian!$AR44="Windows 10","• "&amp;Aturan!$E$71&amp;CHAR(10),"")&amp;IF(Varian!$BB44="tidak","• "&amp;Aturan!$E$72&amp;CHAR(10),"")&amp;IF(OR(Varian!$AD44="belum terverifikasi",Varian!$AD44="tidak diketahui"),"• "&amp;Aturan!$E$73&amp;CHAR(10),"")&amp;IF(Varian!$AH44="1366x768","• "&amp;Aturan!$E$74&amp;CHAR(10),"")&amp;IF(Varian!$AG44="TN","• "&amp;Aturan!$E$75&amp;CHAR(10),"")&amp;IF(AND(Varian!$Q44="disolder",ISNUMBER(Varian!$M44),Varian!$M44&lt;=8),"• "&amp;Aturan!$E$76&amp;CHAR(10),""))</f>
        <v/>
      </c>
      <c r="AB200" s="66" t="str">
        <f aca="false">IF($A200="","",IF(AA200="","",LEFT(AA200,LEN(AA200)-1)))</f>
        <v/>
      </c>
      <c r="AC200" s="67" t="str">
        <f aca="false">IF($A200="","",IF(AA200="",0,LEN(AA200)-LEN(SUBSTITUTE(AA200,CHAR(10),""))))</f>
        <v/>
      </c>
    </row>
    <row r="201" customFormat="false" ht="15" hidden="false" customHeight="true" outlineLevel="0" collapsed="false">
      <c r="A201" s="33" t="str">
        <f aca="false">IF(Varian!$A44="","",Varian!$A44)</f>
        <v/>
      </c>
      <c r="B201" s="33" t="str">
        <f aca="false">IF($A201="","",Aturan!$A$22)</f>
        <v/>
      </c>
      <c r="C201" s="69" t="str">
        <f aca="false">IF($A201="","",IFERROR(IF(ISNUMBER(INDEX(CPU!$J$4:$J$64,MATCH(Varian!$J44,CPU!$A$4:$A$64,0))),INDEX(CPU!$J$4:$J$64,MATCH(Varian!$J44,CPU!$A$4:$A$64,0)),""),""))</f>
        <v/>
      </c>
      <c r="D201" s="69" t="str">
        <f aca="false">IF($A201="","",IFERROR(IF(ISNUMBER(INDEX(GPU!$G$4:$G$64,MATCH(Varian!$K44,GPU!$A$4:$A$64,0))),INDEX(GPU!$G$4:$G$64,MATCH(Varian!$K44,GPU!$A$4:$A$64,0)),""),""))</f>
        <v/>
      </c>
      <c r="E201" s="69" t="str">
        <f aca="false">IF($A201="","",IF(ISNUMBER(Varian!$M44),Varian!$M44,""))</f>
        <v/>
      </c>
      <c r="F201" s="69" t="str">
        <f aca="false">IF($A201="","",IF(ISNUMBER(Varian!$V44),Varian!$V44,""))</f>
        <v/>
      </c>
      <c r="G201" s="69" t="str">
        <f aca="false">IF($A201="","",IFERROR(INDEX(Aturan!$B$63:$B$66,MATCH(Varian!$AG44,Aturan!$A$63:$A$66,0)),""))</f>
        <v/>
      </c>
      <c r="H201" s="69" t="str">
        <f aca="false">IF($A201="","",IF(ISNUMBER(Varian!$AI44),Varian!$AI44,""))</f>
        <v/>
      </c>
      <c r="I201" s="33" t="str">
        <f aca="false">IF($A201="","",IF(Varian!$Q44="disolder","menempel di papan utama, tidak bisa ditambah",IF(OR(Varian!$Q44="slot",Varian!$Q44="setengah_disolder"),IF(Varian!$Q44="setengah_disolder","sebagian menempel, ","")&amp;IF(ISNUMBER(Varian!$U44),IF(AND(ISNUMBER(Varian!$M44),Varian!$U44&gt;Varian!$M44),"bisa dinaikkan lewat slot sampai "&amp;Varian!$U44&amp;" GB","sudah di batas maksimal "&amp;Varian!$U44&amp;" GB"),"ada slot, batas maksimalnya belum diketahui"),"belum diketahui apakah bisa ditambah")))</f>
        <v/>
      </c>
      <c r="J201" s="33" t="str">
        <f aca="false">IF($A201="","",IF(Varian!$Z44="ya","bisa diganti dengan yang lebih besar",IF(Varian!$Z44="tidak","menempel, tidak bisa diganti","belum diketahui apakah bisa diganti")))</f>
        <v/>
      </c>
      <c r="K201" s="70" t="str">
        <f aca="false">IF($A201="","",IF(AND(Aturan!$C$36="",Aturan!$D$36=""),"Tidak dinilai",IF(C201="","Belum ada data",IF(C201&lt;IF(Aturan!$C$36="",0,Aturan!$C$36),"Kurang",IF(C201&gt;=IF(Aturan!$D$36="",Aturan!$C$36,Aturan!$D$36),"Nyaman","Cukup")))))</f>
        <v/>
      </c>
      <c r="L201" s="70" t="str">
        <f aca="false">IF($A201="","",IF(AND(Aturan!$C$37="",Aturan!$D$37=""),"Tidak dinilai",IF(D201="","Belum ada data",IF(D201&lt;IF(Aturan!$C$37="",0,Aturan!$C$37),"Kurang",IF(D201&gt;=IF(Aturan!$D$37="",Aturan!$C$37,Aturan!$D$37),"Nyaman","Cukup")))))</f>
        <v/>
      </c>
      <c r="M201" s="70" t="str">
        <f aca="false">IF($A201="","",IF(AND(Aturan!$C$38="",Aturan!$D$38=""),"Tidak dinilai",IF(E201="","Belum ada data",IF(E201&lt;IF(Aturan!$C$38="",0,Aturan!$C$38),"Kurang",IF(E201&gt;=IF(Aturan!$D$38="",Aturan!$C$38,Aturan!$D$38),"Nyaman","Cukup")))))</f>
        <v/>
      </c>
      <c r="N201" s="70" t="str">
        <f aca="false">IF($A201="","",IF(AND(Aturan!$C$39="",Aturan!$D$39=""),"Tidak dinilai",IF(F201="","Belum ada data",IF(F201&lt;IF(Aturan!$C$39="",0,Aturan!$C$39),"Kurang",IF(F201&gt;=IF(Aturan!$D$39="",Aturan!$C$39,Aturan!$D$39),"Nyaman","Cukup")))))</f>
        <v/>
      </c>
      <c r="O201" s="70" t="str">
        <f aca="false">IF($A201="","",IF(AND(Aturan!$C$40="",Aturan!$D$40=""),"Tidak dinilai",IF(G201="","Belum ada data",IF(G201&lt;IF(Aturan!$C$40="",0,Aturan!$C$40),"Kurang",IF(G201&gt;=IF(Aturan!$D$40="",Aturan!$C$40,Aturan!$D$40),"Nyaman","Cukup")))))</f>
        <v/>
      </c>
      <c r="P201" s="70" t="str">
        <f aca="false">IF($A201="","",IF(AND(Aturan!$C$41="",Aturan!$D$41=""),"Tidak dinilai",IF(H201="","Belum ada data",IF(H201&lt;IF(Aturan!$C$41="",0,Aturan!$C$41),"Kurang",IF(H201&gt;=IF(Aturan!$D$41="",Aturan!$C$41,Aturan!$D$41),"Nyaman","Cukup")))))</f>
        <v/>
      </c>
      <c r="Q201" s="70" t="str">
        <f aca="false">IF($A201="","",IF(COUNTIF(K201:P201,"Tidak dinilai")=6,"Tidak dinilai",IF(COUNTIF(K201:P201,"Kurang")&gt;0,"Kurang cocok",IF(COUNTIF(K201:P201,"Belum ada data")&gt;0,"Data belum lengkap",IF(COUNTIF(K201:P201,"Cukup")&gt;0,"Bisa, dengan catatan","Cocok")))))</f>
        <v/>
      </c>
      <c r="R201" s="33" t="str">
        <f aca="false">IF($A201="","",IF(K201="Kurang","prosesor tingkat "&amp;C201&amp;" dari 5, di bawah batas minimal (tingkat "&amp;Aturan!$C$36&amp;")",IF(K201="Cukup","prosesor tingkat "&amp;C201&amp;" dari 5 cukup, nyamannya mulai tingkat "&amp;Aturan!$D$36,IF(K201="Belum ada data","tingkat prosesor belum diisi",""))))</f>
        <v/>
      </c>
      <c r="S201" s="33" t="str">
        <f aca="false">IF($A201="","",IF(L201="Kurang","grafis tingkat "&amp;D201&amp;" dari 5, di bawah batas minimal (tingkat "&amp;Aturan!$C$37&amp;")",IF(L201="Cukup","grafis tingkat "&amp;D201&amp;" dari 5 cukup, nyamannya mulai tingkat "&amp;Aturan!$D$37,IF(L201="Belum ada data","tingkat grafis belum diisi",""))))</f>
        <v/>
      </c>
      <c r="T201" s="33" t="str">
        <f aca="false">IF($A201="","",IF(M201="Kurang","RAM "&amp;E201&amp;" GB, di bawah batas minimal "&amp;Aturan!$C$38&amp;" GB ("&amp;I201&amp;")",IF(M201="Cukup","RAM "&amp;E201&amp;" GB cukup, nyamannya "&amp;Aturan!$D$38&amp;" GB atau lebih ("&amp;I201&amp;")",IF(M201="Belum ada data","ukuran RAM belum diisi",""))))</f>
        <v/>
      </c>
      <c r="U201" s="33" t="str">
        <f aca="false">IF($A201="","",IF(N201="Kurang","penyimpanan "&amp;F201&amp;" GB, di bawah batas minimal "&amp;Aturan!$C$39&amp;" GB ("&amp;J201&amp;")",IF(N201="Cukup","penyimpanan "&amp;F201&amp;" GB cukup, nyamannya "&amp;Aturan!$D$39&amp;" GB atau lebih ("&amp;J201&amp;")",IF(N201="Belum ada data","ukuran penyimpanan belum diisi",""))))</f>
        <v/>
      </c>
      <c r="V201" s="33" t="str">
        <f aca="false">IF($A201="","",IF(O201="Kurang","layar "&amp;Varian!$AG44&amp;", di bawah batas minimal ("&amp;IFERROR(INDEX(Aturan!$A$63:$A$66,MATCH(Aturan!$C$40,Aturan!$B$63:$B$66,0)),"peringkat "&amp;Aturan!$C$40)&amp;")",IF(O201="Cukup","layar "&amp;Varian!$AG44&amp;" cukup, nyamannya "&amp;IFERROR(INDEX(Aturan!$A$63:$A$66,MATCH(Aturan!$D$40,Aturan!$B$63:$B$66,0)),"peringkat "&amp;Aturan!$D$40),IF(O201="Belum ada data","jenis layar belum diketahui",""))))</f>
        <v/>
      </c>
      <c r="W201" s="33" t="str">
        <f aca="false">IF($A201="","",IF(P201="Kurang","layar "&amp;H201&amp;" Hz, di bawah batas minimal "&amp;Aturan!$C$41&amp;" Hz",IF(P201="Cukup","layar "&amp;H201&amp;" Hz cukup, nyamannya "&amp;Aturan!$D$41&amp;" Hz atau lebih",IF(P201="Belum ada data","refresh rate belum diketahui",""))))</f>
        <v/>
      </c>
      <c r="X201" s="33" t="str">
        <f aca="false">IF($A201="","",IF(K201="Kurang",R201&amp;"; ","")&amp;IF(L201="Kurang",S201&amp;"; ","")&amp;IF(M201="Kurang",T201&amp;"; ","")&amp;IF(N201="Kurang",U201&amp;"; ","")&amp;IF(O201="Kurang",V201&amp;"; ","")&amp;IF(P201="Kurang",W201&amp;"; ","")&amp;IF(K201="Belum ada data",R201&amp;"; ","")&amp;IF(L201="Belum ada data",S201&amp;"; ","")&amp;IF(M201="Belum ada data",T201&amp;"; ","")&amp;IF(N201="Belum ada data",U201&amp;"; ","")&amp;IF(O201="Belum ada data",V201&amp;"; ","")&amp;IF(P201="Belum ada data",W201&amp;"; ","")&amp;IF(K201="Cukup",R201&amp;"; ","")&amp;IF(L201="Cukup",S201&amp;"; ","")&amp;IF(M201="Cukup",T201&amp;"; ","")&amp;IF(N201="Cukup",U201&amp;"; ","")&amp;IF(O201="Cukup",V201&amp;"; ","")&amp;IF(P201="Cukup",W201&amp;"; ",""))</f>
        <v/>
      </c>
      <c r="Y201" s="33" t="str">
        <f aca="false">IF($A201="","",IF(K201="Nyaman","prosesor, ","")&amp;IF(L201="Nyaman","grafis, ","")&amp;IF(M201="Nyaman","RAM, ","")&amp;IF(N201="Nyaman","penyimpanan, ","")&amp;IF(O201="Nyaman","layar, ","")&amp;IF(P201="Nyaman","refresh rate, ",""))</f>
        <v/>
      </c>
      <c r="Z201" s="33" t="str">
        <f aca="false">IF($A201="","",IF(Q201="Tidak dinilai","Belum ada kriteria yang dinilai untuk kebutuhan ini.",IF(Q201="Cocok","Semua kriteria yang dinilai sudah nyaman: "&amp;LEFT(Y201,LEN(Y201)-2)&amp;".",UPPER(LEFT(X201,1))&amp;MID(X201,2,LEN(X201)-3)&amp;"."&amp;IF(Y201="",""," Sudah nyaman: "&amp;LEFT(Y201,LEN(Y201)-2)&amp;"."))))</f>
        <v/>
      </c>
      <c r="AA201" s="33"/>
      <c r="AB201" s="33"/>
      <c r="AC201" s="69"/>
    </row>
    <row r="202" customFormat="false" ht="15" hidden="false" customHeight="true" outlineLevel="0" collapsed="false">
      <c r="A202" s="33" t="str">
        <f aca="false">IF(Varian!$A44="","",Varian!$A44)</f>
        <v/>
      </c>
      <c r="B202" s="33" t="str">
        <f aca="false">IF($A202="","",Aturan!$A$23)</f>
        <v/>
      </c>
      <c r="C202" s="69" t="str">
        <f aca="false">IF($A202="","",IFERROR(IF(ISNUMBER(INDEX(CPU!$J$4:$J$64,MATCH(Varian!$J44,CPU!$A$4:$A$64,0))),INDEX(CPU!$J$4:$J$64,MATCH(Varian!$J44,CPU!$A$4:$A$64,0)),""),""))</f>
        <v/>
      </c>
      <c r="D202" s="69" t="str">
        <f aca="false">IF($A202="","",IFERROR(IF(ISNUMBER(INDEX(GPU!$G$4:$G$64,MATCH(Varian!$K44,GPU!$A$4:$A$64,0))),INDEX(GPU!$G$4:$G$64,MATCH(Varian!$K44,GPU!$A$4:$A$64,0)),""),""))</f>
        <v/>
      </c>
      <c r="E202" s="69" t="str">
        <f aca="false">IF($A202="","",IF(ISNUMBER(Varian!$M44),Varian!$M44,""))</f>
        <v/>
      </c>
      <c r="F202" s="69" t="str">
        <f aca="false">IF($A202="","",IF(ISNUMBER(Varian!$V44),Varian!$V44,""))</f>
        <v/>
      </c>
      <c r="G202" s="69" t="str">
        <f aca="false">IF($A202="","",IFERROR(INDEX(Aturan!$B$63:$B$66,MATCH(Varian!$AG44,Aturan!$A$63:$A$66,0)),""))</f>
        <v/>
      </c>
      <c r="H202" s="69" t="str">
        <f aca="false">IF($A202="","",IF(ISNUMBER(Varian!$AI44),Varian!$AI44,""))</f>
        <v/>
      </c>
      <c r="I202" s="33" t="str">
        <f aca="false">IF($A202="","",IF(Varian!$Q44="disolder","menempel di papan utama, tidak bisa ditambah",IF(OR(Varian!$Q44="slot",Varian!$Q44="setengah_disolder"),IF(Varian!$Q44="setengah_disolder","sebagian menempel, ","")&amp;IF(ISNUMBER(Varian!$U44),IF(AND(ISNUMBER(Varian!$M44),Varian!$U44&gt;Varian!$M44),"bisa dinaikkan lewat slot sampai "&amp;Varian!$U44&amp;" GB","sudah di batas maksimal "&amp;Varian!$U44&amp;" GB"),"ada slot, batas maksimalnya belum diketahui"),"belum diketahui apakah bisa ditambah")))</f>
        <v/>
      </c>
      <c r="J202" s="33" t="str">
        <f aca="false">IF($A202="","",IF(Varian!$Z44="ya","bisa diganti dengan yang lebih besar",IF(Varian!$Z44="tidak","menempel, tidak bisa diganti","belum diketahui apakah bisa diganti")))</f>
        <v/>
      </c>
      <c r="K202" s="70" t="str">
        <f aca="false">IF($A202="","",IF(AND(Aturan!$C$42="",Aturan!$D$42=""),"Tidak dinilai",IF(C202="","Belum ada data",IF(C202&lt;IF(Aturan!$C$42="",0,Aturan!$C$42),"Kurang",IF(C202&gt;=IF(Aturan!$D$42="",Aturan!$C$42,Aturan!$D$42),"Nyaman","Cukup")))))</f>
        <v/>
      </c>
      <c r="L202" s="70" t="str">
        <f aca="false">IF($A202="","",IF(AND(Aturan!$C$43="",Aturan!$D$43=""),"Tidak dinilai",IF(D202="","Belum ada data",IF(D202&lt;IF(Aturan!$C$43="",0,Aturan!$C$43),"Kurang",IF(D202&gt;=IF(Aturan!$D$43="",Aturan!$C$43,Aturan!$D$43),"Nyaman","Cukup")))))</f>
        <v/>
      </c>
      <c r="M202" s="70" t="str">
        <f aca="false">IF($A202="","",IF(AND(Aturan!$C$44="",Aturan!$D$44=""),"Tidak dinilai",IF(E202="","Belum ada data",IF(E202&lt;IF(Aturan!$C$44="",0,Aturan!$C$44),"Kurang",IF(E202&gt;=IF(Aturan!$D$44="",Aturan!$C$44,Aturan!$D$44),"Nyaman","Cukup")))))</f>
        <v/>
      </c>
      <c r="N202" s="70" t="str">
        <f aca="false">IF($A202="","",IF(AND(Aturan!$C$45="",Aturan!$D$45=""),"Tidak dinilai",IF(F202="","Belum ada data",IF(F202&lt;IF(Aturan!$C$45="",0,Aturan!$C$45),"Kurang",IF(F202&gt;=IF(Aturan!$D$45="",Aturan!$C$45,Aturan!$D$45),"Nyaman","Cukup")))))</f>
        <v/>
      </c>
      <c r="O202" s="70" t="str">
        <f aca="false">IF($A202="","",IF(AND(Aturan!$C$46="",Aturan!$D$46=""),"Tidak dinilai",IF(G202="","Belum ada data",IF(G202&lt;IF(Aturan!$C$46="",0,Aturan!$C$46),"Kurang",IF(G202&gt;=IF(Aturan!$D$46="",Aturan!$C$46,Aturan!$D$46),"Nyaman","Cukup")))))</f>
        <v/>
      </c>
      <c r="P202" s="70" t="str">
        <f aca="false">IF($A202="","",IF(AND(Aturan!$C$47="",Aturan!$D$47=""),"Tidak dinilai",IF(H202="","Belum ada data",IF(H202&lt;IF(Aturan!$C$47="",0,Aturan!$C$47),"Kurang",IF(H202&gt;=IF(Aturan!$D$47="",Aturan!$C$47,Aturan!$D$47),"Nyaman","Cukup")))))</f>
        <v/>
      </c>
      <c r="Q202" s="70" t="str">
        <f aca="false">IF($A202="","",IF(COUNTIF(K202:P202,"Tidak dinilai")=6,"Tidak dinilai",IF(COUNTIF(K202:P202,"Kurang")&gt;0,"Kurang cocok",IF(COUNTIF(K202:P202,"Belum ada data")&gt;0,"Data belum lengkap",IF(COUNTIF(K202:P202,"Cukup")&gt;0,"Bisa, dengan catatan","Cocok")))))</f>
        <v/>
      </c>
      <c r="R202" s="33" t="str">
        <f aca="false">IF($A202="","",IF(K202="Kurang","prosesor tingkat "&amp;C202&amp;" dari 5, di bawah batas minimal (tingkat "&amp;Aturan!$C$42&amp;")",IF(K202="Cukup","prosesor tingkat "&amp;C202&amp;" dari 5 cukup, nyamannya mulai tingkat "&amp;Aturan!$D$42,IF(K202="Belum ada data","tingkat prosesor belum diisi",""))))</f>
        <v/>
      </c>
      <c r="S202" s="33" t="str">
        <f aca="false">IF($A202="","",IF(L202="Kurang","grafis tingkat "&amp;D202&amp;" dari 5, di bawah batas minimal (tingkat "&amp;Aturan!$C$43&amp;")",IF(L202="Cukup","grafis tingkat "&amp;D202&amp;" dari 5 cukup, nyamannya mulai tingkat "&amp;Aturan!$D$43,IF(L202="Belum ada data","tingkat grafis belum diisi",""))))</f>
        <v/>
      </c>
      <c r="T202" s="33" t="str">
        <f aca="false">IF($A202="","",IF(M202="Kurang","RAM "&amp;E202&amp;" GB, di bawah batas minimal "&amp;Aturan!$C$44&amp;" GB ("&amp;I202&amp;")",IF(M202="Cukup","RAM "&amp;E202&amp;" GB cukup, nyamannya "&amp;Aturan!$D$44&amp;" GB atau lebih ("&amp;I202&amp;")",IF(M202="Belum ada data","ukuran RAM belum diisi",""))))</f>
        <v/>
      </c>
      <c r="U202" s="33" t="str">
        <f aca="false">IF($A202="","",IF(N202="Kurang","penyimpanan "&amp;F202&amp;" GB, di bawah batas minimal "&amp;Aturan!$C$45&amp;" GB ("&amp;J202&amp;")",IF(N202="Cukup","penyimpanan "&amp;F202&amp;" GB cukup, nyamannya "&amp;Aturan!$D$45&amp;" GB atau lebih ("&amp;J202&amp;")",IF(N202="Belum ada data","ukuran penyimpanan belum diisi",""))))</f>
        <v/>
      </c>
      <c r="V202" s="33" t="str">
        <f aca="false">IF($A202="","",IF(O202="Kurang","layar "&amp;Varian!$AG44&amp;", di bawah batas minimal ("&amp;IFERROR(INDEX(Aturan!$A$63:$A$66,MATCH(Aturan!$C$46,Aturan!$B$63:$B$66,0)),"peringkat "&amp;Aturan!$C$46)&amp;")",IF(O202="Cukup","layar "&amp;Varian!$AG44&amp;" cukup, nyamannya "&amp;IFERROR(INDEX(Aturan!$A$63:$A$66,MATCH(Aturan!$D$46,Aturan!$B$63:$B$66,0)),"peringkat "&amp;Aturan!$D$46),IF(O202="Belum ada data","jenis layar belum diketahui",""))))</f>
        <v/>
      </c>
      <c r="W202" s="33" t="str">
        <f aca="false">IF($A202="","",IF(P202="Kurang","layar "&amp;H202&amp;" Hz, di bawah batas minimal "&amp;Aturan!$C$47&amp;" Hz",IF(P202="Cukup","layar "&amp;H202&amp;" Hz cukup, nyamannya "&amp;Aturan!$D$47&amp;" Hz atau lebih",IF(P202="Belum ada data","refresh rate belum diketahui",""))))</f>
        <v/>
      </c>
      <c r="X202" s="33" t="str">
        <f aca="false">IF($A202="","",IF(K202="Kurang",R202&amp;"; ","")&amp;IF(L202="Kurang",S202&amp;"; ","")&amp;IF(M202="Kurang",T202&amp;"; ","")&amp;IF(N202="Kurang",U202&amp;"; ","")&amp;IF(O202="Kurang",V202&amp;"; ","")&amp;IF(P202="Kurang",W202&amp;"; ","")&amp;IF(K202="Belum ada data",R202&amp;"; ","")&amp;IF(L202="Belum ada data",S202&amp;"; ","")&amp;IF(M202="Belum ada data",T202&amp;"; ","")&amp;IF(N202="Belum ada data",U202&amp;"; ","")&amp;IF(O202="Belum ada data",V202&amp;"; ","")&amp;IF(P202="Belum ada data",W202&amp;"; ","")&amp;IF(K202="Cukup",R202&amp;"; ","")&amp;IF(L202="Cukup",S202&amp;"; ","")&amp;IF(M202="Cukup",T202&amp;"; ","")&amp;IF(N202="Cukup",U202&amp;"; ","")&amp;IF(O202="Cukup",V202&amp;"; ","")&amp;IF(P202="Cukup",W202&amp;"; ",""))</f>
        <v/>
      </c>
      <c r="Y202" s="33" t="str">
        <f aca="false">IF($A202="","",IF(K202="Nyaman","prosesor, ","")&amp;IF(L202="Nyaman","grafis, ","")&amp;IF(M202="Nyaman","RAM, ","")&amp;IF(N202="Nyaman","penyimpanan, ","")&amp;IF(O202="Nyaman","layar, ","")&amp;IF(P202="Nyaman","refresh rate, ",""))</f>
        <v/>
      </c>
      <c r="Z202" s="33" t="str">
        <f aca="false">IF($A202="","",IF(Q202="Tidak dinilai","Belum ada kriteria yang dinilai untuk kebutuhan ini.",IF(Q202="Cocok","Semua kriteria yang dinilai sudah nyaman: "&amp;LEFT(Y202,LEN(Y202)-2)&amp;".",UPPER(LEFT(X202,1))&amp;MID(X202,2,LEN(X202)-3)&amp;"."&amp;IF(Y202="",""," Sudah nyaman: "&amp;LEFT(Y202,LEN(Y202)-2)&amp;"."))))</f>
        <v/>
      </c>
      <c r="AA202" s="33"/>
      <c r="AB202" s="33"/>
      <c r="AC202" s="69"/>
    </row>
    <row r="203" customFormat="false" ht="15" hidden="false" customHeight="true" outlineLevel="0" collapsed="false">
      <c r="A203" s="33" t="str">
        <f aca="false">IF(Varian!$A44="","",Varian!$A44)</f>
        <v/>
      </c>
      <c r="B203" s="33" t="str">
        <f aca="false">IF($A203="","",Aturan!$A$24)</f>
        <v/>
      </c>
      <c r="C203" s="69" t="str">
        <f aca="false">IF($A203="","",IFERROR(IF(ISNUMBER(INDEX(CPU!$J$4:$J$64,MATCH(Varian!$J44,CPU!$A$4:$A$64,0))),INDEX(CPU!$J$4:$J$64,MATCH(Varian!$J44,CPU!$A$4:$A$64,0)),""),""))</f>
        <v/>
      </c>
      <c r="D203" s="69" t="str">
        <f aca="false">IF($A203="","",IFERROR(IF(ISNUMBER(INDEX(GPU!$G$4:$G$64,MATCH(Varian!$K44,GPU!$A$4:$A$64,0))),INDEX(GPU!$G$4:$G$64,MATCH(Varian!$K44,GPU!$A$4:$A$64,0)),""),""))</f>
        <v/>
      </c>
      <c r="E203" s="69" t="str">
        <f aca="false">IF($A203="","",IF(ISNUMBER(Varian!$M44),Varian!$M44,""))</f>
        <v/>
      </c>
      <c r="F203" s="69" t="str">
        <f aca="false">IF($A203="","",IF(ISNUMBER(Varian!$V44),Varian!$V44,""))</f>
        <v/>
      </c>
      <c r="G203" s="69" t="str">
        <f aca="false">IF($A203="","",IFERROR(INDEX(Aturan!$B$63:$B$66,MATCH(Varian!$AG44,Aturan!$A$63:$A$66,0)),""))</f>
        <v/>
      </c>
      <c r="H203" s="69" t="str">
        <f aca="false">IF($A203="","",IF(ISNUMBER(Varian!$AI44),Varian!$AI44,""))</f>
        <v/>
      </c>
      <c r="I203" s="33" t="str">
        <f aca="false">IF($A203="","",IF(Varian!$Q44="disolder","menempel di papan utama, tidak bisa ditambah",IF(OR(Varian!$Q44="slot",Varian!$Q44="setengah_disolder"),IF(Varian!$Q44="setengah_disolder","sebagian menempel, ","")&amp;IF(ISNUMBER(Varian!$U44),IF(AND(ISNUMBER(Varian!$M44),Varian!$U44&gt;Varian!$M44),"bisa dinaikkan lewat slot sampai "&amp;Varian!$U44&amp;" GB","sudah di batas maksimal "&amp;Varian!$U44&amp;" GB"),"ada slot, batas maksimalnya belum diketahui"),"belum diketahui apakah bisa ditambah")))</f>
        <v/>
      </c>
      <c r="J203" s="33" t="str">
        <f aca="false">IF($A203="","",IF(Varian!$Z44="ya","bisa diganti dengan yang lebih besar",IF(Varian!$Z44="tidak","menempel, tidak bisa diganti","belum diketahui apakah bisa diganti")))</f>
        <v/>
      </c>
      <c r="K203" s="70" t="str">
        <f aca="false">IF($A203="","",IF(AND(Aturan!$C$48="",Aturan!$D$48=""),"Tidak dinilai",IF(C203="","Belum ada data",IF(C203&lt;IF(Aturan!$C$48="",0,Aturan!$C$48),"Kurang",IF(C203&gt;=IF(Aturan!$D$48="",Aturan!$C$48,Aturan!$D$48),"Nyaman","Cukup")))))</f>
        <v/>
      </c>
      <c r="L203" s="70" t="str">
        <f aca="false">IF($A203="","",IF(AND(Aturan!$C$49="",Aturan!$D$49=""),"Tidak dinilai",IF(D203="","Belum ada data",IF(D203&lt;IF(Aturan!$C$49="",0,Aturan!$C$49),"Kurang",IF(D203&gt;=IF(Aturan!$D$49="",Aturan!$C$49,Aturan!$D$49),"Nyaman","Cukup")))))</f>
        <v/>
      </c>
      <c r="M203" s="70" t="str">
        <f aca="false">IF($A203="","",IF(AND(Aturan!$C$50="",Aturan!$D$50=""),"Tidak dinilai",IF(E203="","Belum ada data",IF(E203&lt;IF(Aturan!$C$50="",0,Aturan!$C$50),"Kurang",IF(E203&gt;=IF(Aturan!$D$50="",Aturan!$C$50,Aturan!$D$50),"Nyaman","Cukup")))))</f>
        <v/>
      </c>
      <c r="N203" s="70" t="str">
        <f aca="false">IF($A203="","",IF(AND(Aturan!$C$51="",Aturan!$D$51=""),"Tidak dinilai",IF(F203="","Belum ada data",IF(F203&lt;IF(Aturan!$C$51="",0,Aturan!$C$51),"Kurang",IF(F203&gt;=IF(Aturan!$D$51="",Aturan!$C$51,Aturan!$D$51),"Nyaman","Cukup")))))</f>
        <v/>
      </c>
      <c r="O203" s="70" t="str">
        <f aca="false">IF($A203="","",IF(AND(Aturan!$C$52="",Aturan!$D$52=""),"Tidak dinilai",IF(G203="","Belum ada data",IF(G203&lt;IF(Aturan!$C$52="",0,Aturan!$C$52),"Kurang",IF(G203&gt;=IF(Aturan!$D$52="",Aturan!$C$52,Aturan!$D$52),"Nyaman","Cukup")))))</f>
        <v/>
      </c>
      <c r="P203" s="70" t="str">
        <f aca="false">IF($A203="","",IF(AND(Aturan!$C$53="",Aturan!$D$53=""),"Tidak dinilai",IF(H203="","Belum ada data",IF(H203&lt;IF(Aturan!$C$53="",0,Aturan!$C$53),"Kurang",IF(H203&gt;=IF(Aturan!$D$53="",Aturan!$C$53,Aturan!$D$53),"Nyaman","Cukup")))))</f>
        <v/>
      </c>
      <c r="Q203" s="70" t="str">
        <f aca="false">IF($A203="","",IF(COUNTIF(K203:P203,"Tidak dinilai")=6,"Tidak dinilai",IF(COUNTIF(K203:P203,"Kurang")&gt;0,"Kurang cocok",IF(COUNTIF(K203:P203,"Belum ada data")&gt;0,"Data belum lengkap",IF(COUNTIF(K203:P203,"Cukup")&gt;0,"Bisa, dengan catatan","Cocok")))))</f>
        <v/>
      </c>
      <c r="R203" s="33" t="str">
        <f aca="false">IF($A203="","",IF(K203="Kurang","prosesor tingkat "&amp;C203&amp;" dari 5, di bawah batas minimal (tingkat "&amp;Aturan!$C$48&amp;")",IF(K203="Cukup","prosesor tingkat "&amp;C203&amp;" dari 5 cukup, nyamannya mulai tingkat "&amp;Aturan!$D$48,IF(K203="Belum ada data","tingkat prosesor belum diisi",""))))</f>
        <v/>
      </c>
      <c r="S203" s="33" t="str">
        <f aca="false">IF($A203="","",IF(L203="Kurang","grafis tingkat "&amp;D203&amp;" dari 5, di bawah batas minimal (tingkat "&amp;Aturan!$C$49&amp;")",IF(L203="Cukup","grafis tingkat "&amp;D203&amp;" dari 5 cukup, nyamannya mulai tingkat "&amp;Aturan!$D$49,IF(L203="Belum ada data","tingkat grafis belum diisi",""))))</f>
        <v/>
      </c>
      <c r="T203" s="33" t="str">
        <f aca="false">IF($A203="","",IF(M203="Kurang","RAM "&amp;E203&amp;" GB, di bawah batas minimal "&amp;Aturan!$C$50&amp;" GB ("&amp;I203&amp;")",IF(M203="Cukup","RAM "&amp;E203&amp;" GB cukup, nyamannya "&amp;Aturan!$D$50&amp;" GB atau lebih ("&amp;I203&amp;")",IF(M203="Belum ada data","ukuran RAM belum diisi",""))))</f>
        <v/>
      </c>
      <c r="U203" s="33" t="str">
        <f aca="false">IF($A203="","",IF(N203="Kurang","penyimpanan "&amp;F203&amp;" GB, di bawah batas minimal "&amp;Aturan!$C$51&amp;" GB ("&amp;J203&amp;")",IF(N203="Cukup","penyimpanan "&amp;F203&amp;" GB cukup, nyamannya "&amp;Aturan!$D$51&amp;" GB atau lebih ("&amp;J203&amp;")",IF(N203="Belum ada data","ukuran penyimpanan belum diisi",""))))</f>
        <v/>
      </c>
      <c r="V203" s="33" t="str">
        <f aca="false">IF($A203="","",IF(O203="Kurang","layar "&amp;Varian!$AG44&amp;", di bawah batas minimal ("&amp;IFERROR(INDEX(Aturan!$A$63:$A$66,MATCH(Aturan!$C$52,Aturan!$B$63:$B$66,0)),"peringkat "&amp;Aturan!$C$52)&amp;")",IF(O203="Cukup","layar "&amp;Varian!$AG44&amp;" cukup, nyamannya "&amp;IFERROR(INDEX(Aturan!$A$63:$A$66,MATCH(Aturan!$D$52,Aturan!$B$63:$B$66,0)),"peringkat "&amp;Aturan!$D$52),IF(O203="Belum ada data","jenis layar belum diketahui",""))))</f>
        <v/>
      </c>
      <c r="W203" s="33" t="str">
        <f aca="false">IF($A203="","",IF(P203="Kurang","layar "&amp;H203&amp;" Hz, di bawah batas minimal "&amp;Aturan!$C$53&amp;" Hz",IF(P203="Cukup","layar "&amp;H203&amp;" Hz cukup, nyamannya "&amp;Aturan!$D$53&amp;" Hz atau lebih",IF(P203="Belum ada data","refresh rate belum diketahui",""))))</f>
        <v/>
      </c>
      <c r="X203" s="33" t="str">
        <f aca="false">IF($A203="","",IF(K203="Kurang",R203&amp;"; ","")&amp;IF(L203="Kurang",S203&amp;"; ","")&amp;IF(M203="Kurang",T203&amp;"; ","")&amp;IF(N203="Kurang",U203&amp;"; ","")&amp;IF(O203="Kurang",V203&amp;"; ","")&amp;IF(P203="Kurang",W203&amp;"; ","")&amp;IF(K203="Belum ada data",R203&amp;"; ","")&amp;IF(L203="Belum ada data",S203&amp;"; ","")&amp;IF(M203="Belum ada data",T203&amp;"; ","")&amp;IF(N203="Belum ada data",U203&amp;"; ","")&amp;IF(O203="Belum ada data",V203&amp;"; ","")&amp;IF(P203="Belum ada data",W203&amp;"; ","")&amp;IF(K203="Cukup",R203&amp;"; ","")&amp;IF(L203="Cukup",S203&amp;"; ","")&amp;IF(M203="Cukup",T203&amp;"; ","")&amp;IF(N203="Cukup",U203&amp;"; ","")&amp;IF(O203="Cukup",V203&amp;"; ","")&amp;IF(P203="Cukup",W203&amp;"; ",""))</f>
        <v/>
      </c>
      <c r="Y203" s="33" t="str">
        <f aca="false">IF($A203="","",IF(K203="Nyaman","prosesor, ","")&amp;IF(L203="Nyaman","grafis, ","")&amp;IF(M203="Nyaman","RAM, ","")&amp;IF(N203="Nyaman","penyimpanan, ","")&amp;IF(O203="Nyaman","layar, ","")&amp;IF(P203="Nyaman","refresh rate, ",""))</f>
        <v/>
      </c>
      <c r="Z203" s="33" t="str">
        <f aca="false">IF($A203="","",IF(Q203="Tidak dinilai","Belum ada kriteria yang dinilai untuk kebutuhan ini.",IF(Q203="Cocok","Semua kriteria yang dinilai sudah nyaman: "&amp;LEFT(Y203,LEN(Y203)-2)&amp;".",UPPER(LEFT(X203,1))&amp;MID(X203,2,LEN(X203)-3)&amp;"."&amp;IF(Y203="",""," Sudah nyaman: "&amp;LEFT(Y203,LEN(Y203)-2)&amp;"."))))</f>
        <v/>
      </c>
      <c r="AA203" s="33"/>
      <c r="AB203" s="33"/>
      <c r="AC203" s="69"/>
    </row>
    <row r="204" customFormat="false" ht="15" hidden="false" customHeight="true" outlineLevel="0" collapsed="false">
      <c r="A204" s="33" t="str">
        <f aca="false">IF(Varian!$A44="","",Varian!$A44)</f>
        <v/>
      </c>
      <c r="B204" s="33" t="str">
        <f aca="false">IF($A204="","",Aturan!$A$25)</f>
        <v/>
      </c>
      <c r="C204" s="69" t="str">
        <f aca="false">IF($A204="","",IFERROR(IF(ISNUMBER(INDEX(CPU!$J$4:$J$64,MATCH(Varian!$J44,CPU!$A$4:$A$64,0))),INDEX(CPU!$J$4:$J$64,MATCH(Varian!$J44,CPU!$A$4:$A$64,0)),""),""))</f>
        <v/>
      </c>
      <c r="D204" s="69" t="str">
        <f aca="false">IF($A204="","",IFERROR(IF(ISNUMBER(INDEX(GPU!$G$4:$G$64,MATCH(Varian!$K44,GPU!$A$4:$A$64,0))),INDEX(GPU!$G$4:$G$64,MATCH(Varian!$K44,GPU!$A$4:$A$64,0)),""),""))</f>
        <v/>
      </c>
      <c r="E204" s="69" t="str">
        <f aca="false">IF($A204="","",IF(ISNUMBER(Varian!$M44),Varian!$M44,""))</f>
        <v/>
      </c>
      <c r="F204" s="69" t="str">
        <f aca="false">IF($A204="","",IF(ISNUMBER(Varian!$V44),Varian!$V44,""))</f>
        <v/>
      </c>
      <c r="G204" s="69" t="str">
        <f aca="false">IF($A204="","",IFERROR(INDEX(Aturan!$B$63:$B$66,MATCH(Varian!$AG44,Aturan!$A$63:$A$66,0)),""))</f>
        <v/>
      </c>
      <c r="H204" s="69" t="str">
        <f aca="false">IF($A204="","",IF(ISNUMBER(Varian!$AI44),Varian!$AI44,""))</f>
        <v/>
      </c>
      <c r="I204" s="33" t="str">
        <f aca="false">IF($A204="","",IF(Varian!$Q44="disolder","menempel di papan utama, tidak bisa ditambah",IF(OR(Varian!$Q44="slot",Varian!$Q44="setengah_disolder"),IF(Varian!$Q44="setengah_disolder","sebagian menempel, ","")&amp;IF(ISNUMBER(Varian!$U44),IF(AND(ISNUMBER(Varian!$M44),Varian!$U44&gt;Varian!$M44),"bisa dinaikkan lewat slot sampai "&amp;Varian!$U44&amp;" GB","sudah di batas maksimal "&amp;Varian!$U44&amp;" GB"),"ada slot, batas maksimalnya belum diketahui"),"belum diketahui apakah bisa ditambah")))</f>
        <v/>
      </c>
      <c r="J204" s="33" t="str">
        <f aca="false">IF($A204="","",IF(Varian!$Z44="ya","bisa diganti dengan yang lebih besar",IF(Varian!$Z44="tidak","menempel, tidak bisa diganti","belum diketahui apakah bisa diganti")))</f>
        <v/>
      </c>
      <c r="K204" s="70" t="str">
        <f aca="false">IF($A204="","",IF(AND(Aturan!$C$54="",Aturan!$D$54=""),"Tidak dinilai",IF(C204="","Belum ada data",IF(C204&lt;IF(Aturan!$C$54="",0,Aturan!$C$54),"Kurang",IF(C204&gt;=IF(Aturan!$D$54="",Aturan!$C$54,Aturan!$D$54),"Nyaman","Cukup")))))</f>
        <v/>
      </c>
      <c r="L204" s="70" t="str">
        <f aca="false">IF($A204="","",IF(AND(Aturan!$C$55="",Aturan!$D$55=""),"Tidak dinilai",IF(D204="","Belum ada data",IF(D204&lt;IF(Aturan!$C$55="",0,Aturan!$C$55),"Kurang",IF(D204&gt;=IF(Aturan!$D$55="",Aturan!$C$55,Aturan!$D$55),"Nyaman","Cukup")))))</f>
        <v/>
      </c>
      <c r="M204" s="70" t="str">
        <f aca="false">IF($A204="","",IF(AND(Aturan!$C$56="",Aturan!$D$56=""),"Tidak dinilai",IF(E204="","Belum ada data",IF(E204&lt;IF(Aturan!$C$56="",0,Aturan!$C$56),"Kurang",IF(E204&gt;=IF(Aturan!$D$56="",Aturan!$C$56,Aturan!$D$56),"Nyaman","Cukup")))))</f>
        <v/>
      </c>
      <c r="N204" s="70" t="str">
        <f aca="false">IF($A204="","",IF(AND(Aturan!$C$57="",Aturan!$D$57=""),"Tidak dinilai",IF(F204="","Belum ada data",IF(F204&lt;IF(Aturan!$C$57="",0,Aturan!$C$57),"Kurang",IF(F204&gt;=IF(Aturan!$D$57="",Aturan!$C$57,Aturan!$D$57),"Nyaman","Cukup")))))</f>
        <v/>
      </c>
      <c r="O204" s="70" t="str">
        <f aca="false">IF($A204="","",IF(AND(Aturan!$C$58="",Aturan!$D$58=""),"Tidak dinilai",IF(G204="","Belum ada data",IF(G204&lt;IF(Aturan!$C$58="",0,Aturan!$C$58),"Kurang",IF(G204&gt;=IF(Aturan!$D$58="",Aturan!$C$58,Aturan!$D$58),"Nyaman","Cukup")))))</f>
        <v/>
      </c>
      <c r="P204" s="70" t="str">
        <f aca="false">IF($A204="","",IF(AND(Aturan!$C$59="",Aturan!$D$59=""),"Tidak dinilai",IF(H204="","Belum ada data",IF(H204&lt;IF(Aturan!$C$59="",0,Aturan!$C$59),"Kurang",IF(H204&gt;=IF(Aturan!$D$59="",Aturan!$C$59,Aturan!$D$59),"Nyaman","Cukup")))))</f>
        <v/>
      </c>
      <c r="Q204" s="70" t="str">
        <f aca="false">IF($A204="","",IF(COUNTIF(K204:P204,"Tidak dinilai")=6,"Tidak dinilai",IF(COUNTIF(K204:P204,"Kurang")&gt;0,"Kurang cocok",IF(COUNTIF(K204:P204,"Belum ada data")&gt;0,"Data belum lengkap",IF(COUNTIF(K204:P204,"Cukup")&gt;0,"Bisa, dengan catatan","Cocok")))))</f>
        <v/>
      </c>
      <c r="R204" s="33" t="str">
        <f aca="false">IF($A204="","",IF(K204="Kurang","prosesor tingkat "&amp;C204&amp;" dari 5, di bawah batas minimal (tingkat "&amp;Aturan!$C$54&amp;")",IF(K204="Cukup","prosesor tingkat "&amp;C204&amp;" dari 5 cukup, nyamannya mulai tingkat "&amp;Aturan!$D$54,IF(K204="Belum ada data","tingkat prosesor belum diisi",""))))</f>
        <v/>
      </c>
      <c r="S204" s="33" t="str">
        <f aca="false">IF($A204="","",IF(L204="Kurang","grafis tingkat "&amp;D204&amp;" dari 5, di bawah batas minimal (tingkat "&amp;Aturan!$C$55&amp;")",IF(L204="Cukup","grafis tingkat "&amp;D204&amp;" dari 5 cukup, nyamannya mulai tingkat "&amp;Aturan!$D$55,IF(L204="Belum ada data","tingkat grafis belum diisi",""))))</f>
        <v/>
      </c>
      <c r="T204" s="33" t="str">
        <f aca="false">IF($A204="","",IF(M204="Kurang","RAM "&amp;E204&amp;" GB, di bawah batas minimal "&amp;Aturan!$C$56&amp;" GB ("&amp;I204&amp;")",IF(M204="Cukup","RAM "&amp;E204&amp;" GB cukup, nyamannya "&amp;Aturan!$D$56&amp;" GB atau lebih ("&amp;I204&amp;")",IF(M204="Belum ada data","ukuran RAM belum diisi",""))))</f>
        <v/>
      </c>
      <c r="U204" s="33" t="str">
        <f aca="false">IF($A204="","",IF(N204="Kurang","penyimpanan "&amp;F204&amp;" GB, di bawah batas minimal "&amp;Aturan!$C$57&amp;" GB ("&amp;J204&amp;")",IF(N204="Cukup","penyimpanan "&amp;F204&amp;" GB cukup, nyamannya "&amp;Aturan!$D$57&amp;" GB atau lebih ("&amp;J204&amp;")",IF(N204="Belum ada data","ukuran penyimpanan belum diisi",""))))</f>
        <v/>
      </c>
      <c r="V204" s="33" t="str">
        <f aca="false">IF($A204="","",IF(O204="Kurang","layar "&amp;Varian!$AG44&amp;", di bawah batas minimal ("&amp;IFERROR(INDEX(Aturan!$A$63:$A$66,MATCH(Aturan!$C$58,Aturan!$B$63:$B$66,0)),"peringkat "&amp;Aturan!$C$58)&amp;")",IF(O204="Cukup","layar "&amp;Varian!$AG44&amp;" cukup, nyamannya "&amp;IFERROR(INDEX(Aturan!$A$63:$A$66,MATCH(Aturan!$D$58,Aturan!$B$63:$B$66,0)),"peringkat "&amp;Aturan!$D$58),IF(O204="Belum ada data","jenis layar belum diketahui",""))))</f>
        <v/>
      </c>
      <c r="W204" s="33" t="str">
        <f aca="false">IF($A204="","",IF(P204="Kurang","layar "&amp;H204&amp;" Hz, di bawah batas minimal "&amp;Aturan!$C$59&amp;" Hz",IF(P204="Cukup","layar "&amp;H204&amp;" Hz cukup, nyamannya "&amp;Aturan!$D$59&amp;" Hz atau lebih",IF(P204="Belum ada data","refresh rate belum diketahui",""))))</f>
        <v/>
      </c>
      <c r="X204" s="33" t="str">
        <f aca="false">IF($A204="","",IF(K204="Kurang",R204&amp;"; ","")&amp;IF(L204="Kurang",S204&amp;"; ","")&amp;IF(M204="Kurang",T204&amp;"; ","")&amp;IF(N204="Kurang",U204&amp;"; ","")&amp;IF(O204="Kurang",V204&amp;"; ","")&amp;IF(P204="Kurang",W204&amp;"; ","")&amp;IF(K204="Belum ada data",R204&amp;"; ","")&amp;IF(L204="Belum ada data",S204&amp;"; ","")&amp;IF(M204="Belum ada data",T204&amp;"; ","")&amp;IF(N204="Belum ada data",U204&amp;"; ","")&amp;IF(O204="Belum ada data",V204&amp;"; ","")&amp;IF(P204="Belum ada data",W204&amp;"; ","")&amp;IF(K204="Cukup",R204&amp;"; ","")&amp;IF(L204="Cukup",S204&amp;"; ","")&amp;IF(M204="Cukup",T204&amp;"; ","")&amp;IF(N204="Cukup",U204&amp;"; ","")&amp;IF(O204="Cukup",V204&amp;"; ","")&amp;IF(P204="Cukup",W204&amp;"; ",""))</f>
        <v/>
      </c>
      <c r="Y204" s="33" t="str">
        <f aca="false">IF($A204="","",IF(K204="Nyaman","prosesor, ","")&amp;IF(L204="Nyaman","grafis, ","")&amp;IF(M204="Nyaman","RAM, ","")&amp;IF(N204="Nyaman","penyimpanan, ","")&amp;IF(O204="Nyaman","layar, ","")&amp;IF(P204="Nyaman","refresh rate, ",""))</f>
        <v/>
      </c>
      <c r="Z204" s="33" t="str">
        <f aca="false">IF($A204="","",IF(Q204="Tidak dinilai","Belum ada kriteria yang dinilai untuk kebutuhan ini.",IF(Q204="Cocok","Semua kriteria yang dinilai sudah nyaman: "&amp;LEFT(Y204,LEN(Y204)-2)&amp;".",UPPER(LEFT(X204,1))&amp;MID(X204,2,LEN(X204)-3)&amp;"."&amp;IF(Y204="",""," Sudah nyaman: "&amp;LEFT(Y204,LEN(Y204)-2)&amp;"."))))</f>
        <v/>
      </c>
      <c r="AA204" s="33"/>
      <c r="AB204" s="33"/>
      <c r="AC204" s="69"/>
    </row>
    <row r="205" customFormat="false" ht="15" hidden="false" customHeight="true" outlineLevel="0" collapsed="false">
      <c r="A205" s="66" t="str">
        <f aca="false">IF(Varian!$A45="","",Varian!$A45)</f>
        <v/>
      </c>
      <c r="B205" s="66" t="str">
        <f aca="false">IF($A205="","",Aturan!$A$21)</f>
        <v/>
      </c>
      <c r="C205" s="67" t="str">
        <f aca="false">IF($A205="","",IFERROR(IF(ISNUMBER(INDEX(CPU!$J$4:$J$64,MATCH(Varian!$J45,CPU!$A$4:$A$64,0))),INDEX(CPU!$J$4:$J$64,MATCH(Varian!$J45,CPU!$A$4:$A$64,0)),""),""))</f>
        <v/>
      </c>
      <c r="D205" s="67" t="str">
        <f aca="false">IF($A205="","",IFERROR(IF(ISNUMBER(INDEX(GPU!$G$4:$G$64,MATCH(Varian!$K45,GPU!$A$4:$A$64,0))),INDEX(GPU!$G$4:$G$64,MATCH(Varian!$K45,GPU!$A$4:$A$64,0)),""),""))</f>
        <v/>
      </c>
      <c r="E205" s="67" t="str">
        <f aca="false">IF($A205="","",IF(ISNUMBER(Varian!$M45),Varian!$M45,""))</f>
        <v/>
      </c>
      <c r="F205" s="67" t="str">
        <f aca="false">IF($A205="","",IF(ISNUMBER(Varian!$V45),Varian!$V45,""))</f>
        <v/>
      </c>
      <c r="G205" s="67" t="str">
        <f aca="false">IF($A205="","",IFERROR(INDEX(Aturan!$B$63:$B$66,MATCH(Varian!$AG45,Aturan!$A$63:$A$66,0)),""))</f>
        <v/>
      </c>
      <c r="H205" s="67" t="str">
        <f aca="false">IF($A205="","",IF(ISNUMBER(Varian!$AI45),Varian!$AI45,""))</f>
        <v/>
      </c>
      <c r="I205" s="66" t="str">
        <f aca="false">IF($A205="","",IF(Varian!$Q45="disolder","menempel di papan utama, tidak bisa ditambah",IF(OR(Varian!$Q45="slot",Varian!$Q45="setengah_disolder"),IF(Varian!$Q45="setengah_disolder","sebagian menempel, ","")&amp;IF(ISNUMBER(Varian!$U45),IF(AND(ISNUMBER(Varian!$M45),Varian!$U45&gt;Varian!$M45),"bisa dinaikkan lewat slot sampai "&amp;Varian!$U45&amp;" GB","sudah di batas maksimal "&amp;Varian!$U45&amp;" GB"),"ada slot, batas maksimalnya belum diketahui"),"belum diketahui apakah bisa ditambah")))</f>
        <v/>
      </c>
      <c r="J205" s="66" t="str">
        <f aca="false">IF($A205="","",IF(Varian!$Z45="ya","bisa diganti dengan yang lebih besar",IF(Varian!$Z45="tidak","menempel, tidak bisa diganti","belum diketahui apakah bisa diganti")))</f>
        <v/>
      </c>
      <c r="K205" s="68" t="str">
        <f aca="false">IF($A205="","",IF(AND(Aturan!$C$30="",Aturan!$D$30=""),"Tidak dinilai",IF(C205="","Belum ada data",IF(C205&lt;IF(Aturan!$C$30="",0,Aturan!$C$30),"Kurang",IF(C205&gt;=IF(Aturan!$D$30="",Aturan!$C$30,Aturan!$D$30),"Nyaman","Cukup")))))</f>
        <v/>
      </c>
      <c r="L205" s="68" t="str">
        <f aca="false">IF($A205="","",IF(AND(Aturan!$C$31="",Aturan!$D$31=""),"Tidak dinilai",IF(D205="","Belum ada data",IF(D205&lt;IF(Aturan!$C$31="",0,Aturan!$C$31),"Kurang",IF(D205&gt;=IF(Aturan!$D$31="",Aturan!$C$31,Aturan!$D$31),"Nyaman","Cukup")))))</f>
        <v/>
      </c>
      <c r="M205" s="68" t="str">
        <f aca="false">IF($A205="","",IF(AND(Aturan!$C$32="",Aturan!$D$32=""),"Tidak dinilai",IF(E205="","Belum ada data",IF(E205&lt;IF(Aturan!$C$32="",0,Aturan!$C$32),"Kurang",IF(E205&gt;=IF(Aturan!$D$32="",Aturan!$C$32,Aturan!$D$32),"Nyaman","Cukup")))))</f>
        <v/>
      </c>
      <c r="N205" s="68" t="str">
        <f aca="false">IF($A205="","",IF(AND(Aturan!$C$33="",Aturan!$D$33=""),"Tidak dinilai",IF(F205="","Belum ada data",IF(F205&lt;IF(Aturan!$C$33="",0,Aturan!$C$33),"Kurang",IF(F205&gt;=IF(Aturan!$D$33="",Aturan!$C$33,Aturan!$D$33),"Nyaman","Cukup")))))</f>
        <v/>
      </c>
      <c r="O205" s="68" t="str">
        <f aca="false">IF($A205="","",IF(AND(Aturan!$C$34="",Aturan!$D$34=""),"Tidak dinilai",IF(G205="","Belum ada data",IF(G205&lt;IF(Aturan!$C$34="",0,Aturan!$C$34),"Kurang",IF(G205&gt;=IF(Aturan!$D$34="",Aturan!$C$34,Aturan!$D$34),"Nyaman","Cukup")))))</f>
        <v/>
      </c>
      <c r="P205" s="68" t="str">
        <f aca="false">IF($A205="","",IF(AND(Aturan!$C$35="",Aturan!$D$35=""),"Tidak dinilai",IF(H205="","Belum ada data",IF(H205&lt;IF(Aturan!$C$35="",0,Aturan!$C$35),"Kurang",IF(H205&gt;=IF(Aturan!$D$35="",Aturan!$C$35,Aturan!$D$35),"Nyaman","Cukup")))))</f>
        <v/>
      </c>
      <c r="Q205" s="68" t="str">
        <f aca="false">IF($A205="","",IF(COUNTIF(K205:P205,"Tidak dinilai")=6,"Tidak dinilai",IF(COUNTIF(K205:P205,"Kurang")&gt;0,"Kurang cocok",IF(COUNTIF(K205:P205,"Belum ada data")&gt;0,"Data belum lengkap",IF(COUNTIF(K205:P205,"Cukup")&gt;0,"Bisa, dengan catatan","Cocok")))))</f>
        <v/>
      </c>
      <c r="R205" s="66" t="str">
        <f aca="false">IF($A205="","",IF(K205="Kurang","prosesor tingkat "&amp;C205&amp;" dari 5, di bawah batas minimal (tingkat "&amp;Aturan!$C$30&amp;")",IF(K205="Cukup","prosesor tingkat "&amp;C205&amp;" dari 5 cukup, nyamannya mulai tingkat "&amp;Aturan!$D$30,IF(K205="Belum ada data","tingkat prosesor belum diisi",""))))</f>
        <v/>
      </c>
      <c r="S205" s="66" t="str">
        <f aca="false">IF($A205="","",IF(L205="Kurang","grafis tingkat "&amp;D205&amp;" dari 5, di bawah batas minimal (tingkat "&amp;Aturan!$C$31&amp;")",IF(L205="Cukup","grafis tingkat "&amp;D205&amp;" dari 5 cukup, nyamannya mulai tingkat "&amp;Aturan!$D$31,IF(L205="Belum ada data","tingkat grafis belum diisi",""))))</f>
        <v/>
      </c>
      <c r="T205" s="66" t="str">
        <f aca="false">IF($A205="","",IF(M205="Kurang","RAM "&amp;E205&amp;" GB, di bawah batas minimal "&amp;Aturan!$C$32&amp;" GB ("&amp;I205&amp;")",IF(M205="Cukup","RAM "&amp;E205&amp;" GB cukup, nyamannya "&amp;Aturan!$D$32&amp;" GB atau lebih ("&amp;I205&amp;")",IF(M205="Belum ada data","ukuran RAM belum diisi",""))))</f>
        <v/>
      </c>
      <c r="U205" s="66" t="str">
        <f aca="false">IF($A205="","",IF(N205="Kurang","penyimpanan "&amp;F205&amp;" GB, di bawah batas minimal "&amp;Aturan!$C$33&amp;" GB ("&amp;J205&amp;")",IF(N205="Cukup","penyimpanan "&amp;F205&amp;" GB cukup, nyamannya "&amp;Aturan!$D$33&amp;" GB atau lebih ("&amp;J205&amp;")",IF(N205="Belum ada data","ukuran penyimpanan belum diisi",""))))</f>
        <v/>
      </c>
      <c r="V205" s="66" t="str">
        <f aca="false">IF($A205="","",IF(O205="Kurang","layar "&amp;Varian!$AG45&amp;", di bawah batas minimal ("&amp;IFERROR(INDEX(Aturan!$A$63:$A$66,MATCH(Aturan!$C$34,Aturan!$B$63:$B$66,0)),"peringkat "&amp;Aturan!$C$34)&amp;")",IF(O205="Cukup","layar "&amp;Varian!$AG45&amp;" cukup, nyamannya "&amp;IFERROR(INDEX(Aturan!$A$63:$A$66,MATCH(Aturan!$D$34,Aturan!$B$63:$B$66,0)),"peringkat "&amp;Aturan!$D$34),IF(O205="Belum ada data","jenis layar belum diketahui",""))))</f>
        <v/>
      </c>
      <c r="W205" s="66" t="str">
        <f aca="false">IF($A205="","",IF(P205="Kurang","layar "&amp;H205&amp;" Hz, di bawah batas minimal "&amp;Aturan!$C$35&amp;" Hz",IF(P205="Cukup","layar "&amp;H205&amp;" Hz cukup, nyamannya "&amp;Aturan!$D$35&amp;" Hz atau lebih",IF(P205="Belum ada data","refresh rate belum diketahui",""))))</f>
        <v/>
      </c>
      <c r="X205" s="66" t="str">
        <f aca="false">IF($A205="","",IF(K205="Kurang",R205&amp;"; ","")&amp;IF(L205="Kurang",S205&amp;"; ","")&amp;IF(M205="Kurang",T205&amp;"; ","")&amp;IF(N205="Kurang",U205&amp;"; ","")&amp;IF(O205="Kurang",V205&amp;"; ","")&amp;IF(P205="Kurang",W205&amp;"; ","")&amp;IF(K205="Belum ada data",R205&amp;"; ","")&amp;IF(L205="Belum ada data",S205&amp;"; ","")&amp;IF(M205="Belum ada data",T205&amp;"; ","")&amp;IF(N205="Belum ada data",U205&amp;"; ","")&amp;IF(O205="Belum ada data",V205&amp;"; ","")&amp;IF(P205="Belum ada data",W205&amp;"; ","")&amp;IF(K205="Cukup",R205&amp;"; ","")&amp;IF(L205="Cukup",S205&amp;"; ","")&amp;IF(M205="Cukup",T205&amp;"; ","")&amp;IF(N205="Cukup",U205&amp;"; ","")&amp;IF(O205="Cukup",V205&amp;"; ","")&amp;IF(P205="Cukup",W205&amp;"; ",""))</f>
        <v/>
      </c>
      <c r="Y205" s="66" t="str">
        <f aca="false">IF($A205="","",IF(K205="Nyaman","prosesor, ","")&amp;IF(L205="Nyaman","grafis, ","")&amp;IF(M205="Nyaman","RAM, ","")&amp;IF(N205="Nyaman","penyimpanan, ","")&amp;IF(O205="Nyaman","layar, ","")&amp;IF(P205="Nyaman","refresh rate, ",""))</f>
        <v/>
      </c>
      <c r="Z205" s="66" t="str">
        <f aca="false">IF($A205="","",IF(Q205="Tidak dinilai","Belum ada kriteria yang dinilai untuk kebutuhan ini.",IF(Q205="Cocok","Semua kriteria yang dinilai sudah nyaman: "&amp;LEFT(Y205,LEN(Y205)-2)&amp;".",UPPER(LEFT(X205,1))&amp;MID(X205,2,LEN(X205)-3)&amp;"."&amp;IF(Y205="",""," Sudah nyaman: "&amp;LEFT(Y205,LEN(Y205)-2)&amp;"."))))</f>
        <v/>
      </c>
      <c r="AA205" s="66" t="str">
        <f aca="false">IF($A205="","",IF(Varian!$AR45="Windows 10","• "&amp;Aturan!$E$71&amp;CHAR(10),"")&amp;IF(Varian!$BB45="tidak","• "&amp;Aturan!$E$72&amp;CHAR(10),"")&amp;IF(OR(Varian!$AD45="belum terverifikasi",Varian!$AD45="tidak diketahui"),"• "&amp;Aturan!$E$73&amp;CHAR(10),"")&amp;IF(Varian!$AH45="1366x768","• "&amp;Aturan!$E$74&amp;CHAR(10),"")&amp;IF(Varian!$AG45="TN","• "&amp;Aturan!$E$75&amp;CHAR(10),"")&amp;IF(AND(Varian!$Q45="disolder",ISNUMBER(Varian!$M45),Varian!$M45&lt;=8),"• "&amp;Aturan!$E$76&amp;CHAR(10),""))</f>
        <v/>
      </c>
      <c r="AB205" s="66" t="str">
        <f aca="false">IF($A205="","",IF(AA205="","",LEFT(AA205,LEN(AA205)-1)))</f>
        <v/>
      </c>
      <c r="AC205" s="67" t="str">
        <f aca="false">IF($A205="","",IF(AA205="",0,LEN(AA205)-LEN(SUBSTITUTE(AA205,CHAR(10),""))))</f>
        <v/>
      </c>
    </row>
    <row r="206" customFormat="false" ht="15" hidden="false" customHeight="true" outlineLevel="0" collapsed="false">
      <c r="A206" s="33" t="str">
        <f aca="false">IF(Varian!$A45="","",Varian!$A45)</f>
        <v/>
      </c>
      <c r="B206" s="33" t="str">
        <f aca="false">IF($A206="","",Aturan!$A$22)</f>
        <v/>
      </c>
      <c r="C206" s="69" t="str">
        <f aca="false">IF($A206="","",IFERROR(IF(ISNUMBER(INDEX(CPU!$J$4:$J$64,MATCH(Varian!$J45,CPU!$A$4:$A$64,0))),INDEX(CPU!$J$4:$J$64,MATCH(Varian!$J45,CPU!$A$4:$A$64,0)),""),""))</f>
        <v/>
      </c>
      <c r="D206" s="69" t="str">
        <f aca="false">IF($A206="","",IFERROR(IF(ISNUMBER(INDEX(GPU!$G$4:$G$64,MATCH(Varian!$K45,GPU!$A$4:$A$64,0))),INDEX(GPU!$G$4:$G$64,MATCH(Varian!$K45,GPU!$A$4:$A$64,0)),""),""))</f>
        <v/>
      </c>
      <c r="E206" s="69" t="str">
        <f aca="false">IF($A206="","",IF(ISNUMBER(Varian!$M45),Varian!$M45,""))</f>
        <v/>
      </c>
      <c r="F206" s="69" t="str">
        <f aca="false">IF($A206="","",IF(ISNUMBER(Varian!$V45),Varian!$V45,""))</f>
        <v/>
      </c>
      <c r="G206" s="69" t="str">
        <f aca="false">IF($A206="","",IFERROR(INDEX(Aturan!$B$63:$B$66,MATCH(Varian!$AG45,Aturan!$A$63:$A$66,0)),""))</f>
        <v/>
      </c>
      <c r="H206" s="69" t="str">
        <f aca="false">IF($A206="","",IF(ISNUMBER(Varian!$AI45),Varian!$AI45,""))</f>
        <v/>
      </c>
      <c r="I206" s="33" t="str">
        <f aca="false">IF($A206="","",IF(Varian!$Q45="disolder","menempel di papan utama, tidak bisa ditambah",IF(OR(Varian!$Q45="slot",Varian!$Q45="setengah_disolder"),IF(Varian!$Q45="setengah_disolder","sebagian menempel, ","")&amp;IF(ISNUMBER(Varian!$U45),IF(AND(ISNUMBER(Varian!$M45),Varian!$U45&gt;Varian!$M45),"bisa dinaikkan lewat slot sampai "&amp;Varian!$U45&amp;" GB","sudah di batas maksimal "&amp;Varian!$U45&amp;" GB"),"ada slot, batas maksimalnya belum diketahui"),"belum diketahui apakah bisa ditambah")))</f>
        <v/>
      </c>
      <c r="J206" s="33" t="str">
        <f aca="false">IF($A206="","",IF(Varian!$Z45="ya","bisa diganti dengan yang lebih besar",IF(Varian!$Z45="tidak","menempel, tidak bisa diganti","belum diketahui apakah bisa diganti")))</f>
        <v/>
      </c>
      <c r="K206" s="70" t="str">
        <f aca="false">IF($A206="","",IF(AND(Aturan!$C$36="",Aturan!$D$36=""),"Tidak dinilai",IF(C206="","Belum ada data",IF(C206&lt;IF(Aturan!$C$36="",0,Aturan!$C$36),"Kurang",IF(C206&gt;=IF(Aturan!$D$36="",Aturan!$C$36,Aturan!$D$36),"Nyaman","Cukup")))))</f>
        <v/>
      </c>
      <c r="L206" s="70" t="str">
        <f aca="false">IF($A206="","",IF(AND(Aturan!$C$37="",Aturan!$D$37=""),"Tidak dinilai",IF(D206="","Belum ada data",IF(D206&lt;IF(Aturan!$C$37="",0,Aturan!$C$37),"Kurang",IF(D206&gt;=IF(Aturan!$D$37="",Aturan!$C$37,Aturan!$D$37),"Nyaman","Cukup")))))</f>
        <v/>
      </c>
      <c r="M206" s="70" t="str">
        <f aca="false">IF($A206="","",IF(AND(Aturan!$C$38="",Aturan!$D$38=""),"Tidak dinilai",IF(E206="","Belum ada data",IF(E206&lt;IF(Aturan!$C$38="",0,Aturan!$C$38),"Kurang",IF(E206&gt;=IF(Aturan!$D$38="",Aturan!$C$38,Aturan!$D$38),"Nyaman","Cukup")))))</f>
        <v/>
      </c>
      <c r="N206" s="70" t="str">
        <f aca="false">IF($A206="","",IF(AND(Aturan!$C$39="",Aturan!$D$39=""),"Tidak dinilai",IF(F206="","Belum ada data",IF(F206&lt;IF(Aturan!$C$39="",0,Aturan!$C$39),"Kurang",IF(F206&gt;=IF(Aturan!$D$39="",Aturan!$C$39,Aturan!$D$39),"Nyaman","Cukup")))))</f>
        <v/>
      </c>
      <c r="O206" s="70" t="str">
        <f aca="false">IF($A206="","",IF(AND(Aturan!$C$40="",Aturan!$D$40=""),"Tidak dinilai",IF(G206="","Belum ada data",IF(G206&lt;IF(Aturan!$C$40="",0,Aturan!$C$40),"Kurang",IF(G206&gt;=IF(Aturan!$D$40="",Aturan!$C$40,Aturan!$D$40),"Nyaman","Cukup")))))</f>
        <v/>
      </c>
      <c r="P206" s="70" t="str">
        <f aca="false">IF($A206="","",IF(AND(Aturan!$C$41="",Aturan!$D$41=""),"Tidak dinilai",IF(H206="","Belum ada data",IF(H206&lt;IF(Aturan!$C$41="",0,Aturan!$C$41),"Kurang",IF(H206&gt;=IF(Aturan!$D$41="",Aturan!$C$41,Aturan!$D$41),"Nyaman","Cukup")))))</f>
        <v/>
      </c>
      <c r="Q206" s="70" t="str">
        <f aca="false">IF($A206="","",IF(COUNTIF(K206:P206,"Tidak dinilai")=6,"Tidak dinilai",IF(COUNTIF(K206:P206,"Kurang")&gt;0,"Kurang cocok",IF(COUNTIF(K206:P206,"Belum ada data")&gt;0,"Data belum lengkap",IF(COUNTIF(K206:P206,"Cukup")&gt;0,"Bisa, dengan catatan","Cocok")))))</f>
        <v/>
      </c>
      <c r="R206" s="33" t="str">
        <f aca="false">IF($A206="","",IF(K206="Kurang","prosesor tingkat "&amp;C206&amp;" dari 5, di bawah batas minimal (tingkat "&amp;Aturan!$C$36&amp;")",IF(K206="Cukup","prosesor tingkat "&amp;C206&amp;" dari 5 cukup, nyamannya mulai tingkat "&amp;Aturan!$D$36,IF(K206="Belum ada data","tingkat prosesor belum diisi",""))))</f>
        <v/>
      </c>
      <c r="S206" s="33" t="str">
        <f aca="false">IF($A206="","",IF(L206="Kurang","grafis tingkat "&amp;D206&amp;" dari 5, di bawah batas minimal (tingkat "&amp;Aturan!$C$37&amp;")",IF(L206="Cukup","grafis tingkat "&amp;D206&amp;" dari 5 cukup, nyamannya mulai tingkat "&amp;Aturan!$D$37,IF(L206="Belum ada data","tingkat grafis belum diisi",""))))</f>
        <v/>
      </c>
      <c r="T206" s="33" t="str">
        <f aca="false">IF($A206="","",IF(M206="Kurang","RAM "&amp;E206&amp;" GB, di bawah batas minimal "&amp;Aturan!$C$38&amp;" GB ("&amp;I206&amp;")",IF(M206="Cukup","RAM "&amp;E206&amp;" GB cukup, nyamannya "&amp;Aturan!$D$38&amp;" GB atau lebih ("&amp;I206&amp;")",IF(M206="Belum ada data","ukuran RAM belum diisi",""))))</f>
        <v/>
      </c>
      <c r="U206" s="33" t="str">
        <f aca="false">IF($A206="","",IF(N206="Kurang","penyimpanan "&amp;F206&amp;" GB, di bawah batas minimal "&amp;Aturan!$C$39&amp;" GB ("&amp;J206&amp;")",IF(N206="Cukup","penyimpanan "&amp;F206&amp;" GB cukup, nyamannya "&amp;Aturan!$D$39&amp;" GB atau lebih ("&amp;J206&amp;")",IF(N206="Belum ada data","ukuran penyimpanan belum diisi",""))))</f>
        <v/>
      </c>
      <c r="V206" s="33" t="str">
        <f aca="false">IF($A206="","",IF(O206="Kurang","layar "&amp;Varian!$AG45&amp;", di bawah batas minimal ("&amp;IFERROR(INDEX(Aturan!$A$63:$A$66,MATCH(Aturan!$C$40,Aturan!$B$63:$B$66,0)),"peringkat "&amp;Aturan!$C$40)&amp;")",IF(O206="Cukup","layar "&amp;Varian!$AG45&amp;" cukup, nyamannya "&amp;IFERROR(INDEX(Aturan!$A$63:$A$66,MATCH(Aturan!$D$40,Aturan!$B$63:$B$66,0)),"peringkat "&amp;Aturan!$D$40),IF(O206="Belum ada data","jenis layar belum diketahui",""))))</f>
        <v/>
      </c>
      <c r="W206" s="33" t="str">
        <f aca="false">IF($A206="","",IF(P206="Kurang","layar "&amp;H206&amp;" Hz, di bawah batas minimal "&amp;Aturan!$C$41&amp;" Hz",IF(P206="Cukup","layar "&amp;H206&amp;" Hz cukup, nyamannya "&amp;Aturan!$D$41&amp;" Hz atau lebih",IF(P206="Belum ada data","refresh rate belum diketahui",""))))</f>
        <v/>
      </c>
      <c r="X206" s="33" t="str">
        <f aca="false">IF($A206="","",IF(K206="Kurang",R206&amp;"; ","")&amp;IF(L206="Kurang",S206&amp;"; ","")&amp;IF(M206="Kurang",T206&amp;"; ","")&amp;IF(N206="Kurang",U206&amp;"; ","")&amp;IF(O206="Kurang",V206&amp;"; ","")&amp;IF(P206="Kurang",W206&amp;"; ","")&amp;IF(K206="Belum ada data",R206&amp;"; ","")&amp;IF(L206="Belum ada data",S206&amp;"; ","")&amp;IF(M206="Belum ada data",T206&amp;"; ","")&amp;IF(N206="Belum ada data",U206&amp;"; ","")&amp;IF(O206="Belum ada data",V206&amp;"; ","")&amp;IF(P206="Belum ada data",W206&amp;"; ","")&amp;IF(K206="Cukup",R206&amp;"; ","")&amp;IF(L206="Cukup",S206&amp;"; ","")&amp;IF(M206="Cukup",T206&amp;"; ","")&amp;IF(N206="Cukup",U206&amp;"; ","")&amp;IF(O206="Cukup",V206&amp;"; ","")&amp;IF(P206="Cukup",W206&amp;"; ",""))</f>
        <v/>
      </c>
      <c r="Y206" s="33" t="str">
        <f aca="false">IF($A206="","",IF(K206="Nyaman","prosesor, ","")&amp;IF(L206="Nyaman","grafis, ","")&amp;IF(M206="Nyaman","RAM, ","")&amp;IF(N206="Nyaman","penyimpanan, ","")&amp;IF(O206="Nyaman","layar, ","")&amp;IF(P206="Nyaman","refresh rate, ",""))</f>
        <v/>
      </c>
      <c r="Z206" s="33" t="str">
        <f aca="false">IF($A206="","",IF(Q206="Tidak dinilai","Belum ada kriteria yang dinilai untuk kebutuhan ini.",IF(Q206="Cocok","Semua kriteria yang dinilai sudah nyaman: "&amp;LEFT(Y206,LEN(Y206)-2)&amp;".",UPPER(LEFT(X206,1))&amp;MID(X206,2,LEN(X206)-3)&amp;"."&amp;IF(Y206="",""," Sudah nyaman: "&amp;LEFT(Y206,LEN(Y206)-2)&amp;"."))))</f>
        <v/>
      </c>
      <c r="AA206" s="33"/>
      <c r="AB206" s="33"/>
      <c r="AC206" s="69"/>
    </row>
    <row r="207" customFormat="false" ht="15" hidden="false" customHeight="true" outlineLevel="0" collapsed="false">
      <c r="A207" s="33" t="str">
        <f aca="false">IF(Varian!$A45="","",Varian!$A45)</f>
        <v/>
      </c>
      <c r="B207" s="33" t="str">
        <f aca="false">IF($A207="","",Aturan!$A$23)</f>
        <v/>
      </c>
      <c r="C207" s="69" t="str">
        <f aca="false">IF($A207="","",IFERROR(IF(ISNUMBER(INDEX(CPU!$J$4:$J$64,MATCH(Varian!$J45,CPU!$A$4:$A$64,0))),INDEX(CPU!$J$4:$J$64,MATCH(Varian!$J45,CPU!$A$4:$A$64,0)),""),""))</f>
        <v/>
      </c>
      <c r="D207" s="69" t="str">
        <f aca="false">IF($A207="","",IFERROR(IF(ISNUMBER(INDEX(GPU!$G$4:$G$64,MATCH(Varian!$K45,GPU!$A$4:$A$64,0))),INDEX(GPU!$G$4:$G$64,MATCH(Varian!$K45,GPU!$A$4:$A$64,0)),""),""))</f>
        <v/>
      </c>
      <c r="E207" s="69" t="str">
        <f aca="false">IF($A207="","",IF(ISNUMBER(Varian!$M45),Varian!$M45,""))</f>
        <v/>
      </c>
      <c r="F207" s="69" t="str">
        <f aca="false">IF($A207="","",IF(ISNUMBER(Varian!$V45),Varian!$V45,""))</f>
        <v/>
      </c>
      <c r="G207" s="69" t="str">
        <f aca="false">IF($A207="","",IFERROR(INDEX(Aturan!$B$63:$B$66,MATCH(Varian!$AG45,Aturan!$A$63:$A$66,0)),""))</f>
        <v/>
      </c>
      <c r="H207" s="69" t="str">
        <f aca="false">IF($A207="","",IF(ISNUMBER(Varian!$AI45),Varian!$AI45,""))</f>
        <v/>
      </c>
      <c r="I207" s="33" t="str">
        <f aca="false">IF($A207="","",IF(Varian!$Q45="disolder","menempel di papan utama, tidak bisa ditambah",IF(OR(Varian!$Q45="slot",Varian!$Q45="setengah_disolder"),IF(Varian!$Q45="setengah_disolder","sebagian menempel, ","")&amp;IF(ISNUMBER(Varian!$U45),IF(AND(ISNUMBER(Varian!$M45),Varian!$U45&gt;Varian!$M45),"bisa dinaikkan lewat slot sampai "&amp;Varian!$U45&amp;" GB","sudah di batas maksimal "&amp;Varian!$U45&amp;" GB"),"ada slot, batas maksimalnya belum diketahui"),"belum diketahui apakah bisa ditambah")))</f>
        <v/>
      </c>
      <c r="J207" s="33" t="str">
        <f aca="false">IF($A207="","",IF(Varian!$Z45="ya","bisa diganti dengan yang lebih besar",IF(Varian!$Z45="tidak","menempel, tidak bisa diganti","belum diketahui apakah bisa diganti")))</f>
        <v/>
      </c>
      <c r="K207" s="70" t="str">
        <f aca="false">IF($A207="","",IF(AND(Aturan!$C$42="",Aturan!$D$42=""),"Tidak dinilai",IF(C207="","Belum ada data",IF(C207&lt;IF(Aturan!$C$42="",0,Aturan!$C$42),"Kurang",IF(C207&gt;=IF(Aturan!$D$42="",Aturan!$C$42,Aturan!$D$42),"Nyaman","Cukup")))))</f>
        <v/>
      </c>
      <c r="L207" s="70" t="str">
        <f aca="false">IF($A207="","",IF(AND(Aturan!$C$43="",Aturan!$D$43=""),"Tidak dinilai",IF(D207="","Belum ada data",IF(D207&lt;IF(Aturan!$C$43="",0,Aturan!$C$43),"Kurang",IF(D207&gt;=IF(Aturan!$D$43="",Aturan!$C$43,Aturan!$D$43),"Nyaman","Cukup")))))</f>
        <v/>
      </c>
      <c r="M207" s="70" t="str">
        <f aca="false">IF($A207="","",IF(AND(Aturan!$C$44="",Aturan!$D$44=""),"Tidak dinilai",IF(E207="","Belum ada data",IF(E207&lt;IF(Aturan!$C$44="",0,Aturan!$C$44),"Kurang",IF(E207&gt;=IF(Aturan!$D$44="",Aturan!$C$44,Aturan!$D$44),"Nyaman","Cukup")))))</f>
        <v/>
      </c>
      <c r="N207" s="70" t="str">
        <f aca="false">IF($A207="","",IF(AND(Aturan!$C$45="",Aturan!$D$45=""),"Tidak dinilai",IF(F207="","Belum ada data",IF(F207&lt;IF(Aturan!$C$45="",0,Aturan!$C$45),"Kurang",IF(F207&gt;=IF(Aturan!$D$45="",Aturan!$C$45,Aturan!$D$45),"Nyaman","Cukup")))))</f>
        <v/>
      </c>
      <c r="O207" s="70" t="str">
        <f aca="false">IF($A207="","",IF(AND(Aturan!$C$46="",Aturan!$D$46=""),"Tidak dinilai",IF(G207="","Belum ada data",IF(G207&lt;IF(Aturan!$C$46="",0,Aturan!$C$46),"Kurang",IF(G207&gt;=IF(Aturan!$D$46="",Aturan!$C$46,Aturan!$D$46),"Nyaman","Cukup")))))</f>
        <v/>
      </c>
      <c r="P207" s="70" t="str">
        <f aca="false">IF($A207="","",IF(AND(Aturan!$C$47="",Aturan!$D$47=""),"Tidak dinilai",IF(H207="","Belum ada data",IF(H207&lt;IF(Aturan!$C$47="",0,Aturan!$C$47),"Kurang",IF(H207&gt;=IF(Aturan!$D$47="",Aturan!$C$47,Aturan!$D$47),"Nyaman","Cukup")))))</f>
        <v/>
      </c>
      <c r="Q207" s="70" t="str">
        <f aca="false">IF($A207="","",IF(COUNTIF(K207:P207,"Tidak dinilai")=6,"Tidak dinilai",IF(COUNTIF(K207:P207,"Kurang")&gt;0,"Kurang cocok",IF(COUNTIF(K207:P207,"Belum ada data")&gt;0,"Data belum lengkap",IF(COUNTIF(K207:P207,"Cukup")&gt;0,"Bisa, dengan catatan","Cocok")))))</f>
        <v/>
      </c>
      <c r="R207" s="33" t="str">
        <f aca="false">IF($A207="","",IF(K207="Kurang","prosesor tingkat "&amp;C207&amp;" dari 5, di bawah batas minimal (tingkat "&amp;Aturan!$C$42&amp;")",IF(K207="Cukup","prosesor tingkat "&amp;C207&amp;" dari 5 cukup, nyamannya mulai tingkat "&amp;Aturan!$D$42,IF(K207="Belum ada data","tingkat prosesor belum diisi",""))))</f>
        <v/>
      </c>
      <c r="S207" s="33" t="str">
        <f aca="false">IF($A207="","",IF(L207="Kurang","grafis tingkat "&amp;D207&amp;" dari 5, di bawah batas minimal (tingkat "&amp;Aturan!$C$43&amp;")",IF(L207="Cukup","grafis tingkat "&amp;D207&amp;" dari 5 cukup, nyamannya mulai tingkat "&amp;Aturan!$D$43,IF(L207="Belum ada data","tingkat grafis belum diisi",""))))</f>
        <v/>
      </c>
      <c r="T207" s="33" t="str">
        <f aca="false">IF($A207="","",IF(M207="Kurang","RAM "&amp;E207&amp;" GB, di bawah batas minimal "&amp;Aturan!$C$44&amp;" GB ("&amp;I207&amp;")",IF(M207="Cukup","RAM "&amp;E207&amp;" GB cukup, nyamannya "&amp;Aturan!$D$44&amp;" GB atau lebih ("&amp;I207&amp;")",IF(M207="Belum ada data","ukuran RAM belum diisi",""))))</f>
        <v/>
      </c>
      <c r="U207" s="33" t="str">
        <f aca="false">IF($A207="","",IF(N207="Kurang","penyimpanan "&amp;F207&amp;" GB, di bawah batas minimal "&amp;Aturan!$C$45&amp;" GB ("&amp;J207&amp;")",IF(N207="Cukup","penyimpanan "&amp;F207&amp;" GB cukup, nyamannya "&amp;Aturan!$D$45&amp;" GB atau lebih ("&amp;J207&amp;")",IF(N207="Belum ada data","ukuran penyimpanan belum diisi",""))))</f>
        <v/>
      </c>
      <c r="V207" s="33" t="str">
        <f aca="false">IF($A207="","",IF(O207="Kurang","layar "&amp;Varian!$AG45&amp;", di bawah batas minimal ("&amp;IFERROR(INDEX(Aturan!$A$63:$A$66,MATCH(Aturan!$C$46,Aturan!$B$63:$B$66,0)),"peringkat "&amp;Aturan!$C$46)&amp;")",IF(O207="Cukup","layar "&amp;Varian!$AG45&amp;" cukup, nyamannya "&amp;IFERROR(INDEX(Aturan!$A$63:$A$66,MATCH(Aturan!$D$46,Aturan!$B$63:$B$66,0)),"peringkat "&amp;Aturan!$D$46),IF(O207="Belum ada data","jenis layar belum diketahui",""))))</f>
        <v/>
      </c>
      <c r="W207" s="33" t="str">
        <f aca="false">IF($A207="","",IF(P207="Kurang","layar "&amp;H207&amp;" Hz, di bawah batas minimal "&amp;Aturan!$C$47&amp;" Hz",IF(P207="Cukup","layar "&amp;H207&amp;" Hz cukup, nyamannya "&amp;Aturan!$D$47&amp;" Hz atau lebih",IF(P207="Belum ada data","refresh rate belum diketahui",""))))</f>
        <v/>
      </c>
      <c r="X207" s="33" t="str">
        <f aca="false">IF($A207="","",IF(K207="Kurang",R207&amp;"; ","")&amp;IF(L207="Kurang",S207&amp;"; ","")&amp;IF(M207="Kurang",T207&amp;"; ","")&amp;IF(N207="Kurang",U207&amp;"; ","")&amp;IF(O207="Kurang",V207&amp;"; ","")&amp;IF(P207="Kurang",W207&amp;"; ","")&amp;IF(K207="Belum ada data",R207&amp;"; ","")&amp;IF(L207="Belum ada data",S207&amp;"; ","")&amp;IF(M207="Belum ada data",T207&amp;"; ","")&amp;IF(N207="Belum ada data",U207&amp;"; ","")&amp;IF(O207="Belum ada data",V207&amp;"; ","")&amp;IF(P207="Belum ada data",W207&amp;"; ","")&amp;IF(K207="Cukup",R207&amp;"; ","")&amp;IF(L207="Cukup",S207&amp;"; ","")&amp;IF(M207="Cukup",T207&amp;"; ","")&amp;IF(N207="Cukup",U207&amp;"; ","")&amp;IF(O207="Cukup",V207&amp;"; ","")&amp;IF(P207="Cukup",W207&amp;"; ",""))</f>
        <v/>
      </c>
      <c r="Y207" s="33" t="str">
        <f aca="false">IF($A207="","",IF(K207="Nyaman","prosesor, ","")&amp;IF(L207="Nyaman","grafis, ","")&amp;IF(M207="Nyaman","RAM, ","")&amp;IF(N207="Nyaman","penyimpanan, ","")&amp;IF(O207="Nyaman","layar, ","")&amp;IF(P207="Nyaman","refresh rate, ",""))</f>
        <v/>
      </c>
      <c r="Z207" s="33" t="str">
        <f aca="false">IF($A207="","",IF(Q207="Tidak dinilai","Belum ada kriteria yang dinilai untuk kebutuhan ini.",IF(Q207="Cocok","Semua kriteria yang dinilai sudah nyaman: "&amp;LEFT(Y207,LEN(Y207)-2)&amp;".",UPPER(LEFT(X207,1))&amp;MID(X207,2,LEN(X207)-3)&amp;"."&amp;IF(Y207="",""," Sudah nyaman: "&amp;LEFT(Y207,LEN(Y207)-2)&amp;"."))))</f>
        <v/>
      </c>
      <c r="AA207" s="33"/>
      <c r="AB207" s="33"/>
      <c r="AC207" s="69"/>
    </row>
    <row r="208" customFormat="false" ht="15" hidden="false" customHeight="true" outlineLevel="0" collapsed="false">
      <c r="A208" s="33" t="str">
        <f aca="false">IF(Varian!$A45="","",Varian!$A45)</f>
        <v/>
      </c>
      <c r="B208" s="33" t="str">
        <f aca="false">IF($A208="","",Aturan!$A$24)</f>
        <v/>
      </c>
      <c r="C208" s="69" t="str">
        <f aca="false">IF($A208="","",IFERROR(IF(ISNUMBER(INDEX(CPU!$J$4:$J$64,MATCH(Varian!$J45,CPU!$A$4:$A$64,0))),INDEX(CPU!$J$4:$J$64,MATCH(Varian!$J45,CPU!$A$4:$A$64,0)),""),""))</f>
        <v/>
      </c>
      <c r="D208" s="69" t="str">
        <f aca="false">IF($A208="","",IFERROR(IF(ISNUMBER(INDEX(GPU!$G$4:$G$64,MATCH(Varian!$K45,GPU!$A$4:$A$64,0))),INDEX(GPU!$G$4:$G$64,MATCH(Varian!$K45,GPU!$A$4:$A$64,0)),""),""))</f>
        <v/>
      </c>
      <c r="E208" s="69" t="str">
        <f aca="false">IF($A208="","",IF(ISNUMBER(Varian!$M45),Varian!$M45,""))</f>
        <v/>
      </c>
      <c r="F208" s="69" t="str">
        <f aca="false">IF($A208="","",IF(ISNUMBER(Varian!$V45),Varian!$V45,""))</f>
        <v/>
      </c>
      <c r="G208" s="69" t="str">
        <f aca="false">IF($A208="","",IFERROR(INDEX(Aturan!$B$63:$B$66,MATCH(Varian!$AG45,Aturan!$A$63:$A$66,0)),""))</f>
        <v/>
      </c>
      <c r="H208" s="69" t="str">
        <f aca="false">IF($A208="","",IF(ISNUMBER(Varian!$AI45),Varian!$AI45,""))</f>
        <v/>
      </c>
      <c r="I208" s="33" t="str">
        <f aca="false">IF($A208="","",IF(Varian!$Q45="disolder","menempel di papan utama, tidak bisa ditambah",IF(OR(Varian!$Q45="slot",Varian!$Q45="setengah_disolder"),IF(Varian!$Q45="setengah_disolder","sebagian menempel, ","")&amp;IF(ISNUMBER(Varian!$U45),IF(AND(ISNUMBER(Varian!$M45),Varian!$U45&gt;Varian!$M45),"bisa dinaikkan lewat slot sampai "&amp;Varian!$U45&amp;" GB","sudah di batas maksimal "&amp;Varian!$U45&amp;" GB"),"ada slot, batas maksimalnya belum diketahui"),"belum diketahui apakah bisa ditambah")))</f>
        <v/>
      </c>
      <c r="J208" s="33" t="str">
        <f aca="false">IF($A208="","",IF(Varian!$Z45="ya","bisa diganti dengan yang lebih besar",IF(Varian!$Z45="tidak","menempel, tidak bisa diganti","belum diketahui apakah bisa diganti")))</f>
        <v/>
      </c>
      <c r="K208" s="70" t="str">
        <f aca="false">IF($A208="","",IF(AND(Aturan!$C$48="",Aturan!$D$48=""),"Tidak dinilai",IF(C208="","Belum ada data",IF(C208&lt;IF(Aturan!$C$48="",0,Aturan!$C$48),"Kurang",IF(C208&gt;=IF(Aturan!$D$48="",Aturan!$C$48,Aturan!$D$48),"Nyaman","Cukup")))))</f>
        <v/>
      </c>
      <c r="L208" s="70" t="str">
        <f aca="false">IF($A208="","",IF(AND(Aturan!$C$49="",Aturan!$D$49=""),"Tidak dinilai",IF(D208="","Belum ada data",IF(D208&lt;IF(Aturan!$C$49="",0,Aturan!$C$49),"Kurang",IF(D208&gt;=IF(Aturan!$D$49="",Aturan!$C$49,Aturan!$D$49),"Nyaman","Cukup")))))</f>
        <v/>
      </c>
      <c r="M208" s="70" t="str">
        <f aca="false">IF($A208="","",IF(AND(Aturan!$C$50="",Aturan!$D$50=""),"Tidak dinilai",IF(E208="","Belum ada data",IF(E208&lt;IF(Aturan!$C$50="",0,Aturan!$C$50),"Kurang",IF(E208&gt;=IF(Aturan!$D$50="",Aturan!$C$50,Aturan!$D$50),"Nyaman","Cukup")))))</f>
        <v/>
      </c>
      <c r="N208" s="70" t="str">
        <f aca="false">IF($A208="","",IF(AND(Aturan!$C$51="",Aturan!$D$51=""),"Tidak dinilai",IF(F208="","Belum ada data",IF(F208&lt;IF(Aturan!$C$51="",0,Aturan!$C$51),"Kurang",IF(F208&gt;=IF(Aturan!$D$51="",Aturan!$C$51,Aturan!$D$51),"Nyaman","Cukup")))))</f>
        <v/>
      </c>
      <c r="O208" s="70" t="str">
        <f aca="false">IF($A208="","",IF(AND(Aturan!$C$52="",Aturan!$D$52=""),"Tidak dinilai",IF(G208="","Belum ada data",IF(G208&lt;IF(Aturan!$C$52="",0,Aturan!$C$52),"Kurang",IF(G208&gt;=IF(Aturan!$D$52="",Aturan!$C$52,Aturan!$D$52),"Nyaman","Cukup")))))</f>
        <v/>
      </c>
      <c r="P208" s="70" t="str">
        <f aca="false">IF($A208="","",IF(AND(Aturan!$C$53="",Aturan!$D$53=""),"Tidak dinilai",IF(H208="","Belum ada data",IF(H208&lt;IF(Aturan!$C$53="",0,Aturan!$C$53),"Kurang",IF(H208&gt;=IF(Aturan!$D$53="",Aturan!$C$53,Aturan!$D$53),"Nyaman","Cukup")))))</f>
        <v/>
      </c>
      <c r="Q208" s="70" t="str">
        <f aca="false">IF($A208="","",IF(COUNTIF(K208:P208,"Tidak dinilai")=6,"Tidak dinilai",IF(COUNTIF(K208:P208,"Kurang")&gt;0,"Kurang cocok",IF(COUNTIF(K208:P208,"Belum ada data")&gt;0,"Data belum lengkap",IF(COUNTIF(K208:P208,"Cukup")&gt;0,"Bisa, dengan catatan","Cocok")))))</f>
        <v/>
      </c>
      <c r="R208" s="33" t="str">
        <f aca="false">IF($A208="","",IF(K208="Kurang","prosesor tingkat "&amp;C208&amp;" dari 5, di bawah batas minimal (tingkat "&amp;Aturan!$C$48&amp;")",IF(K208="Cukup","prosesor tingkat "&amp;C208&amp;" dari 5 cukup, nyamannya mulai tingkat "&amp;Aturan!$D$48,IF(K208="Belum ada data","tingkat prosesor belum diisi",""))))</f>
        <v/>
      </c>
      <c r="S208" s="33" t="str">
        <f aca="false">IF($A208="","",IF(L208="Kurang","grafis tingkat "&amp;D208&amp;" dari 5, di bawah batas minimal (tingkat "&amp;Aturan!$C$49&amp;")",IF(L208="Cukup","grafis tingkat "&amp;D208&amp;" dari 5 cukup, nyamannya mulai tingkat "&amp;Aturan!$D$49,IF(L208="Belum ada data","tingkat grafis belum diisi",""))))</f>
        <v/>
      </c>
      <c r="T208" s="33" t="str">
        <f aca="false">IF($A208="","",IF(M208="Kurang","RAM "&amp;E208&amp;" GB, di bawah batas minimal "&amp;Aturan!$C$50&amp;" GB ("&amp;I208&amp;")",IF(M208="Cukup","RAM "&amp;E208&amp;" GB cukup, nyamannya "&amp;Aturan!$D$50&amp;" GB atau lebih ("&amp;I208&amp;")",IF(M208="Belum ada data","ukuran RAM belum diisi",""))))</f>
        <v/>
      </c>
      <c r="U208" s="33" t="str">
        <f aca="false">IF($A208="","",IF(N208="Kurang","penyimpanan "&amp;F208&amp;" GB, di bawah batas minimal "&amp;Aturan!$C$51&amp;" GB ("&amp;J208&amp;")",IF(N208="Cukup","penyimpanan "&amp;F208&amp;" GB cukup, nyamannya "&amp;Aturan!$D$51&amp;" GB atau lebih ("&amp;J208&amp;")",IF(N208="Belum ada data","ukuran penyimpanan belum diisi",""))))</f>
        <v/>
      </c>
      <c r="V208" s="33" t="str">
        <f aca="false">IF($A208="","",IF(O208="Kurang","layar "&amp;Varian!$AG45&amp;", di bawah batas minimal ("&amp;IFERROR(INDEX(Aturan!$A$63:$A$66,MATCH(Aturan!$C$52,Aturan!$B$63:$B$66,0)),"peringkat "&amp;Aturan!$C$52)&amp;")",IF(O208="Cukup","layar "&amp;Varian!$AG45&amp;" cukup, nyamannya "&amp;IFERROR(INDEX(Aturan!$A$63:$A$66,MATCH(Aturan!$D$52,Aturan!$B$63:$B$66,0)),"peringkat "&amp;Aturan!$D$52),IF(O208="Belum ada data","jenis layar belum diketahui",""))))</f>
        <v/>
      </c>
      <c r="W208" s="33" t="str">
        <f aca="false">IF($A208="","",IF(P208="Kurang","layar "&amp;H208&amp;" Hz, di bawah batas minimal "&amp;Aturan!$C$53&amp;" Hz",IF(P208="Cukup","layar "&amp;H208&amp;" Hz cukup, nyamannya "&amp;Aturan!$D$53&amp;" Hz atau lebih",IF(P208="Belum ada data","refresh rate belum diketahui",""))))</f>
        <v/>
      </c>
      <c r="X208" s="33" t="str">
        <f aca="false">IF($A208="","",IF(K208="Kurang",R208&amp;"; ","")&amp;IF(L208="Kurang",S208&amp;"; ","")&amp;IF(M208="Kurang",T208&amp;"; ","")&amp;IF(N208="Kurang",U208&amp;"; ","")&amp;IF(O208="Kurang",V208&amp;"; ","")&amp;IF(P208="Kurang",W208&amp;"; ","")&amp;IF(K208="Belum ada data",R208&amp;"; ","")&amp;IF(L208="Belum ada data",S208&amp;"; ","")&amp;IF(M208="Belum ada data",T208&amp;"; ","")&amp;IF(N208="Belum ada data",U208&amp;"; ","")&amp;IF(O208="Belum ada data",V208&amp;"; ","")&amp;IF(P208="Belum ada data",W208&amp;"; ","")&amp;IF(K208="Cukup",R208&amp;"; ","")&amp;IF(L208="Cukup",S208&amp;"; ","")&amp;IF(M208="Cukup",T208&amp;"; ","")&amp;IF(N208="Cukup",U208&amp;"; ","")&amp;IF(O208="Cukup",V208&amp;"; ","")&amp;IF(P208="Cukup",W208&amp;"; ",""))</f>
        <v/>
      </c>
      <c r="Y208" s="33" t="str">
        <f aca="false">IF($A208="","",IF(K208="Nyaman","prosesor, ","")&amp;IF(L208="Nyaman","grafis, ","")&amp;IF(M208="Nyaman","RAM, ","")&amp;IF(N208="Nyaman","penyimpanan, ","")&amp;IF(O208="Nyaman","layar, ","")&amp;IF(P208="Nyaman","refresh rate, ",""))</f>
        <v/>
      </c>
      <c r="Z208" s="33" t="str">
        <f aca="false">IF($A208="","",IF(Q208="Tidak dinilai","Belum ada kriteria yang dinilai untuk kebutuhan ini.",IF(Q208="Cocok","Semua kriteria yang dinilai sudah nyaman: "&amp;LEFT(Y208,LEN(Y208)-2)&amp;".",UPPER(LEFT(X208,1))&amp;MID(X208,2,LEN(X208)-3)&amp;"."&amp;IF(Y208="",""," Sudah nyaman: "&amp;LEFT(Y208,LEN(Y208)-2)&amp;"."))))</f>
        <v/>
      </c>
      <c r="AA208" s="33"/>
      <c r="AB208" s="33"/>
      <c r="AC208" s="69"/>
    </row>
    <row r="209" customFormat="false" ht="15" hidden="false" customHeight="true" outlineLevel="0" collapsed="false">
      <c r="A209" s="33" t="str">
        <f aca="false">IF(Varian!$A45="","",Varian!$A45)</f>
        <v/>
      </c>
      <c r="B209" s="33" t="str">
        <f aca="false">IF($A209="","",Aturan!$A$25)</f>
        <v/>
      </c>
      <c r="C209" s="69" t="str">
        <f aca="false">IF($A209="","",IFERROR(IF(ISNUMBER(INDEX(CPU!$J$4:$J$64,MATCH(Varian!$J45,CPU!$A$4:$A$64,0))),INDEX(CPU!$J$4:$J$64,MATCH(Varian!$J45,CPU!$A$4:$A$64,0)),""),""))</f>
        <v/>
      </c>
      <c r="D209" s="69" t="str">
        <f aca="false">IF($A209="","",IFERROR(IF(ISNUMBER(INDEX(GPU!$G$4:$G$64,MATCH(Varian!$K45,GPU!$A$4:$A$64,0))),INDEX(GPU!$G$4:$G$64,MATCH(Varian!$K45,GPU!$A$4:$A$64,0)),""),""))</f>
        <v/>
      </c>
      <c r="E209" s="69" t="str">
        <f aca="false">IF($A209="","",IF(ISNUMBER(Varian!$M45),Varian!$M45,""))</f>
        <v/>
      </c>
      <c r="F209" s="69" t="str">
        <f aca="false">IF($A209="","",IF(ISNUMBER(Varian!$V45),Varian!$V45,""))</f>
        <v/>
      </c>
      <c r="G209" s="69" t="str">
        <f aca="false">IF($A209="","",IFERROR(INDEX(Aturan!$B$63:$B$66,MATCH(Varian!$AG45,Aturan!$A$63:$A$66,0)),""))</f>
        <v/>
      </c>
      <c r="H209" s="69" t="str">
        <f aca="false">IF($A209="","",IF(ISNUMBER(Varian!$AI45),Varian!$AI45,""))</f>
        <v/>
      </c>
      <c r="I209" s="33" t="str">
        <f aca="false">IF($A209="","",IF(Varian!$Q45="disolder","menempel di papan utama, tidak bisa ditambah",IF(OR(Varian!$Q45="slot",Varian!$Q45="setengah_disolder"),IF(Varian!$Q45="setengah_disolder","sebagian menempel, ","")&amp;IF(ISNUMBER(Varian!$U45),IF(AND(ISNUMBER(Varian!$M45),Varian!$U45&gt;Varian!$M45),"bisa dinaikkan lewat slot sampai "&amp;Varian!$U45&amp;" GB","sudah di batas maksimal "&amp;Varian!$U45&amp;" GB"),"ada slot, batas maksimalnya belum diketahui"),"belum diketahui apakah bisa ditambah")))</f>
        <v/>
      </c>
      <c r="J209" s="33" t="str">
        <f aca="false">IF($A209="","",IF(Varian!$Z45="ya","bisa diganti dengan yang lebih besar",IF(Varian!$Z45="tidak","menempel, tidak bisa diganti","belum diketahui apakah bisa diganti")))</f>
        <v/>
      </c>
      <c r="K209" s="70" t="str">
        <f aca="false">IF($A209="","",IF(AND(Aturan!$C$54="",Aturan!$D$54=""),"Tidak dinilai",IF(C209="","Belum ada data",IF(C209&lt;IF(Aturan!$C$54="",0,Aturan!$C$54),"Kurang",IF(C209&gt;=IF(Aturan!$D$54="",Aturan!$C$54,Aturan!$D$54),"Nyaman","Cukup")))))</f>
        <v/>
      </c>
      <c r="L209" s="70" t="str">
        <f aca="false">IF($A209="","",IF(AND(Aturan!$C$55="",Aturan!$D$55=""),"Tidak dinilai",IF(D209="","Belum ada data",IF(D209&lt;IF(Aturan!$C$55="",0,Aturan!$C$55),"Kurang",IF(D209&gt;=IF(Aturan!$D$55="",Aturan!$C$55,Aturan!$D$55),"Nyaman","Cukup")))))</f>
        <v/>
      </c>
      <c r="M209" s="70" t="str">
        <f aca="false">IF($A209="","",IF(AND(Aturan!$C$56="",Aturan!$D$56=""),"Tidak dinilai",IF(E209="","Belum ada data",IF(E209&lt;IF(Aturan!$C$56="",0,Aturan!$C$56),"Kurang",IF(E209&gt;=IF(Aturan!$D$56="",Aturan!$C$56,Aturan!$D$56),"Nyaman","Cukup")))))</f>
        <v/>
      </c>
      <c r="N209" s="70" t="str">
        <f aca="false">IF($A209="","",IF(AND(Aturan!$C$57="",Aturan!$D$57=""),"Tidak dinilai",IF(F209="","Belum ada data",IF(F209&lt;IF(Aturan!$C$57="",0,Aturan!$C$57),"Kurang",IF(F209&gt;=IF(Aturan!$D$57="",Aturan!$C$57,Aturan!$D$57),"Nyaman","Cukup")))))</f>
        <v/>
      </c>
      <c r="O209" s="70" t="str">
        <f aca="false">IF($A209="","",IF(AND(Aturan!$C$58="",Aturan!$D$58=""),"Tidak dinilai",IF(G209="","Belum ada data",IF(G209&lt;IF(Aturan!$C$58="",0,Aturan!$C$58),"Kurang",IF(G209&gt;=IF(Aturan!$D$58="",Aturan!$C$58,Aturan!$D$58),"Nyaman","Cukup")))))</f>
        <v/>
      </c>
      <c r="P209" s="70" t="str">
        <f aca="false">IF($A209="","",IF(AND(Aturan!$C$59="",Aturan!$D$59=""),"Tidak dinilai",IF(H209="","Belum ada data",IF(H209&lt;IF(Aturan!$C$59="",0,Aturan!$C$59),"Kurang",IF(H209&gt;=IF(Aturan!$D$59="",Aturan!$C$59,Aturan!$D$59),"Nyaman","Cukup")))))</f>
        <v/>
      </c>
      <c r="Q209" s="70" t="str">
        <f aca="false">IF($A209="","",IF(COUNTIF(K209:P209,"Tidak dinilai")=6,"Tidak dinilai",IF(COUNTIF(K209:P209,"Kurang")&gt;0,"Kurang cocok",IF(COUNTIF(K209:P209,"Belum ada data")&gt;0,"Data belum lengkap",IF(COUNTIF(K209:P209,"Cukup")&gt;0,"Bisa, dengan catatan","Cocok")))))</f>
        <v/>
      </c>
      <c r="R209" s="33" t="str">
        <f aca="false">IF($A209="","",IF(K209="Kurang","prosesor tingkat "&amp;C209&amp;" dari 5, di bawah batas minimal (tingkat "&amp;Aturan!$C$54&amp;")",IF(K209="Cukup","prosesor tingkat "&amp;C209&amp;" dari 5 cukup, nyamannya mulai tingkat "&amp;Aturan!$D$54,IF(K209="Belum ada data","tingkat prosesor belum diisi",""))))</f>
        <v/>
      </c>
      <c r="S209" s="33" t="str">
        <f aca="false">IF($A209="","",IF(L209="Kurang","grafis tingkat "&amp;D209&amp;" dari 5, di bawah batas minimal (tingkat "&amp;Aturan!$C$55&amp;")",IF(L209="Cukup","grafis tingkat "&amp;D209&amp;" dari 5 cukup, nyamannya mulai tingkat "&amp;Aturan!$D$55,IF(L209="Belum ada data","tingkat grafis belum diisi",""))))</f>
        <v/>
      </c>
      <c r="T209" s="33" t="str">
        <f aca="false">IF($A209="","",IF(M209="Kurang","RAM "&amp;E209&amp;" GB, di bawah batas minimal "&amp;Aturan!$C$56&amp;" GB ("&amp;I209&amp;")",IF(M209="Cukup","RAM "&amp;E209&amp;" GB cukup, nyamannya "&amp;Aturan!$D$56&amp;" GB atau lebih ("&amp;I209&amp;")",IF(M209="Belum ada data","ukuran RAM belum diisi",""))))</f>
        <v/>
      </c>
      <c r="U209" s="33" t="str">
        <f aca="false">IF($A209="","",IF(N209="Kurang","penyimpanan "&amp;F209&amp;" GB, di bawah batas minimal "&amp;Aturan!$C$57&amp;" GB ("&amp;J209&amp;")",IF(N209="Cukup","penyimpanan "&amp;F209&amp;" GB cukup, nyamannya "&amp;Aturan!$D$57&amp;" GB atau lebih ("&amp;J209&amp;")",IF(N209="Belum ada data","ukuran penyimpanan belum diisi",""))))</f>
        <v/>
      </c>
      <c r="V209" s="33" t="str">
        <f aca="false">IF($A209="","",IF(O209="Kurang","layar "&amp;Varian!$AG45&amp;", di bawah batas minimal ("&amp;IFERROR(INDEX(Aturan!$A$63:$A$66,MATCH(Aturan!$C$58,Aturan!$B$63:$B$66,0)),"peringkat "&amp;Aturan!$C$58)&amp;")",IF(O209="Cukup","layar "&amp;Varian!$AG45&amp;" cukup, nyamannya "&amp;IFERROR(INDEX(Aturan!$A$63:$A$66,MATCH(Aturan!$D$58,Aturan!$B$63:$B$66,0)),"peringkat "&amp;Aturan!$D$58),IF(O209="Belum ada data","jenis layar belum diketahui",""))))</f>
        <v/>
      </c>
      <c r="W209" s="33" t="str">
        <f aca="false">IF($A209="","",IF(P209="Kurang","layar "&amp;H209&amp;" Hz, di bawah batas minimal "&amp;Aturan!$C$59&amp;" Hz",IF(P209="Cukup","layar "&amp;H209&amp;" Hz cukup, nyamannya "&amp;Aturan!$D$59&amp;" Hz atau lebih",IF(P209="Belum ada data","refresh rate belum diketahui",""))))</f>
        <v/>
      </c>
      <c r="X209" s="33" t="str">
        <f aca="false">IF($A209="","",IF(K209="Kurang",R209&amp;"; ","")&amp;IF(L209="Kurang",S209&amp;"; ","")&amp;IF(M209="Kurang",T209&amp;"; ","")&amp;IF(N209="Kurang",U209&amp;"; ","")&amp;IF(O209="Kurang",V209&amp;"; ","")&amp;IF(P209="Kurang",W209&amp;"; ","")&amp;IF(K209="Belum ada data",R209&amp;"; ","")&amp;IF(L209="Belum ada data",S209&amp;"; ","")&amp;IF(M209="Belum ada data",T209&amp;"; ","")&amp;IF(N209="Belum ada data",U209&amp;"; ","")&amp;IF(O209="Belum ada data",V209&amp;"; ","")&amp;IF(P209="Belum ada data",W209&amp;"; ","")&amp;IF(K209="Cukup",R209&amp;"; ","")&amp;IF(L209="Cukup",S209&amp;"; ","")&amp;IF(M209="Cukup",T209&amp;"; ","")&amp;IF(N209="Cukup",U209&amp;"; ","")&amp;IF(O209="Cukup",V209&amp;"; ","")&amp;IF(P209="Cukup",W209&amp;"; ",""))</f>
        <v/>
      </c>
      <c r="Y209" s="33" t="str">
        <f aca="false">IF($A209="","",IF(K209="Nyaman","prosesor, ","")&amp;IF(L209="Nyaman","grafis, ","")&amp;IF(M209="Nyaman","RAM, ","")&amp;IF(N209="Nyaman","penyimpanan, ","")&amp;IF(O209="Nyaman","layar, ","")&amp;IF(P209="Nyaman","refresh rate, ",""))</f>
        <v/>
      </c>
      <c r="Z209" s="33" t="str">
        <f aca="false">IF($A209="","",IF(Q209="Tidak dinilai","Belum ada kriteria yang dinilai untuk kebutuhan ini.",IF(Q209="Cocok","Semua kriteria yang dinilai sudah nyaman: "&amp;LEFT(Y209,LEN(Y209)-2)&amp;".",UPPER(LEFT(X209,1))&amp;MID(X209,2,LEN(X209)-3)&amp;"."&amp;IF(Y209="",""," Sudah nyaman: "&amp;LEFT(Y209,LEN(Y209)-2)&amp;"."))))</f>
        <v/>
      </c>
      <c r="AA209" s="33"/>
      <c r="AB209" s="33"/>
      <c r="AC209" s="69"/>
    </row>
    <row r="210" customFormat="false" ht="15" hidden="false" customHeight="true" outlineLevel="0" collapsed="false">
      <c r="A210" s="66" t="str">
        <f aca="false">IF(Varian!$A46="","",Varian!$A46)</f>
        <v/>
      </c>
      <c r="B210" s="66" t="str">
        <f aca="false">IF($A210="","",Aturan!$A$21)</f>
        <v/>
      </c>
      <c r="C210" s="67" t="str">
        <f aca="false">IF($A210="","",IFERROR(IF(ISNUMBER(INDEX(CPU!$J$4:$J$64,MATCH(Varian!$J46,CPU!$A$4:$A$64,0))),INDEX(CPU!$J$4:$J$64,MATCH(Varian!$J46,CPU!$A$4:$A$64,0)),""),""))</f>
        <v/>
      </c>
      <c r="D210" s="67" t="str">
        <f aca="false">IF($A210="","",IFERROR(IF(ISNUMBER(INDEX(GPU!$G$4:$G$64,MATCH(Varian!$K46,GPU!$A$4:$A$64,0))),INDEX(GPU!$G$4:$G$64,MATCH(Varian!$K46,GPU!$A$4:$A$64,0)),""),""))</f>
        <v/>
      </c>
      <c r="E210" s="67" t="str">
        <f aca="false">IF($A210="","",IF(ISNUMBER(Varian!$M46),Varian!$M46,""))</f>
        <v/>
      </c>
      <c r="F210" s="67" t="str">
        <f aca="false">IF($A210="","",IF(ISNUMBER(Varian!$V46),Varian!$V46,""))</f>
        <v/>
      </c>
      <c r="G210" s="67" t="str">
        <f aca="false">IF($A210="","",IFERROR(INDEX(Aturan!$B$63:$B$66,MATCH(Varian!$AG46,Aturan!$A$63:$A$66,0)),""))</f>
        <v/>
      </c>
      <c r="H210" s="67" t="str">
        <f aca="false">IF($A210="","",IF(ISNUMBER(Varian!$AI46),Varian!$AI46,""))</f>
        <v/>
      </c>
      <c r="I210" s="66" t="str">
        <f aca="false">IF($A210="","",IF(Varian!$Q46="disolder","menempel di papan utama, tidak bisa ditambah",IF(OR(Varian!$Q46="slot",Varian!$Q46="setengah_disolder"),IF(Varian!$Q46="setengah_disolder","sebagian menempel, ","")&amp;IF(ISNUMBER(Varian!$U46),IF(AND(ISNUMBER(Varian!$M46),Varian!$U46&gt;Varian!$M46),"bisa dinaikkan lewat slot sampai "&amp;Varian!$U46&amp;" GB","sudah di batas maksimal "&amp;Varian!$U46&amp;" GB"),"ada slot, batas maksimalnya belum diketahui"),"belum diketahui apakah bisa ditambah")))</f>
        <v/>
      </c>
      <c r="J210" s="66" t="str">
        <f aca="false">IF($A210="","",IF(Varian!$Z46="ya","bisa diganti dengan yang lebih besar",IF(Varian!$Z46="tidak","menempel, tidak bisa diganti","belum diketahui apakah bisa diganti")))</f>
        <v/>
      </c>
      <c r="K210" s="68" t="str">
        <f aca="false">IF($A210="","",IF(AND(Aturan!$C$30="",Aturan!$D$30=""),"Tidak dinilai",IF(C210="","Belum ada data",IF(C210&lt;IF(Aturan!$C$30="",0,Aturan!$C$30),"Kurang",IF(C210&gt;=IF(Aturan!$D$30="",Aturan!$C$30,Aturan!$D$30),"Nyaman","Cukup")))))</f>
        <v/>
      </c>
      <c r="L210" s="68" t="str">
        <f aca="false">IF($A210="","",IF(AND(Aturan!$C$31="",Aturan!$D$31=""),"Tidak dinilai",IF(D210="","Belum ada data",IF(D210&lt;IF(Aturan!$C$31="",0,Aturan!$C$31),"Kurang",IF(D210&gt;=IF(Aturan!$D$31="",Aturan!$C$31,Aturan!$D$31),"Nyaman","Cukup")))))</f>
        <v/>
      </c>
      <c r="M210" s="68" t="str">
        <f aca="false">IF($A210="","",IF(AND(Aturan!$C$32="",Aturan!$D$32=""),"Tidak dinilai",IF(E210="","Belum ada data",IF(E210&lt;IF(Aturan!$C$32="",0,Aturan!$C$32),"Kurang",IF(E210&gt;=IF(Aturan!$D$32="",Aturan!$C$32,Aturan!$D$32),"Nyaman","Cukup")))))</f>
        <v/>
      </c>
      <c r="N210" s="68" t="str">
        <f aca="false">IF($A210="","",IF(AND(Aturan!$C$33="",Aturan!$D$33=""),"Tidak dinilai",IF(F210="","Belum ada data",IF(F210&lt;IF(Aturan!$C$33="",0,Aturan!$C$33),"Kurang",IF(F210&gt;=IF(Aturan!$D$33="",Aturan!$C$33,Aturan!$D$33),"Nyaman","Cukup")))))</f>
        <v/>
      </c>
      <c r="O210" s="68" t="str">
        <f aca="false">IF($A210="","",IF(AND(Aturan!$C$34="",Aturan!$D$34=""),"Tidak dinilai",IF(G210="","Belum ada data",IF(G210&lt;IF(Aturan!$C$34="",0,Aturan!$C$34),"Kurang",IF(G210&gt;=IF(Aturan!$D$34="",Aturan!$C$34,Aturan!$D$34),"Nyaman","Cukup")))))</f>
        <v/>
      </c>
      <c r="P210" s="68" t="str">
        <f aca="false">IF($A210="","",IF(AND(Aturan!$C$35="",Aturan!$D$35=""),"Tidak dinilai",IF(H210="","Belum ada data",IF(H210&lt;IF(Aturan!$C$35="",0,Aturan!$C$35),"Kurang",IF(H210&gt;=IF(Aturan!$D$35="",Aturan!$C$35,Aturan!$D$35),"Nyaman","Cukup")))))</f>
        <v/>
      </c>
      <c r="Q210" s="68" t="str">
        <f aca="false">IF($A210="","",IF(COUNTIF(K210:P210,"Tidak dinilai")=6,"Tidak dinilai",IF(COUNTIF(K210:P210,"Kurang")&gt;0,"Kurang cocok",IF(COUNTIF(K210:P210,"Belum ada data")&gt;0,"Data belum lengkap",IF(COUNTIF(K210:P210,"Cukup")&gt;0,"Bisa, dengan catatan","Cocok")))))</f>
        <v/>
      </c>
      <c r="R210" s="66" t="str">
        <f aca="false">IF($A210="","",IF(K210="Kurang","prosesor tingkat "&amp;C210&amp;" dari 5, di bawah batas minimal (tingkat "&amp;Aturan!$C$30&amp;")",IF(K210="Cukup","prosesor tingkat "&amp;C210&amp;" dari 5 cukup, nyamannya mulai tingkat "&amp;Aturan!$D$30,IF(K210="Belum ada data","tingkat prosesor belum diisi",""))))</f>
        <v/>
      </c>
      <c r="S210" s="66" t="str">
        <f aca="false">IF($A210="","",IF(L210="Kurang","grafis tingkat "&amp;D210&amp;" dari 5, di bawah batas minimal (tingkat "&amp;Aturan!$C$31&amp;")",IF(L210="Cukup","grafis tingkat "&amp;D210&amp;" dari 5 cukup, nyamannya mulai tingkat "&amp;Aturan!$D$31,IF(L210="Belum ada data","tingkat grafis belum diisi",""))))</f>
        <v/>
      </c>
      <c r="T210" s="66" t="str">
        <f aca="false">IF($A210="","",IF(M210="Kurang","RAM "&amp;E210&amp;" GB, di bawah batas minimal "&amp;Aturan!$C$32&amp;" GB ("&amp;I210&amp;")",IF(M210="Cukup","RAM "&amp;E210&amp;" GB cukup, nyamannya "&amp;Aturan!$D$32&amp;" GB atau lebih ("&amp;I210&amp;")",IF(M210="Belum ada data","ukuran RAM belum diisi",""))))</f>
        <v/>
      </c>
      <c r="U210" s="66" t="str">
        <f aca="false">IF($A210="","",IF(N210="Kurang","penyimpanan "&amp;F210&amp;" GB, di bawah batas minimal "&amp;Aturan!$C$33&amp;" GB ("&amp;J210&amp;")",IF(N210="Cukup","penyimpanan "&amp;F210&amp;" GB cukup, nyamannya "&amp;Aturan!$D$33&amp;" GB atau lebih ("&amp;J210&amp;")",IF(N210="Belum ada data","ukuran penyimpanan belum diisi",""))))</f>
        <v/>
      </c>
      <c r="V210" s="66" t="str">
        <f aca="false">IF($A210="","",IF(O210="Kurang","layar "&amp;Varian!$AG46&amp;", di bawah batas minimal ("&amp;IFERROR(INDEX(Aturan!$A$63:$A$66,MATCH(Aturan!$C$34,Aturan!$B$63:$B$66,0)),"peringkat "&amp;Aturan!$C$34)&amp;")",IF(O210="Cukup","layar "&amp;Varian!$AG46&amp;" cukup, nyamannya "&amp;IFERROR(INDEX(Aturan!$A$63:$A$66,MATCH(Aturan!$D$34,Aturan!$B$63:$B$66,0)),"peringkat "&amp;Aturan!$D$34),IF(O210="Belum ada data","jenis layar belum diketahui",""))))</f>
        <v/>
      </c>
      <c r="W210" s="66" t="str">
        <f aca="false">IF($A210="","",IF(P210="Kurang","layar "&amp;H210&amp;" Hz, di bawah batas minimal "&amp;Aturan!$C$35&amp;" Hz",IF(P210="Cukup","layar "&amp;H210&amp;" Hz cukup, nyamannya "&amp;Aturan!$D$35&amp;" Hz atau lebih",IF(P210="Belum ada data","refresh rate belum diketahui",""))))</f>
        <v/>
      </c>
      <c r="X210" s="66" t="str">
        <f aca="false">IF($A210="","",IF(K210="Kurang",R210&amp;"; ","")&amp;IF(L210="Kurang",S210&amp;"; ","")&amp;IF(M210="Kurang",T210&amp;"; ","")&amp;IF(N210="Kurang",U210&amp;"; ","")&amp;IF(O210="Kurang",V210&amp;"; ","")&amp;IF(P210="Kurang",W210&amp;"; ","")&amp;IF(K210="Belum ada data",R210&amp;"; ","")&amp;IF(L210="Belum ada data",S210&amp;"; ","")&amp;IF(M210="Belum ada data",T210&amp;"; ","")&amp;IF(N210="Belum ada data",U210&amp;"; ","")&amp;IF(O210="Belum ada data",V210&amp;"; ","")&amp;IF(P210="Belum ada data",W210&amp;"; ","")&amp;IF(K210="Cukup",R210&amp;"; ","")&amp;IF(L210="Cukup",S210&amp;"; ","")&amp;IF(M210="Cukup",T210&amp;"; ","")&amp;IF(N210="Cukup",U210&amp;"; ","")&amp;IF(O210="Cukup",V210&amp;"; ","")&amp;IF(P210="Cukup",W210&amp;"; ",""))</f>
        <v/>
      </c>
      <c r="Y210" s="66" t="str">
        <f aca="false">IF($A210="","",IF(K210="Nyaman","prosesor, ","")&amp;IF(L210="Nyaman","grafis, ","")&amp;IF(M210="Nyaman","RAM, ","")&amp;IF(N210="Nyaman","penyimpanan, ","")&amp;IF(O210="Nyaman","layar, ","")&amp;IF(P210="Nyaman","refresh rate, ",""))</f>
        <v/>
      </c>
      <c r="Z210" s="66" t="str">
        <f aca="false">IF($A210="","",IF(Q210="Tidak dinilai","Belum ada kriteria yang dinilai untuk kebutuhan ini.",IF(Q210="Cocok","Semua kriteria yang dinilai sudah nyaman: "&amp;LEFT(Y210,LEN(Y210)-2)&amp;".",UPPER(LEFT(X210,1))&amp;MID(X210,2,LEN(X210)-3)&amp;"."&amp;IF(Y210="",""," Sudah nyaman: "&amp;LEFT(Y210,LEN(Y210)-2)&amp;"."))))</f>
        <v/>
      </c>
      <c r="AA210" s="66" t="str">
        <f aca="false">IF($A210="","",IF(Varian!$AR46="Windows 10","• "&amp;Aturan!$E$71&amp;CHAR(10),"")&amp;IF(Varian!$BB46="tidak","• "&amp;Aturan!$E$72&amp;CHAR(10),"")&amp;IF(OR(Varian!$AD46="belum terverifikasi",Varian!$AD46="tidak diketahui"),"• "&amp;Aturan!$E$73&amp;CHAR(10),"")&amp;IF(Varian!$AH46="1366x768","• "&amp;Aturan!$E$74&amp;CHAR(10),"")&amp;IF(Varian!$AG46="TN","• "&amp;Aturan!$E$75&amp;CHAR(10),"")&amp;IF(AND(Varian!$Q46="disolder",ISNUMBER(Varian!$M46),Varian!$M46&lt;=8),"• "&amp;Aturan!$E$76&amp;CHAR(10),""))</f>
        <v/>
      </c>
      <c r="AB210" s="66" t="str">
        <f aca="false">IF($A210="","",IF(AA210="","",LEFT(AA210,LEN(AA210)-1)))</f>
        <v/>
      </c>
      <c r="AC210" s="67" t="str">
        <f aca="false">IF($A210="","",IF(AA210="",0,LEN(AA210)-LEN(SUBSTITUTE(AA210,CHAR(10),""))))</f>
        <v/>
      </c>
    </row>
    <row r="211" customFormat="false" ht="15" hidden="false" customHeight="true" outlineLevel="0" collapsed="false">
      <c r="A211" s="33" t="str">
        <f aca="false">IF(Varian!$A46="","",Varian!$A46)</f>
        <v/>
      </c>
      <c r="B211" s="33" t="str">
        <f aca="false">IF($A211="","",Aturan!$A$22)</f>
        <v/>
      </c>
      <c r="C211" s="69" t="str">
        <f aca="false">IF($A211="","",IFERROR(IF(ISNUMBER(INDEX(CPU!$J$4:$J$64,MATCH(Varian!$J46,CPU!$A$4:$A$64,0))),INDEX(CPU!$J$4:$J$64,MATCH(Varian!$J46,CPU!$A$4:$A$64,0)),""),""))</f>
        <v/>
      </c>
      <c r="D211" s="69" t="str">
        <f aca="false">IF($A211="","",IFERROR(IF(ISNUMBER(INDEX(GPU!$G$4:$G$64,MATCH(Varian!$K46,GPU!$A$4:$A$64,0))),INDEX(GPU!$G$4:$G$64,MATCH(Varian!$K46,GPU!$A$4:$A$64,0)),""),""))</f>
        <v/>
      </c>
      <c r="E211" s="69" t="str">
        <f aca="false">IF($A211="","",IF(ISNUMBER(Varian!$M46),Varian!$M46,""))</f>
        <v/>
      </c>
      <c r="F211" s="69" t="str">
        <f aca="false">IF($A211="","",IF(ISNUMBER(Varian!$V46),Varian!$V46,""))</f>
        <v/>
      </c>
      <c r="G211" s="69" t="str">
        <f aca="false">IF($A211="","",IFERROR(INDEX(Aturan!$B$63:$B$66,MATCH(Varian!$AG46,Aturan!$A$63:$A$66,0)),""))</f>
        <v/>
      </c>
      <c r="H211" s="69" t="str">
        <f aca="false">IF($A211="","",IF(ISNUMBER(Varian!$AI46),Varian!$AI46,""))</f>
        <v/>
      </c>
      <c r="I211" s="33" t="str">
        <f aca="false">IF($A211="","",IF(Varian!$Q46="disolder","menempel di papan utama, tidak bisa ditambah",IF(OR(Varian!$Q46="slot",Varian!$Q46="setengah_disolder"),IF(Varian!$Q46="setengah_disolder","sebagian menempel, ","")&amp;IF(ISNUMBER(Varian!$U46),IF(AND(ISNUMBER(Varian!$M46),Varian!$U46&gt;Varian!$M46),"bisa dinaikkan lewat slot sampai "&amp;Varian!$U46&amp;" GB","sudah di batas maksimal "&amp;Varian!$U46&amp;" GB"),"ada slot, batas maksimalnya belum diketahui"),"belum diketahui apakah bisa ditambah")))</f>
        <v/>
      </c>
      <c r="J211" s="33" t="str">
        <f aca="false">IF($A211="","",IF(Varian!$Z46="ya","bisa diganti dengan yang lebih besar",IF(Varian!$Z46="tidak","menempel, tidak bisa diganti","belum diketahui apakah bisa diganti")))</f>
        <v/>
      </c>
      <c r="K211" s="70" t="str">
        <f aca="false">IF($A211="","",IF(AND(Aturan!$C$36="",Aturan!$D$36=""),"Tidak dinilai",IF(C211="","Belum ada data",IF(C211&lt;IF(Aturan!$C$36="",0,Aturan!$C$36),"Kurang",IF(C211&gt;=IF(Aturan!$D$36="",Aturan!$C$36,Aturan!$D$36),"Nyaman","Cukup")))))</f>
        <v/>
      </c>
      <c r="L211" s="70" t="str">
        <f aca="false">IF($A211="","",IF(AND(Aturan!$C$37="",Aturan!$D$37=""),"Tidak dinilai",IF(D211="","Belum ada data",IF(D211&lt;IF(Aturan!$C$37="",0,Aturan!$C$37),"Kurang",IF(D211&gt;=IF(Aturan!$D$37="",Aturan!$C$37,Aturan!$D$37),"Nyaman","Cukup")))))</f>
        <v/>
      </c>
      <c r="M211" s="70" t="str">
        <f aca="false">IF($A211="","",IF(AND(Aturan!$C$38="",Aturan!$D$38=""),"Tidak dinilai",IF(E211="","Belum ada data",IF(E211&lt;IF(Aturan!$C$38="",0,Aturan!$C$38),"Kurang",IF(E211&gt;=IF(Aturan!$D$38="",Aturan!$C$38,Aturan!$D$38),"Nyaman","Cukup")))))</f>
        <v/>
      </c>
      <c r="N211" s="70" t="str">
        <f aca="false">IF($A211="","",IF(AND(Aturan!$C$39="",Aturan!$D$39=""),"Tidak dinilai",IF(F211="","Belum ada data",IF(F211&lt;IF(Aturan!$C$39="",0,Aturan!$C$39),"Kurang",IF(F211&gt;=IF(Aturan!$D$39="",Aturan!$C$39,Aturan!$D$39),"Nyaman","Cukup")))))</f>
        <v/>
      </c>
      <c r="O211" s="70" t="str">
        <f aca="false">IF($A211="","",IF(AND(Aturan!$C$40="",Aturan!$D$40=""),"Tidak dinilai",IF(G211="","Belum ada data",IF(G211&lt;IF(Aturan!$C$40="",0,Aturan!$C$40),"Kurang",IF(G211&gt;=IF(Aturan!$D$40="",Aturan!$C$40,Aturan!$D$40),"Nyaman","Cukup")))))</f>
        <v/>
      </c>
      <c r="P211" s="70" t="str">
        <f aca="false">IF($A211="","",IF(AND(Aturan!$C$41="",Aturan!$D$41=""),"Tidak dinilai",IF(H211="","Belum ada data",IF(H211&lt;IF(Aturan!$C$41="",0,Aturan!$C$41),"Kurang",IF(H211&gt;=IF(Aturan!$D$41="",Aturan!$C$41,Aturan!$D$41),"Nyaman","Cukup")))))</f>
        <v/>
      </c>
      <c r="Q211" s="70" t="str">
        <f aca="false">IF($A211="","",IF(COUNTIF(K211:P211,"Tidak dinilai")=6,"Tidak dinilai",IF(COUNTIF(K211:P211,"Kurang")&gt;0,"Kurang cocok",IF(COUNTIF(K211:P211,"Belum ada data")&gt;0,"Data belum lengkap",IF(COUNTIF(K211:P211,"Cukup")&gt;0,"Bisa, dengan catatan","Cocok")))))</f>
        <v/>
      </c>
      <c r="R211" s="33" t="str">
        <f aca="false">IF($A211="","",IF(K211="Kurang","prosesor tingkat "&amp;C211&amp;" dari 5, di bawah batas minimal (tingkat "&amp;Aturan!$C$36&amp;")",IF(K211="Cukup","prosesor tingkat "&amp;C211&amp;" dari 5 cukup, nyamannya mulai tingkat "&amp;Aturan!$D$36,IF(K211="Belum ada data","tingkat prosesor belum diisi",""))))</f>
        <v/>
      </c>
      <c r="S211" s="33" t="str">
        <f aca="false">IF($A211="","",IF(L211="Kurang","grafis tingkat "&amp;D211&amp;" dari 5, di bawah batas minimal (tingkat "&amp;Aturan!$C$37&amp;")",IF(L211="Cukup","grafis tingkat "&amp;D211&amp;" dari 5 cukup, nyamannya mulai tingkat "&amp;Aturan!$D$37,IF(L211="Belum ada data","tingkat grafis belum diisi",""))))</f>
        <v/>
      </c>
      <c r="T211" s="33" t="str">
        <f aca="false">IF($A211="","",IF(M211="Kurang","RAM "&amp;E211&amp;" GB, di bawah batas minimal "&amp;Aturan!$C$38&amp;" GB ("&amp;I211&amp;")",IF(M211="Cukup","RAM "&amp;E211&amp;" GB cukup, nyamannya "&amp;Aturan!$D$38&amp;" GB atau lebih ("&amp;I211&amp;")",IF(M211="Belum ada data","ukuran RAM belum diisi",""))))</f>
        <v/>
      </c>
      <c r="U211" s="33" t="str">
        <f aca="false">IF($A211="","",IF(N211="Kurang","penyimpanan "&amp;F211&amp;" GB, di bawah batas minimal "&amp;Aturan!$C$39&amp;" GB ("&amp;J211&amp;")",IF(N211="Cukup","penyimpanan "&amp;F211&amp;" GB cukup, nyamannya "&amp;Aturan!$D$39&amp;" GB atau lebih ("&amp;J211&amp;")",IF(N211="Belum ada data","ukuran penyimpanan belum diisi",""))))</f>
        <v/>
      </c>
      <c r="V211" s="33" t="str">
        <f aca="false">IF($A211="","",IF(O211="Kurang","layar "&amp;Varian!$AG46&amp;", di bawah batas minimal ("&amp;IFERROR(INDEX(Aturan!$A$63:$A$66,MATCH(Aturan!$C$40,Aturan!$B$63:$B$66,0)),"peringkat "&amp;Aturan!$C$40)&amp;")",IF(O211="Cukup","layar "&amp;Varian!$AG46&amp;" cukup, nyamannya "&amp;IFERROR(INDEX(Aturan!$A$63:$A$66,MATCH(Aturan!$D$40,Aturan!$B$63:$B$66,0)),"peringkat "&amp;Aturan!$D$40),IF(O211="Belum ada data","jenis layar belum diketahui",""))))</f>
        <v/>
      </c>
      <c r="W211" s="33" t="str">
        <f aca="false">IF($A211="","",IF(P211="Kurang","layar "&amp;H211&amp;" Hz, di bawah batas minimal "&amp;Aturan!$C$41&amp;" Hz",IF(P211="Cukup","layar "&amp;H211&amp;" Hz cukup, nyamannya "&amp;Aturan!$D$41&amp;" Hz atau lebih",IF(P211="Belum ada data","refresh rate belum diketahui",""))))</f>
        <v/>
      </c>
      <c r="X211" s="33" t="str">
        <f aca="false">IF($A211="","",IF(K211="Kurang",R211&amp;"; ","")&amp;IF(L211="Kurang",S211&amp;"; ","")&amp;IF(M211="Kurang",T211&amp;"; ","")&amp;IF(N211="Kurang",U211&amp;"; ","")&amp;IF(O211="Kurang",V211&amp;"; ","")&amp;IF(P211="Kurang",W211&amp;"; ","")&amp;IF(K211="Belum ada data",R211&amp;"; ","")&amp;IF(L211="Belum ada data",S211&amp;"; ","")&amp;IF(M211="Belum ada data",T211&amp;"; ","")&amp;IF(N211="Belum ada data",U211&amp;"; ","")&amp;IF(O211="Belum ada data",V211&amp;"; ","")&amp;IF(P211="Belum ada data",W211&amp;"; ","")&amp;IF(K211="Cukup",R211&amp;"; ","")&amp;IF(L211="Cukup",S211&amp;"; ","")&amp;IF(M211="Cukup",T211&amp;"; ","")&amp;IF(N211="Cukup",U211&amp;"; ","")&amp;IF(O211="Cukup",V211&amp;"; ","")&amp;IF(P211="Cukup",W211&amp;"; ",""))</f>
        <v/>
      </c>
      <c r="Y211" s="33" t="str">
        <f aca="false">IF($A211="","",IF(K211="Nyaman","prosesor, ","")&amp;IF(L211="Nyaman","grafis, ","")&amp;IF(M211="Nyaman","RAM, ","")&amp;IF(N211="Nyaman","penyimpanan, ","")&amp;IF(O211="Nyaman","layar, ","")&amp;IF(P211="Nyaman","refresh rate, ",""))</f>
        <v/>
      </c>
      <c r="Z211" s="33" t="str">
        <f aca="false">IF($A211="","",IF(Q211="Tidak dinilai","Belum ada kriteria yang dinilai untuk kebutuhan ini.",IF(Q211="Cocok","Semua kriteria yang dinilai sudah nyaman: "&amp;LEFT(Y211,LEN(Y211)-2)&amp;".",UPPER(LEFT(X211,1))&amp;MID(X211,2,LEN(X211)-3)&amp;"."&amp;IF(Y211="",""," Sudah nyaman: "&amp;LEFT(Y211,LEN(Y211)-2)&amp;"."))))</f>
        <v/>
      </c>
      <c r="AA211" s="33"/>
      <c r="AB211" s="33"/>
      <c r="AC211" s="69"/>
    </row>
    <row r="212" customFormat="false" ht="15" hidden="false" customHeight="true" outlineLevel="0" collapsed="false">
      <c r="A212" s="33" t="str">
        <f aca="false">IF(Varian!$A46="","",Varian!$A46)</f>
        <v/>
      </c>
      <c r="B212" s="33" t="str">
        <f aca="false">IF($A212="","",Aturan!$A$23)</f>
        <v/>
      </c>
      <c r="C212" s="69" t="str">
        <f aca="false">IF($A212="","",IFERROR(IF(ISNUMBER(INDEX(CPU!$J$4:$J$64,MATCH(Varian!$J46,CPU!$A$4:$A$64,0))),INDEX(CPU!$J$4:$J$64,MATCH(Varian!$J46,CPU!$A$4:$A$64,0)),""),""))</f>
        <v/>
      </c>
      <c r="D212" s="69" t="str">
        <f aca="false">IF($A212="","",IFERROR(IF(ISNUMBER(INDEX(GPU!$G$4:$G$64,MATCH(Varian!$K46,GPU!$A$4:$A$64,0))),INDEX(GPU!$G$4:$G$64,MATCH(Varian!$K46,GPU!$A$4:$A$64,0)),""),""))</f>
        <v/>
      </c>
      <c r="E212" s="69" t="str">
        <f aca="false">IF($A212="","",IF(ISNUMBER(Varian!$M46),Varian!$M46,""))</f>
        <v/>
      </c>
      <c r="F212" s="69" t="str">
        <f aca="false">IF($A212="","",IF(ISNUMBER(Varian!$V46),Varian!$V46,""))</f>
        <v/>
      </c>
      <c r="G212" s="69" t="str">
        <f aca="false">IF($A212="","",IFERROR(INDEX(Aturan!$B$63:$B$66,MATCH(Varian!$AG46,Aturan!$A$63:$A$66,0)),""))</f>
        <v/>
      </c>
      <c r="H212" s="69" t="str">
        <f aca="false">IF($A212="","",IF(ISNUMBER(Varian!$AI46),Varian!$AI46,""))</f>
        <v/>
      </c>
      <c r="I212" s="33" t="str">
        <f aca="false">IF($A212="","",IF(Varian!$Q46="disolder","menempel di papan utama, tidak bisa ditambah",IF(OR(Varian!$Q46="slot",Varian!$Q46="setengah_disolder"),IF(Varian!$Q46="setengah_disolder","sebagian menempel, ","")&amp;IF(ISNUMBER(Varian!$U46),IF(AND(ISNUMBER(Varian!$M46),Varian!$U46&gt;Varian!$M46),"bisa dinaikkan lewat slot sampai "&amp;Varian!$U46&amp;" GB","sudah di batas maksimal "&amp;Varian!$U46&amp;" GB"),"ada slot, batas maksimalnya belum diketahui"),"belum diketahui apakah bisa ditambah")))</f>
        <v/>
      </c>
      <c r="J212" s="33" t="str">
        <f aca="false">IF($A212="","",IF(Varian!$Z46="ya","bisa diganti dengan yang lebih besar",IF(Varian!$Z46="tidak","menempel, tidak bisa diganti","belum diketahui apakah bisa diganti")))</f>
        <v/>
      </c>
      <c r="K212" s="70" t="str">
        <f aca="false">IF($A212="","",IF(AND(Aturan!$C$42="",Aturan!$D$42=""),"Tidak dinilai",IF(C212="","Belum ada data",IF(C212&lt;IF(Aturan!$C$42="",0,Aturan!$C$42),"Kurang",IF(C212&gt;=IF(Aturan!$D$42="",Aturan!$C$42,Aturan!$D$42),"Nyaman","Cukup")))))</f>
        <v/>
      </c>
      <c r="L212" s="70" t="str">
        <f aca="false">IF($A212="","",IF(AND(Aturan!$C$43="",Aturan!$D$43=""),"Tidak dinilai",IF(D212="","Belum ada data",IF(D212&lt;IF(Aturan!$C$43="",0,Aturan!$C$43),"Kurang",IF(D212&gt;=IF(Aturan!$D$43="",Aturan!$C$43,Aturan!$D$43),"Nyaman","Cukup")))))</f>
        <v/>
      </c>
      <c r="M212" s="70" t="str">
        <f aca="false">IF($A212="","",IF(AND(Aturan!$C$44="",Aturan!$D$44=""),"Tidak dinilai",IF(E212="","Belum ada data",IF(E212&lt;IF(Aturan!$C$44="",0,Aturan!$C$44),"Kurang",IF(E212&gt;=IF(Aturan!$D$44="",Aturan!$C$44,Aturan!$D$44),"Nyaman","Cukup")))))</f>
        <v/>
      </c>
      <c r="N212" s="70" t="str">
        <f aca="false">IF($A212="","",IF(AND(Aturan!$C$45="",Aturan!$D$45=""),"Tidak dinilai",IF(F212="","Belum ada data",IF(F212&lt;IF(Aturan!$C$45="",0,Aturan!$C$45),"Kurang",IF(F212&gt;=IF(Aturan!$D$45="",Aturan!$C$45,Aturan!$D$45),"Nyaman","Cukup")))))</f>
        <v/>
      </c>
      <c r="O212" s="70" t="str">
        <f aca="false">IF($A212="","",IF(AND(Aturan!$C$46="",Aturan!$D$46=""),"Tidak dinilai",IF(G212="","Belum ada data",IF(G212&lt;IF(Aturan!$C$46="",0,Aturan!$C$46),"Kurang",IF(G212&gt;=IF(Aturan!$D$46="",Aturan!$C$46,Aturan!$D$46),"Nyaman","Cukup")))))</f>
        <v/>
      </c>
      <c r="P212" s="70" t="str">
        <f aca="false">IF($A212="","",IF(AND(Aturan!$C$47="",Aturan!$D$47=""),"Tidak dinilai",IF(H212="","Belum ada data",IF(H212&lt;IF(Aturan!$C$47="",0,Aturan!$C$47),"Kurang",IF(H212&gt;=IF(Aturan!$D$47="",Aturan!$C$47,Aturan!$D$47),"Nyaman","Cukup")))))</f>
        <v/>
      </c>
      <c r="Q212" s="70" t="str">
        <f aca="false">IF($A212="","",IF(COUNTIF(K212:P212,"Tidak dinilai")=6,"Tidak dinilai",IF(COUNTIF(K212:P212,"Kurang")&gt;0,"Kurang cocok",IF(COUNTIF(K212:P212,"Belum ada data")&gt;0,"Data belum lengkap",IF(COUNTIF(K212:P212,"Cukup")&gt;0,"Bisa, dengan catatan","Cocok")))))</f>
        <v/>
      </c>
      <c r="R212" s="33" t="str">
        <f aca="false">IF($A212="","",IF(K212="Kurang","prosesor tingkat "&amp;C212&amp;" dari 5, di bawah batas minimal (tingkat "&amp;Aturan!$C$42&amp;")",IF(K212="Cukup","prosesor tingkat "&amp;C212&amp;" dari 5 cukup, nyamannya mulai tingkat "&amp;Aturan!$D$42,IF(K212="Belum ada data","tingkat prosesor belum diisi",""))))</f>
        <v/>
      </c>
      <c r="S212" s="33" t="str">
        <f aca="false">IF($A212="","",IF(L212="Kurang","grafis tingkat "&amp;D212&amp;" dari 5, di bawah batas minimal (tingkat "&amp;Aturan!$C$43&amp;")",IF(L212="Cukup","grafis tingkat "&amp;D212&amp;" dari 5 cukup, nyamannya mulai tingkat "&amp;Aturan!$D$43,IF(L212="Belum ada data","tingkat grafis belum diisi",""))))</f>
        <v/>
      </c>
      <c r="T212" s="33" t="str">
        <f aca="false">IF($A212="","",IF(M212="Kurang","RAM "&amp;E212&amp;" GB, di bawah batas minimal "&amp;Aturan!$C$44&amp;" GB ("&amp;I212&amp;")",IF(M212="Cukup","RAM "&amp;E212&amp;" GB cukup, nyamannya "&amp;Aturan!$D$44&amp;" GB atau lebih ("&amp;I212&amp;")",IF(M212="Belum ada data","ukuran RAM belum diisi",""))))</f>
        <v/>
      </c>
      <c r="U212" s="33" t="str">
        <f aca="false">IF($A212="","",IF(N212="Kurang","penyimpanan "&amp;F212&amp;" GB, di bawah batas minimal "&amp;Aturan!$C$45&amp;" GB ("&amp;J212&amp;")",IF(N212="Cukup","penyimpanan "&amp;F212&amp;" GB cukup, nyamannya "&amp;Aturan!$D$45&amp;" GB atau lebih ("&amp;J212&amp;")",IF(N212="Belum ada data","ukuran penyimpanan belum diisi",""))))</f>
        <v/>
      </c>
      <c r="V212" s="33" t="str">
        <f aca="false">IF($A212="","",IF(O212="Kurang","layar "&amp;Varian!$AG46&amp;", di bawah batas minimal ("&amp;IFERROR(INDEX(Aturan!$A$63:$A$66,MATCH(Aturan!$C$46,Aturan!$B$63:$B$66,0)),"peringkat "&amp;Aturan!$C$46)&amp;")",IF(O212="Cukup","layar "&amp;Varian!$AG46&amp;" cukup, nyamannya "&amp;IFERROR(INDEX(Aturan!$A$63:$A$66,MATCH(Aturan!$D$46,Aturan!$B$63:$B$66,0)),"peringkat "&amp;Aturan!$D$46),IF(O212="Belum ada data","jenis layar belum diketahui",""))))</f>
        <v/>
      </c>
      <c r="W212" s="33" t="str">
        <f aca="false">IF($A212="","",IF(P212="Kurang","layar "&amp;H212&amp;" Hz, di bawah batas minimal "&amp;Aturan!$C$47&amp;" Hz",IF(P212="Cukup","layar "&amp;H212&amp;" Hz cukup, nyamannya "&amp;Aturan!$D$47&amp;" Hz atau lebih",IF(P212="Belum ada data","refresh rate belum diketahui",""))))</f>
        <v/>
      </c>
      <c r="X212" s="33" t="str">
        <f aca="false">IF($A212="","",IF(K212="Kurang",R212&amp;"; ","")&amp;IF(L212="Kurang",S212&amp;"; ","")&amp;IF(M212="Kurang",T212&amp;"; ","")&amp;IF(N212="Kurang",U212&amp;"; ","")&amp;IF(O212="Kurang",V212&amp;"; ","")&amp;IF(P212="Kurang",W212&amp;"; ","")&amp;IF(K212="Belum ada data",R212&amp;"; ","")&amp;IF(L212="Belum ada data",S212&amp;"; ","")&amp;IF(M212="Belum ada data",T212&amp;"; ","")&amp;IF(N212="Belum ada data",U212&amp;"; ","")&amp;IF(O212="Belum ada data",V212&amp;"; ","")&amp;IF(P212="Belum ada data",W212&amp;"; ","")&amp;IF(K212="Cukup",R212&amp;"; ","")&amp;IF(L212="Cukup",S212&amp;"; ","")&amp;IF(M212="Cukup",T212&amp;"; ","")&amp;IF(N212="Cukup",U212&amp;"; ","")&amp;IF(O212="Cukup",V212&amp;"; ","")&amp;IF(P212="Cukup",W212&amp;"; ",""))</f>
        <v/>
      </c>
      <c r="Y212" s="33" t="str">
        <f aca="false">IF($A212="","",IF(K212="Nyaman","prosesor, ","")&amp;IF(L212="Nyaman","grafis, ","")&amp;IF(M212="Nyaman","RAM, ","")&amp;IF(N212="Nyaman","penyimpanan, ","")&amp;IF(O212="Nyaman","layar, ","")&amp;IF(P212="Nyaman","refresh rate, ",""))</f>
        <v/>
      </c>
      <c r="Z212" s="33" t="str">
        <f aca="false">IF($A212="","",IF(Q212="Tidak dinilai","Belum ada kriteria yang dinilai untuk kebutuhan ini.",IF(Q212="Cocok","Semua kriteria yang dinilai sudah nyaman: "&amp;LEFT(Y212,LEN(Y212)-2)&amp;".",UPPER(LEFT(X212,1))&amp;MID(X212,2,LEN(X212)-3)&amp;"."&amp;IF(Y212="",""," Sudah nyaman: "&amp;LEFT(Y212,LEN(Y212)-2)&amp;"."))))</f>
        <v/>
      </c>
      <c r="AA212" s="33"/>
      <c r="AB212" s="33"/>
      <c r="AC212" s="69"/>
    </row>
    <row r="213" customFormat="false" ht="15" hidden="false" customHeight="true" outlineLevel="0" collapsed="false">
      <c r="A213" s="33" t="str">
        <f aca="false">IF(Varian!$A46="","",Varian!$A46)</f>
        <v/>
      </c>
      <c r="B213" s="33" t="str">
        <f aca="false">IF($A213="","",Aturan!$A$24)</f>
        <v/>
      </c>
      <c r="C213" s="69" t="str">
        <f aca="false">IF($A213="","",IFERROR(IF(ISNUMBER(INDEX(CPU!$J$4:$J$64,MATCH(Varian!$J46,CPU!$A$4:$A$64,0))),INDEX(CPU!$J$4:$J$64,MATCH(Varian!$J46,CPU!$A$4:$A$64,0)),""),""))</f>
        <v/>
      </c>
      <c r="D213" s="69" t="str">
        <f aca="false">IF($A213="","",IFERROR(IF(ISNUMBER(INDEX(GPU!$G$4:$G$64,MATCH(Varian!$K46,GPU!$A$4:$A$64,0))),INDEX(GPU!$G$4:$G$64,MATCH(Varian!$K46,GPU!$A$4:$A$64,0)),""),""))</f>
        <v/>
      </c>
      <c r="E213" s="69" t="str">
        <f aca="false">IF($A213="","",IF(ISNUMBER(Varian!$M46),Varian!$M46,""))</f>
        <v/>
      </c>
      <c r="F213" s="69" t="str">
        <f aca="false">IF($A213="","",IF(ISNUMBER(Varian!$V46),Varian!$V46,""))</f>
        <v/>
      </c>
      <c r="G213" s="69" t="str">
        <f aca="false">IF($A213="","",IFERROR(INDEX(Aturan!$B$63:$B$66,MATCH(Varian!$AG46,Aturan!$A$63:$A$66,0)),""))</f>
        <v/>
      </c>
      <c r="H213" s="69" t="str">
        <f aca="false">IF($A213="","",IF(ISNUMBER(Varian!$AI46),Varian!$AI46,""))</f>
        <v/>
      </c>
      <c r="I213" s="33" t="str">
        <f aca="false">IF($A213="","",IF(Varian!$Q46="disolder","menempel di papan utama, tidak bisa ditambah",IF(OR(Varian!$Q46="slot",Varian!$Q46="setengah_disolder"),IF(Varian!$Q46="setengah_disolder","sebagian menempel, ","")&amp;IF(ISNUMBER(Varian!$U46),IF(AND(ISNUMBER(Varian!$M46),Varian!$U46&gt;Varian!$M46),"bisa dinaikkan lewat slot sampai "&amp;Varian!$U46&amp;" GB","sudah di batas maksimal "&amp;Varian!$U46&amp;" GB"),"ada slot, batas maksimalnya belum diketahui"),"belum diketahui apakah bisa ditambah")))</f>
        <v/>
      </c>
      <c r="J213" s="33" t="str">
        <f aca="false">IF($A213="","",IF(Varian!$Z46="ya","bisa diganti dengan yang lebih besar",IF(Varian!$Z46="tidak","menempel, tidak bisa diganti","belum diketahui apakah bisa diganti")))</f>
        <v/>
      </c>
      <c r="K213" s="70" t="str">
        <f aca="false">IF($A213="","",IF(AND(Aturan!$C$48="",Aturan!$D$48=""),"Tidak dinilai",IF(C213="","Belum ada data",IF(C213&lt;IF(Aturan!$C$48="",0,Aturan!$C$48),"Kurang",IF(C213&gt;=IF(Aturan!$D$48="",Aturan!$C$48,Aturan!$D$48),"Nyaman","Cukup")))))</f>
        <v/>
      </c>
      <c r="L213" s="70" t="str">
        <f aca="false">IF($A213="","",IF(AND(Aturan!$C$49="",Aturan!$D$49=""),"Tidak dinilai",IF(D213="","Belum ada data",IF(D213&lt;IF(Aturan!$C$49="",0,Aturan!$C$49),"Kurang",IF(D213&gt;=IF(Aturan!$D$49="",Aturan!$C$49,Aturan!$D$49),"Nyaman","Cukup")))))</f>
        <v/>
      </c>
      <c r="M213" s="70" t="str">
        <f aca="false">IF($A213="","",IF(AND(Aturan!$C$50="",Aturan!$D$50=""),"Tidak dinilai",IF(E213="","Belum ada data",IF(E213&lt;IF(Aturan!$C$50="",0,Aturan!$C$50),"Kurang",IF(E213&gt;=IF(Aturan!$D$50="",Aturan!$C$50,Aturan!$D$50),"Nyaman","Cukup")))))</f>
        <v/>
      </c>
      <c r="N213" s="70" t="str">
        <f aca="false">IF($A213="","",IF(AND(Aturan!$C$51="",Aturan!$D$51=""),"Tidak dinilai",IF(F213="","Belum ada data",IF(F213&lt;IF(Aturan!$C$51="",0,Aturan!$C$51),"Kurang",IF(F213&gt;=IF(Aturan!$D$51="",Aturan!$C$51,Aturan!$D$51),"Nyaman","Cukup")))))</f>
        <v/>
      </c>
      <c r="O213" s="70" t="str">
        <f aca="false">IF($A213="","",IF(AND(Aturan!$C$52="",Aturan!$D$52=""),"Tidak dinilai",IF(G213="","Belum ada data",IF(G213&lt;IF(Aturan!$C$52="",0,Aturan!$C$52),"Kurang",IF(G213&gt;=IF(Aturan!$D$52="",Aturan!$C$52,Aturan!$D$52),"Nyaman","Cukup")))))</f>
        <v/>
      </c>
      <c r="P213" s="70" t="str">
        <f aca="false">IF($A213="","",IF(AND(Aturan!$C$53="",Aturan!$D$53=""),"Tidak dinilai",IF(H213="","Belum ada data",IF(H213&lt;IF(Aturan!$C$53="",0,Aturan!$C$53),"Kurang",IF(H213&gt;=IF(Aturan!$D$53="",Aturan!$C$53,Aturan!$D$53),"Nyaman","Cukup")))))</f>
        <v/>
      </c>
      <c r="Q213" s="70" t="str">
        <f aca="false">IF($A213="","",IF(COUNTIF(K213:P213,"Tidak dinilai")=6,"Tidak dinilai",IF(COUNTIF(K213:P213,"Kurang")&gt;0,"Kurang cocok",IF(COUNTIF(K213:P213,"Belum ada data")&gt;0,"Data belum lengkap",IF(COUNTIF(K213:P213,"Cukup")&gt;0,"Bisa, dengan catatan","Cocok")))))</f>
        <v/>
      </c>
      <c r="R213" s="33" t="str">
        <f aca="false">IF($A213="","",IF(K213="Kurang","prosesor tingkat "&amp;C213&amp;" dari 5, di bawah batas minimal (tingkat "&amp;Aturan!$C$48&amp;")",IF(K213="Cukup","prosesor tingkat "&amp;C213&amp;" dari 5 cukup, nyamannya mulai tingkat "&amp;Aturan!$D$48,IF(K213="Belum ada data","tingkat prosesor belum diisi",""))))</f>
        <v/>
      </c>
      <c r="S213" s="33" t="str">
        <f aca="false">IF($A213="","",IF(L213="Kurang","grafis tingkat "&amp;D213&amp;" dari 5, di bawah batas minimal (tingkat "&amp;Aturan!$C$49&amp;")",IF(L213="Cukup","grafis tingkat "&amp;D213&amp;" dari 5 cukup, nyamannya mulai tingkat "&amp;Aturan!$D$49,IF(L213="Belum ada data","tingkat grafis belum diisi",""))))</f>
        <v/>
      </c>
      <c r="T213" s="33" t="str">
        <f aca="false">IF($A213="","",IF(M213="Kurang","RAM "&amp;E213&amp;" GB, di bawah batas minimal "&amp;Aturan!$C$50&amp;" GB ("&amp;I213&amp;")",IF(M213="Cukup","RAM "&amp;E213&amp;" GB cukup, nyamannya "&amp;Aturan!$D$50&amp;" GB atau lebih ("&amp;I213&amp;")",IF(M213="Belum ada data","ukuran RAM belum diisi",""))))</f>
        <v/>
      </c>
      <c r="U213" s="33" t="str">
        <f aca="false">IF($A213="","",IF(N213="Kurang","penyimpanan "&amp;F213&amp;" GB, di bawah batas minimal "&amp;Aturan!$C$51&amp;" GB ("&amp;J213&amp;")",IF(N213="Cukup","penyimpanan "&amp;F213&amp;" GB cukup, nyamannya "&amp;Aturan!$D$51&amp;" GB atau lebih ("&amp;J213&amp;")",IF(N213="Belum ada data","ukuran penyimpanan belum diisi",""))))</f>
        <v/>
      </c>
      <c r="V213" s="33" t="str">
        <f aca="false">IF($A213="","",IF(O213="Kurang","layar "&amp;Varian!$AG46&amp;", di bawah batas minimal ("&amp;IFERROR(INDEX(Aturan!$A$63:$A$66,MATCH(Aturan!$C$52,Aturan!$B$63:$B$66,0)),"peringkat "&amp;Aturan!$C$52)&amp;")",IF(O213="Cukup","layar "&amp;Varian!$AG46&amp;" cukup, nyamannya "&amp;IFERROR(INDEX(Aturan!$A$63:$A$66,MATCH(Aturan!$D$52,Aturan!$B$63:$B$66,0)),"peringkat "&amp;Aturan!$D$52),IF(O213="Belum ada data","jenis layar belum diketahui",""))))</f>
        <v/>
      </c>
      <c r="W213" s="33" t="str">
        <f aca="false">IF($A213="","",IF(P213="Kurang","layar "&amp;H213&amp;" Hz, di bawah batas minimal "&amp;Aturan!$C$53&amp;" Hz",IF(P213="Cukup","layar "&amp;H213&amp;" Hz cukup, nyamannya "&amp;Aturan!$D$53&amp;" Hz atau lebih",IF(P213="Belum ada data","refresh rate belum diketahui",""))))</f>
        <v/>
      </c>
      <c r="X213" s="33" t="str">
        <f aca="false">IF($A213="","",IF(K213="Kurang",R213&amp;"; ","")&amp;IF(L213="Kurang",S213&amp;"; ","")&amp;IF(M213="Kurang",T213&amp;"; ","")&amp;IF(N213="Kurang",U213&amp;"; ","")&amp;IF(O213="Kurang",V213&amp;"; ","")&amp;IF(P213="Kurang",W213&amp;"; ","")&amp;IF(K213="Belum ada data",R213&amp;"; ","")&amp;IF(L213="Belum ada data",S213&amp;"; ","")&amp;IF(M213="Belum ada data",T213&amp;"; ","")&amp;IF(N213="Belum ada data",U213&amp;"; ","")&amp;IF(O213="Belum ada data",V213&amp;"; ","")&amp;IF(P213="Belum ada data",W213&amp;"; ","")&amp;IF(K213="Cukup",R213&amp;"; ","")&amp;IF(L213="Cukup",S213&amp;"; ","")&amp;IF(M213="Cukup",T213&amp;"; ","")&amp;IF(N213="Cukup",U213&amp;"; ","")&amp;IF(O213="Cukup",V213&amp;"; ","")&amp;IF(P213="Cukup",W213&amp;"; ",""))</f>
        <v/>
      </c>
      <c r="Y213" s="33" t="str">
        <f aca="false">IF($A213="","",IF(K213="Nyaman","prosesor, ","")&amp;IF(L213="Nyaman","grafis, ","")&amp;IF(M213="Nyaman","RAM, ","")&amp;IF(N213="Nyaman","penyimpanan, ","")&amp;IF(O213="Nyaman","layar, ","")&amp;IF(P213="Nyaman","refresh rate, ",""))</f>
        <v/>
      </c>
      <c r="Z213" s="33" t="str">
        <f aca="false">IF($A213="","",IF(Q213="Tidak dinilai","Belum ada kriteria yang dinilai untuk kebutuhan ini.",IF(Q213="Cocok","Semua kriteria yang dinilai sudah nyaman: "&amp;LEFT(Y213,LEN(Y213)-2)&amp;".",UPPER(LEFT(X213,1))&amp;MID(X213,2,LEN(X213)-3)&amp;"."&amp;IF(Y213="",""," Sudah nyaman: "&amp;LEFT(Y213,LEN(Y213)-2)&amp;"."))))</f>
        <v/>
      </c>
      <c r="AA213" s="33"/>
      <c r="AB213" s="33"/>
      <c r="AC213" s="69"/>
    </row>
    <row r="214" customFormat="false" ht="15" hidden="false" customHeight="true" outlineLevel="0" collapsed="false">
      <c r="A214" s="33" t="str">
        <f aca="false">IF(Varian!$A46="","",Varian!$A46)</f>
        <v/>
      </c>
      <c r="B214" s="33" t="str">
        <f aca="false">IF($A214="","",Aturan!$A$25)</f>
        <v/>
      </c>
      <c r="C214" s="69" t="str">
        <f aca="false">IF($A214="","",IFERROR(IF(ISNUMBER(INDEX(CPU!$J$4:$J$64,MATCH(Varian!$J46,CPU!$A$4:$A$64,0))),INDEX(CPU!$J$4:$J$64,MATCH(Varian!$J46,CPU!$A$4:$A$64,0)),""),""))</f>
        <v/>
      </c>
      <c r="D214" s="69" t="str">
        <f aca="false">IF($A214="","",IFERROR(IF(ISNUMBER(INDEX(GPU!$G$4:$G$64,MATCH(Varian!$K46,GPU!$A$4:$A$64,0))),INDEX(GPU!$G$4:$G$64,MATCH(Varian!$K46,GPU!$A$4:$A$64,0)),""),""))</f>
        <v/>
      </c>
      <c r="E214" s="69" t="str">
        <f aca="false">IF($A214="","",IF(ISNUMBER(Varian!$M46),Varian!$M46,""))</f>
        <v/>
      </c>
      <c r="F214" s="69" t="str">
        <f aca="false">IF($A214="","",IF(ISNUMBER(Varian!$V46),Varian!$V46,""))</f>
        <v/>
      </c>
      <c r="G214" s="69" t="str">
        <f aca="false">IF($A214="","",IFERROR(INDEX(Aturan!$B$63:$B$66,MATCH(Varian!$AG46,Aturan!$A$63:$A$66,0)),""))</f>
        <v/>
      </c>
      <c r="H214" s="69" t="str">
        <f aca="false">IF($A214="","",IF(ISNUMBER(Varian!$AI46),Varian!$AI46,""))</f>
        <v/>
      </c>
      <c r="I214" s="33" t="str">
        <f aca="false">IF($A214="","",IF(Varian!$Q46="disolder","menempel di papan utama, tidak bisa ditambah",IF(OR(Varian!$Q46="slot",Varian!$Q46="setengah_disolder"),IF(Varian!$Q46="setengah_disolder","sebagian menempel, ","")&amp;IF(ISNUMBER(Varian!$U46),IF(AND(ISNUMBER(Varian!$M46),Varian!$U46&gt;Varian!$M46),"bisa dinaikkan lewat slot sampai "&amp;Varian!$U46&amp;" GB","sudah di batas maksimal "&amp;Varian!$U46&amp;" GB"),"ada slot, batas maksimalnya belum diketahui"),"belum diketahui apakah bisa ditambah")))</f>
        <v/>
      </c>
      <c r="J214" s="33" t="str">
        <f aca="false">IF($A214="","",IF(Varian!$Z46="ya","bisa diganti dengan yang lebih besar",IF(Varian!$Z46="tidak","menempel, tidak bisa diganti","belum diketahui apakah bisa diganti")))</f>
        <v/>
      </c>
      <c r="K214" s="70" t="str">
        <f aca="false">IF($A214="","",IF(AND(Aturan!$C$54="",Aturan!$D$54=""),"Tidak dinilai",IF(C214="","Belum ada data",IF(C214&lt;IF(Aturan!$C$54="",0,Aturan!$C$54),"Kurang",IF(C214&gt;=IF(Aturan!$D$54="",Aturan!$C$54,Aturan!$D$54),"Nyaman","Cukup")))))</f>
        <v/>
      </c>
      <c r="L214" s="70" t="str">
        <f aca="false">IF($A214="","",IF(AND(Aturan!$C$55="",Aturan!$D$55=""),"Tidak dinilai",IF(D214="","Belum ada data",IF(D214&lt;IF(Aturan!$C$55="",0,Aturan!$C$55),"Kurang",IF(D214&gt;=IF(Aturan!$D$55="",Aturan!$C$55,Aturan!$D$55),"Nyaman","Cukup")))))</f>
        <v/>
      </c>
      <c r="M214" s="70" t="str">
        <f aca="false">IF($A214="","",IF(AND(Aturan!$C$56="",Aturan!$D$56=""),"Tidak dinilai",IF(E214="","Belum ada data",IF(E214&lt;IF(Aturan!$C$56="",0,Aturan!$C$56),"Kurang",IF(E214&gt;=IF(Aturan!$D$56="",Aturan!$C$56,Aturan!$D$56),"Nyaman","Cukup")))))</f>
        <v/>
      </c>
      <c r="N214" s="70" t="str">
        <f aca="false">IF($A214="","",IF(AND(Aturan!$C$57="",Aturan!$D$57=""),"Tidak dinilai",IF(F214="","Belum ada data",IF(F214&lt;IF(Aturan!$C$57="",0,Aturan!$C$57),"Kurang",IF(F214&gt;=IF(Aturan!$D$57="",Aturan!$C$57,Aturan!$D$57),"Nyaman","Cukup")))))</f>
        <v/>
      </c>
      <c r="O214" s="70" t="str">
        <f aca="false">IF($A214="","",IF(AND(Aturan!$C$58="",Aturan!$D$58=""),"Tidak dinilai",IF(G214="","Belum ada data",IF(G214&lt;IF(Aturan!$C$58="",0,Aturan!$C$58),"Kurang",IF(G214&gt;=IF(Aturan!$D$58="",Aturan!$C$58,Aturan!$D$58),"Nyaman","Cukup")))))</f>
        <v/>
      </c>
      <c r="P214" s="70" t="str">
        <f aca="false">IF($A214="","",IF(AND(Aturan!$C$59="",Aturan!$D$59=""),"Tidak dinilai",IF(H214="","Belum ada data",IF(H214&lt;IF(Aturan!$C$59="",0,Aturan!$C$59),"Kurang",IF(H214&gt;=IF(Aturan!$D$59="",Aturan!$C$59,Aturan!$D$59),"Nyaman","Cukup")))))</f>
        <v/>
      </c>
      <c r="Q214" s="70" t="str">
        <f aca="false">IF($A214="","",IF(COUNTIF(K214:P214,"Tidak dinilai")=6,"Tidak dinilai",IF(COUNTIF(K214:P214,"Kurang")&gt;0,"Kurang cocok",IF(COUNTIF(K214:P214,"Belum ada data")&gt;0,"Data belum lengkap",IF(COUNTIF(K214:P214,"Cukup")&gt;0,"Bisa, dengan catatan","Cocok")))))</f>
        <v/>
      </c>
      <c r="R214" s="33" t="str">
        <f aca="false">IF($A214="","",IF(K214="Kurang","prosesor tingkat "&amp;C214&amp;" dari 5, di bawah batas minimal (tingkat "&amp;Aturan!$C$54&amp;")",IF(K214="Cukup","prosesor tingkat "&amp;C214&amp;" dari 5 cukup, nyamannya mulai tingkat "&amp;Aturan!$D$54,IF(K214="Belum ada data","tingkat prosesor belum diisi",""))))</f>
        <v/>
      </c>
      <c r="S214" s="33" t="str">
        <f aca="false">IF($A214="","",IF(L214="Kurang","grafis tingkat "&amp;D214&amp;" dari 5, di bawah batas minimal (tingkat "&amp;Aturan!$C$55&amp;")",IF(L214="Cukup","grafis tingkat "&amp;D214&amp;" dari 5 cukup, nyamannya mulai tingkat "&amp;Aturan!$D$55,IF(L214="Belum ada data","tingkat grafis belum diisi",""))))</f>
        <v/>
      </c>
      <c r="T214" s="33" t="str">
        <f aca="false">IF($A214="","",IF(M214="Kurang","RAM "&amp;E214&amp;" GB, di bawah batas minimal "&amp;Aturan!$C$56&amp;" GB ("&amp;I214&amp;")",IF(M214="Cukup","RAM "&amp;E214&amp;" GB cukup, nyamannya "&amp;Aturan!$D$56&amp;" GB atau lebih ("&amp;I214&amp;")",IF(M214="Belum ada data","ukuran RAM belum diisi",""))))</f>
        <v/>
      </c>
      <c r="U214" s="33" t="str">
        <f aca="false">IF($A214="","",IF(N214="Kurang","penyimpanan "&amp;F214&amp;" GB, di bawah batas minimal "&amp;Aturan!$C$57&amp;" GB ("&amp;J214&amp;")",IF(N214="Cukup","penyimpanan "&amp;F214&amp;" GB cukup, nyamannya "&amp;Aturan!$D$57&amp;" GB atau lebih ("&amp;J214&amp;")",IF(N214="Belum ada data","ukuran penyimpanan belum diisi",""))))</f>
        <v/>
      </c>
      <c r="V214" s="33" t="str">
        <f aca="false">IF($A214="","",IF(O214="Kurang","layar "&amp;Varian!$AG46&amp;", di bawah batas minimal ("&amp;IFERROR(INDEX(Aturan!$A$63:$A$66,MATCH(Aturan!$C$58,Aturan!$B$63:$B$66,0)),"peringkat "&amp;Aturan!$C$58)&amp;")",IF(O214="Cukup","layar "&amp;Varian!$AG46&amp;" cukup, nyamannya "&amp;IFERROR(INDEX(Aturan!$A$63:$A$66,MATCH(Aturan!$D$58,Aturan!$B$63:$B$66,0)),"peringkat "&amp;Aturan!$D$58),IF(O214="Belum ada data","jenis layar belum diketahui",""))))</f>
        <v/>
      </c>
      <c r="W214" s="33" t="str">
        <f aca="false">IF($A214="","",IF(P214="Kurang","layar "&amp;H214&amp;" Hz, di bawah batas minimal "&amp;Aturan!$C$59&amp;" Hz",IF(P214="Cukup","layar "&amp;H214&amp;" Hz cukup, nyamannya "&amp;Aturan!$D$59&amp;" Hz atau lebih",IF(P214="Belum ada data","refresh rate belum diketahui",""))))</f>
        <v/>
      </c>
      <c r="X214" s="33" t="str">
        <f aca="false">IF($A214="","",IF(K214="Kurang",R214&amp;"; ","")&amp;IF(L214="Kurang",S214&amp;"; ","")&amp;IF(M214="Kurang",T214&amp;"; ","")&amp;IF(N214="Kurang",U214&amp;"; ","")&amp;IF(O214="Kurang",V214&amp;"; ","")&amp;IF(P214="Kurang",W214&amp;"; ","")&amp;IF(K214="Belum ada data",R214&amp;"; ","")&amp;IF(L214="Belum ada data",S214&amp;"; ","")&amp;IF(M214="Belum ada data",T214&amp;"; ","")&amp;IF(N214="Belum ada data",U214&amp;"; ","")&amp;IF(O214="Belum ada data",V214&amp;"; ","")&amp;IF(P214="Belum ada data",W214&amp;"; ","")&amp;IF(K214="Cukup",R214&amp;"; ","")&amp;IF(L214="Cukup",S214&amp;"; ","")&amp;IF(M214="Cukup",T214&amp;"; ","")&amp;IF(N214="Cukup",U214&amp;"; ","")&amp;IF(O214="Cukup",V214&amp;"; ","")&amp;IF(P214="Cukup",W214&amp;"; ",""))</f>
        <v/>
      </c>
      <c r="Y214" s="33" t="str">
        <f aca="false">IF($A214="","",IF(K214="Nyaman","prosesor, ","")&amp;IF(L214="Nyaman","grafis, ","")&amp;IF(M214="Nyaman","RAM, ","")&amp;IF(N214="Nyaman","penyimpanan, ","")&amp;IF(O214="Nyaman","layar, ","")&amp;IF(P214="Nyaman","refresh rate, ",""))</f>
        <v/>
      </c>
      <c r="Z214" s="33" t="str">
        <f aca="false">IF($A214="","",IF(Q214="Tidak dinilai","Belum ada kriteria yang dinilai untuk kebutuhan ini.",IF(Q214="Cocok","Semua kriteria yang dinilai sudah nyaman: "&amp;LEFT(Y214,LEN(Y214)-2)&amp;".",UPPER(LEFT(X214,1))&amp;MID(X214,2,LEN(X214)-3)&amp;"."&amp;IF(Y214="",""," Sudah nyaman: "&amp;LEFT(Y214,LEN(Y214)-2)&amp;"."))))</f>
        <v/>
      </c>
      <c r="AA214" s="33"/>
      <c r="AB214" s="33"/>
      <c r="AC214" s="69"/>
    </row>
    <row r="215" customFormat="false" ht="15" hidden="false" customHeight="true" outlineLevel="0" collapsed="false">
      <c r="A215" s="66" t="str">
        <f aca="false">IF(Varian!$A47="","",Varian!$A47)</f>
        <v/>
      </c>
      <c r="B215" s="66" t="str">
        <f aca="false">IF($A215="","",Aturan!$A$21)</f>
        <v/>
      </c>
      <c r="C215" s="67" t="str">
        <f aca="false">IF($A215="","",IFERROR(IF(ISNUMBER(INDEX(CPU!$J$4:$J$64,MATCH(Varian!$J47,CPU!$A$4:$A$64,0))),INDEX(CPU!$J$4:$J$64,MATCH(Varian!$J47,CPU!$A$4:$A$64,0)),""),""))</f>
        <v/>
      </c>
      <c r="D215" s="67" t="str">
        <f aca="false">IF($A215="","",IFERROR(IF(ISNUMBER(INDEX(GPU!$G$4:$G$64,MATCH(Varian!$K47,GPU!$A$4:$A$64,0))),INDEX(GPU!$G$4:$G$64,MATCH(Varian!$K47,GPU!$A$4:$A$64,0)),""),""))</f>
        <v/>
      </c>
      <c r="E215" s="67" t="str">
        <f aca="false">IF($A215="","",IF(ISNUMBER(Varian!$M47),Varian!$M47,""))</f>
        <v/>
      </c>
      <c r="F215" s="67" t="str">
        <f aca="false">IF($A215="","",IF(ISNUMBER(Varian!$V47),Varian!$V47,""))</f>
        <v/>
      </c>
      <c r="G215" s="67" t="str">
        <f aca="false">IF($A215="","",IFERROR(INDEX(Aturan!$B$63:$B$66,MATCH(Varian!$AG47,Aturan!$A$63:$A$66,0)),""))</f>
        <v/>
      </c>
      <c r="H215" s="67" t="str">
        <f aca="false">IF($A215="","",IF(ISNUMBER(Varian!$AI47),Varian!$AI47,""))</f>
        <v/>
      </c>
      <c r="I215" s="66" t="str">
        <f aca="false">IF($A215="","",IF(Varian!$Q47="disolder","menempel di papan utama, tidak bisa ditambah",IF(OR(Varian!$Q47="slot",Varian!$Q47="setengah_disolder"),IF(Varian!$Q47="setengah_disolder","sebagian menempel, ","")&amp;IF(ISNUMBER(Varian!$U47),IF(AND(ISNUMBER(Varian!$M47),Varian!$U47&gt;Varian!$M47),"bisa dinaikkan lewat slot sampai "&amp;Varian!$U47&amp;" GB","sudah di batas maksimal "&amp;Varian!$U47&amp;" GB"),"ada slot, batas maksimalnya belum diketahui"),"belum diketahui apakah bisa ditambah")))</f>
        <v/>
      </c>
      <c r="J215" s="66" t="str">
        <f aca="false">IF($A215="","",IF(Varian!$Z47="ya","bisa diganti dengan yang lebih besar",IF(Varian!$Z47="tidak","menempel, tidak bisa diganti","belum diketahui apakah bisa diganti")))</f>
        <v/>
      </c>
      <c r="K215" s="68" t="str">
        <f aca="false">IF($A215="","",IF(AND(Aturan!$C$30="",Aturan!$D$30=""),"Tidak dinilai",IF(C215="","Belum ada data",IF(C215&lt;IF(Aturan!$C$30="",0,Aturan!$C$30),"Kurang",IF(C215&gt;=IF(Aturan!$D$30="",Aturan!$C$30,Aturan!$D$30),"Nyaman","Cukup")))))</f>
        <v/>
      </c>
      <c r="L215" s="68" t="str">
        <f aca="false">IF($A215="","",IF(AND(Aturan!$C$31="",Aturan!$D$31=""),"Tidak dinilai",IF(D215="","Belum ada data",IF(D215&lt;IF(Aturan!$C$31="",0,Aturan!$C$31),"Kurang",IF(D215&gt;=IF(Aturan!$D$31="",Aturan!$C$31,Aturan!$D$31),"Nyaman","Cukup")))))</f>
        <v/>
      </c>
      <c r="M215" s="68" t="str">
        <f aca="false">IF($A215="","",IF(AND(Aturan!$C$32="",Aturan!$D$32=""),"Tidak dinilai",IF(E215="","Belum ada data",IF(E215&lt;IF(Aturan!$C$32="",0,Aturan!$C$32),"Kurang",IF(E215&gt;=IF(Aturan!$D$32="",Aturan!$C$32,Aturan!$D$32),"Nyaman","Cukup")))))</f>
        <v/>
      </c>
      <c r="N215" s="68" t="str">
        <f aca="false">IF($A215="","",IF(AND(Aturan!$C$33="",Aturan!$D$33=""),"Tidak dinilai",IF(F215="","Belum ada data",IF(F215&lt;IF(Aturan!$C$33="",0,Aturan!$C$33),"Kurang",IF(F215&gt;=IF(Aturan!$D$33="",Aturan!$C$33,Aturan!$D$33),"Nyaman","Cukup")))))</f>
        <v/>
      </c>
      <c r="O215" s="68" t="str">
        <f aca="false">IF($A215="","",IF(AND(Aturan!$C$34="",Aturan!$D$34=""),"Tidak dinilai",IF(G215="","Belum ada data",IF(G215&lt;IF(Aturan!$C$34="",0,Aturan!$C$34),"Kurang",IF(G215&gt;=IF(Aturan!$D$34="",Aturan!$C$34,Aturan!$D$34),"Nyaman","Cukup")))))</f>
        <v/>
      </c>
      <c r="P215" s="68" t="str">
        <f aca="false">IF($A215="","",IF(AND(Aturan!$C$35="",Aturan!$D$35=""),"Tidak dinilai",IF(H215="","Belum ada data",IF(H215&lt;IF(Aturan!$C$35="",0,Aturan!$C$35),"Kurang",IF(H215&gt;=IF(Aturan!$D$35="",Aturan!$C$35,Aturan!$D$35),"Nyaman","Cukup")))))</f>
        <v/>
      </c>
      <c r="Q215" s="68" t="str">
        <f aca="false">IF($A215="","",IF(COUNTIF(K215:P215,"Tidak dinilai")=6,"Tidak dinilai",IF(COUNTIF(K215:P215,"Kurang")&gt;0,"Kurang cocok",IF(COUNTIF(K215:P215,"Belum ada data")&gt;0,"Data belum lengkap",IF(COUNTIF(K215:P215,"Cukup")&gt;0,"Bisa, dengan catatan","Cocok")))))</f>
        <v/>
      </c>
      <c r="R215" s="66" t="str">
        <f aca="false">IF($A215="","",IF(K215="Kurang","prosesor tingkat "&amp;C215&amp;" dari 5, di bawah batas minimal (tingkat "&amp;Aturan!$C$30&amp;")",IF(K215="Cukup","prosesor tingkat "&amp;C215&amp;" dari 5 cukup, nyamannya mulai tingkat "&amp;Aturan!$D$30,IF(K215="Belum ada data","tingkat prosesor belum diisi",""))))</f>
        <v/>
      </c>
      <c r="S215" s="66" t="str">
        <f aca="false">IF($A215="","",IF(L215="Kurang","grafis tingkat "&amp;D215&amp;" dari 5, di bawah batas minimal (tingkat "&amp;Aturan!$C$31&amp;")",IF(L215="Cukup","grafis tingkat "&amp;D215&amp;" dari 5 cukup, nyamannya mulai tingkat "&amp;Aturan!$D$31,IF(L215="Belum ada data","tingkat grafis belum diisi",""))))</f>
        <v/>
      </c>
      <c r="T215" s="66" t="str">
        <f aca="false">IF($A215="","",IF(M215="Kurang","RAM "&amp;E215&amp;" GB, di bawah batas minimal "&amp;Aturan!$C$32&amp;" GB ("&amp;I215&amp;")",IF(M215="Cukup","RAM "&amp;E215&amp;" GB cukup, nyamannya "&amp;Aturan!$D$32&amp;" GB atau lebih ("&amp;I215&amp;")",IF(M215="Belum ada data","ukuran RAM belum diisi",""))))</f>
        <v/>
      </c>
      <c r="U215" s="66" t="str">
        <f aca="false">IF($A215="","",IF(N215="Kurang","penyimpanan "&amp;F215&amp;" GB, di bawah batas minimal "&amp;Aturan!$C$33&amp;" GB ("&amp;J215&amp;")",IF(N215="Cukup","penyimpanan "&amp;F215&amp;" GB cukup, nyamannya "&amp;Aturan!$D$33&amp;" GB atau lebih ("&amp;J215&amp;")",IF(N215="Belum ada data","ukuran penyimpanan belum diisi",""))))</f>
        <v/>
      </c>
      <c r="V215" s="66" t="str">
        <f aca="false">IF($A215="","",IF(O215="Kurang","layar "&amp;Varian!$AG47&amp;", di bawah batas minimal ("&amp;IFERROR(INDEX(Aturan!$A$63:$A$66,MATCH(Aturan!$C$34,Aturan!$B$63:$B$66,0)),"peringkat "&amp;Aturan!$C$34)&amp;")",IF(O215="Cukup","layar "&amp;Varian!$AG47&amp;" cukup, nyamannya "&amp;IFERROR(INDEX(Aturan!$A$63:$A$66,MATCH(Aturan!$D$34,Aturan!$B$63:$B$66,0)),"peringkat "&amp;Aturan!$D$34),IF(O215="Belum ada data","jenis layar belum diketahui",""))))</f>
        <v/>
      </c>
      <c r="W215" s="66" t="str">
        <f aca="false">IF($A215="","",IF(P215="Kurang","layar "&amp;H215&amp;" Hz, di bawah batas minimal "&amp;Aturan!$C$35&amp;" Hz",IF(P215="Cukup","layar "&amp;H215&amp;" Hz cukup, nyamannya "&amp;Aturan!$D$35&amp;" Hz atau lebih",IF(P215="Belum ada data","refresh rate belum diketahui",""))))</f>
        <v/>
      </c>
      <c r="X215" s="66" t="str">
        <f aca="false">IF($A215="","",IF(K215="Kurang",R215&amp;"; ","")&amp;IF(L215="Kurang",S215&amp;"; ","")&amp;IF(M215="Kurang",T215&amp;"; ","")&amp;IF(N215="Kurang",U215&amp;"; ","")&amp;IF(O215="Kurang",V215&amp;"; ","")&amp;IF(P215="Kurang",W215&amp;"; ","")&amp;IF(K215="Belum ada data",R215&amp;"; ","")&amp;IF(L215="Belum ada data",S215&amp;"; ","")&amp;IF(M215="Belum ada data",T215&amp;"; ","")&amp;IF(N215="Belum ada data",U215&amp;"; ","")&amp;IF(O215="Belum ada data",V215&amp;"; ","")&amp;IF(P215="Belum ada data",W215&amp;"; ","")&amp;IF(K215="Cukup",R215&amp;"; ","")&amp;IF(L215="Cukup",S215&amp;"; ","")&amp;IF(M215="Cukup",T215&amp;"; ","")&amp;IF(N215="Cukup",U215&amp;"; ","")&amp;IF(O215="Cukup",V215&amp;"; ","")&amp;IF(P215="Cukup",W215&amp;"; ",""))</f>
        <v/>
      </c>
      <c r="Y215" s="66" t="str">
        <f aca="false">IF($A215="","",IF(K215="Nyaman","prosesor, ","")&amp;IF(L215="Nyaman","grafis, ","")&amp;IF(M215="Nyaman","RAM, ","")&amp;IF(N215="Nyaman","penyimpanan, ","")&amp;IF(O215="Nyaman","layar, ","")&amp;IF(P215="Nyaman","refresh rate, ",""))</f>
        <v/>
      </c>
      <c r="Z215" s="66" t="str">
        <f aca="false">IF($A215="","",IF(Q215="Tidak dinilai","Belum ada kriteria yang dinilai untuk kebutuhan ini.",IF(Q215="Cocok","Semua kriteria yang dinilai sudah nyaman: "&amp;LEFT(Y215,LEN(Y215)-2)&amp;".",UPPER(LEFT(X215,1))&amp;MID(X215,2,LEN(X215)-3)&amp;"."&amp;IF(Y215="",""," Sudah nyaman: "&amp;LEFT(Y215,LEN(Y215)-2)&amp;"."))))</f>
        <v/>
      </c>
      <c r="AA215" s="66" t="str">
        <f aca="false">IF($A215="","",IF(Varian!$AR47="Windows 10","• "&amp;Aturan!$E$71&amp;CHAR(10),"")&amp;IF(Varian!$BB47="tidak","• "&amp;Aturan!$E$72&amp;CHAR(10),"")&amp;IF(OR(Varian!$AD47="belum terverifikasi",Varian!$AD47="tidak diketahui"),"• "&amp;Aturan!$E$73&amp;CHAR(10),"")&amp;IF(Varian!$AH47="1366x768","• "&amp;Aturan!$E$74&amp;CHAR(10),"")&amp;IF(Varian!$AG47="TN","• "&amp;Aturan!$E$75&amp;CHAR(10),"")&amp;IF(AND(Varian!$Q47="disolder",ISNUMBER(Varian!$M47),Varian!$M47&lt;=8),"• "&amp;Aturan!$E$76&amp;CHAR(10),""))</f>
        <v/>
      </c>
      <c r="AB215" s="66" t="str">
        <f aca="false">IF($A215="","",IF(AA215="","",LEFT(AA215,LEN(AA215)-1)))</f>
        <v/>
      </c>
      <c r="AC215" s="67" t="str">
        <f aca="false">IF($A215="","",IF(AA215="",0,LEN(AA215)-LEN(SUBSTITUTE(AA215,CHAR(10),""))))</f>
        <v/>
      </c>
    </row>
    <row r="216" customFormat="false" ht="15" hidden="false" customHeight="true" outlineLevel="0" collapsed="false">
      <c r="A216" s="33" t="str">
        <f aca="false">IF(Varian!$A47="","",Varian!$A47)</f>
        <v/>
      </c>
      <c r="B216" s="33" t="str">
        <f aca="false">IF($A216="","",Aturan!$A$22)</f>
        <v/>
      </c>
      <c r="C216" s="69" t="str">
        <f aca="false">IF($A216="","",IFERROR(IF(ISNUMBER(INDEX(CPU!$J$4:$J$64,MATCH(Varian!$J47,CPU!$A$4:$A$64,0))),INDEX(CPU!$J$4:$J$64,MATCH(Varian!$J47,CPU!$A$4:$A$64,0)),""),""))</f>
        <v/>
      </c>
      <c r="D216" s="69" t="str">
        <f aca="false">IF($A216="","",IFERROR(IF(ISNUMBER(INDEX(GPU!$G$4:$G$64,MATCH(Varian!$K47,GPU!$A$4:$A$64,0))),INDEX(GPU!$G$4:$G$64,MATCH(Varian!$K47,GPU!$A$4:$A$64,0)),""),""))</f>
        <v/>
      </c>
      <c r="E216" s="69" t="str">
        <f aca="false">IF($A216="","",IF(ISNUMBER(Varian!$M47),Varian!$M47,""))</f>
        <v/>
      </c>
      <c r="F216" s="69" t="str">
        <f aca="false">IF($A216="","",IF(ISNUMBER(Varian!$V47),Varian!$V47,""))</f>
        <v/>
      </c>
      <c r="G216" s="69" t="str">
        <f aca="false">IF($A216="","",IFERROR(INDEX(Aturan!$B$63:$B$66,MATCH(Varian!$AG47,Aturan!$A$63:$A$66,0)),""))</f>
        <v/>
      </c>
      <c r="H216" s="69" t="str">
        <f aca="false">IF($A216="","",IF(ISNUMBER(Varian!$AI47),Varian!$AI47,""))</f>
        <v/>
      </c>
      <c r="I216" s="33" t="str">
        <f aca="false">IF($A216="","",IF(Varian!$Q47="disolder","menempel di papan utama, tidak bisa ditambah",IF(OR(Varian!$Q47="slot",Varian!$Q47="setengah_disolder"),IF(Varian!$Q47="setengah_disolder","sebagian menempel, ","")&amp;IF(ISNUMBER(Varian!$U47),IF(AND(ISNUMBER(Varian!$M47),Varian!$U47&gt;Varian!$M47),"bisa dinaikkan lewat slot sampai "&amp;Varian!$U47&amp;" GB","sudah di batas maksimal "&amp;Varian!$U47&amp;" GB"),"ada slot, batas maksimalnya belum diketahui"),"belum diketahui apakah bisa ditambah")))</f>
        <v/>
      </c>
      <c r="J216" s="33" t="str">
        <f aca="false">IF($A216="","",IF(Varian!$Z47="ya","bisa diganti dengan yang lebih besar",IF(Varian!$Z47="tidak","menempel, tidak bisa diganti","belum diketahui apakah bisa diganti")))</f>
        <v/>
      </c>
      <c r="K216" s="70" t="str">
        <f aca="false">IF($A216="","",IF(AND(Aturan!$C$36="",Aturan!$D$36=""),"Tidak dinilai",IF(C216="","Belum ada data",IF(C216&lt;IF(Aturan!$C$36="",0,Aturan!$C$36),"Kurang",IF(C216&gt;=IF(Aturan!$D$36="",Aturan!$C$36,Aturan!$D$36),"Nyaman","Cukup")))))</f>
        <v/>
      </c>
      <c r="L216" s="70" t="str">
        <f aca="false">IF($A216="","",IF(AND(Aturan!$C$37="",Aturan!$D$37=""),"Tidak dinilai",IF(D216="","Belum ada data",IF(D216&lt;IF(Aturan!$C$37="",0,Aturan!$C$37),"Kurang",IF(D216&gt;=IF(Aturan!$D$37="",Aturan!$C$37,Aturan!$D$37),"Nyaman","Cukup")))))</f>
        <v/>
      </c>
      <c r="M216" s="70" t="str">
        <f aca="false">IF($A216="","",IF(AND(Aturan!$C$38="",Aturan!$D$38=""),"Tidak dinilai",IF(E216="","Belum ada data",IF(E216&lt;IF(Aturan!$C$38="",0,Aturan!$C$38),"Kurang",IF(E216&gt;=IF(Aturan!$D$38="",Aturan!$C$38,Aturan!$D$38),"Nyaman","Cukup")))))</f>
        <v/>
      </c>
      <c r="N216" s="70" t="str">
        <f aca="false">IF($A216="","",IF(AND(Aturan!$C$39="",Aturan!$D$39=""),"Tidak dinilai",IF(F216="","Belum ada data",IF(F216&lt;IF(Aturan!$C$39="",0,Aturan!$C$39),"Kurang",IF(F216&gt;=IF(Aturan!$D$39="",Aturan!$C$39,Aturan!$D$39),"Nyaman","Cukup")))))</f>
        <v/>
      </c>
      <c r="O216" s="70" t="str">
        <f aca="false">IF($A216="","",IF(AND(Aturan!$C$40="",Aturan!$D$40=""),"Tidak dinilai",IF(G216="","Belum ada data",IF(G216&lt;IF(Aturan!$C$40="",0,Aturan!$C$40),"Kurang",IF(G216&gt;=IF(Aturan!$D$40="",Aturan!$C$40,Aturan!$D$40),"Nyaman","Cukup")))))</f>
        <v/>
      </c>
      <c r="P216" s="70" t="str">
        <f aca="false">IF($A216="","",IF(AND(Aturan!$C$41="",Aturan!$D$41=""),"Tidak dinilai",IF(H216="","Belum ada data",IF(H216&lt;IF(Aturan!$C$41="",0,Aturan!$C$41),"Kurang",IF(H216&gt;=IF(Aturan!$D$41="",Aturan!$C$41,Aturan!$D$41),"Nyaman","Cukup")))))</f>
        <v/>
      </c>
      <c r="Q216" s="70" t="str">
        <f aca="false">IF($A216="","",IF(COUNTIF(K216:P216,"Tidak dinilai")=6,"Tidak dinilai",IF(COUNTIF(K216:P216,"Kurang")&gt;0,"Kurang cocok",IF(COUNTIF(K216:P216,"Belum ada data")&gt;0,"Data belum lengkap",IF(COUNTIF(K216:P216,"Cukup")&gt;0,"Bisa, dengan catatan","Cocok")))))</f>
        <v/>
      </c>
      <c r="R216" s="33" t="str">
        <f aca="false">IF($A216="","",IF(K216="Kurang","prosesor tingkat "&amp;C216&amp;" dari 5, di bawah batas minimal (tingkat "&amp;Aturan!$C$36&amp;")",IF(K216="Cukup","prosesor tingkat "&amp;C216&amp;" dari 5 cukup, nyamannya mulai tingkat "&amp;Aturan!$D$36,IF(K216="Belum ada data","tingkat prosesor belum diisi",""))))</f>
        <v/>
      </c>
      <c r="S216" s="33" t="str">
        <f aca="false">IF($A216="","",IF(L216="Kurang","grafis tingkat "&amp;D216&amp;" dari 5, di bawah batas minimal (tingkat "&amp;Aturan!$C$37&amp;")",IF(L216="Cukup","grafis tingkat "&amp;D216&amp;" dari 5 cukup, nyamannya mulai tingkat "&amp;Aturan!$D$37,IF(L216="Belum ada data","tingkat grafis belum diisi",""))))</f>
        <v/>
      </c>
      <c r="T216" s="33" t="str">
        <f aca="false">IF($A216="","",IF(M216="Kurang","RAM "&amp;E216&amp;" GB, di bawah batas minimal "&amp;Aturan!$C$38&amp;" GB ("&amp;I216&amp;")",IF(M216="Cukup","RAM "&amp;E216&amp;" GB cukup, nyamannya "&amp;Aturan!$D$38&amp;" GB atau lebih ("&amp;I216&amp;")",IF(M216="Belum ada data","ukuran RAM belum diisi",""))))</f>
        <v/>
      </c>
      <c r="U216" s="33" t="str">
        <f aca="false">IF($A216="","",IF(N216="Kurang","penyimpanan "&amp;F216&amp;" GB, di bawah batas minimal "&amp;Aturan!$C$39&amp;" GB ("&amp;J216&amp;")",IF(N216="Cukup","penyimpanan "&amp;F216&amp;" GB cukup, nyamannya "&amp;Aturan!$D$39&amp;" GB atau lebih ("&amp;J216&amp;")",IF(N216="Belum ada data","ukuran penyimpanan belum diisi",""))))</f>
        <v/>
      </c>
      <c r="V216" s="33" t="str">
        <f aca="false">IF($A216="","",IF(O216="Kurang","layar "&amp;Varian!$AG47&amp;", di bawah batas minimal ("&amp;IFERROR(INDEX(Aturan!$A$63:$A$66,MATCH(Aturan!$C$40,Aturan!$B$63:$B$66,0)),"peringkat "&amp;Aturan!$C$40)&amp;")",IF(O216="Cukup","layar "&amp;Varian!$AG47&amp;" cukup, nyamannya "&amp;IFERROR(INDEX(Aturan!$A$63:$A$66,MATCH(Aturan!$D$40,Aturan!$B$63:$B$66,0)),"peringkat "&amp;Aturan!$D$40),IF(O216="Belum ada data","jenis layar belum diketahui",""))))</f>
        <v/>
      </c>
      <c r="W216" s="33" t="str">
        <f aca="false">IF($A216="","",IF(P216="Kurang","layar "&amp;H216&amp;" Hz, di bawah batas minimal "&amp;Aturan!$C$41&amp;" Hz",IF(P216="Cukup","layar "&amp;H216&amp;" Hz cukup, nyamannya "&amp;Aturan!$D$41&amp;" Hz atau lebih",IF(P216="Belum ada data","refresh rate belum diketahui",""))))</f>
        <v/>
      </c>
      <c r="X216" s="33" t="str">
        <f aca="false">IF($A216="","",IF(K216="Kurang",R216&amp;"; ","")&amp;IF(L216="Kurang",S216&amp;"; ","")&amp;IF(M216="Kurang",T216&amp;"; ","")&amp;IF(N216="Kurang",U216&amp;"; ","")&amp;IF(O216="Kurang",V216&amp;"; ","")&amp;IF(P216="Kurang",W216&amp;"; ","")&amp;IF(K216="Belum ada data",R216&amp;"; ","")&amp;IF(L216="Belum ada data",S216&amp;"; ","")&amp;IF(M216="Belum ada data",T216&amp;"; ","")&amp;IF(N216="Belum ada data",U216&amp;"; ","")&amp;IF(O216="Belum ada data",V216&amp;"; ","")&amp;IF(P216="Belum ada data",W216&amp;"; ","")&amp;IF(K216="Cukup",R216&amp;"; ","")&amp;IF(L216="Cukup",S216&amp;"; ","")&amp;IF(M216="Cukup",T216&amp;"; ","")&amp;IF(N216="Cukup",U216&amp;"; ","")&amp;IF(O216="Cukup",V216&amp;"; ","")&amp;IF(P216="Cukup",W216&amp;"; ",""))</f>
        <v/>
      </c>
      <c r="Y216" s="33" t="str">
        <f aca="false">IF($A216="","",IF(K216="Nyaman","prosesor, ","")&amp;IF(L216="Nyaman","grafis, ","")&amp;IF(M216="Nyaman","RAM, ","")&amp;IF(N216="Nyaman","penyimpanan, ","")&amp;IF(O216="Nyaman","layar, ","")&amp;IF(P216="Nyaman","refresh rate, ",""))</f>
        <v/>
      </c>
      <c r="Z216" s="33" t="str">
        <f aca="false">IF($A216="","",IF(Q216="Tidak dinilai","Belum ada kriteria yang dinilai untuk kebutuhan ini.",IF(Q216="Cocok","Semua kriteria yang dinilai sudah nyaman: "&amp;LEFT(Y216,LEN(Y216)-2)&amp;".",UPPER(LEFT(X216,1))&amp;MID(X216,2,LEN(X216)-3)&amp;"."&amp;IF(Y216="",""," Sudah nyaman: "&amp;LEFT(Y216,LEN(Y216)-2)&amp;"."))))</f>
        <v/>
      </c>
      <c r="AA216" s="33"/>
      <c r="AB216" s="33"/>
      <c r="AC216" s="69"/>
    </row>
    <row r="217" customFormat="false" ht="15" hidden="false" customHeight="true" outlineLevel="0" collapsed="false">
      <c r="A217" s="33" t="str">
        <f aca="false">IF(Varian!$A47="","",Varian!$A47)</f>
        <v/>
      </c>
      <c r="B217" s="33" t="str">
        <f aca="false">IF($A217="","",Aturan!$A$23)</f>
        <v/>
      </c>
      <c r="C217" s="69" t="str">
        <f aca="false">IF($A217="","",IFERROR(IF(ISNUMBER(INDEX(CPU!$J$4:$J$64,MATCH(Varian!$J47,CPU!$A$4:$A$64,0))),INDEX(CPU!$J$4:$J$64,MATCH(Varian!$J47,CPU!$A$4:$A$64,0)),""),""))</f>
        <v/>
      </c>
      <c r="D217" s="69" t="str">
        <f aca="false">IF($A217="","",IFERROR(IF(ISNUMBER(INDEX(GPU!$G$4:$G$64,MATCH(Varian!$K47,GPU!$A$4:$A$64,0))),INDEX(GPU!$G$4:$G$64,MATCH(Varian!$K47,GPU!$A$4:$A$64,0)),""),""))</f>
        <v/>
      </c>
      <c r="E217" s="69" t="str">
        <f aca="false">IF($A217="","",IF(ISNUMBER(Varian!$M47),Varian!$M47,""))</f>
        <v/>
      </c>
      <c r="F217" s="69" t="str">
        <f aca="false">IF($A217="","",IF(ISNUMBER(Varian!$V47),Varian!$V47,""))</f>
        <v/>
      </c>
      <c r="G217" s="69" t="str">
        <f aca="false">IF($A217="","",IFERROR(INDEX(Aturan!$B$63:$B$66,MATCH(Varian!$AG47,Aturan!$A$63:$A$66,0)),""))</f>
        <v/>
      </c>
      <c r="H217" s="69" t="str">
        <f aca="false">IF($A217="","",IF(ISNUMBER(Varian!$AI47),Varian!$AI47,""))</f>
        <v/>
      </c>
      <c r="I217" s="33" t="str">
        <f aca="false">IF($A217="","",IF(Varian!$Q47="disolder","menempel di papan utama, tidak bisa ditambah",IF(OR(Varian!$Q47="slot",Varian!$Q47="setengah_disolder"),IF(Varian!$Q47="setengah_disolder","sebagian menempel, ","")&amp;IF(ISNUMBER(Varian!$U47),IF(AND(ISNUMBER(Varian!$M47),Varian!$U47&gt;Varian!$M47),"bisa dinaikkan lewat slot sampai "&amp;Varian!$U47&amp;" GB","sudah di batas maksimal "&amp;Varian!$U47&amp;" GB"),"ada slot, batas maksimalnya belum diketahui"),"belum diketahui apakah bisa ditambah")))</f>
        <v/>
      </c>
      <c r="J217" s="33" t="str">
        <f aca="false">IF($A217="","",IF(Varian!$Z47="ya","bisa diganti dengan yang lebih besar",IF(Varian!$Z47="tidak","menempel, tidak bisa diganti","belum diketahui apakah bisa diganti")))</f>
        <v/>
      </c>
      <c r="K217" s="70" t="str">
        <f aca="false">IF($A217="","",IF(AND(Aturan!$C$42="",Aturan!$D$42=""),"Tidak dinilai",IF(C217="","Belum ada data",IF(C217&lt;IF(Aturan!$C$42="",0,Aturan!$C$42),"Kurang",IF(C217&gt;=IF(Aturan!$D$42="",Aturan!$C$42,Aturan!$D$42),"Nyaman","Cukup")))))</f>
        <v/>
      </c>
      <c r="L217" s="70" t="str">
        <f aca="false">IF($A217="","",IF(AND(Aturan!$C$43="",Aturan!$D$43=""),"Tidak dinilai",IF(D217="","Belum ada data",IF(D217&lt;IF(Aturan!$C$43="",0,Aturan!$C$43),"Kurang",IF(D217&gt;=IF(Aturan!$D$43="",Aturan!$C$43,Aturan!$D$43),"Nyaman","Cukup")))))</f>
        <v/>
      </c>
      <c r="M217" s="70" t="str">
        <f aca="false">IF($A217="","",IF(AND(Aturan!$C$44="",Aturan!$D$44=""),"Tidak dinilai",IF(E217="","Belum ada data",IF(E217&lt;IF(Aturan!$C$44="",0,Aturan!$C$44),"Kurang",IF(E217&gt;=IF(Aturan!$D$44="",Aturan!$C$44,Aturan!$D$44),"Nyaman","Cukup")))))</f>
        <v/>
      </c>
      <c r="N217" s="70" t="str">
        <f aca="false">IF($A217="","",IF(AND(Aturan!$C$45="",Aturan!$D$45=""),"Tidak dinilai",IF(F217="","Belum ada data",IF(F217&lt;IF(Aturan!$C$45="",0,Aturan!$C$45),"Kurang",IF(F217&gt;=IF(Aturan!$D$45="",Aturan!$C$45,Aturan!$D$45),"Nyaman","Cukup")))))</f>
        <v/>
      </c>
      <c r="O217" s="70" t="str">
        <f aca="false">IF($A217="","",IF(AND(Aturan!$C$46="",Aturan!$D$46=""),"Tidak dinilai",IF(G217="","Belum ada data",IF(G217&lt;IF(Aturan!$C$46="",0,Aturan!$C$46),"Kurang",IF(G217&gt;=IF(Aturan!$D$46="",Aturan!$C$46,Aturan!$D$46),"Nyaman","Cukup")))))</f>
        <v/>
      </c>
      <c r="P217" s="70" t="str">
        <f aca="false">IF($A217="","",IF(AND(Aturan!$C$47="",Aturan!$D$47=""),"Tidak dinilai",IF(H217="","Belum ada data",IF(H217&lt;IF(Aturan!$C$47="",0,Aturan!$C$47),"Kurang",IF(H217&gt;=IF(Aturan!$D$47="",Aturan!$C$47,Aturan!$D$47),"Nyaman","Cukup")))))</f>
        <v/>
      </c>
      <c r="Q217" s="70" t="str">
        <f aca="false">IF($A217="","",IF(COUNTIF(K217:P217,"Tidak dinilai")=6,"Tidak dinilai",IF(COUNTIF(K217:P217,"Kurang")&gt;0,"Kurang cocok",IF(COUNTIF(K217:P217,"Belum ada data")&gt;0,"Data belum lengkap",IF(COUNTIF(K217:P217,"Cukup")&gt;0,"Bisa, dengan catatan","Cocok")))))</f>
        <v/>
      </c>
      <c r="R217" s="33" t="str">
        <f aca="false">IF($A217="","",IF(K217="Kurang","prosesor tingkat "&amp;C217&amp;" dari 5, di bawah batas minimal (tingkat "&amp;Aturan!$C$42&amp;")",IF(K217="Cukup","prosesor tingkat "&amp;C217&amp;" dari 5 cukup, nyamannya mulai tingkat "&amp;Aturan!$D$42,IF(K217="Belum ada data","tingkat prosesor belum diisi",""))))</f>
        <v/>
      </c>
      <c r="S217" s="33" t="str">
        <f aca="false">IF($A217="","",IF(L217="Kurang","grafis tingkat "&amp;D217&amp;" dari 5, di bawah batas minimal (tingkat "&amp;Aturan!$C$43&amp;")",IF(L217="Cukup","grafis tingkat "&amp;D217&amp;" dari 5 cukup, nyamannya mulai tingkat "&amp;Aturan!$D$43,IF(L217="Belum ada data","tingkat grafis belum diisi",""))))</f>
        <v/>
      </c>
      <c r="T217" s="33" t="str">
        <f aca="false">IF($A217="","",IF(M217="Kurang","RAM "&amp;E217&amp;" GB, di bawah batas minimal "&amp;Aturan!$C$44&amp;" GB ("&amp;I217&amp;")",IF(M217="Cukup","RAM "&amp;E217&amp;" GB cukup, nyamannya "&amp;Aturan!$D$44&amp;" GB atau lebih ("&amp;I217&amp;")",IF(M217="Belum ada data","ukuran RAM belum diisi",""))))</f>
        <v/>
      </c>
      <c r="U217" s="33" t="str">
        <f aca="false">IF($A217="","",IF(N217="Kurang","penyimpanan "&amp;F217&amp;" GB, di bawah batas minimal "&amp;Aturan!$C$45&amp;" GB ("&amp;J217&amp;")",IF(N217="Cukup","penyimpanan "&amp;F217&amp;" GB cukup, nyamannya "&amp;Aturan!$D$45&amp;" GB atau lebih ("&amp;J217&amp;")",IF(N217="Belum ada data","ukuran penyimpanan belum diisi",""))))</f>
        <v/>
      </c>
      <c r="V217" s="33" t="str">
        <f aca="false">IF($A217="","",IF(O217="Kurang","layar "&amp;Varian!$AG47&amp;", di bawah batas minimal ("&amp;IFERROR(INDEX(Aturan!$A$63:$A$66,MATCH(Aturan!$C$46,Aturan!$B$63:$B$66,0)),"peringkat "&amp;Aturan!$C$46)&amp;")",IF(O217="Cukup","layar "&amp;Varian!$AG47&amp;" cukup, nyamannya "&amp;IFERROR(INDEX(Aturan!$A$63:$A$66,MATCH(Aturan!$D$46,Aturan!$B$63:$B$66,0)),"peringkat "&amp;Aturan!$D$46),IF(O217="Belum ada data","jenis layar belum diketahui",""))))</f>
        <v/>
      </c>
      <c r="W217" s="33" t="str">
        <f aca="false">IF($A217="","",IF(P217="Kurang","layar "&amp;H217&amp;" Hz, di bawah batas minimal "&amp;Aturan!$C$47&amp;" Hz",IF(P217="Cukup","layar "&amp;H217&amp;" Hz cukup, nyamannya "&amp;Aturan!$D$47&amp;" Hz atau lebih",IF(P217="Belum ada data","refresh rate belum diketahui",""))))</f>
        <v/>
      </c>
      <c r="X217" s="33" t="str">
        <f aca="false">IF($A217="","",IF(K217="Kurang",R217&amp;"; ","")&amp;IF(L217="Kurang",S217&amp;"; ","")&amp;IF(M217="Kurang",T217&amp;"; ","")&amp;IF(N217="Kurang",U217&amp;"; ","")&amp;IF(O217="Kurang",V217&amp;"; ","")&amp;IF(P217="Kurang",W217&amp;"; ","")&amp;IF(K217="Belum ada data",R217&amp;"; ","")&amp;IF(L217="Belum ada data",S217&amp;"; ","")&amp;IF(M217="Belum ada data",T217&amp;"; ","")&amp;IF(N217="Belum ada data",U217&amp;"; ","")&amp;IF(O217="Belum ada data",V217&amp;"; ","")&amp;IF(P217="Belum ada data",W217&amp;"; ","")&amp;IF(K217="Cukup",R217&amp;"; ","")&amp;IF(L217="Cukup",S217&amp;"; ","")&amp;IF(M217="Cukup",T217&amp;"; ","")&amp;IF(N217="Cukup",U217&amp;"; ","")&amp;IF(O217="Cukup",V217&amp;"; ","")&amp;IF(P217="Cukup",W217&amp;"; ",""))</f>
        <v/>
      </c>
      <c r="Y217" s="33" t="str">
        <f aca="false">IF($A217="","",IF(K217="Nyaman","prosesor, ","")&amp;IF(L217="Nyaman","grafis, ","")&amp;IF(M217="Nyaman","RAM, ","")&amp;IF(N217="Nyaman","penyimpanan, ","")&amp;IF(O217="Nyaman","layar, ","")&amp;IF(P217="Nyaman","refresh rate, ",""))</f>
        <v/>
      </c>
      <c r="Z217" s="33" t="str">
        <f aca="false">IF($A217="","",IF(Q217="Tidak dinilai","Belum ada kriteria yang dinilai untuk kebutuhan ini.",IF(Q217="Cocok","Semua kriteria yang dinilai sudah nyaman: "&amp;LEFT(Y217,LEN(Y217)-2)&amp;".",UPPER(LEFT(X217,1))&amp;MID(X217,2,LEN(X217)-3)&amp;"."&amp;IF(Y217="",""," Sudah nyaman: "&amp;LEFT(Y217,LEN(Y217)-2)&amp;"."))))</f>
        <v/>
      </c>
      <c r="AA217" s="33"/>
      <c r="AB217" s="33"/>
      <c r="AC217" s="69"/>
    </row>
    <row r="218" customFormat="false" ht="15" hidden="false" customHeight="true" outlineLevel="0" collapsed="false">
      <c r="A218" s="33" t="str">
        <f aca="false">IF(Varian!$A47="","",Varian!$A47)</f>
        <v/>
      </c>
      <c r="B218" s="33" t="str">
        <f aca="false">IF($A218="","",Aturan!$A$24)</f>
        <v/>
      </c>
      <c r="C218" s="69" t="str">
        <f aca="false">IF($A218="","",IFERROR(IF(ISNUMBER(INDEX(CPU!$J$4:$J$64,MATCH(Varian!$J47,CPU!$A$4:$A$64,0))),INDEX(CPU!$J$4:$J$64,MATCH(Varian!$J47,CPU!$A$4:$A$64,0)),""),""))</f>
        <v/>
      </c>
      <c r="D218" s="69" t="str">
        <f aca="false">IF($A218="","",IFERROR(IF(ISNUMBER(INDEX(GPU!$G$4:$G$64,MATCH(Varian!$K47,GPU!$A$4:$A$64,0))),INDEX(GPU!$G$4:$G$64,MATCH(Varian!$K47,GPU!$A$4:$A$64,0)),""),""))</f>
        <v/>
      </c>
      <c r="E218" s="69" t="str">
        <f aca="false">IF($A218="","",IF(ISNUMBER(Varian!$M47),Varian!$M47,""))</f>
        <v/>
      </c>
      <c r="F218" s="69" t="str">
        <f aca="false">IF($A218="","",IF(ISNUMBER(Varian!$V47),Varian!$V47,""))</f>
        <v/>
      </c>
      <c r="G218" s="69" t="str">
        <f aca="false">IF($A218="","",IFERROR(INDEX(Aturan!$B$63:$B$66,MATCH(Varian!$AG47,Aturan!$A$63:$A$66,0)),""))</f>
        <v/>
      </c>
      <c r="H218" s="69" t="str">
        <f aca="false">IF($A218="","",IF(ISNUMBER(Varian!$AI47),Varian!$AI47,""))</f>
        <v/>
      </c>
      <c r="I218" s="33" t="str">
        <f aca="false">IF($A218="","",IF(Varian!$Q47="disolder","menempel di papan utama, tidak bisa ditambah",IF(OR(Varian!$Q47="slot",Varian!$Q47="setengah_disolder"),IF(Varian!$Q47="setengah_disolder","sebagian menempel, ","")&amp;IF(ISNUMBER(Varian!$U47),IF(AND(ISNUMBER(Varian!$M47),Varian!$U47&gt;Varian!$M47),"bisa dinaikkan lewat slot sampai "&amp;Varian!$U47&amp;" GB","sudah di batas maksimal "&amp;Varian!$U47&amp;" GB"),"ada slot, batas maksimalnya belum diketahui"),"belum diketahui apakah bisa ditambah")))</f>
        <v/>
      </c>
      <c r="J218" s="33" t="str">
        <f aca="false">IF($A218="","",IF(Varian!$Z47="ya","bisa diganti dengan yang lebih besar",IF(Varian!$Z47="tidak","menempel, tidak bisa diganti","belum diketahui apakah bisa diganti")))</f>
        <v/>
      </c>
      <c r="K218" s="70" t="str">
        <f aca="false">IF($A218="","",IF(AND(Aturan!$C$48="",Aturan!$D$48=""),"Tidak dinilai",IF(C218="","Belum ada data",IF(C218&lt;IF(Aturan!$C$48="",0,Aturan!$C$48),"Kurang",IF(C218&gt;=IF(Aturan!$D$48="",Aturan!$C$48,Aturan!$D$48),"Nyaman","Cukup")))))</f>
        <v/>
      </c>
      <c r="L218" s="70" t="str">
        <f aca="false">IF($A218="","",IF(AND(Aturan!$C$49="",Aturan!$D$49=""),"Tidak dinilai",IF(D218="","Belum ada data",IF(D218&lt;IF(Aturan!$C$49="",0,Aturan!$C$49),"Kurang",IF(D218&gt;=IF(Aturan!$D$49="",Aturan!$C$49,Aturan!$D$49),"Nyaman","Cukup")))))</f>
        <v/>
      </c>
      <c r="M218" s="70" t="str">
        <f aca="false">IF($A218="","",IF(AND(Aturan!$C$50="",Aturan!$D$50=""),"Tidak dinilai",IF(E218="","Belum ada data",IF(E218&lt;IF(Aturan!$C$50="",0,Aturan!$C$50),"Kurang",IF(E218&gt;=IF(Aturan!$D$50="",Aturan!$C$50,Aturan!$D$50),"Nyaman","Cukup")))))</f>
        <v/>
      </c>
      <c r="N218" s="70" t="str">
        <f aca="false">IF($A218="","",IF(AND(Aturan!$C$51="",Aturan!$D$51=""),"Tidak dinilai",IF(F218="","Belum ada data",IF(F218&lt;IF(Aturan!$C$51="",0,Aturan!$C$51),"Kurang",IF(F218&gt;=IF(Aturan!$D$51="",Aturan!$C$51,Aturan!$D$51),"Nyaman","Cukup")))))</f>
        <v/>
      </c>
      <c r="O218" s="70" t="str">
        <f aca="false">IF($A218="","",IF(AND(Aturan!$C$52="",Aturan!$D$52=""),"Tidak dinilai",IF(G218="","Belum ada data",IF(G218&lt;IF(Aturan!$C$52="",0,Aturan!$C$52),"Kurang",IF(G218&gt;=IF(Aturan!$D$52="",Aturan!$C$52,Aturan!$D$52),"Nyaman","Cukup")))))</f>
        <v/>
      </c>
      <c r="P218" s="70" t="str">
        <f aca="false">IF($A218="","",IF(AND(Aturan!$C$53="",Aturan!$D$53=""),"Tidak dinilai",IF(H218="","Belum ada data",IF(H218&lt;IF(Aturan!$C$53="",0,Aturan!$C$53),"Kurang",IF(H218&gt;=IF(Aturan!$D$53="",Aturan!$C$53,Aturan!$D$53),"Nyaman","Cukup")))))</f>
        <v/>
      </c>
      <c r="Q218" s="70" t="str">
        <f aca="false">IF($A218="","",IF(COUNTIF(K218:P218,"Tidak dinilai")=6,"Tidak dinilai",IF(COUNTIF(K218:P218,"Kurang")&gt;0,"Kurang cocok",IF(COUNTIF(K218:P218,"Belum ada data")&gt;0,"Data belum lengkap",IF(COUNTIF(K218:P218,"Cukup")&gt;0,"Bisa, dengan catatan","Cocok")))))</f>
        <v/>
      </c>
      <c r="R218" s="33" t="str">
        <f aca="false">IF($A218="","",IF(K218="Kurang","prosesor tingkat "&amp;C218&amp;" dari 5, di bawah batas minimal (tingkat "&amp;Aturan!$C$48&amp;")",IF(K218="Cukup","prosesor tingkat "&amp;C218&amp;" dari 5 cukup, nyamannya mulai tingkat "&amp;Aturan!$D$48,IF(K218="Belum ada data","tingkat prosesor belum diisi",""))))</f>
        <v/>
      </c>
      <c r="S218" s="33" t="str">
        <f aca="false">IF($A218="","",IF(L218="Kurang","grafis tingkat "&amp;D218&amp;" dari 5, di bawah batas minimal (tingkat "&amp;Aturan!$C$49&amp;")",IF(L218="Cukup","grafis tingkat "&amp;D218&amp;" dari 5 cukup, nyamannya mulai tingkat "&amp;Aturan!$D$49,IF(L218="Belum ada data","tingkat grafis belum diisi",""))))</f>
        <v/>
      </c>
      <c r="T218" s="33" t="str">
        <f aca="false">IF($A218="","",IF(M218="Kurang","RAM "&amp;E218&amp;" GB, di bawah batas minimal "&amp;Aturan!$C$50&amp;" GB ("&amp;I218&amp;")",IF(M218="Cukup","RAM "&amp;E218&amp;" GB cukup, nyamannya "&amp;Aturan!$D$50&amp;" GB atau lebih ("&amp;I218&amp;")",IF(M218="Belum ada data","ukuran RAM belum diisi",""))))</f>
        <v/>
      </c>
      <c r="U218" s="33" t="str">
        <f aca="false">IF($A218="","",IF(N218="Kurang","penyimpanan "&amp;F218&amp;" GB, di bawah batas minimal "&amp;Aturan!$C$51&amp;" GB ("&amp;J218&amp;")",IF(N218="Cukup","penyimpanan "&amp;F218&amp;" GB cukup, nyamannya "&amp;Aturan!$D$51&amp;" GB atau lebih ("&amp;J218&amp;")",IF(N218="Belum ada data","ukuran penyimpanan belum diisi",""))))</f>
        <v/>
      </c>
      <c r="V218" s="33" t="str">
        <f aca="false">IF($A218="","",IF(O218="Kurang","layar "&amp;Varian!$AG47&amp;", di bawah batas minimal ("&amp;IFERROR(INDEX(Aturan!$A$63:$A$66,MATCH(Aturan!$C$52,Aturan!$B$63:$B$66,0)),"peringkat "&amp;Aturan!$C$52)&amp;")",IF(O218="Cukup","layar "&amp;Varian!$AG47&amp;" cukup, nyamannya "&amp;IFERROR(INDEX(Aturan!$A$63:$A$66,MATCH(Aturan!$D$52,Aturan!$B$63:$B$66,0)),"peringkat "&amp;Aturan!$D$52),IF(O218="Belum ada data","jenis layar belum diketahui",""))))</f>
        <v/>
      </c>
      <c r="W218" s="33" t="str">
        <f aca="false">IF($A218="","",IF(P218="Kurang","layar "&amp;H218&amp;" Hz, di bawah batas minimal "&amp;Aturan!$C$53&amp;" Hz",IF(P218="Cukup","layar "&amp;H218&amp;" Hz cukup, nyamannya "&amp;Aturan!$D$53&amp;" Hz atau lebih",IF(P218="Belum ada data","refresh rate belum diketahui",""))))</f>
        <v/>
      </c>
      <c r="X218" s="33" t="str">
        <f aca="false">IF($A218="","",IF(K218="Kurang",R218&amp;"; ","")&amp;IF(L218="Kurang",S218&amp;"; ","")&amp;IF(M218="Kurang",T218&amp;"; ","")&amp;IF(N218="Kurang",U218&amp;"; ","")&amp;IF(O218="Kurang",V218&amp;"; ","")&amp;IF(P218="Kurang",W218&amp;"; ","")&amp;IF(K218="Belum ada data",R218&amp;"; ","")&amp;IF(L218="Belum ada data",S218&amp;"; ","")&amp;IF(M218="Belum ada data",T218&amp;"; ","")&amp;IF(N218="Belum ada data",U218&amp;"; ","")&amp;IF(O218="Belum ada data",V218&amp;"; ","")&amp;IF(P218="Belum ada data",W218&amp;"; ","")&amp;IF(K218="Cukup",R218&amp;"; ","")&amp;IF(L218="Cukup",S218&amp;"; ","")&amp;IF(M218="Cukup",T218&amp;"; ","")&amp;IF(N218="Cukup",U218&amp;"; ","")&amp;IF(O218="Cukup",V218&amp;"; ","")&amp;IF(P218="Cukup",W218&amp;"; ",""))</f>
        <v/>
      </c>
      <c r="Y218" s="33" t="str">
        <f aca="false">IF($A218="","",IF(K218="Nyaman","prosesor, ","")&amp;IF(L218="Nyaman","grafis, ","")&amp;IF(M218="Nyaman","RAM, ","")&amp;IF(N218="Nyaman","penyimpanan, ","")&amp;IF(O218="Nyaman","layar, ","")&amp;IF(P218="Nyaman","refresh rate, ",""))</f>
        <v/>
      </c>
      <c r="Z218" s="33" t="str">
        <f aca="false">IF($A218="","",IF(Q218="Tidak dinilai","Belum ada kriteria yang dinilai untuk kebutuhan ini.",IF(Q218="Cocok","Semua kriteria yang dinilai sudah nyaman: "&amp;LEFT(Y218,LEN(Y218)-2)&amp;".",UPPER(LEFT(X218,1))&amp;MID(X218,2,LEN(X218)-3)&amp;"."&amp;IF(Y218="",""," Sudah nyaman: "&amp;LEFT(Y218,LEN(Y218)-2)&amp;"."))))</f>
        <v/>
      </c>
      <c r="AA218" s="33"/>
      <c r="AB218" s="33"/>
      <c r="AC218" s="69"/>
    </row>
    <row r="219" customFormat="false" ht="15" hidden="false" customHeight="true" outlineLevel="0" collapsed="false">
      <c r="A219" s="33" t="str">
        <f aca="false">IF(Varian!$A47="","",Varian!$A47)</f>
        <v/>
      </c>
      <c r="B219" s="33" t="str">
        <f aca="false">IF($A219="","",Aturan!$A$25)</f>
        <v/>
      </c>
      <c r="C219" s="69" t="str">
        <f aca="false">IF($A219="","",IFERROR(IF(ISNUMBER(INDEX(CPU!$J$4:$J$64,MATCH(Varian!$J47,CPU!$A$4:$A$64,0))),INDEX(CPU!$J$4:$J$64,MATCH(Varian!$J47,CPU!$A$4:$A$64,0)),""),""))</f>
        <v/>
      </c>
      <c r="D219" s="69" t="str">
        <f aca="false">IF($A219="","",IFERROR(IF(ISNUMBER(INDEX(GPU!$G$4:$G$64,MATCH(Varian!$K47,GPU!$A$4:$A$64,0))),INDEX(GPU!$G$4:$G$64,MATCH(Varian!$K47,GPU!$A$4:$A$64,0)),""),""))</f>
        <v/>
      </c>
      <c r="E219" s="69" t="str">
        <f aca="false">IF($A219="","",IF(ISNUMBER(Varian!$M47),Varian!$M47,""))</f>
        <v/>
      </c>
      <c r="F219" s="69" t="str">
        <f aca="false">IF($A219="","",IF(ISNUMBER(Varian!$V47),Varian!$V47,""))</f>
        <v/>
      </c>
      <c r="G219" s="69" t="str">
        <f aca="false">IF($A219="","",IFERROR(INDEX(Aturan!$B$63:$B$66,MATCH(Varian!$AG47,Aturan!$A$63:$A$66,0)),""))</f>
        <v/>
      </c>
      <c r="H219" s="69" t="str">
        <f aca="false">IF($A219="","",IF(ISNUMBER(Varian!$AI47),Varian!$AI47,""))</f>
        <v/>
      </c>
      <c r="I219" s="33" t="str">
        <f aca="false">IF($A219="","",IF(Varian!$Q47="disolder","menempel di papan utama, tidak bisa ditambah",IF(OR(Varian!$Q47="slot",Varian!$Q47="setengah_disolder"),IF(Varian!$Q47="setengah_disolder","sebagian menempel, ","")&amp;IF(ISNUMBER(Varian!$U47),IF(AND(ISNUMBER(Varian!$M47),Varian!$U47&gt;Varian!$M47),"bisa dinaikkan lewat slot sampai "&amp;Varian!$U47&amp;" GB","sudah di batas maksimal "&amp;Varian!$U47&amp;" GB"),"ada slot, batas maksimalnya belum diketahui"),"belum diketahui apakah bisa ditambah")))</f>
        <v/>
      </c>
      <c r="J219" s="33" t="str">
        <f aca="false">IF($A219="","",IF(Varian!$Z47="ya","bisa diganti dengan yang lebih besar",IF(Varian!$Z47="tidak","menempel, tidak bisa diganti","belum diketahui apakah bisa diganti")))</f>
        <v/>
      </c>
      <c r="K219" s="70" t="str">
        <f aca="false">IF($A219="","",IF(AND(Aturan!$C$54="",Aturan!$D$54=""),"Tidak dinilai",IF(C219="","Belum ada data",IF(C219&lt;IF(Aturan!$C$54="",0,Aturan!$C$54),"Kurang",IF(C219&gt;=IF(Aturan!$D$54="",Aturan!$C$54,Aturan!$D$54),"Nyaman","Cukup")))))</f>
        <v/>
      </c>
      <c r="L219" s="70" t="str">
        <f aca="false">IF($A219="","",IF(AND(Aturan!$C$55="",Aturan!$D$55=""),"Tidak dinilai",IF(D219="","Belum ada data",IF(D219&lt;IF(Aturan!$C$55="",0,Aturan!$C$55),"Kurang",IF(D219&gt;=IF(Aturan!$D$55="",Aturan!$C$55,Aturan!$D$55),"Nyaman","Cukup")))))</f>
        <v/>
      </c>
      <c r="M219" s="70" t="str">
        <f aca="false">IF($A219="","",IF(AND(Aturan!$C$56="",Aturan!$D$56=""),"Tidak dinilai",IF(E219="","Belum ada data",IF(E219&lt;IF(Aturan!$C$56="",0,Aturan!$C$56),"Kurang",IF(E219&gt;=IF(Aturan!$D$56="",Aturan!$C$56,Aturan!$D$56),"Nyaman","Cukup")))))</f>
        <v/>
      </c>
      <c r="N219" s="70" t="str">
        <f aca="false">IF($A219="","",IF(AND(Aturan!$C$57="",Aturan!$D$57=""),"Tidak dinilai",IF(F219="","Belum ada data",IF(F219&lt;IF(Aturan!$C$57="",0,Aturan!$C$57),"Kurang",IF(F219&gt;=IF(Aturan!$D$57="",Aturan!$C$57,Aturan!$D$57),"Nyaman","Cukup")))))</f>
        <v/>
      </c>
      <c r="O219" s="70" t="str">
        <f aca="false">IF($A219="","",IF(AND(Aturan!$C$58="",Aturan!$D$58=""),"Tidak dinilai",IF(G219="","Belum ada data",IF(G219&lt;IF(Aturan!$C$58="",0,Aturan!$C$58),"Kurang",IF(G219&gt;=IF(Aturan!$D$58="",Aturan!$C$58,Aturan!$D$58),"Nyaman","Cukup")))))</f>
        <v/>
      </c>
      <c r="P219" s="70" t="str">
        <f aca="false">IF($A219="","",IF(AND(Aturan!$C$59="",Aturan!$D$59=""),"Tidak dinilai",IF(H219="","Belum ada data",IF(H219&lt;IF(Aturan!$C$59="",0,Aturan!$C$59),"Kurang",IF(H219&gt;=IF(Aturan!$D$59="",Aturan!$C$59,Aturan!$D$59),"Nyaman","Cukup")))))</f>
        <v/>
      </c>
      <c r="Q219" s="70" t="str">
        <f aca="false">IF($A219="","",IF(COUNTIF(K219:P219,"Tidak dinilai")=6,"Tidak dinilai",IF(COUNTIF(K219:P219,"Kurang")&gt;0,"Kurang cocok",IF(COUNTIF(K219:P219,"Belum ada data")&gt;0,"Data belum lengkap",IF(COUNTIF(K219:P219,"Cukup")&gt;0,"Bisa, dengan catatan","Cocok")))))</f>
        <v/>
      </c>
      <c r="R219" s="33" t="str">
        <f aca="false">IF($A219="","",IF(K219="Kurang","prosesor tingkat "&amp;C219&amp;" dari 5, di bawah batas minimal (tingkat "&amp;Aturan!$C$54&amp;")",IF(K219="Cukup","prosesor tingkat "&amp;C219&amp;" dari 5 cukup, nyamannya mulai tingkat "&amp;Aturan!$D$54,IF(K219="Belum ada data","tingkat prosesor belum diisi",""))))</f>
        <v/>
      </c>
      <c r="S219" s="33" t="str">
        <f aca="false">IF($A219="","",IF(L219="Kurang","grafis tingkat "&amp;D219&amp;" dari 5, di bawah batas minimal (tingkat "&amp;Aturan!$C$55&amp;")",IF(L219="Cukup","grafis tingkat "&amp;D219&amp;" dari 5 cukup, nyamannya mulai tingkat "&amp;Aturan!$D$55,IF(L219="Belum ada data","tingkat grafis belum diisi",""))))</f>
        <v/>
      </c>
      <c r="T219" s="33" t="str">
        <f aca="false">IF($A219="","",IF(M219="Kurang","RAM "&amp;E219&amp;" GB, di bawah batas minimal "&amp;Aturan!$C$56&amp;" GB ("&amp;I219&amp;")",IF(M219="Cukup","RAM "&amp;E219&amp;" GB cukup, nyamannya "&amp;Aturan!$D$56&amp;" GB atau lebih ("&amp;I219&amp;")",IF(M219="Belum ada data","ukuran RAM belum diisi",""))))</f>
        <v/>
      </c>
      <c r="U219" s="33" t="str">
        <f aca="false">IF($A219="","",IF(N219="Kurang","penyimpanan "&amp;F219&amp;" GB, di bawah batas minimal "&amp;Aturan!$C$57&amp;" GB ("&amp;J219&amp;")",IF(N219="Cukup","penyimpanan "&amp;F219&amp;" GB cukup, nyamannya "&amp;Aturan!$D$57&amp;" GB atau lebih ("&amp;J219&amp;")",IF(N219="Belum ada data","ukuran penyimpanan belum diisi",""))))</f>
        <v/>
      </c>
      <c r="V219" s="33" t="str">
        <f aca="false">IF($A219="","",IF(O219="Kurang","layar "&amp;Varian!$AG47&amp;", di bawah batas minimal ("&amp;IFERROR(INDEX(Aturan!$A$63:$A$66,MATCH(Aturan!$C$58,Aturan!$B$63:$B$66,0)),"peringkat "&amp;Aturan!$C$58)&amp;")",IF(O219="Cukup","layar "&amp;Varian!$AG47&amp;" cukup, nyamannya "&amp;IFERROR(INDEX(Aturan!$A$63:$A$66,MATCH(Aturan!$D$58,Aturan!$B$63:$B$66,0)),"peringkat "&amp;Aturan!$D$58),IF(O219="Belum ada data","jenis layar belum diketahui",""))))</f>
        <v/>
      </c>
      <c r="W219" s="33" t="str">
        <f aca="false">IF($A219="","",IF(P219="Kurang","layar "&amp;H219&amp;" Hz, di bawah batas minimal "&amp;Aturan!$C$59&amp;" Hz",IF(P219="Cukup","layar "&amp;H219&amp;" Hz cukup, nyamannya "&amp;Aturan!$D$59&amp;" Hz atau lebih",IF(P219="Belum ada data","refresh rate belum diketahui",""))))</f>
        <v/>
      </c>
      <c r="X219" s="33" t="str">
        <f aca="false">IF($A219="","",IF(K219="Kurang",R219&amp;"; ","")&amp;IF(L219="Kurang",S219&amp;"; ","")&amp;IF(M219="Kurang",T219&amp;"; ","")&amp;IF(N219="Kurang",U219&amp;"; ","")&amp;IF(O219="Kurang",V219&amp;"; ","")&amp;IF(P219="Kurang",W219&amp;"; ","")&amp;IF(K219="Belum ada data",R219&amp;"; ","")&amp;IF(L219="Belum ada data",S219&amp;"; ","")&amp;IF(M219="Belum ada data",T219&amp;"; ","")&amp;IF(N219="Belum ada data",U219&amp;"; ","")&amp;IF(O219="Belum ada data",V219&amp;"; ","")&amp;IF(P219="Belum ada data",W219&amp;"; ","")&amp;IF(K219="Cukup",R219&amp;"; ","")&amp;IF(L219="Cukup",S219&amp;"; ","")&amp;IF(M219="Cukup",T219&amp;"; ","")&amp;IF(N219="Cukup",U219&amp;"; ","")&amp;IF(O219="Cukup",V219&amp;"; ","")&amp;IF(P219="Cukup",W219&amp;"; ",""))</f>
        <v/>
      </c>
      <c r="Y219" s="33" t="str">
        <f aca="false">IF($A219="","",IF(K219="Nyaman","prosesor, ","")&amp;IF(L219="Nyaman","grafis, ","")&amp;IF(M219="Nyaman","RAM, ","")&amp;IF(N219="Nyaman","penyimpanan, ","")&amp;IF(O219="Nyaman","layar, ","")&amp;IF(P219="Nyaman","refresh rate, ",""))</f>
        <v/>
      </c>
      <c r="Z219" s="33" t="str">
        <f aca="false">IF($A219="","",IF(Q219="Tidak dinilai","Belum ada kriteria yang dinilai untuk kebutuhan ini.",IF(Q219="Cocok","Semua kriteria yang dinilai sudah nyaman: "&amp;LEFT(Y219,LEN(Y219)-2)&amp;".",UPPER(LEFT(X219,1))&amp;MID(X219,2,LEN(X219)-3)&amp;"."&amp;IF(Y219="",""," Sudah nyaman: "&amp;LEFT(Y219,LEN(Y219)-2)&amp;"."))))</f>
        <v/>
      </c>
      <c r="AA219" s="33"/>
      <c r="AB219" s="33"/>
      <c r="AC219" s="69"/>
    </row>
    <row r="220" customFormat="false" ht="15" hidden="false" customHeight="true" outlineLevel="0" collapsed="false">
      <c r="A220" s="66" t="str">
        <f aca="false">IF(Varian!$A48="","",Varian!$A48)</f>
        <v/>
      </c>
      <c r="B220" s="66" t="str">
        <f aca="false">IF($A220="","",Aturan!$A$21)</f>
        <v/>
      </c>
      <c r="C220" s="67" t="str">
        <f aca="false">IF($A220="","",IFERROR(IF(ISNUMBER(INDEX(CPU!$J$4:$J$64,MATCH(Varian!$J48,CPU!$A$4:$A$64,0))),INDEX(CPU!$J$4:$J$64,MATCH(Varian!$J48,CPU!$A$4:$A$64,0)),""),""))</f>
        <v/>
      </c>
      <c r="D220" s="67" t="str">
        <f aca="false">IF($A220="","",IFERROR(IF(ISNUMBER(INDEX(GPU!$G$4:$G$64,MATCH(Varian!$K48,GPU!$A$4:$A$64,0))),INDEX(GPU!$G$4:$G$64,MATCH(Varian!$K48,GPU!$A$4:$A$64,0)),""),""))</f>
        <v/>
      </c>
      <c r="E220" s="67" t="str">
        <f aca="false">IF($A220="","",IF(ISNUMBER(Varian!$M48),Varian!$M48,""))</f>
        <v/>
      </c>
      <c r="F220" s="67" t="str">
        <f aca="false">IF($A220="","",IF(ISNUMBER(Varian!$V48),Varian!$V48,""))</f>
        <v/>
      </c>
      <c r="G220" s="67" t="str">
        <f aca="false">IF($A220="","",IFERROR(INDEX(Aturan!$B$63:$B$66,MATCH(Varian!$AG48,Aturan!$A$63:$A$66,0)),""))</f>
        <v/>
      </c>
      <c r="H220" s="67" t="str">
        <f aca="false">IF($A220="","",IF(ISNUMBER(Varian!$AI48),Varian!$AI48,""))</f>
        <v/>
      </c>
      <c r="I220" s="66" t="str">
        <f aca="false">IF($A220="","",IF(Varian!$Q48="disolder","menempel di papan utama, tidak bisa ditambah",IF(OR(Varian!$Q48="slot",Varian!$Q48="setengah_disolder"),IF(Varian!$Q48="setengah_disolder","sebagian menempel, ","")&amp;IF(ISNUMBER(Varian!$U48),IF(AND(ISNUMBER(Varian!$M48),Varian!$U48&gt;Varian!$M48),"bisa dinaikkan lewat slot sampai "&amp;Varian!$U48&amp;" GB","sudah di batas maksimal "&amp;Varian!$U48&amp;" GB"),"ada slot, batas maksimalnya belum diketahui"),"belum diketahui apakah bisa ditambah")))</f>
        <v/>
      </c>
      <c r="J220" s="66" t="str">
        <f aca="false">IF($A220="","",IF(Varian!$Z48="ya","bisa diganti dengan yang lebih besar",IF(Varian!$Z48="tidak","menempel, tidak bisa diganti","belum diketahui apakah bisa diganti")))</f>
        <v/>
      </c>
      <c r="K220" s="68" t="str">
        <f aca="false">IF($A220="","",IF(AND(Aturan!$C$30="",Aturan!$D$30=""),"Tidak dinilai",IF(C220="","Belum ada data",IF(C220&lt;IF(Aturan!$C$30="",0,Aturan!$C$30),"Kurang",IF(C220&gt;=IF(Aturan!$D$30="",Aturan!$C$30,Aturan!$D$30),"Nyaman","Cukup")))))</f>
        <v/>
      </c>
      <c r="L220" s="68" t="str">
        <f aca="false">IF($A220="","",IF(AND(Aturan!$C$31="",Aturan!$D$31=""),"Tidak dinilai",IF(D220="","Belum ada data",IF(D220&lt;IF(Aturan!$C$31="",0,Aturan!$C$31),"Kurang",IF(D220&gt;=IF(Aturan!$D$31="",Aturan!$C$31,Aturan!$D$31),"Nyaman","Cukup")))))</f>
        <v/>
      </c>
      <c r="M220" s="68" t="str">
        <f aca="false">IF($A220="","",IF(AND(Aturan!$C$32="",Aturan!$D$32=""),"Tidak dinilai",IF(E220="","Belum ada data",IF(E220&lt;IF(Aturan!$C$32="",0,Aturan!$C$32),"Kurang",IF(E220&gt;=IF(Aturan!$D$32="",Aturan!$C$32,Aturan!$D$32),"Nyaman","Cukup")))))</f>
        <v/>
      </c>
      <c r="N220" s="68" t="str">
        <f aca="false">IF($A220="","",IF(AND(Aturan!$C$33="",Aturan!$D$33=""),"Tidak dinilai",IF(F220="","Belum ada data",IF(F220&lt;IF(Aturan!$C$33="",0,Aturan!$C$33),"Kurang",IF(F220&gt;=IF(Aturan!$D$33="",Aturan!$C$33,Aturan!$D$33),"Nyaman","Cukup")))))</f>
        <v/>
      </c>
      <c r="O220" s="68" t="str">
        <f aca="false">IF($A220="","",IF(AND(Aturan!$C$34="",Aturan!$D$34=""),"Tidak dinilai",IF(G220="","Belum ada data",IF(G220&lt;IF(Aturan!$C$34="",0,Aturan!$C$34),"Kurang",IF(G220&gt;=IF(Aturan!$D$34="",Aturan!$C$34,Aturan!$D$34),"Nyaman","Cukup")))))</f>
        <v/>
      </c>
      <c r="P220" s="68" t="str">
        <f aca="false">IF($A220="","",IF(AND(Aturan!$C$35="",Aturan!$D$35=""),"Tidak dinilai",IF(H220="","Belum ada data",IF(H220&lt;IF(Aturan!$C$35="",0,Aturan!$C$35),"Kurang",IF(H220&gt;=IF(Aturan!$D$35="",Aturan!$C$35,Aturan!$D$35),"Nyaman","Cukup")))))</f>
        <v/>
      </c>
      <c r="Q220" s="68" t="str">
        <f aca="false">IF($A220="","",IF(COUNTIF(K220:P220,"Tidak dinilai")=6,"Tidak dinilai",IF(COUNTIF(K220:P220,"Kurang")&gt;0,"Kurang cocok",IF(COUNTIF(K220:P220,"Belum ada data")&gt;0,"Data belum lengkap",IF(COUNTIF(K220:P220,"Cukup")&gt;0,"Bisa, dengan catatan","Cocok")))))</f>
        <v/>
      </c>
      <c r="R220" s="66" t="str">
        <f aca="false">IF($A220="","",IF(K220="Kurang","prosesor tingkat "&amp;C220&amp;" dari 5, di bawah batas minimal (tingkat "&amp;Aturan!$C$30&amp;")",IF(K220="Cukup","prosesor tingkat "&amp;C220&amp;" dari 5 cukup, nyamannya mulai tingkat "&amp;Aturan!$D$30,IF(K220="Belum ada data","tingkat prosesor belum diisi",""))))</f>
        <v/>
      </c>
      <c r="S220" s="66" t="str">
        <f aca="false">IF($A220="","",IF(L220="Kurang","grafis tingkat "&amp;D220&amp;" dari 5, di bawah batas minimal (tingkat "&amp;Aturan!$C$31&amp;")",IF(L220="Cukup","grafis tingkat "&amp;D220&amp;" dari 5 cukup, nyamannya mulai tingkat "&amp;Aturan!$D$31,IF(L220="Belum ada data","tingkat grafis belum diisi",""))))</f>
        <v/>
      </c>
      <c r="T220" s="66" t="str">
        <f aca="false">IF($A220="","",IF(M220="Kurang","RAM "&amp;E220&amp;" GB, di bawah batas minimal "&amp;Aturan!$C$32&amp;" GB ("&amp;I220&amp;")",IF(M220="Cukup","RAM "&amp;E220&amp;" GB cukup, nyamannya "&amp;Aturan!$D$32&amp;" GB atau lebih ("&amp;I220&amp;")",IF(M220="Belum ada data","ukuran RAM belum diisi",""))))</f>
        <v/>
      </c>
      <c r="U220" s="66" t="str">
        <f aca="false">IF($A220="","",IF(N220="Kurang","penyimpanan "&amp;F220&amp;" GB, di bawah batas minimal "&amp;Aturan!$C$33&amp;" GB ("&amp;J220&amp;")",IF(N220="Cukup","penyimpanan "&amp;F220&amp;" GB cukup, nyamannya "&amp;Aturan!$D$33&amp;" GB atau lebih ("&amp;J220&amp;")",IF(N220="Belum ada data","ukuran penyimpanan belum diisi",""))))</f>
        <v/>
      </c>
      <c r="V220" s="66" t="str">
        <f aca="false">IF($A220="","",IF(O220="Kurang","layar "&amp;Varian!$AG48&amp;", di bawah batas minimal ("&amp;IFERROR(INDEX(Aturan!$A$63:$A$66,MATCH(Aturan!$C$34,Aturan!$B$63:$B$66,0)),"peringkat "&amp;Aturan!$C$34)&amp;")",IF(O220="Cukup","layar "&amp;Varian!$AG48&amp;" cukup, nyamannya "&amp;IFERROR(INDEX(Aturan!$A$63:$A$66,MATCH(Aturan!$D$34,Aturan!$B$63:$B$66,0)),"peringkat "&amp;Aturan!$D$34),IF(O220="Belum ada data","jenis layar belum diketahui",""))))</f>
        <v/>
      </c>
      <c r="W220" s="66" t="str">
        <f aca="false">IF($A220="","",IF(P220="Kurang","layar "&amp;H220&amp;" Hz, di bawah batas minimal "&amp;Aturan!$C$35&amp;" Hz",IF(P220="Cukup","layar "&amp;H220&amp;" Hz cukup, nyamannya "&amp;Aturan!$D$35&amp;" Hz atau lebih",IF(P220="Belum ada data","refresh rate belum diketahui",""))))</f>
        <v/>
      </c>
      <c r="X220" s="66" t="str">
        <f aca="false">IF($A220="","",IF(K220="Kurang",R220&amp;"; ","")&amp;IF(L220="Kurang",S220&amp;"; ","")&amp;IF(M220="Kurang",T220&amp;"; ","")&amp;IF(N220="Kurang",U220&amp;"; ","")&amp;IF(O220="Kurang",V220&amp;"; ","")&amp;IF(P220="Kurang",W220&amp;"; ","")&amp;IF(K220="Belum ada data",R220&amp;"; ","")&amp;IF(L220="Belum ada data",S220&amp;"; ","")&amp;IF(M220="Belum ada data",T220&amp;"; ","")&amp;IF(N220="Belum ada data",U220&amp;"; ","")&amp;IF(O220="Belum ada data",V220&amp;"; ","")&amp;IF(P220="Belum ada data",W220&amp;"; ","")&amp;IF(K220="Cukup",R220&amp;"; ","")&amp;IF(L220="Cukup",S220&amp;"; ","")&amp;IF(M220="Cukup",T220&amp;"; ","")&amp;IF(N220="Cukup",U220&amp;"; ","")&amp;IF(O220="Cukup",V220&amp;"; ","")&amp;IF(P220="Cukup",W220&amp;"; ",""))</f>
        <v/>
      </c>
      <c r="Y220" s="66" t="str">
        <f aca="false">IF($A220="","",IF(K220="Nyaman","prosesor, ","")&amp;IF(L220="Nyaman","grafis, ","")&amp;IF(M220="Nyaman","RAM, ","")&amp;IF(N220="Nyaman","penyimpanan, ","")&amp;IF(O220="Nyaman","layar, ","")&amp;IF(P220="Nyaman","refresh rate, ",""))</f>
        <v/>
      </c>
      <c r="Z220" s="66" t="str">
        <f aca="false">IF($A220="","",IF(Q220="Tidak dinilai","Belum ada kriteria yang dinilai untuk kebutuhan ini.",IF(Q220="Cocok","Semua kriteria yang dinilai sudah nyaman: "&amp;LEFT(Y220,LEN(Y220)-2)&amp;".",UPPER(LEFT(X220,1))&amp;MID(X220,2,LEN(X220)-3)&amp;"."&amp;IF(Y220="",""," Sudah nyaman: "&amp;LEFT(Y220,LEN(Y220)-2)&amp;"."))))</f>
        <v/>
      </c>
      <c r="AA220" s="66" t="str">
        <f aca="false">IF($A220="","",IF(Varian!$AR48="Windows 10","• "&amp;Aturan!$E$71&amp;CHAR(10),"")&amp;IF(Varian!$BB48="tidak","• "&amp;Aturan!$E$72&amp;CHAR(10),"")&amp;IF(OR(Varian!$AD48="belum terverifikasi",Varian!$AD48="tidak diketahui"),"• "&amp;Aturan!$E$73&amp;CHAR(10),"")&amp;IF(Varian!$AH48="1366x768","• "&amp;Aturan!$E$74&amp;CHAR(10),"")&amp;IF(Varian!$AG48="TN","• "&amp;Aturan!$E$75&amp;CHAR(10),"")&amp;IF(AND(Varian!$Q48="disolder",ISNUMBER(Varian!$M48),Varian!$M48&lt;=8),"• "&amp;Aturan!$E$76&amp;CHAR(10),""))</f>
        <v/>
      </c>
      <c r="AB220" s="66" t="str">
        <f aca="false">IF($A220="","",IF(AA220="","",LEFT(AA220,LEN(AA220)-1)))</f>
        <v/>
      </c>
      <c r="AC220" s="67" t="str">
        <f aca="false">IF($A220="","",IF(AA220="",0,LEN(AA220)-LEN(SUBSTITUTE(AA220,CHAR(10),""))))</f>
        <v/>
      </c>
    </row>
    <row r="221" customFormat="false" ht="15" hidden="false" customHeight="true" outlineLevel="0" collapsed="false">
      <c r="A221" s="33" t="str">
        <f aca="false">IF(Varian!$A48="","",Varian!$A48)</f>
        <v/>
      </c>
      <c r="B221" s="33" t="str">
        <f aca="false">IF($A221="","",Aturan!$A$22)</f>
        <v/>
      </c>
      <c r="C221" s="69" t="str">
        <f aca="false">IF($A221="","",IFERROR(IF(ISNUMBER(INDEX(CPU!$J$4:$J$64,MATCH(Varian!$J48,CPU!$A$4:$A$64,0))),INDEX(CPU!$J$4:$J$64,MATCH(Varian!$J48,CPU!$A$4:$A$64,0)),""),""))</f>
        <v/>
      </c>
      <c r="D221" s="69" t="str">
        <f aca="false">IF($A221="","",IFERROR(IF(ISNUMBER(INDEX(GPU!$G$4:$G$64,MATCH(Varian!$K48,GPU!$A$4:$A$64,0))),INDEX(GPU!$G$4:$G$64,MATCH(Varian!$K48,GPU!$A$4:$A$64,0)),""),""))</f>
        <v/>
      </c>
      <c r="E221" s="69" t="str">
        <f aca="false">IF($A221="","",IF(ISNUMBER(Varian!$M48),Varian!$M48,""))</f>
        <v/>
      </c>
      <c r="F221" s="69" t="str">
        <f aca="false">IF($A221="","",IF(ISNUMBER(Varian!$V48),Varian!$V48,""))</f>
        <v/>
      </c>
      <c r="G221" s="69" t="str">
        <f aca="false">IF($A221="","",IFERROR(INDEX(Aturan!$B$63:$B$66,MATCH(Varian!$AG48,Aturan!$A$63:$A$66,0)),""))</f>
        <v/>
      </c>
      <c r="H221" s="69" t="str">
        <f aca="false">IF($A221="","",IF(ISNUMBER(Varian!$AI48),Varian!$AI48,""))</f>
        <v/>
      </c>
      <c r="I221" s="33" t="str">
        <f aca="false">IF($A221="","",IF(Varian!$Q48="disolder","menempel di papan utama, tidak bisa ditambah",IF(OR(Varian!$Q48="slot",Varian!$Q48="setengah_disolder"),IF(Varian!$Q48="setengah_disolder","sebagian menempel, ","")&amp;IF(ISNUMBER(Varian!$U48),IF(AND(ISNUMBER(Varian!$M48),Varian!$U48&gt;Varian!$M48),"bisa dinaikkan lewat slot sampai "&amp;Varian!$U48&amp;" GB","sudah di batas maksimal "&amp;Varian!$U48&amp;" GB"),"ada slot, batas maksimalnya belum diketahui"),"belum diketahui apakah bisa ditambah")))</f>
        <v/>
      </c>
      <c r="J221" s="33" t="str">
        <f aca="false">IF($A221="","",IF(Varian!$Z48="ya","bisa diganti dengan yang lebih besar",IF(Varian!$Z48="tidak","menempel, tidak bisa diganti","belum diketahui apakah bisa diganti")))</f>
        <v/>
      </c>
      <c r="K221" s="70" t="str">
        <f aca="false">IF($A221="","",IF(AND(Aturan!$C$36="",Aturan!$D$36=""),"Tidak dinilai",IF(C221="","Belum ada data",IF(C221&lt;IF(Aturan!$C$36="",0,Aturan!$C$36),"Kurang",IF(C221&gt;=IF(Aturan!$D$36="",Aturan!$C$36,Aturan!$D$36),"Nyaman","Cukup")))))</f>
        <v/>
      </c>
      <c r="L221" s="70" t="str">
        <f aca="false">IF($A221="","",IF(AND(Aturan!$C$37="",Aturan!$D$37=""),"Tidak dinilai",IF(D221="","Belum ada data",IF(D221&lt;IF(Aturan!$C$37="",0,Aturan!$C$37),"Kurang",IF(D221&gt;=IF(Aturan!$D$37="",Aturan!$C$37,Aturan!$D$37),"Nyaman","Cukup")))))</f>
        <v/>
      </c>
      <c r="M221" s="70" t="str">
        <f aca="false">IF($A221="","",IF(AND(Aturan!$C$38="",Aturan!$D$38=""),"Tidak dinilai",IF(E221="","Belum ada data",IF(E221&lt;IF(Aturan!$C$38="",0,Aturan!$C$38),"Kurang",IF(E221&gt;=IF(Aturan!$D$38="",Aturan!$C$38,Aturan!$D$38),"Nyaman","Cukup")))))</f>
        <v/>
      </c>
      <c r="N221" s="70" t="str">
        <f aca="false">IF($A221="","",IF(AND(Aturan!$C$39="",Aturan!$D$39=""),"Tidak dinilai",IF(F221="","Belum ada data",IF(F221&lt;IF(Aturan!$C$39="",0,Aturan!$C$39),"Kurang",IF(F221&gt;=IF(Aturan!$D$39="",Aturan!$C$39,Aturan!$D$39),"Nyaman","Cukup")))))</f>
        <v/>
      </c>
      <c r="O221" s="70" t="str">
        <f aca="false">IF($A221="","",IF(AND(Aturan!$C$40="",Aturan!$D$40=""),"Tidak dinilai",IF(G221="","Belum ada data",IF(G221&lt;IF(Aturan!$C$40="",0,Aturan!$C$40),"Kurang",IF(G221&gt;=IF(Aturan!$D$40="",Aturan!$C$40,Aturan!$D$40),"Nyaman","Cukup")))))</f>
        <v/>
      </c>
      <c r="P221" s="70" t="str">
        <f aca="false">IF($A221="","",IF(AND(Aturan!$C$41="",Aturan!$D$41=""),"Tidak dinilai",IF(H221="","Belum ada data",IF(H221&lt;IF(Aturan!$C$41="",0,Aturan!$C$41),"Kurang",IF(H221&gt;=IF(Aturan!$D$41="",Aturan!$C$41,Aturan!$D$41),"Nyaman","Cukup")))))</f>
        <v/>
      </c>
      <c r="Q221" s="70" t="str">
        <f aca="false">IF($A221="","",IF(COUNTIF(K221:P221,"Tidak dinilai")=6,"Tidak dinilai",IF(COUNTIF(K221:P221,"Kurang")&gt;0,"Kurang cocok",IF(COUNTIF(K221:P221,"Belum ada data")&gt;0,"Data belum lengkap",IF(COUNTIF(K221:P221,"Cukup")&gt;0,"Bisa, dengan catatan","Cocok")))))</f>
        <v/>
      </c>
      <c r="R221" s="33" t="str">
        <f aca="false">IF($A221="","",IF(K221="Kurang","prosesor tingkat "&amp;C221&amp;" dari 5, di bawah batas minimal (tingkat "&amp;Aturan!$C$36&amp;")",IF(K221="Cukup","prosesor tingkat "&amp;C221&amp;" dari 5 cukup, nyamannya mulai tingkat "&amp;Aturan!$D$36,IF(K221="Belum ada data","tingkat prosesor belum diisi",""))))</f>
        <v/>
      </c>
      <c r="S221" s="33" t="str">
        <f aca="false">IF($A221="","",IF(L221="Kurang","grafis tingkat "&amp;D221&amp;" dari 5, di bawah batas minimal (tingkat "&amp;Aturan!$C$37&amp;")",IF(L221="Cukup","grafis tingkat "&amp;D221&amp;" dari 5 cukup, nyamannya mulai tingkat "&amp;Aturan!$D$37,IF(L221="Belum ada data","tingkat grafis belum diisi",""))))</f>
        <v/>
      </c>
      <c r="T221" s="33" t="str">
        <f aca="false">IF($A221="","",IF(M221="Kurang","RAM "&amp;E221&amp;" GB, di bawah batas minimal "&amp;Aturan!$C$38&amp;" GB ("&amp;I221&amp;")",IF(M221="Cukup","RAM "&amp;E221&amp;" GB cukup, nyamannya "&amp;Aturan!$D$38&amp;" GB atau lebih ("&amp;I221&amp;")",IF(M221="Belum ada data","ukuran RAM belum diisi",""))))</f>
        <v/>
      </c>
      <c r="U221" s="33" t="str">
        <f aca="false">IF($A221="","",IF(N221="Kurang","penyimpanan "&amp;F221&amp;" GB, di bawah batas minimal "&amp;Aturan!$C$39&amp;" GB ("&amp;J221&amp;")",IF(N221="Cukup","penyimpanan "&amp;F221&amp;" GB cukup, nyamannya "&amp;Aturan!$D$39&amp;" GB atau lebih ("&amp;J221&amp;")",IF(N221="Belum ada data","ukuran penyimpanan belum diisi",""))))</f>
        <v/>
      </c>
      <c r="V221" s="33" t="str">
        <f aca="false">IF($A221="","",IF(O221="Kurang","layar "&amp;Varian!$AG48&amp;", di bawah batas minimal ("&amp;IFERROR(INDEX(Aturan!$A$63:$A$66,MATCH(Aturan!$C$40,Aturan!$B$63:$B$66,0)),"peringkat "&amp;Aturan!$C$40)&amp;")",IF(O221="Cukup","layar "&amp;Varian!$AG48&amp;" cukup, nyamannya "&amp;IFERROR(INDEX(Aturan!$A$63:$A$66,MATCH(Aturan!$D$40,Aturan!$B$63:$B$66,0)),"peringkat "&amp;Aturan!$D$40),IF(O221="Belum ada data","jenis layar belum diketahui",""))))</f>
        <v/>
      </c>
      <c r="W221" s="33" t="str">
        <f aca="false">IF($A221="","",IF(P221="Kurang","layar "&amp;H221&amp;" Hz, di bawah batas minimal "&amp;Aturan!$C$41&amp;" Hz",IF(P221="Cukup","layar "&amp;H221&amp;" Hz cukup, nyamannya "&amp;Aturan!$D$41&amp;" Hz atau lebih",IF(P221="Belum ada data","refresh rate belum diketahui",""))))</f>
        <v/>
      </c>
      <c r="X221" s="33" t="str">
        <f aca="false">IF($A221="","",IF(K221="Kurang",R221&amp;"; ","")&amp;IF(L221="Kurang",S221&amp;"; ","")&amp;IF(M221="Kurang",T221&amp;"; ","")&amp;IF(N221="Kurang",U221&amp;"; ","")&amp;IF(O221="Kurang",V221&amp;"; ","")&amp;IF(P221="Kurang",W221&amp;"; ","")&amp;IF(K221="Belum ada data",R221&amp;"; ","")&amp;IF(L221="Belum ada data",S221&amp;"; ","")&amp;IF(M221="Belum ada data",T221&amp;"; ","")&amp;IF(N221="Belum ada data",U221&amp;"; ","")&amp;IF(O221="Belum ada data",V221&amp;"; ","")&amp;IF(P221="Belum ada data",W221&amp;"; ","")&amp;IF(K221="Cukup",R221&amp;"; ","")&amp;IF(L221="Cukup",S221&amp;"; ","")&amp;IF(M221="Cukup",T221&amp;"; ","")&amp;IF(N221="Cukup",U221&amp;"; ","")&amp;IF(O221="Cukup",V221&amp;"; ","")&amp;IF(P221="Cukup",W221&amp;"; ",""))</f>
        <v/>
      </c>
      <c r="Y221" s="33" t="str">
        <f aca="false">IF($A221="","",IF(K221="Nyaman","prosesor, ","")&amp;IF(L221="Nyaman","grafis, ","")&amp;IF(M221="Nyaman","RAM, ","")&amp;IF(N221="Nyaman","penyimpanan, ","")&amp;IF(O221="Nyaman","layar, ","")&amp;IF(P221="Nyaman","refresh rate, ",""))</f>
        <v/>
      </c>
      <c r="Z221" s="33" t="str">
        <f aca="false">IF($A221="","",IF(Q221="Tidak dinilai","Belum ada kriteria yang dinilai untuk kebutuhan ini.",IF(Q221="Cocok","Semua kriteria yang dinilai sudah nyaman: "&amp;LEFT(Y221,LEN(Y221)-2)&amp;".",UPPER(LEFT(X221,1))&amp;MID(X221,2,LEN(X221)-3)&amp;"."&amp;IF(Y221="",""," Sudah nyaman: "&amp;LEFT(Y221,LEN(Y221)-2)&amp;"."))))</f>
        <v/>
      </c>
      <c r="AA221" s="33"/>
      <c r="AB221" s="33"/>
      <c r="AC221" s="69"/>
    </row>
    <row r="222" customFormat="false" ht="15" hidden="false" customHeight="true" outlineLevel="0" collapsed="false">
      <c r="A222" s="33" t="str">
        <f aca="false">IF(Varian!$A48="","",Varian!$A48)</f>
        <v/>
      </c>
      <c r="B222" s="33" t="str">
        <f aca="false">IF($A222="","",Aturan!$A$23)</f>
        <v/>
      </c>
      <c r="C222" s="69" t="str">
        <f aca="false">IF($A222="","",IFERROR(IF(ISNUMBER(INDEX(CPU!$J$4:$J$64,MATCH(Varian!$J48,CPU!$A$4:$A$64,0))),INDEX(CPU!$J$4:$J$64,MATCH(Varian!$J48,CPU!$A$4:$A$64,0)),""),""))</f>
        <v/>
      </c>
      <c r="D222" s="69" t="str">
        <f aca="false">IF($A222="","",IFERROR(IF(ISNUMBER(INDEX(GPU!$G$4:$G$64,MATCH(Varian!$K48,GPU!$A$4:$A$64,0))),INDEX(GPU!$G$4:$G$64,MATCH(Varian!$K48,GPU!$A$4:$A$64,0)),""),""))</f>
        <v/>
      </c>
      <c r="E222" s="69" t="str">
        <f aca="false">IF($A222="","",IF(ISNUMBER(Varian!$M48),Varian!$M48,""))</f>
        <v/>
      </c>
      <c r="F222" s="69" t="str">
        <f aca="false">IF($A222="","",IF(ISNUMBER(Varian!$V48),Varian!$V48,""))</f>
        <v/>
      </c>
      <c r="G222" s="69" t="str">
        <f aca="false">IF($A222="","",IFERROR(INDEX(Aturan!$B$63:$B$66,MATCH(Varian!$AG48,Aturan!$A$63:$A$66,0)),""))</f>
        <v/>
      </c>
      <c r="H222" s="69" t="str">
        <f aca="false">IF($A222="","",IF(ISNUMBER(Varian!$AI48),Varian!$AI48,""))</f>
        <v/>
      </c>
      <c r="I222" s="33" t="str">
        <f aca="false">IF($A222="","",IF(Varian!$Q48="disolder","menempel di papan utama, tidak bisa ditambah",IF(OR(Varian!$Q48="slot",Varian!$Q48="setengah_disolder"),IF(Varian!$Q48="setengah_disolder","sebagian menempel, ","")&amp;IF(ISNUMBER(Varian!$U48),IF(AND(ISNUMBER(Varian!$M48),Varian!$U48&gt;Varian!$M48),"bisa dinaikkan lewat slot sampai "&amp;Varian!$U48&amp;" GB","sudah di batas maksimal "&amp;Varian!$U48&amp;" GB"),"ada slot, batas maksimalnya belum diketahui"),"belum diketahui apakah bisa ditambah")))</f>
        <v/>
      </c>
      <c r="J222" s="33" t="str">
        <f aca="false">IF($A222="","",IF(Varian!$Z48="ya","bisa diganti dengan yang lebih besar",IF(Varian!$Z48="tidak","menempel, tidak bisa diganti","belum diketahui apakah bisa diganti")))</f>
        <v/>
      </c>
      <c r="K222" s="70" t="str">
        <f aca="false">IF($A222="","",IF(AND(Aturan!$C$42="",Aturan!$D$42=""),"Tidak dinilai",IF(C222="","Belum ada data",IF(C222&lt;IF(Aturan!$C$42="",0,Aturan!$C$42),"Kurang",IF(C222&gt;=IF(Aturan!$D$42="",Aturan!$C$42,Aturan!$D$42),"Nyaman","Cukup")))))</f>
        <v/>
      </c>
      <c r="L222" s="70" t="str">
        <f aca="false">IF($A222="","",IF(AND(Aturan!$C$43="",Aturan!$D$43=""),"Tidak dinilai",IF(D222="","Belum ada data",IF(D222&lt;IF(Aturan!$C$43="",0,Aturan!$C$43),"Kurang",IF(D222&gt;=IF(Aturan!$D$43="",Aturan!$C$43,Aturan!$D$43),"Nyaman","Cukup")))))</f>
        <v/>
      </c>
      <c r="M222" s="70" t="str">
        <f aca="false">IF($A222="","",IF(AND(Aturan!$C$44="",Aturan!$D$44=""),"Tidak dinilai",IF(E222="","Belum ada data",IF(E222&lt;IF(Aturan!$C$44="",0,Aturan!$C$44),"Kurang",IF(E222&gt;=IF(Aturan!$D$44="",Aturan!$C$44,Aturan!$D$44),"Nyaman","Cukup")))))</f>
        <v/>
      </c>
      <c r="N222" s="70" t="str">
        <f aca="false">IF($A222="","",IF(AND(Aturan!$C$45="",Aturan!$D$45=""),"Tidak dinilai",IF(F222="","Belum ada data",IF(F222&lt;IF(Aturan!$C$45="",0,Aturan!$C$45),"Kurang",IF(F222&gt;=IF(Aturan!$D$45="",Aturan!$C$45,Aturan!$D$45),"Nyaman","Cukup")))))</f>
        <v/>
      </c>
      <c r="O222" s="70" t="str">
        <f aca="false">IF($A222="","",IF(AND(Aturan!$C$46="",Aturan!$D$46=""),"Tidak dinilai",IF(G222="","Belum ada data",IF(G222&lt;IF(Aturan!$C$46="",0,Aturan!$C$46),"Kurang",IF(G222&gt;=IF(Aturan!$D$46="",Aturan!$C$46,Aturan!$D$46),"Nyaman","Cukup")))))</f>
        <v/>
      </c>
      <c r="P222" s="70" t="str">
        <f aca="false">IF($A222="","",IF(AND(Aturan!$C$47="",Aturan!$D$47=""),"Tidak dinilai",IF(H222="","Belum ada data",IF(H222&lt;IF(Aturan!$C$47="",0,Aturan!$C$47),"Kurang",IF(H222&gt;=IF(Aturan!$D$47="",Aturan!$C$47,Aturan!$D$47),"Nyaman","Cukup")))))</f>
        <v/>
      </c>
      <c r="Q222" s="70" t="str">
        <f aca="false">IF($A222="","",IF(COUNTIF(K222:P222,"Tidak dinilai")=6,"Tidak dinilai",IF(COUNTIF(K222:P222,"Kurang")&gt;0,"Kurang cocok",IF(COUNTIF(K222:P222,"Belum ada data")&gt;0,"Data belum lengkap",IF(COUNTIF(K222:P222,"Cukup")&gt;0,"Bisa, dengan catatan","Cocok")))))</f>
        <v/>
      </c>
      <c r="R222" s="33" t="str">
        <f aca="false">IF($A222="","",IF(K222="Kurang","prosesor tingkat "&amp;C222&amp;" dari 5, di bawah batas minimal (tingkat "&amp;Aturan!$C$42&amp;")",IF(K222="Cukup","prosesor tingkat "&amp;C222&amp;" dari 5 cukup, nyamannya mulai tingkat "&amp;Aturan!$D$42,IF(K222="Belum ada data","tingkat prosesor belum diisi",""))))</f>
        <v/>
      </c>
      <c r="S222" s="33" t="str">
        <f aca="false">IF($A222="","",IF(L222="Kurang","grafis tingkat "&amp;D222&amp;" dari 5, di bawah batas minimal (tingkat "&amp;Aturan!$C$43&amp;")",IF(L222="Cukup","grafis tingkat "&amp;D222&amp;" dari 5 cukup, nyamannya mulai tingkat "&amp;Aturan!$D$43,IF(L222="Belum ada data","tingkat grafis belum diisi",""))))</f>
        <v/>
      </c>
      <c r="T222" s="33" t="str">
        <f aca="false">IF($A222="","",IF(M222="Kurang","RAM "&amp;E222&amp;" GB, di bawah batas minimal "&amp;Aturan!$C$44&amp;" GB ("&amp;I222&amp;")",IF(M222="Cukup","RAM "&amp;E222&amp;" GB cukup, nyamannya "&amp;Aturan!$D$44&amp;" GB atau lebih ("&amp;I222&amp;")",IF(M222="Belum ada data","ukuran RAM belum diisi",""))))</f>
        <v/>
      </c>
      <c r="U222" s="33" t="str">
        <f aca="false">IF($A222="","",IF(N222="Kurang","penyimpanan "&amp;F222&amp;" GB, di bawah batas minimal "&amp;Aturan!$C$45&amp;" GB ("&amp;J222&amp;")",IF(N222="Cukup","penyimpanan "&amp;F222&amp;" GB cukup, nyamannya "&amp;Aturan!$D$45&amp;" GB atau lebih ("&amp;J222&amp;")",IF(N222="Belum ada data","ukuran penyimpanan belum diisi",""))))</f>
        <v/>
      </c>
      <c r="V222" s="33" t="str">
        <f aca="false">IF($A222="","",IF(O222="Kurang","layar "&amp;Varian!$AG48&amp;", di bawah batas minimal ("&amp;IFERROR(INDEX(Aturan!$A$63:$A$66,MATCH(Aturan!$C$46,Aturan!$B$63:$B$66,0)),"peringkat "&amp;Aturan!$C$46)&amp;")",IF(O222="Cukup","layar "&amp;Varian!$AG48&amp;" cukup, nyamannya "&amp;IFERROR(INDEX(Aturan!$A$63:$A$66,MATCH(Aturan!$D$46,Aturan!$B$63:$B$66,0)),"peringkat "&amp;Aturan!$D$46),IF(O222="Belum ada data","jenis layar belum diketahui",""))))</f>
        <v/>
      </c>
      <c r="W222" s="33" t="str">
        <f aca="false">IF($A222="","",IF(P222="Kurang","layar "&amp;H222&amp;" Hz, di bawah batas minimal "&amp;Aturan!$C$47&amp;" Hz",IF(P222="Cukup","layar "&amp;H222&amp;" Hz cukup, nyamannya "&amp;Aturan!$D$47&amp;" Hz atau lebih",IF(P222="Belum ada data","refresh rate belum diketahui",""))))</f>
        <v/>
      </c>
      <c r="X222" s="33" t="str">
        <f aca="false">IF($A222="","",IF(K222="Kurang",R222&amp;"; ","")&amp;IF(L222="Kurang",S222&amp;"; ","")&amp;IF(M222="Kurang",T222&amp;"; ","")&amp;IF(N222="Kurang",U222&amp;"; ","")&amp;IF(O222="Kurang",V222&amp;"; ","")&amp;IF(P222="Kurang",W222&amp;"; ","")&amp;IF(K222="Belum ada data",R222&amp;"; ","")&amp;IF(L222="Belum ada data",S222&amp;"; ","")&amp;IF(M222="Belum ada data",T222&amp;"; ","")&amp;IF(N222="Belum ada data",U222&amp;"; ","")&amp;IF(O222="Belum ada data",V222&amp;"; ","")&amp;IF(P222="Belum ada data",W222&amp;"; ","")&amp;IF(K222="Cukup",R222&amp;"; ","")&amp;IF(L222="Cukup",S222&amp;"; ","")&amp;IF(M222="Cukup",T222&amp;"; ","")&amp;IF(N222="Cukup",U222&amp;"; ","")&amp;IF(O222="Cukup",V222&amp;"; ","")&amp;IF(P222="Cukup",W222&amp;"; ",""))</f>
        <v/>
      </c>
      <c r="Y222" s="33" t="str">
        <f aca="false">IF($A222="","",IF(K222="Nyaman","prosesor, ","")&amp;IF(L222="Nyaman","grafis, ","")&amp;IF(M222="Nyaman","RAM, ","")&amp;IF(N222="Nyaman","penyimpanan, ","")&amp;IF(O222="Nyaman","layar, ","")&amp;IF(P222="Nyaman","refresh rate, ",""))</f>
        <v/>
      </c>
      <c r="Z222" s="33" t="str">
        <f aca="false">IF($A222="","",IF(Q222="Tidak dinilai","Belum ada kriteria yang dinilai untuk kebutuhan ini.",IF(Q222="Cocok","Semua kriteria yang dinilai sudah nyaman: "&amp;LEFT(Y222,LEN(Y222)-2)&amp;".",UPPER(LEFT(X222,1))&amp;MID(X222,2,LEN(X222)-3)&amp;"."&amp;IF(Y222="",""," Sudah nyaman: "&amp;LEFT(Y222,LEN(Y222)-2)&amp;"."))))</f>
        <v/>
      </c>
      <c r="AA222" s="33"/>
      <c r="AB222" s="33"/>
      <c r="AC222" s="69"/>
    </row>
    <row r="223" customFormat="false" ht="15" hidden="false" customHeight="true" outlineLevel="0" collapsed="false">
      <c r="A223" s="33" t="str">
        <f aca="false">IF(Varian!$A48="","",Varian!$A48)</f>
        <v/>
      </c>
      <c r="B223" s="33" t="str">
        <f aca="false">IF($A223="","",Aturan!$A$24)</f>
        <v/>
      </c>
      <c r="C223" s="69" t="str">
        <f aca="false">IF($A223="","",IFERROR(IF(ISNUMBER(INDEX(CPU!$J$4:$J$64,MATCH(Varian!$J48,CPU!$A$4:$A$64,0))),INDEX(CPU!$J$4:$J$64,MATCH(Varian!$J48,CPU!$A$4:$A$64,0)),""),""))</f>
        <v/>
      </c>
      <c r="D223" s="69" t="str">
        <f aca="false">IF($A223="","",IFERROR(IF(ISNUMBER(INDEX(GPU!$G$4:$G$64,MATCH(Varian!$K48,GPU!$A$4:$A$64,0))),INDEX(GPU!$G$4:$G$64,MATCH(Varian!$K48,GPU!$A$4:$A$64,0)),""),""))</f>
        <v/>
      </c>
      <c r="E223" s="69" t="str">
        <f aca="false">IF($A223="","",IF(ISNUMBER(Varian!$M48),Varian!$M48,""))</f>
        <v/>
      </c>
      <c r="F223" s="69" t="str">
        <f aca="false">IF($A223="","",IF(ISNUMBER(Varian!$V48),Varian!$V48,""))</f>
        <v/>
      </c>
      <c r="G223" s="69" t="str">
        <f aca="false">IF($A223="","",IFERROR(INDEX(Aturan!$B$63:$B$66,MATCH(Varian!$AG48,Aturan!$A$63:$A$66,0)),""))</f>
        <v/>
      </c>
      <c r="H223" s="69" t="str">
        <f aca="false">IF($A223="","",IF(ISNUMBER(Varian!$AI48),Varian!$AI48,""))</f>
        <v/>
      </c>
      <c r="I223" s="33" t="str">
        <f aca="false">IF($A223="","",IF(Varian!$Q48="disolder","menempel di papan utama, tidak bisa ditambah",IF(OR(Varian!$Q48="slot",Varian!$Q48="setengah_disolder"),IF(Varian!$Q48="setengah_disolder","sebagian menempel, ","")&amp;IF(ISNUMBER(Varian!$U48),IF(AND(ISNUMBER(Varian!$M48),Varian!$U48&gt;Varian!$M48),"bisa dinaikkan lewat slot sampai "&amp;Varian!$U48&amp;" GB","sudah di batas maksimal "&amp;Varian!$U48&amp;" GB"),"ada slot, batas maksimalnya belum diketahui"),"belum diketahui apakah bisa ditambah")))</f>
        <v/>
      </c>
      <c r="J223" s="33" t="str">
        <f aca="false">IF($A223="","",IF(Varian!$Z48="ya","bisa diganti dengan yang lebih besar",IF(Varian!$Z48="tidak","menempel, tidak bisa diganti","belum diketahui apakah bisa diganti")))</f>
        <v/>
      </c>
      <c r="K223" s="70" t="str">
        <f aca="false">IF($A223="","",IF(AND(Aturan!$C$48="",Aturan!$D$48=""),"Tidak dinilai",IF(C223="","Belum ada data",IF(C223&lt;IF(Aturan!$C$48="",0,Aturan!$C$48),"Kurang",IF(C223&gt;=IF(Aturan!$D$48="",Aturan!$C$48,Aturan!$D$48),"Nyaman","Cukup")))))</f>
        <v/>
      </c>
      <c r="L223" s="70" t="str">
        <f aca="false">IF($A223="","",IF(AND(Aturan!$C$49="",Aturan!$D$49=""),"Tidak dinilai",IF(D223="","Belum ada data",IF(D223&lt;IF(Aturan!$C$49="",0,Aturan!$C$49),"Kurang",IF(D223&gt;=IF(Aturan!$D$49="",Aturan!$C$49,Aturan!$D$49),"Nyaman","Cukup")))))</f>
        <v/>
      </c>
      <c r="M223" s="70" t="str">
        <f aca="false">IF($A223="","",IF(AND(Aturan!$C$50="",Aturan!$D$50=""),"Tidak dinilai",IF(E223="","Belum ada data",IF(E223&lt;IF(Aturan!$C$50="",0,Aturan!$C$50),"Kurang",IF(E223&gt;=IF(Aturan!$D$50="",Aturan!$C$50,Aturan!$D$50),"Nyaman","Cukup")))))</f>
        <v/>
      </c>
      <c r="N223" s="70" t="str">
        <f aca="false">IF($A223="","",IF(AND(Aturan!$C$51="",Aturan!$D$51=""),"Tidak dinilai",IF(F223="","Belum ada data",IF(F223&lt;IF(Aturan!$C$51="",0,Aturan!$C$51),"Kurang",IF(F223&gt;=IF(Aturan!$D$51="",Aturan!$C$51,Aturan!$D$51),"Nyaman","Cukup")))))</f>
        <v/>
      </c>
      <c r="O223" s="70" t="str">
        <f aca="false">IF($A223="","",IF(AND(Aturan!$C$52="",Aturan!$D$52=""),"Tidak dinilai",IF(G223="","Belum ada data",IF(G223&lt;IF(Aturan!$C$52="",0,Aturan!$C$52),"Kurang",IF(G223&gt;=IF(Aturan!$D$52="",Aturan!$C$52,Aturan!$D$52),"Nyaman","Cukup")))))</f>
        <v/>
      </c>
      <c r="P223" s="70" t="str">
        <f aca="false">IF($A223="","",IF(AND(Aturan!$C$53="",Aturan!$D$53=""),"Tidak dinilai",IF(H223="","Belum ada data",IF(H223&lt;IF(Aturan!$C$53="",0,Aturan!$C$53),"Kurang",IF(H223&gt;=IF(Aturan!$D$53="",Aturan!$C$53,Aturan!$D$53),"Nyaman","Cukup")))))</f>
        <v/>
      </c>
      <c r="Q223" s="70" t="str">
        <f aca="false">IF($A223="","",IF(COUNTIF(K223:P223,"Tidak dinilai")=6,"Tidak dinilai",IF(COUNTIF(K223:P223,"Kurang")&gt;0,"Kurang cocok",IF(COUNTIF(K223:P223,"Belum ada data")&gt;0,"Data belum lengkap",IF(COUNTIF(K223:P223,"Cukup")&gt;0,"Bisa, dengan catatan","Cocok")))))</f>
        <v/>
      </c>
      <c r="R223" s="33" t="str">
        <f aca="false">IF($A223="","",IF(K223="Kurang","prosesor tingkat "&amp;C223&amp;" dari 5, di bawah batas minimal (tingkat "&amp;Aturan!$C$48&amp;")",IF(K223="Cukup","prosesor tingkat "&amp;C223&amp;" dari 5 cukup, nyamannya mulai tingkat "&amp;Aturan!$D$48,IF(K223="Belum ada data","tingkat prosesor belum diisi",""))))</f>
        <v/>
      </c>
      <c r="S223" s="33" t="str">
        <f aca="false">IF($A223="","",IF(L223="Kurang","grafis tingkat "&amp;D223&amp;" dari 5, di bawah batas minimal (tingkat "&amp;Aturan!$C$49&amp;")",IF(L223="Cukup","grafis tingkat "&amp;D223&amp;" dari 5 cukup, nyamannya mulai tingkat "&amp;Aturan!$D$49,IF(L223="Belum ada data","tingkat grafis belum diisi",""))))</f>
        <v/>
      </c>
      <c r="T223" s="33" t="str">
        <f aca="false">IF($A223="","",IF(M223="Kurang","RAM "&amp;E223&amp;" GB, di bawah batas minimal "&amp;Aturan!$C$50&amp;" GB ("&amp;I223&amp;")",IF(M223="Cukup","RAM "&amp;E223&amp;" GB cukup, nyamannya "&amp;Aturan!$D$50&amp;" GB atau lebih ("&amp;I223&amp;")",IF(M223="Belum ada data","ukuran RAM belum diisi",""))))</f>
        <v/>
      </c>
      <c r="U223" s="33" t="str">
        <f aca="false">IF($A223="","",IF(N223="Kurang","penyimpanan "&amp;F223&amp;" GB, di bawah batas minimal "&amp;Aturan!$C$51&amp;" GB ("&amp;J223&amp;")",IF(N223="Cukup","penyimpanan "&amp;F223&amp;" GB cukup, nyamannya "&amp;Aturan!$D$51&amp;" GB atau lebih ("&amp;J223&amp;")",IF(N223="Belum ada data","ukuran penyimpanan belum diisi",""))))</f>
        <v/>
      </c>
      <c r="V223" s="33" t="str">
        <f aca="false">IF($A223="","",IF(O223="Kurang","layar "&amp;Varian!$AG48&amp;", di bawah batas minimal ("&amp;IFERROR(INDEX(Aturan!$A$63:$A$66,MATCH(Aturan!$C$52,Aturan!$B$63:$B$66,0)),"peringkat "&amp;Aturan!$C$52)&amp;")",IF(O223="Cukup","layar "&amp;Varian!$AG48&amp;" cukup, nyamannya "&amp;IFERROR(INDEX(Aturan!$A$63:$A$66,MATCH(Aturan!$D$52,Aturan!$B$63:$B$66,0)),"peringkat "&amp;Aturan!$D$52),IF(O223="Belum ada data","jenis layar belum diketahui",""))))</f>
        <v/>
      </c>
      <c r="W223" s="33" t="str">
        <f aca="false">IF($A223="","",IF(P223="Kurang","layar "&amp;H223&amp;" Hz, di bawah batas minimal "&amp;Aturan!$C$53&amp;" Hz",IF(P223="Cukup","layar "&amp;H223&amp;" Hz cukup, nyamannya "&amp;Aturan!$D$53&amp;" Hz atau lebih",IF(P223="Belum ada data","refresh rate belum diketahui",""))))</f>
        <v/>
      </c>
      <c r="X223" s="33" t="str">
        <f aca="false">IF($A223="","",IF(K223="Kurang",R223&amp;"; ","")&amp;IF(L223="Kurang",S223&amp;"; ","")&amp;IF(M223="Kurang",T223&amp;"; ","")&amp;IF(N223="Kurang",U223&amp;"; ","")&amp;IF(O223="Kurang",V223&amp;"; ","")&amp;IF(P223="Kurang",W223&amp;"; ","")&amp;IF(K223="Belum ada data",R223&amp;"; ","")&amp;IF(L223="Belum ada data",S223&amp;"; ","")&amp;IF(M223="Belum ada data",T223&amp;"; ","")&amp;IF(N223="Belum ada data",U223&amp;"; ","")&amp;IF(O223="Belum ada data",V223&amp;"; ","")&amp;IF(P223="Belum ada data",W223&amp;"; ","")&amp;IF(K223="Cukup",R223&amp;"; ","")&amp;IF(L223="Cukup",S223&amp;"; ","")&amp;IF(M223="Cukup",T223&amp;"; ","")&amp;IF(N223="Cukup",U223&amp;"; ","")&amp;IF(O223="Cukup",V223&amp;"; ","")&amp;IF(P223="Cukup",W223&amp;"; ",""))</f>
        <v/>
      </c>
      <c r="Y223" s="33" t="str">
        <f aca="false">IF($A223="","",IF(K223="Nyaman","prosesor, ","")&amp;IF(L223="Nyaman","grafis, ","")&amp;IF(M223="Nyaman","RAM, ","")&amp;IF(N223="Nyaman","penyimpanan, ","")&amp;IF(O223="Nyaman","layar, ","")&amp;IF(P223="Nyaman","refresh rate, ",""))</f>
        <v/>
      </c>
      <c r="Z223" s="33" t="str">
        <f aca="false">IF($A223="","",IF(Q223="Tidak dinilai","Belum ada kriteria yang dinilai untuk kebutuhan ini.",IF(Q223="Cocok","Semua kriteria yang dinilai sudah nyaman: "&amp;LEFT(Y223,LEN(Y223)-2)&amp;".",UPPER(LEFT(X223,1))&amp;MID(X223,2,LEN(X223)-3)&amp;"."&amp;IF(Y223="",""," Sudah nyaman: "&amp;LEFT(Y223,LEN(Y223)-2)&amp;"."))))</f>
        <v/>
      </c>
      <c r="AA223" s="33"/>
      <c r="AB223" s="33"/>
      <c r="AC223" s="69"/>
    </row>
    <row r="224" customFormat="false" ht="15" hidden="false" customHeight="true" outlineLevel="0" collapsed="false">
      <c r="A224" s="33" t="str">
        <f aca="false">IF(Varian!$A48="","",Varian!$A48)</f>
        <v/>
      </c>
      <c r="B224" s="33" t="str">
        <f aca="false">IF($A224="","",Aturan!$A$25)</f>
        <v/>
      </c>
      <c r="C224" s="69" t="str">
        <f aca="false">IF($A224="","",IFERROR(IF(ISNUMBER(INDEX(CPU!$J$4:$J$64,MATCH(Varian!$J48,CPU!$A$4:$A$64,0))),INDEX(CPU!$J$4:$J$64,MATCH(Varian!$J48,CPU!$A$4:$A$64,0)),""),""))</f>
        <v/>
      </c>
      <c r="D224" s="69" t="str">
        <f aca="false">IF($A224="","",IFERROR(IF(ISNUMBER(INDEX(GPU!$G$4:$G$64,MATCH(Varian!$K48,GPU!$A$4:$A$64,0))),INDEX(GPU!$G$4:$G$64,MATCH(Varian!$K48,GPU!$A$4:$A$64,0)),""),""))</f>
        <v/>
      </c>
      <c r="E224" s="69" t="str">
        <f aca="false">IF($A224="","",IF(ISNUMBER(Varian!$M48),Varian!$M48,""))</f>
        <v/>
      </c>
      <c r="F224" s="69" t="str">
        <f aca="false">IF($A224="","",IF(ISNUMBER(Varian!$V48),Varian!$V48,""))</f>
        <v/>
      </c>
      <c r="G224" s="69" t="str">
        <f aca="false">IF($A224="","",IFERROR(INDEX(Aturan!$B$63:$B$66,MATCH(Varian!$AG48,Aturan!$A$63:$A$66,0)),""))</f>
        <v/>
      </c>
      <c r="H224" s="69" t="str">
        <f aca="false">IF($A224="","",IF(ISNUMBER(Varian!$AI48),Varian!$AI48,""))</f>
        <v/>
      </c>
      <c r="I224" s="33" t="str">
        <f aca="false">IF($A224="","",IF(Varian!$Q48="disolder","menempel di papan utama, tidak bisa ditambah",IF(OR(Varian!$Q48="slot",Varian!$Q48="setengah_disolder"),IF(Varian!$Q48="setengah_disolder","sebagian menempel, ","")&amp;IF(ISNUMBER(Varian!$U48),IF(AND(ISNUMBER(Varian!$M48),Varian!$U48&gt;Varian!$M48),"bisa dinaikkan lewat slot sampai "&amp;Varian!$U48&amp;" GB","sudah di batas maksimal "&amp;Varian!$U48&amp;" GB"),"ada slot, batas maksimalnya belum diketahui"),"belum diketahui apakah bisa ditambah")))</f>
        <v/>
      </c>
      <c r="J224" s="33" t="str">
        <f aca="false">IF($A224="","",IF(Varian!$Z48="ya","bisa diganti dengan yang lebih besar",IF(Varian!$Z48="tidak","menempel, tidak bisa diganti","belum diketahui apakah bisa diganti")))</f>
        <v/>
      </c>
      <c r="K224" s="70" t="str">
        <f aca="false">IF($A224="","",IF(AND(Aturan!$C$54="",Aturan!$D$54=""),"Tidak dinilai",IF(C224="","Belum ada data",IF(C224&lt;IF(Aturan!$C$54="",0,Aturan!$C$54),"Kurang",IF(C224&gt;=IF(Aturan!$D$54="",Aturan!$C$54,Aturan!$D$54),"Nyaman","Cukup")))))</f>
        <v/>
      </c>
      <c r="L224" s="70" t="str">
        <f aca="false">IF($A224="","",IF(AND(Aturan!$C$55="",Aturan!$D$55=""),"Tidak dinilai",IF(D224="","Belum ada data",IF(D224&lt;IF(Aturan!$C$55="",0,Aturan!$C$55),"Kurang",IF(D224&gt;=IF(Aturan!$D$55="",Aturan!$C$55,Aturan!$D$55),"Nyaman","Cukup")))))</f>
        <v/>
      </c>
      <c r="M224" s="70" t="str">
        <f aca="false">IF($A224="","",IF(AND(Aturan!$C$56="",Aturan!$D$56=""),"Tidak dinilai",IF(E224="","Belum ada data",IF(E224&lt;IF(Aturan!$C$56="",0,Aturan!$C$56),"Kurang",IF(E224&gt;=IF(Aturan!$D$56="",Aturan!$C$56,Aturan!$D$56),"Nyaman","Cukup")))))</f>
        <v/>
      </c>
      <c r="N224" s="70" t="str">
        <f aca="false">IF($A224="","",IF(AND(Aturan!$C$57="",Aturan!$D$57=""),"Tidak dinilai",IF(F224="","Belum ada data",IF(F224&lt;IF(Aturan!$C$57="",0,Aturan!$C$57),"Kurang",IF(F224&gt;=IF(Aturan!$D$57="",Aturan!$C$57,Aturan!$D$57),"Nyaman","Cukup")))))</f>
        <v/>
      </c>
      <c r="O224" s="70" t="str">
        <f aca="false">IF($A224="","",IF(AND(Aturan!$C$58="",Aturan!$D$58=""),"Tidak dinilai",IF(G224="","Belum ada data",IF(G224&lt;IF(Aturan!$C$58="",0,Aturan!$C$58),"Kurang",IF(G224&gt;=IF(Aturan!$D$58="",Aturan!$C$58,Aturan!$D$58),"Nyaman","Cukup")))))</f>
        <v/>
      </c>
      <c r="P224" s="70" t="str">
        <f aca="false">IF($A224="","",IF(AND(Aturan!$C$59="",Aturan!$D$59=""),"Tidak dinilai",IF(H224="","Belum ada data",IF(H224&lt;IF(Aturan!$C$59="",0,Aturan!$C$59),"Kurang",IF(H224&gt;=IF(Aturan!$D$59="",Aturan!$C$59,Aturan!$D$59),"Nyaman","Cukup")))))</f>
        <v/>
      </c>
      <c r="Q224" s="70" t="str">
        <f aca="false">IF($A224="","",IF(COUNTIF(K224:P224,"Tidak dinilai")=6,"Tidak dinilai",IF(COUNTIF(K224:P224,"Kurang")&gt;0,"Kurang cocok",IF(COUNTIF(K224:P224,"Belum ada data")&gt;0,"Data belum lengkap",IF(COUNTIF(K224:P224,"Cukup")&gt;0,"Bisa, dengan catatan","Cocok")))))</f>
        <v/>
      </c>
      <c r="R224" s="33" t="str">
        <f aca="false">IF($A224="","",IF(K224="Kurang","prosesor tingkat "&amp;C224&amp;" dari 5, di bawah batas minimal (tingkat "&amp;Aturan!$C$54&amp;")",IF(K224="Cukup","prosesor tingkat "&amp;C224&amp;" dari 5 cukup, nyamannya mulai tingkat "&amp;Aturan!$D$54,IF(K224="Belum ada data","tingkat prosesor belum diisi",""))))</f>
        <v/>
      </c>
      <c r="S224" s="33" t="str">
        <f aca="false">IF($A224="","",IF(L224="Kurang","grafis tingkat "&amp;D224&amp;" dari 5, di bawah batas minimal (tingkat "&amp;Aturan!$C$55&amp;")",IF(L224="Cukup","grafis tingkat "&amp;D224&amp;" dari 5 cukup, nyamannya mulai tingkat "&amp;Aturan!$D$55,IF(L224="Belum ada data","tingkat grafis belum diisi",""))))</f>
        <v/>
      </c>
      <c r="T224" s="33" t="str">
        <f aca="false">IF($A224="","",IF(M224="Kurang","RAM "&amp;E224&amp;" GB, di bawah batas minimal "&amp;Aturan!$C$56&amp;" GB ("&amp;I224&amp;")",IF(M224="Cukup","RAM "&amp;E224&amp;" GB cukup, nyamannya "&amp;Aturan!$D$56&amp;" GB atau lebih ("&amp;I224&amp;")",IF(M224="Belum ada data","ukuran RAM belum diisi",""))))</f>
        <v/>
      </c>
      <c r="U224" s="33" t="str">
        <f aca="false">IF($A224="","",IF(N224="Kurang","penyimpanan "&amp;F224&amp;" GB, di bawah batas minimal "&amp;Aturan!$C$57&amp;" GB ("&amp;J224&amp;")",IF(N224="Cukup","penyimpanan "&amp;F224&amp;" GB cukup, nyamannya "&amp;Aturan!$D$57&amp;" GB atau lebih ("&amp;J224&amp;")",IF(N224="Belum ada data","ukuran penyimpanan belum diisi",""))))</f>
        <v/>
      </c>
      <c r="V224" s="33" t="str">
        <f aca="false">IF($A224="","",IF(O224="Kurang","layar "&amp;Varian!$AG48&amp;", di bawah batas minimal ("&amp;IFERROR(INDEX(Aturan!$A$63:$A$66,MATCH(Aturan!$C$58,Aturan!$B$63:$B$66,0)),"peringkat "&amp;Aturan!$C$58)&amp;")",IF(O224="Cukup","layar "&amp;Varian!$AG48&amp;" cukup, nyamannya "&amp;IFERROR(INDEX(Aturan!$A$63:$A$66,MATCH(Aturan!$D$58,Aturan!$B$63:$B$66,0)),"peringkat "&amp;Aturan!$D$58),IF(O224="Belum ada data","jenis layar belum diketahui",""))))</f>
        <v/>
      </c>
      <c r="W224" s="33" t="str">
        <f aca="false">IF($A224="","",IF(P224="Kurang","layar "&amp;H224&amp;" Hz, di bawah batas minimal "&amp;Aturan!$C$59&amp;" Hz",IF(P224="Cukup","layar "&amp;H224&amp;" Hz cukup, nyamannya "&amp;Aturan!$D$59&amp;" Hz atau lebih",IF(P224="Belum ada data","refresh rate belum diketahui",""))))</f>
        <v/>
      </c>
      <c r="X224" s="33" t="str">
        <f aca="false">IF($A224="","",IF(K224="Kurang",R224&amp;"; ","")&amp;IF(L224="Kurang",S224&amp;"; ","")&amp;IF(M224="Kurang",T224&amp;"; ","")&amp;IF(N224="Kurang",U224&amp;"; ","")&amp;IF(O224="Kurang",V224&amp;"; ","")&amp;IF(P224="Kurang",W224&amp;"; ","")&amp;IF(K224="Belum ada data",R224&amp;"; ","")&amp;IF(L224="Belum ada data",S224&amp;"; ","")&amp;IF(M224="Belum ada data",T224&amp;"; ","")&amp;IF(N224="Belum ada data",U224&amp;"; ","")&amp;IF(O224="Belum ada data",V224&amp;"; ","")&amp;IF(P224="Belum ada data",W224&amp;"; ","")&amp;IF(K224="Cukup",R224&amp;"; ","")&amp;IF(L224="Cukup",S224&amp;"; ","")&amp;IF(M224="Cukup",T224&amp;"; ","")&amp;IF(N224="Cukup",U224&amp;"; ","")&amp;IF(O224="Cukup",V224&amp;"; ","")&amp;IF(P224="Cukup",W224&amp;"; ",""))</f>
        <v/>
      </c>
      <c r="Y224" s="33" t="str">
        <f aca="false">IF($A224="","",IF(K224="Nyaman","prosesor, ","")&amp;IF(L224="Nyaman","grafis, ","")&amp;IF(M224="Nyaman","RAM, ","")&amp;IF(N224="Nyaman","penyimpanan, ","")&amp;IF(O224="Nyaman","layar, ","")&amp;IF(P224="Nyaman","refresh rate, ",""))</f>
        <v/>
      </c>
      <c r="Z224" s="33" t="str">
        <f aca="false">IF($A224="","",IF(Q224="Tidak dinilai","Belum ada kriteria yang dinilai untuk kebutuhan ini.",IF(Q224="Cocok","Semua kriteria yang dinilai sudah nyaman: "&amp;LEFT(Y224,LEN(Y224)-2)&amp;".",UPPER(LEFT(X224,1))&amp;MID(X224,2,LEN(X224)-3)&amp;"."&amp;IF(Y224="",""," Sudah nyaman: "&amp;LEFT(Y224,LEN(Y224)-2)&amp;"."))))</f>
        <v/>
      </c>
      <c r="AA224" s="33"/>
      <c r="AB224" s="33"/>
      <c r="AC224" s="69"/>
    </row>
    <row r="225" customFormat="false" ht="15" hidden="false" customHeight="true" outlineLevel="0" collapsed="false">
      <c r="A225" s="66" t="str">
        <f aca="false">IF(Varian!$A49="","",Varian!$A49)</f>
        <v/>
      </c>
      <c r="B225" s="66" t="str">
        <f aca="false">IF($A225="","",Aturan!$A$21)</f>
        <v/>
      </c>
      <c r="C225" s="67" t="str">
        <f aca="false">IF($A225="","",IFERROR(IF(ISNUMBER(INDEX(CPU!$J$4:$J$64,MATCH(Varian!$J49,CPU!$A$4:$A$64,0))),INDEX(CPU!$J$4:$J$64,MATCH(Varian!$J49,CPU!$A$4:$A$64,0)),""),""))</f>
        <v/>
      </c>
      <c r="D225" s="67" t="str">
        <f aca="false">IF($A225="","",IFERROR(IF(ISNUMBER(INDEX(GPU!$G$4:$G$64,MATCH(Varian!$K49,GPU!$A$4:$A$64,0))),INDEX(GPU!$G$4:$G$64,MATCH(Varian!$K49,GPU!$A$4:$A$64,0)),""),""))</f>
        <v/>
      </c>
      <c r="E225" s="67" t="str">
        <f aca="false">IF($A225="","",IF(ISNUMBER(Varian!$M49),Varian!$M49,""))</f>
        <v/>
      </c>
      <c r="F225" s="67" t="str">
        <f aca="false">IF($A225="","",IF(ISNUMBER(Varian!$V49),Varian!$V49,""))</f>
        <v/>
      </c>
      <c r="G225" s="67" t="str">
        <f aca="false">IF($A225="","",IFERROR(INDEX(Aturan!$B$63:$B$66,MATCH(Varian!$AG49,Aturan!$A$63:$A$66,0)),""))</f>
        <v/>
      </c>
      <c r="H225" s="67" t="str">
        <f aca="false">IF($A225="","",IF(ISNUMBER(Varian!$AI49),Varian!$AI49,""))</f>
        <v/>
      </c>
      <c r="I225" s="66" t="str">
        <f aca="false">IF($A225="","",IF(Varian!$Q49="disolder","menempel di papan utama, tidak bisa ditambah",IF(OR(Varian!$Q49="slot",Varian!$Q49="setengah_disolder"),IF(Varian!$Q49="setengah_disolder","sebagian menempel, ","")&amp;IF(ISNUMBER(Varian!$U49),IF(AND(ISNUMBER(Varian!$M49),Varian!$U49&gt;Varian!$M49),"bisa dinaikkan lewat slot sampai "&amp;Varian!$U49&amp;" GB","sudah di batas maksimal "&amp;Varian!$U49&amp;" GB"),"ada slot, batas maksimalnya belum diketahui"),"belum diketahui apakah bisa ditambah")))</f>
        <v/>
      </c>
      <c r="J225" s="66" t="str">
        <f aca="false">IF($A225="","",IF(Varian!$Z49="ya","bisa diganti dengan yang lebih besar",IF(Varian!$Z49="tidak","menempel, tidak bisa diganti","belum diketahui apakah bisa diganti")))</f>
        <v/>
      </c>
      <c r="K225" s="68" t="str">
        <f aca="false">IF($A225="","",IF(AND(Aturan!$C$30="",Aturan!$D$30=""),"Tidak dinilai",IF(C225="","Belum ada data",IF(C225&lt;IF(Aturan!$C$30="",0,Aturan!$C$30),"Kurang",IF(C225&gt;=IF(Aturan!$D$30="",Aturan!$C$30,Aturan!$D$30),"Nyaman","Cukup")))))</f>
        <v/>
      </c>
      <c r="L225" s="68" t="str">
        <f aca="false">IF($A225="","",IF(AND(Aturan!$C$31="",Aturan!$D$31=""),"Tidak dinilai",IF(D225="","Belum ada data",IF(D225&lt;IF(Aturan!$C$31="",0,Aturan!$C$31),"Kurang",IF(D225&gt;=IF(Aturan!$D$31="",Aturan!$C$31,Aturan!$D$31),"Nyaman","Cukup")))))</f>
        <v/>
      </c>
      <c r="M225" s="68" t="str">
        <f aca="false">IF($A225="","",IF(AND(Aturan!$C$32="",Aturan!$D$32=""),"Tidak dinilai",IF(E225="","Belum ada data",IF(E225&lt;IF(Aturan!$C$32="",0,Aturan!$C$32),"Kurang",IF(E225&gt;=IF(Aturan!$D$32="",Aturan!$C$32,Aturan!$D$32),"Nyaman","Cukup")))))</f>
        <v/>
      </c>
      <c r="N225" s="68" t="str">
        <f aca="false">IF($A225="","",IF(AND(Aturan!$C$33="",Aturan!$D$33=""),"Tidak dinilai",IF(F225="","Belum ada data",IF(F225&lt;IF(Aturan!$C$33="",0,Aturan!$C$33),"Kurang",IF(F225&gt;=IF(Aturan!$D$33="",Aturan!$C$33,Aturan!$D$33),"Nyaman","Cukup")))))</f>
        <v/>
      </c>
      <c r="O225" s="68" t="str">
        <f aca="false">IF($A225="","",IF(AND(Aturan!$C$34="",Aturan!$D$34=""),"Tidak dinilai",IF(G225="","Belum ada data",IF(G225&lt;IF(Aturan!$C$34="",0,Aturan!$C$34),"Kurang",IF(G225&gt;=IF(Aturan!$D$34="",Aturan!$C$34,Aturan!$D$34),"Nyaman","Cukup")))))</f>
        <v/>
      </c>
      <c r="P225" s="68" t="str">
        <f aca="false">IF($A225="","",IF(AND(Aturan!$C$35="",Aturan!$D$35=""),"Tidak dinilai",IF(H225="","Belum ada data",IF(H225&lt;IF(Aturan!$C$35="",0,Aturan!$C$35),"Kurang",IF(H225&gt;=IF(Aturan!$D$35="",Aturan!$C$35,Aturan!$D$35),"Nyaman","Cukup")))))</f>
        <v/>
      </c>
      <c r="Q225" s="68" t="str">
        <f aca="false">IF($A225="","",IF(COUNTIF(K225:P225,"Tidak dinilai")=6,"Tidak dinilai",IF(COUNTIF(K225:P225,"Kurang")&gt;0,"Kurang cocok",IF(COUNTIF(K225:P225,"Belum ada data")&gt;0,"Data belum lengkap",IF(COUNTIF(K225:P225,"Cukup")&gt;0,"Bisa, dengan catatan","Cocok")))))</f>
        <v/>
      </c>
      <c r="R225" s="66" t="str">
        <f aca="false">IF($A225="","",IF(K225="Kurang","prosesor tingkat "&amp;C225&amp;" dari 5, di bawah batas minimal (tingkat "&amp;Aturan!$C$30&amp;")",IF(K225="Cukup","prosesor tingkat "&amp;C225&amp;" dari 5 cukup, nyamannya mulai tingkat "&amp;Aturan!$D$30,IF(K225="Belum ada data","tingkat prosesor belum diisi",""))))</f>
        <v/>
      </c>
      <c r="S225" s="66" t="str">
        <f aca="false">IF($A225="","",IF(L225="Kurang","grafis tingkat "&amp;D225&amp;" dari 5, di bawah batas minimal (tingkat "&amp;Aturan!$C$31&amp;")",IF(L225="Cukup","grafis tingkat "&amp;D225&amp;" dari 5 cukup, nyamannya mulai tingkat "&amp;Aturan!$D$31,IF(L225="Belum ada data","tingkat grafis belum diisi",""))))</f>
        <v/>
      </c>
      <c r="T225" s="66" t="str">
        <f aca="false">IF($A225="","",IF(M225="Kurang","RAM "&amp;E225&amp;" GB, di bawah batas minimal "&amp;Aturan!$C$32&amp;" GB ("&amp;I225&amp;")",IF(M225="Cukup","RAM "&amp;E225&amp;" GB cukup, nyamannya "&amp;Aturan!$D$32&amp;" GB atau lebih ("&amp;I225&amp;")",IF(M225="Belum ada data","ukuran RAM belum diisi",""))))</f>
        <v/>
      </c>
      <c r="U225" s="66" t="str">
        <f aca="false">IF($A225="","",IF(N225="Kurang","penyimpanan "&amp;F225&amp;" GB, di bawah batas minimal "&amp;Aturan!$C$33&amp;" GB ("&amp;J225&amp;")",IF(N225="Cukup","penyimpanan "&amp;F225&amp;" GB cukup, nyamannya "&amp;Aturan!$D$33&amp;" GB atau lebih ("&amp;J225&amp;")",IF(N225="Belum ada data","ukuran penyimpanan belum diisi",""))))</f>
        <v/>
      </c>
      <c r="V225" s="66" t="str">
        <f aca="false">IF($A225="","",IF(O225="Kurang","layar "&amp;Varian!$AG49&amp;", di bawah batas minimal ("&amp;IFERROR(INDEX(Aturan!$A$63:$A$66,MATCH(Aturan!$C$34,Aturan!$B$63:$B$66,0)),"peringkat "&amp;Aturan!$C$34)&amp;")",IF(O225="Cukup","layar "&amp;Varian!$AG49&amp;" cukup, nyamannya "&amp;IFERROR(INDEX(Aturan!$A$63:$A$66,MATCH(Aturan!$D$34,Aturan!$B$63:$B$66,0)),"peringkat "&amp;Aturan!$D$34),IF(O225="Belum ada data","jenis layar belum diketahui",""))))</f>
        <v/>
      </c>
      <c r="W225" s="66" t="str">
        <f aca="false">IF($A225="","",IF(P225="Kurang","layar "&amp;H225&amp;" Hz, di bawah batas minimal "&amp;Aturan!$C$35&amp;" Hz",IF(P225="Cukup","layar "&amp;H225&amp;" Hz cukup, nyamannya "&amp;Aturan!$D$35&amp;" Hz atau lebih",IF(P225="Belum ada data","refresh rate belum diketahui",""))))</f>
        <v/>
      </c>
      <c r="X225" s="66" t="str">
        <f aca="false">IF($A225="","",IF(K225="Kurang",R225&amp;"; ","")&amp;IF(L225="Kurang",S225&amp;"; ","")&amp;IF(M225="Kurang",T225&amp;"; ","")&amp;IF(N225="Kurang",U225&amp;"; ","")&amp;IF(O225="Kurang",V225&amp;"; ","")&amp;IF(P225="Kurang",W225&amp;"; ","")&amp;IF(K225="Belum ada data",R225&amp;"; ","")&amp;IF(L225="Belum ada data",S225&amp;"; ","")&amp;IF(M225="Belum ada data",T225&amp;"; ","")&amp;IF(N225="Belum ada data",U225&amp;"; ","")&amp;IF(O225="Belum ada data",V225&amp;"; ","")&amp;IF(P225="Belum ada data",W225&amp;"; ","")&amp;IF(K225="Cukup",R225&amp;"; ","")&amp;IF(L225="Cukup",S225&amp;"; ","")&amp;IF(M225="Cukup",T225&amp;"; ","")&amp;IF(N225="Cukup",U225&amp;"; ","")&amp;IF(O225="Cukup",V225&amp;"; ","")&amp;IF(P225="Cukup",W225&amp;"; ",""))</f>
        <v/>
      </c>
      <c r="Y225" s="66" t="str">
        <f aca="false">IF($A225="","",IF(K225="Nyaman","prosesor, ","")&amp;IF(L225="Nyaman","grafis, ","")&amp;IF(M225="Nyaman","RAM, ","")&amp;IF(N225="Nyaman","penyimpanan, ","")&amp;IF(O225="Nyaman","layar, ","")&amp;IF(P225="Nyaman","refresh rate, ",""))</f>
        <v/>
      </c>
      <c r="Z225" s="66" t="str">
        <f aca="false">IF($A225="","",IF(Q225="Tidak dinilai","Belum ada kriteria yang dinilai untuk kebutuhan ini.",IF(Q225="Cocok","Semua kriteria yang dinilai sudah nyaman: "&amp;LEFT(Y225,LEN(Y225)-2)&amp;".",UPPER(LEFT(X225,1))&amp;MID(X225,2,LEN(X225)-3)&amp;"."&amp;IF(Y225="",""," Sudah nyaman: "&amp;LEFT(Y225,LEN(Y225)-2)&amp;"."))))</f>
        <v/>
      </c>
      <c r="AA225" s="66" t="str">
        <f aca="false">IF($A225="","",IF(Varian!$AR49="Windows 10","• "&amp;Aturan!$E$71&amp;CHAR(10),"")&amp;IF(Varian!$BB49="tidak","• "&amp;Aturan!$E$72&amp;CHAR(10),"")&amp;IF(OR(Varian!$AD49="belum terverifikasi",Varian!$AD49="tidak diketahui"),"• "&amp;Aturan!$E$73&amp;CHAR(10),"")&amp;IF(Varian!$AH49="1366x768","• "&amp;Aturan!$E$74&amp;CHAR(10),"")&amp;IF(Varian!$AG49="TN","• "&amp;Aturan!$E$75&amp;CHAR(10),"")&amp;IF(AND(Varian!$Q49="disolder",ISNUMBER(Varian!$M49),Varian!$M49&lt;=8),"• "&amp;Aturan!$E$76&amp;CHAR(10),""))</f>
        <v/>
      </c>
      <c r="AB225" s="66" t="str">
        <f aca="false">IF($A225="","",IF(AA225="","",LEFT(AA225,LEN(AA225)-1)))</f>
        <v/>
      </c>
      <c r="AC225" s="67" t="str">
        <f aca="false">IF($A225="","",IF(AA225="",0,LEN(AA225)-LEN(SUBSTITUTE(AA225,CHAR(10),""))))</f>
        <v/>
      </c>
    </row>
    <row r="226" customFormat="false" ht="15" hidden="false" customHeight="true" outlineLevel="0" collapsed="false">
      <c r="A226" s="33" t="str">
        <f aca="false">IF(Varian!$A49="","",Varian!$A49)</f>
        <v/>
      </c>
      <c r="B226" s="33" t="str">
        <f aca="false">IF($A226="","",Aturan!$A$22)</f>
        <v/>
      </c>
      <c r="C226" s="69" t="str">
        <f aca="false">IF($A226="","",IFERROR(IF(ISNUMBER(INDEX(CPU!$J$4:$J$64,MATCH(Varian!$J49,CPU!$A$4:$A$64,0))),INDEX(CPU!$J$4:$J$64,MATCH(Varian!$J49,CPU!$A$4:$A$64,0)),""),""))</f>
        <v/>
      </c>
      <c r="D226" s="69" t="str">
        <f aca="false">IF($A226="","",IFERROR(IF(ISNUMBER(INDEX(GPU!$G$4:$G$64,MATCH(Varian!$K49,GPU!$A$4:$A$64,0))),INDEX(GPU!$G$4:$G$64,MATCH(Varian!$K49,GPU!$A$4:$A$64,0)),""),""))</f>
        <v/>
      </c>
      <c r="E226" s="69" t="str">
        <f aca="false">IF($A226="","",IF(ISNUMBER(Varian!$M49),Varian!$M49,""))</f>
        <v/>
      </c>
      <c r="F226" s="69" t="str">
        <f aca="false">IF($A226="","",IF(ISNUMBER(Varian!$V49),Varian!$V49,""))</f>
        <v/>
      </c>
      <c r="G226" s="69" t="str">
        <f aca="false">IF($A226="","",IFERROR(INDEX(Aturan!$B$63:$B$66,MATCH(Varian!$AG49,Aturan!$A$63:$A$66,0)),""))</f>
        <v/>
      </c>
      <c r="H226" s="69" t="str">
        <f aca="false">IF($A226="","",IF(ISNUMBER(Varian!$AI49),Varian!$AI49,""))</f>
        <v/>
      </c>
      <c r="I226" s="33" t="str">
        <f aca="false">IF($A226="","",IF(Varian!$Q49="disolder","menempel di papan utama, tidak bisa ditambah",IF(OR(Varian!$Q49="slot",Varian!$Q49="setengah_disolder"),IF(Varian!$Q49="setengah_disolder","sebagian menempel, ","")&amp;IF(ISNUMBER(Varian!$U49),IF(AND(ISNUMBER(Varian!$M49),Varian!$U49&gt;Varian!$M49),"bisa dinaikkan lewat slot sampai "&amp;Varian!$U49&amp;" GB","sudah di batas maksimal "&amp;Varian!$U49&amp;" GB"),"ada slot, batas maksimalnya belum diketahui"),"belum diketahui apakah bisa ditambah")))</f>
        <v/>
      </c>
      <c r="J226" s="33" t="str">
        <f aca="false">IF($A226="","",IF(Varian!$Z49="ya","bisa diganti dengan yang lebih besar",IF(Varian!$Z49="tidak","menempel, tidak bisa diganti","belum diketahui apakah bisa diganti")))</f>
        <v/>
      </c>
      <c r="K226" s="70" t="str">
        <f aca="false">IF($A226="","",IF(AND(Aturan!$C$36="",Aturan!$D$36=""),"Tidak dinilai",IF(C226="","Belum ada data",IF(C226&lt;IF(Aturan!$C$36="",0,Aturan!$C$36),"Kurang",IF(C226&gt;=IF(Aturan!$D$36="",Aturan!$C$36,Aturan!$D$36),"Nyaman","Cukup")))))</f>
        <v/>
      </c>
      <c r="L226" s="70" t="str">
        <f aca="false">IF($A226="","",IF(AND(Aturan!$C$37="",Aturan!$D$37=""),"Tidak dinilai",IF(D226="","Belum ada data",IF(D226&lt;IF(Aturan!$C$37="",0,Aturan!$C$37),"Kurang",IF(D226&gt;=IF(Aturan!$D$37="",Aturan!$C$37,Aturan!$D$37),"Nyaman","Cukup")))))</f>
        <v/>
      </c>
      <c r="M226" s="70" t="str">
        <f aca="false">IF($A226="","",IF(AND(Aturan!$C$38="",Aturan!$D$38=""),"Tidak dinilai",IF(E226="","Belum ada data",IF(E226&lt;IF(Aturan!$C$38="",0,Aturan!$C$38),"Kurang",IF(E226&gt;=IF(Aturan!$D$38="",Aturan!$C$38,Aturan!$D$38),"Nyaman","Cukup")))))</f>
        <v/>
      </c>
      <c r="N226" s="70" t="str">
        <f aca="false">IF($A226="","",IF(AND(Aturan!$C$39="",Aturan!$D$39=""),"Tidak dinilai",IF(F226="","Belum ada data",IF(F226&lt;IF(Aturan!$C$39="",0,Aturan!$C$39),"Kurang",IF(F226&gt;=IF(Aturan!$D$39="",Aturan!$C$39,Aturan!$D$39),"Nyaman","Cukup")))))</f>
        <v/>
      </c>
      <c r="O226" s="70" t="str">
        <f aca="false">IF($A226="","",IF(AND(Aturan!$C$40="",Aturan!$D$40=""),"Tidak dinilai",IF(G226="","Belum ada data",IF(G226&lt;IF(Aturan!$C$40="",0,Aturan!$C$40),"Kurang",IF(G226&gt;=IF(Aturan!$D$40="",Aturan!$C$40,Aturan!$D$40),"Nyaman","Cukup")))))</f>
        <v/>
      </c>
      <c r="P226" s="70" t="str">
        <f aca="false">IF($A226="","",IF(AND(Aturan!$C$41="",Aturan!$D$41=""),"Tidak dinilai",IF(H226="","Belum ada data",IF(H226&lt;IF(Aturan!$C$41="",0,Aturan!$C$41),"Kurang",IF(H226&gt;=IF(Aturan!$D$41="",Aturan!$C$41,Aturan!$D$41),"Nyaman","Cukup")))))</f>
        <v/>
      </c>
      <c r="Q226" s="70" t="str">
        <f aca="false">IF($A226="","",IF(COUNTIF(K226:P226,"Tidak dinilai")=6,"Tidak dinilai",IF(COUNTIF(K226:P226,"Kurang")&gt;0,"Kurang cocok",IF(COUNTIF(K226:P226,"Belum ada data")&gt;0,"Data belum lengkap",IF(COUNTIF(K226:P226,"Cukup")&gt;0,"Bisa, dengan catatan","Cocok")))))</f>
        <v/>
      </c>
      <c r="R226" s="33" t="str">
        <f aca="false">IF($A226="","",IF(K226="Kurang","prosesor tingkat "&amp;C226&amp;" dari 5, di bawah batas minimal (tingkat "&amp;Aturan!$C$36&amp;")",IF(K226="Cukup","prosesor tingkat "&amp;C226&amp;" dari 5 cukup, nyamannya mulai tingkat "&amp;Aturan!$D$36,IF(K226="Belum ada data","tingkat prosesor belum diisi",""))))</f>
        <v/>
      </c>
      <c r="S226" s="33" t="str">
        <f aca="false">IF($A226="","",IF(L226="Kurang","grafis tingkat "&amp;D226&amp;" dari 5, di bawah batas minimal (tingkat "&amp;Aturan!$C$37&amp;")",IF(L226="Cukup","grafis tingkat "&amp;D226&amp;" dari 5 cukup, nyamannya mulai tingkat "&amp;Aturan!$D$37,IF(L226="Belum ada data","tingkat grafis belum diisi",""))))</f>
        <v/>
      </c>
      <c r="T226" s="33" t="str">
        <f aca="false">IF($A226="","",IF(M226="Kurang","RAM "&amp;E226&amp;" GB, di bawah batas minimal "&amp;Aturan!$C$38&amp;" GB ("&amp;I226&amp;")",IF(M226="Cukup","RAM "&amp;E226&amp;" GB cukup, nyamannya "&amp;Aturan!$D$38&amp;" GB atau lebih ("&amp;I226&amp;")",IF(M226="Belum ada data","ukuran RAM belum diisi",""))))</f>
        <v/>
      </c>
      <c r="U226" s="33" t="str">
        <f aca="false">IF($A226="","",IF(N226="Kurang","penyimpanan "&amp;F226&amp;" GB, di bawah batas minimal "&amp;Aturan!$C$39&amp;" GB ("&amp;J226&amp;")",IF(N226="Cukup","penyimpanan "&amp;F226&amp;" GB cukup, nyamannya "&amp;Aturan!$D$39&amp;" GB atau lebih ("&amp;J226&amp;")",IF(N226="Belum ada data","ukuran penyimpanan belum diisi",""))))</f>
        <v/>
      </c>
      <c r="V226" s="33" t="str">
        <f aca="false">IF($A226="","",IF(O226="Kurang","layar "&amp;Varian!$AG49&amp;", di bawah batas minimal ("&amp;IFERROR(INDEX(Aturan!$A$63:$A$66,MATCH(Aturan!$C$40,Aturan!$B$63:$B$66,0)),"peringkat "&amp;Aturan!$C$40)&amp;")",IF(O226="Cukup","layar "&amp;Varian!$AG49&amp;" cukup, nyamannya "&amp;IFERROR(INDEX(Aturan!$A$63:$A$66,MATCH(Aturan!$D$40,Aturan!$B$63:$B$66,0)),"peringkat "&amp;Aturan!$D$40),IF(O226="Belum ada data","jenis layar belum diketahui",""))))</f>
        <v/>
      </c>
      <c r="W226" s="33" t="str">
        <f aca="false">IF($A226="","",IF(P226="Kurang","layar "&amp;H226&amp;" Hz, di bawah batas minimal "&amp;Aturan!$C$41&amp;" Hz",IF(P226="Cukup","layar "&amp;H226&amp;" Hz cukup, nyamannya "&amp;Aturan!$D$41&amp;" Hz atau lebih",IF(P226="Belum ada data","refresh rate belum diketahui",""))))</f>
        <v/>
      </c>
      <c r="X226" s="33" t="str">
        <f aca="false">IF($A226="","",IF(K226="Kurang",R226&amp;"; ","")&amp;IF(L226="Kurang",S226&amp;"; ","")&amp;IF(M226="Kurang",T226&amp;"; ","")&amp;IF(N226="Kurang",U226&amp;"; ","")&amp;IF(O226="Kurang",V226&amp;"; ","")&amp;IF(P226="Kurang",W226&amp;"; ","")&amp;IF(K226="Belum ada data",R226&amp;"; ","")&amp;IF(L226="Belum ada data",S226&amp;"; ","")&amp;IF(M226="Belum ada data",T226&amp;"; ","")&amp;IF(N226="Belum ada data",U226&amp;"; ","")&amp;IF(O226="Belum ada data",V226&amp;"; ","")&amp;IF(P226="Belum ada data",W226&amp;"; ","")&amp;IF(K226="Cukup",R226&amp;"; ","")&amp;IF(L226="Cukup",S226&amp;"; ","")&amp;IF(M226="Cukup",T226&amp;"; ","")&amp;IF(N226="Cukup",U226&amp;"; ","")&amp;IF(O226="Cukup",V226&amp;"; ","")&amp;IF(P226="Cukup",W226&amp;"; ",""))</f>
        <v/>
      </c>
      <c r="Y226" s="33" t="str">
        <f aca="false">IF($A226="","",IF(K226="Nyaman","prosesor, ","")&amp;IF(L226="Nyaman","grafis, ","")&amp;IF(M226="Nyaman","RAM, ","")&amp;IF(N226="Nyaman","penyimpanan, ","")&amp;IF(O226="Nyaman","layar, ","")&amp;IF(P226="Nyaman","refresh rate, ",""))</f>
        <v/>
      </c>
      <c r="Z226" s="33" t="str">
        <f aca="false">IF($A226="","",IF(Q226="Tidak dinilai","Belum ada kriteria yang dinilai untuk kebutuhan ini.",IF(Q226="Cocok","Semua kriteria yang dinilai sudah nyaman: "&amp;LEFT(Y226,LEN(Y226)-2)&amp;".",UPPER(LEFT(X226,1))&amp;MID(X226,2,LEN(X226)-3)&amp;"."&amp;IF(Y226="",""," Sudah nyaman: "&amp;LEFT(Y226,LEN(Y226)-2)&amp;"."))))</f>
        <v/>
      </c>
      <c r="AA226" s="33"/>
      <c r="AB226" s="33"/>
      <c r="AC226" s="69"/>
    </row>
    <row r="227" customFormat="false" ht="15" hidden="false" customHeight="true" outlineLevel="0" collapsed="false">
      <c r="A227" s="33" t="str">
        <f aca="false">IF(Varian!$A49="","",Varian!$A49)</f>
        <v/>
      </c>
      <c r="B227" s="33" t="str">
        <f aca="false">IF($A227="","",Aturan!$A$23)</f>
        <v/>
      </c>
      <c r="C227" s="69" t="str">
        <f aca="false">IF($A227="","",IFERROR(IF(ISNUMBER(INDEX(CPU!$J$4:$J$64,MATCH(Varian!$J49,CPU!$A$4:$A$64,0))),INDEX(CPU!$J$4:$J$64,MATCH(Varian!$J49,CPU!$A$4:$A$64,0)),""),""))</f>
        <v/>
      </c>
      <c r="D227" s="69" t="str">
        <f aca="false">IF($A227="","",IFERROR(IF(ISNUMBER(INDEX(GPU!$G$4:$G$64,MATCH(Varian!$K49,GPU!$A$4:$A$64,0))),INDEX(GPU!$G$4:$G$64,MATCH(Varian!$K49,GPU!$A$4:$A$64,0)),""),""))</f>
        <v/>
      </c>
      <c r="E227" s="69" t="str">
        <f aca="false">IF($A227="","",IF(ISNUMBER(Varian!$M49),Varian!$M49,""))</f>
        <v/>
      </c>
      <c r="F227" s="69" t="str">
        <f aca="false">IF($A227="","",IF(ISNUMBER(Varian!$V49),Varian!$V49,""))</f>
        <v/>
      </c>
      <c r="G227" s="69" t="str">
        <f aca="false">IF($A227="","",IFERROR(INDEX(Aturan!$B$63:$B$66,MATCH(Varian!$AG49,Aturan!$A$63:$A$66,0)),""))</f>
        <v/>
      </c>
      <c r="H227" s="69" t="str">
        <f aca="false">IF($A227="","",IF(ISNUMBER(Varian!$AI49),Varian!$AI49,""))</f>
        <v/>
      </c>
      <c r="I227" s="33" t="str">
        <f aca="false">IF($A227="","",IF(Varian!$Q49="disolder","menempel di papan utama, tidak bisa ditambah",IF(OR(Varian!$Q49="slot",Varian!$Q49="setengah_disolder"),IF(Varian!$Q49="setengah_disolder","sebagian menempel, ","")&amp;IF(ISNUMBER(Varian!$U49),IF(AND(ISNUMBER(Varian!$M49),Varian!$U49&gt;Varian!$M49),"bisa dinaikkan lewat slot sampai "&amp;Varian!$U49&amp;" GB","sudah di batas maksimal "&amp;Varian!$U49&amp;" GB"),"ada slot, batas maksimalnya belum diketahui"),"belum diketahui apakah bisa ditambah")))</f>
        <v/>
      </c>
      <c r="J227" s="33" t="str">
        <f aca="false">IF($A227="","",IF(Varian!$Z49="ya","bisa diganti dengan yang lebih besar",IF(Varian!$Z49="tidak","menempel, tidak bisa diganti","belum diketahui apakah bisa diganti")))</f>
        <v/>
      </c>
      <c r="K227" s="70" t="str">
        <f aca="false">IF($A227="","",IF(AND(Aturan!$C$42="",Aturan!$D$42=""),"Tidak dinilai",IF(C227="","Belum ada data",IF(C227&lt;IF(Aturan!$C$42="",0,Aturan!$C$42),"Kurang",IF(C227&gt;=IF(Aturan!$D$42="",Aturan!$C$42,Aturan!$D$42),"Nyaman","Cukup")))))</f>
        <v/>
      </c>
      <c r="L227" s="70" t="str">
        <f aca="false">IF($A227="","",IF(AND(Aturan!$C$43="",Aturan!$D$43=""),"Tidak dinilai",IF(D227="","Belum ada data",IF(D227&lt;IF(Aturan!$C$43="",0,Aturan!$C$43),"Kurang",IF(D227&gt;=IF(Aturan!$D$43="",Aturan!$C$43,Aturan!$D$43),"Nyaman","Cukup")))))</f>
        <v/>
      </c>
      <c r="M227" s="70" t="str">
        <f aca="false">IF($A227="","",IF(AND(Aturan!$C$44="",Aturan!$D$44=""),"Tidak dinilai",IF(E227="","Belum ada data",IF(E227&lt;IF(Aturan!$C$44="",0,Aturan!$C$44),"Kurang",IF(E227&gt;=IF(Aturan!$D$44="",Aturan!$C$44,Aturan!$D$44),"Nyaman","Cukup")))))</f>
        <v/>
      </c>
      <c r="N227" s="70" t="str">
        <f aca="false">IF($A227="","",IF(AND(Aturan!$C$45="",Aturan!$D$45=""),"Tidak dinilai",IF(F227="","Belum ada data",IF(F227&lt;IF(Aturan!$C$45="",0,Aturan!$C$45),"Kurang",IF(F227&gt;=IF(Aturan!$D$45="",Aturan!$C$45,Aturan!$D$45),"Nyaman","Cukup")))))</f>
        <v/>
      </c>
      <c r="O227" s="70" t="str">
        <f aca="false">IF($A227="","",IF(AND(Aturan!$C$46="",Aturan!$D$46=""),"Tidak dinilai",IF(G227="","Belum ada data",IF(G227&lt;IF(Aturan!$C$46="",0,Aturan!$C$46),"Kurang",IF(G227&gt;=IF(Aturan!$D$46="",Aturan!$C$46,Aturan!$D$46),"Nyaman","Cukup")))))</f>
        <v/>
      </c>
      <c r="P227" s="70" t="str">
        <f aca="false">IF($A227="","",IF(AND(Aturan!$C$47="",Aturan!$D$47=""),"Tidak dinilai",IF(H227="","Belum ada data",IF(H227&lt;IF(Aturan!$C$47="",0,Aturan!$C$47),"Kurang",IF(H227&gt;=IF(Aturan!$D$47="",Aturan!$C$47,Aturan!$D$47),"Nyaman","Cukup")))))</f>
        <v/>
      </c>
      <c r="Q227" s="70" t="str">
        <f aca="false">IF($A227="","",IF(COUNTIF(K227:P227,"Tidak dinilai")=6,"Tidak dinilai",IF(COUNTIF(K227:P227,"Kurang")&gt;0,"Kurang cocok",IF(COUNTIF(K227:P227,"Belum ada data")&gt;0,"Data belum lengkap",IF(COUNTIF(K227:P227,"Cukup")&gt;0,"Bisa, dengan catatan","Cocok")))))</f>
        <v/>
      </c>
      <c r="R227" s="33" t="str">
        <f aca="false">IF($A227="","",IF(K227="Kurang","prosesor tingkat "&amp;C227&amp;" dari 5, di bawah batas minimal (tingkat "&amp;Aturan!$C$42&amp;")",IF(K227="Cukup","prosesor tingkat "&amp;C227&amp;" dari 5 cukup, nyamannya mulai tingkat "&amp;Aturan!$D$42,IF(K227="Belum ada data","tingkat prosesor belum diisi",""))))</f>
        <v/>
      </c>
      <c r="S227" s="33" t="str">
        <f aca="false">IF($A227="","",IF(L227="Kurang","grafis tingkat "&amp;D227&amp;" dari 5, di bawah batas minimal (tingkat "&amp;Aturan!$C$43&amp;")",IF(L227="Cukup","grafis tingkat "&amp;D227&amp;" dari 5 cukup, nyamannya mulai tingkat "&amp;Aturan!$D$43,IF(L227="Belum ada data","tingkat grafis belum diisi",""))))</f>
        <v/>
      </c>
      <c r="T227" s="33" t="str">
        <f aca="false">IF($A227="","",IF(M227="Kurang","RAM "&amp;E227&amp;" GB, di bawah batas minimal "&amp;Aturan!$C$44&amp;" GB ("&amp;I227&amp;")",IF(M227="Cukup","RAM "&amp;E227&amp;" GB cukup, nyamannya "&amp;Aturan!$D$44&amp;" GB atau lebih ("&amp;I227&amp;")",IF(M227="Belum ada data","ukuran RAM belum diisi",""))))</f>
        <v/>
      </c>
      <c r="U227" s="33" t="str">
        <f aca="false">IF($A227="","",IF(N227="Kurang","penyimpanan "&amp;F227&amp;" GB, di bawah batas minimal "&amp;Aturan!$C$45&amp;" GB ("&amp;J227&amp;")",IF(N227="Cukup","penyimpanan "&amp;F227&amp;" GB cukup, nyamannya "&amp;Aturan!$D$45&amp;" GB atau lebih ("&amp;J227&amp;")",IF(N227="Belum ada data","ukuran penyimpanan belum diisi",""))))</f>
        <v/>
      </c>
      <c r="V227" s="33" t="str">
        <f aca="false">IF($A227="","",IF(O227="Kurang","layar "&amp;Varian!$AG49&amp;", di bawah batas minimal ("&amp;IFERROR(INDEX(Aturan!$A$63:$A$66,MATCH(Aturan!$C$46,Aturan!$B$63:$B$66,0)),"peringkat "&amp;Aturan!$C$46)&amp;")",IF(O227="Cukup","layar "&amp;Varian!$AG49&amp;" cukup, nyamannya "&amp;IFERROR(INDEX(Aturan!$A$63:$A$66,MATCH(Aturan!$D$46,Aturan!$B$63:$B$66,0)),"peringkat "&amp;Aturan!$D$46),IF(O227="Belum ada data","jenis layar belum diketahui",""))))</f>
        <v/>
      </c>
      <c r="W227" s="33" t="str">
        <f aca="false">IF($A227="","",IF(P227="Kurang","layar "&amp;H227&amp;" Hz, di bawah batas minimal "&amp;Aturan!$C$47&amp;" Hz",IF(P227="Cukup","layar "&amp;H227&amp;" Hz cukup, nyamannya "&amp;Aturan!$D$47&amp;" Hz atau lebih",IF(P227="Belum ada data","refresh rate belum diketahui",""))))</f>
        <v/>
      </c>
      <c r="X227" s="33" t="str">
        <f aca="false">IF($A227="","",IF(K227="Kurang",R227&amp;"; ","")&amp;IF(L227="Kurang",S227&amp;"; ","")&amp;IF(M227="Kurang",T227&amp;"; ","")&amp;IF(N227="Kurang",U227&amp;"; ","")&amp;IF(O227="Kurang",V227&amp;"; ","")&amp;IF(P227="Kurang",W227&amp;"; ","")&amp;IF(K227="Belum ada data",R227&amp;"; ","")&amp;IF(L227="Belum ada data",S227&amp;"; ","")&amp;IF(M227="Belum ada data",T227&amp;"; ","")&amp;IF(N227="Belum ada data",U227&amp;"; ","")&amp;IF(O227="Belum ada data",V227&amp;"; ","")&amp;IF(P227="Belum ada data",W227&amp;"; ","")&amp;IF(K227="Cukup",R227&amp;"; ","")&amp;IF(L227="Cukup",S227&amp;"; ","")&amp;IF(M227="Cukup",T227&amp;"; ","")&amp;IF(N227="Cukup",U227&amp;"; ","")&amp;IF(O227="Cukup",V227&amp;"; ","")&amp;IF(P227="Cukup",W227&amp;"; ",""))</f>
        <v/>
      </c>
      <c r="Y227" s="33" t="str">
        <f aca="false">IF($A227="","",IF(K227="Nyaman","prosesor, ","")&amp;IF(L227="Nyaman","grafis, ","")&amp;IF(M227="Nyaman","RAM, ","")&amp;IF(N227="Nyaman","penyimpanan, ","")&amp;IF(O227="Nyaman","layar, ","")&amp;IF(P227="Nyaman","refresh rate, ",""))</f>
        <v/>
      </c>
      <c r="Z227" s="33" t="str">
        <f aca="false">IF($A227="","",IF(Q227="Tidak dinilai","Belum ada kriteria yang dinilai untuk kebutuhan ini.",IF(Q227="Cocok","Semua kriteria yang dinilai sudah nyaman: "&amp;LEFT(Y227,LEN(Y227)-2)&amp;".",UPPER(LEFT(X227,1))&amp;MID(X227,2,LEN(X227)-3)&amp;"."&amp;IF(Y227="",""," Sudah nyaman: "&amp;LEFT(Y227,LEN(Y227)-2)&amp;"."))))</f>
        <v/>
      </c>
      <c r="AA227" s="33"/>
      <c r="AB227" s="33"/>
      <c r="AC227" s="69"/>
    </row>
    <row r="228" customFormat="false" ht="15" hidden="false" customHeight="true" outlineLevel="0" collapsed="false">
      <c r="A228" s="33" t="str">
        <f aca="false">IF(Varian!$A49="","",Varian!$A49)</f>
        <v/>
      </c>
      <c r="B228" s="33" t="str">
        <f aca="false">IF($A228="","",Aturan!$A$24)</f>
        <v/>
      </c>
      <c r="C228" s="69" t="str">
        <f aca="false">IF($A228="","",IFERROR(IF(ISNUMBER(INDEX(CPU!$J$4:$J$64,MATCH(Varian!$J49,CPU!$A$4:$A$64,0))),INDEX(CPU!$J$4:$J$64,MATCH(Varian!$J49,CPU!$A$4:$A$64,0)),""),""))</f>
        <v/>
      </c>
      <c r="D228" s="69" t="str">
        <f aca="false">IF($A228="","",IFERROR(IF(ISNUMBER(INDEX(GPU!$G$4:$G$64,MATCH(Varian!$K49,GPU!$A$4:$A$64,0))),INDEX(GPU!$G$4:$G$64,MATCH(Varian!$K49,GPU!$A$4:$A$64,0)),""),""))</f>
        <v/>
      </c>
      <c r="E228" s="69" t="str">
        <f aca="false">IF($A228="","",IF(ISNUMBER(Varian!$M49),Varian!$M49,""))</f>
        <v/>
      </c>
      <c r="F228" s="69" t="str">
        <f aca="false">IF($A228="","",IF(ISNUMBER(Varian!$V49),Varian!$V49,""))</f>
        <v/>
      </c>
      <c r="G228" s="69" t="str">
        <f aca="false">IF($A228="","",IFERROR(INDEX(Aturan!$B$63:$B$66,MATCH(Varian!$AG49,Aturan!$A$63:$A$66,0)),""))</f>
        <v/>
      </c>
      <c r="H228" s="69" t="str">
        <f aca="false">IF($A228="","",IF(ISNUMBER(Varian!$AI49),Varian!$AI49,""))</f>
        <v/>
      </c>
      <c r="I228" s="33" t="str">
        <f aca="false">IF($A228="","",IF(Varian!$Q49="disolder","menempel di papan utama, tidak bisa ditambah",IF(OR(Varian!$Q49="slot",Varian!$Q49="setengah_disolder"),IF(Varian!$Q49="setengah_disolder","sebagian menempel, ","")&amp;IF(ISNUMBER(Varian!$U49),IF(AND(ISNUMBER(Varian!$M49),Varian!$U49&gt;Varian!$M49),"bisa dinaikkan lewat slot sampai "&amp;Varian!$U49&amp;" GB","sudah di batas maksimal "&amp;Varian!$U49&amp;" GB"),"ada slot, batas maksimalnya belum diketahui"),"belum diketahui apakah bisa ditambah")))</f>
        <v/>
      </c>
      <c r="J228" s="33" t="str">
        <f aca="false">IF($A228="","",IF(Varian!$Z49="ya","bisa diganti dengan yang lebih besar",IF(Varian!$Z49="tidak","menempel, tidak bisa diganti","belum diketahui apakah bisa diganti")))</f>
        <v/>
      </c>
      <c r="K228" s="70" t="str">
        <f aca="false">IF($A228="","",IF(AND(Aturan!$C$48="",Aturan!$D$48=""),"Tidak dinilai",IF(C228="","Belum ada data",IF(C228&lt;IF(Aturan!$C$48="",0,Aturan!$C$48),"Kurang",IF(C228&gt;=IF(Aturan!$D$48="",Aturan!$C$48,Aturan!$D$48),"Nyaman","Cukup")))))</f>
        <v/>
      </c>
      <c r="L228" s="70" t="str">
        <f aca="false">IF($A228="","",IF(AND(Aturan!$C$49="",Aturan!$D$49=""),"Tidak dinilai",IF(D228="","Belum ada data",IF(D228&lt;IF(Aturan!$C$49="",0,Aturan!$C$49),"Kurang",IF(D228&gt;=IF(Aturan!$D$49="",Aturan!$C$49,Aturan!$D$49),"Nyaman","Cukup")))))</f>
        <v/>
      </c>
      <c r="M228" s="70" t="str">
        <f aca="false">IF($A228="","",IF(AND(Aturan!$C$50="",Aturan!$D$50=""),"Tidak dinilai",IF(E228="","Belum ada data",IF(E228&lt;IF(Aturan!$C$50="",0,Aturan!$C$50),"Kurang",IF(E228&gt;=IF(Aturan!$D$50="",Aturan!$C$50,Aturan!$D$50),"Nyaman","Cukup")))))</f>
        <v/>
      </c>
      <c r="N228" s="70" t="str">
        <f aca="false">IF($A228="","",IF(AND(Aturan!$C$51="",Aturan!$D$51=""),"Tidak dinilai",IF(F228="","Belum ada data",IF(F228&lt;IF(Aturan!$C$51="",0,Aturan!$C$51),"Kurang",IF(F228&gt;=IF(Aturan!$D$51="",Aturan!$C$51,Aturan!$D$51),"Nyaman","Cukup")))))</f>
        <v/>
      </c>
      <c r="O228" s="70" t="str">
        <f aca="false">IF($A228="","",IF(AND(Aturan!$C$52="",Aturan!$D$52=""),"Tidak dinilai",IF(G228="","Belum ada data",IF(G228&lt;IF(Aturan!$C$52="",0,Aturan!$C$52),"Kurang",IF(G228&gt;=IF(Aturan!$D$52="",Aturan!$C$52,Aturan!$D$52),"Nyaman","Cukup")))))</f>
        <v/>
      </c>
      <c r="P228" s="70" t="str">
        <f aca="false">IF($A228="","",IF(AND(Aturan!$C$53="",Aturan!$D$53=""),"Tidak dinilai",IF(H228="","Belum ada data",IF(H228&lt;IF(Aturan!$C$53="",0,Aturan!$C$53),"Kurang",IF(H228&gt;=IF(Aturan!$D$53="",Aturan!$C$53,Aturan!$D$53),"Nyaman","Cukup")))))</f>
        <v/>
      </c>
      <c r="Q228" s="70" t="str">
        <f aca="false">IF($A228="","",IF(COUNTIF(K228:P228,"Tidak dinilai")=6,"Tidak dinilai",IF(COUNTIF(K228:P228,"Kurang")&gt;0,"Kurang cocok",IF(COUNTIF(K228:P228,"Belum ada data")&gt;0,"Data belum lengkap",IF(COUNTIF(K228:P228,"Cukup")&gt;0,"Bisa, dengan catatan","Cocok")))))</f>
        <v/>
      </c>
      <c r="R228" s="33" t="str">
        <f aca="false">IF($A228="","",IF(K228="Kurang","prosesor tingkat "&amp;C228&amp;" dari 5, di bawah batas minimal (tingkat "&amp;Aturan!$C$48&amp;")",IF(K228="Cukup","prosesor tingkat "&amp;C228&amp;" dari 5 cukup, nyamannya mulai tingkat "&amp;Aturan!$D$48,IF(K228="Belum ada data","tingkat prosesor belum diisi",""))))</f>
        <v/>
      </c>
      <c r="S228" s="33" t="str">
        <f aca="false">IF($A228="","",IF(L228="Kurang","grafis tingkat "&amp;D228&amp;" dari 5, di bawah batas minimal (tingkat "&amp;Aturan!$C$49&amp;")",IF(L228="Cukup","grafis tingkat "&amp;D228&amp;" dari 5 cukup, nyamannya mulai tingkat "&amp;Aturan!$D$49,IF(L228="Belum ada data","tingkat grafis belum diisi",""))))</f>
        <v/>
      </c>
      <c r="T228" s="33" t="str">
        <f aca="false">IF($A228="","",IF(M228="Kurang","RAM "&amp;E228&amp;" GB, di bawah batas minimal "&amp;Aturan!$C$50&amp;" GB ("&amp;I228&amp;")",IF(M228="Cukup","RAM "&amp;E228&amp;" GB cukup, nyamannya "&amp;Aturan!$D$50&amp;" GB atau lebih ("&amp;I228&amp;")",IF(M228="Belum ada data","ukuran RAM belum diisi",""))))</f>
        <v/>
      </c>
      <c r="U228" s="33" t="str">
        <f aca="false">IF($A228="","",IF(N228="Kurang","penyimpanan "&amp;F228&amp;" GB, di bawah batas minimal "&amp;Aturan!$C$51&amp;" GB ("&amp;J228&amp;")",IF(N228="Cukup","penyimpanan "&amp;F228&amp;" GB cukup, nyamannya "&amp;Aturan!$D$51&amp;" GB atau lebih ("&amp;J228&amp;")",IF(N228="Belum ada data","ukuran penyimpanan belum diisi",""))))</f>
        <v/>
      </c>
      <c r="V228" s="33" t="str">
        <f aca="false">IF($A228="","",IF(O228="Kurang","layar "&amp;Varian!$AG49&amp;", di bawah batas minimal ("&amp;IFERROR(INDEX(Aturan!$A$63:$A$66,MATCH(Aturan!$C$52,Aturan!$B$63:$B$66,0)),"peringkat "&amp;Aturan!$C$52)&amp;")",IF(O228="Cukup","layar "&amp;Varian!$AG49&amp;" cukup, nyamannya "&amp;IFERROR(INDEX(Aturan!$A$63:$A$66,MATCH(Aturan!$D$52,Aturan!$B$63:$B$66,0)),"peringkat "&amp;Aturan!$D$52),IF(O228="Belum ada data","jenis layar belum diketahui",""))))</f>
        <v/>
      </c>
      <c r="W228" s="33" t="str">
        <f aca="false">IF($A228="","",IF(P228="Kurang","layar "&amp;H228&amp;" Hz, di bawah batas minimal "&amp;Aturan!$C$53&amp;" Hz",IF(P228="Cukup","layar "&amp;H228&amp;" Hz cukup, nyamannya "&amp;Aturan!$D$53&amp;" Hz atau lebih",IF(P228="Belum ada data","refresh rate belum diketahui",""))))</f>
        <v/>
      </c>
      <c r="X228" s="33" t="str">
        <f aca="false">IF($A228="","",IF(K228="Kurang",R228&amp;"; ","")&amp;IF(L228="Kurang",S228&amp;"; ","")&amp;IF(M228="Kurang",T228&amp;"; ","")&amp;IF(N228="Kurang",U228&amp;"; ","")&amp;IF(O228="Kurang",V228&amp;"; ","")&amp;IF(P228="Kurang",W228&amp;"; ","")&amp;IF(K228="Belum ada data",R228&amp;"; ","")&amp;IF(L228="Belum ada data",S228&amp;"; ","")&amp;IF(M228="Belum ada data",T228&amp;"; ","")&amp;IF(N228="Belum ada data",U228&amp;"; ","")&amp;IF(O228="Belum ada data",V228&amp;"; ","")&amp;IF(P228="Belum ada data",W228&amp;"; ","")&amp;IF(K228="Cukup",R228&amp;"; ","")&amp;IF(L228="Cukup",S228&amp;"; ","")&amp;IF(M228="Cukup",T228&amp;"; ","")&amp;IF(N228="Cukup",U228&amp;"; ","")&amp;IF(O228="Cukup",V228&amp;"; ","")&amp;IF(P228="Cukup",W228&amp;"; ",""))</f>
        <v/>
      </c>
      <c r="Y228" s="33" t="str">
        <f aca="false">IF($A228="","",IF(K228="Nyaman","prosesor, ","")&amp;IF(L228="Nyaman","grafis, ","")&amp;IF(M228="Nyaman","RAM, ","")&amp;IF(N228="Nyaman","penyimpanan, ","")&amp;IF(O228="Nyaman","layar, ","")&amp;IF(P228="Nyaman","refresh rate, ",""))</f>
        <v/>
      </c>
      <c r="Z228" s="33" t="str">
        <f aca="false">IF($A228="","",IF(Q228="Tidak dinilai","Belum ada kriteria yang dinilai untuk kebutuhan ini.",IF(Q228="Cocok","Semua kriteria yang dinilai sudah nyaman: "&amp;LEFT(Y228,LEN(Y228)-2)&amp;".",UPPER(LEFT(X228,1))&amp;MID(X228,2,LEN(X228)-3)&amp;"."&amp;IF(Y228="",""," Sudah nyaman: "&amp;LEFT(Y228,LEN(Y228)-2)&amp;"."))))</f>
        <v/>
      </c>
      <c r="AA228" s="33"/>
      <c r="AB228" s="33"/>
      <c r="AC228" s="69"/>
    </row>
    <row r="229" customFormat="false" ht="15" hidden="false" customHeight="true" outlineLevel="0" collapsed="false">
      <c r="A229" s="33" t="str">
        <f aca="false">IF(Varian!$A49="","",Varian!$A49)</f>
        <v/>
      </c>
      <c r="B229" s="33" t="str">
        <f aca="false">IF($A229="","",Aturan!$A$25)</f>
        <v/>
      </c>
      <c r="C229" s="69" t="str">
        <f aca="false">IF($A229="","",IFERROR(IF(ISNUMBER(INDEX(CPU!$J$4:$J$64,MATCH(Varian!$J49,CPU!$A$4:$A$64,0))),INDEX(CPU!$J$4:$J$64,MATCH(Varian!$J49,CPU!$A$4:$A$64,0)),""),""))</f>
        <v/>
      </c>
      <c r="D229" s="69" t="str">
        <f aca="false">IF($A229="","",IFERROR(IF(ISNUMBER(INDEX(GPU!$G$4:$G$64,MATCH(Varian!$K49,GPU!$A$4:$A$64,0))),INDEX(GPU!$G$4:$G$64,MATCH(Varian!$K49,GPU!$A$4:$A$64,0)),""),""))</f>
        <v/>
      </c>
      <c r="E229" s="69" t="str">
        <f aca="false">IF($A229="","",IF(ISNUMBER(Varian!$M49),Varian!$M49,""))</f>
        <v/>
      </c>
      <c r="F229" s="69" t="str">
        <f aca="false">IF($A229="","",IF(ISNUMBER(Varian!$V49),Varian!$V49,""))</f>
        <v/>
      </c>
      <c r="G229" s="69" t="str">
        <f aca="false">IF($A229="","",IFERROR(INDEX(Aturan!$B$63:$B$66,MATCH(Varian!$AG49,Aturan!$A$63:$A$66,0)),""))</f>
        <v/>
      </c>
      <c r="H229" s="69" t="str">
        <f aca="false">IF($A229="","",IF(ISNUMBER(Varian!$AI49),Varian!$AI49,""))</f>
        <v/>
      </c>
      <c r="I229" s="33" t="str">
        <f aca="false">IF($A229="","",IF(Varian!$Q49="disolder","menempel di papan utama, tidak bisa ditambah",IF(OR(Varian!$Q49="slot",Varian!$Q49="setengah_disolder"),IF(Varian!$Q49="setengah_disolder","sebagian menempel, ","")&amp;IF(ISNUMBER(Varian!$U49),IF(AND(ISNUMBER(Varian!$M49),Varian!$U49&gt;Varian!$M49),"bisa dinaikkan lewat slot sampai "&amp;Varian!$U49&amp;" GB","sudah di batas maksimal "&amp;Varian!$U49&amp;" GB"),"ada slot, batas maksimalnya belum diketahui"),"belum diketahui apakah bisa ditambah")))</f>
        <v/>
      </c>
      <c r="J229" s="33" t="str">
        <f aca="false">IF($A229="","",IF(Varian!$Z49="ya","bisa diganti dengan yang lebih besar",IF(Varian!$Z49="tidak","menempel, tidak bisa diganti","belum diketahui apakah bisa diganti")))</f>
        <v/>
      </c>
      <c r="K229" s="70" t="str">
        <f aca="false">IF($A229="","",IF(AND(Aturan!$C$54="",Aturan!$D$54=""),"Tidak dinilai",IF(C229="","Belum ada data",IF(C229&lt;IF(Aturan!$C$54="",0,Aturan!$C$54),"Kurang",IF(C229&gt;=IF(Aturan!$D$54="",Aturan!$C$54,Aturan!$D$54),"Nyaman","Cukup")))))</f>
        <v/>
      </c>
      <c r="L229" s="70" t="str">
        <f aca="false">IF($A229="","",IF(AND(Aturan!$C$55="",Aturan!$D$55=""),"Tidak dinilai",IF(D229="","Belum ada data",IF(D229&lt;IF(Aturan!$C$55="",0,Aturan!$C$55),"Kurang",IF(D229&gt;=IF(Aturan!$D$55="",Aturan!$C$55,Aturan!$D$55),"Nyaman","Cukup")))))</f>
        <v/>
      </c>
      <c r="M229" s="70" t="str">
        <f aca="false">IF($A229="","",IF(AND(Aturan!$C$56="",Aturan!$D$56=""),"Tidak dinilai",IF(E229="","Belum ada data",IF(E229&lt;IF(Aturan!$C$56="",0,Aturan!$C$56),"Kurang",IF(E229&gt;=IF(Aturan!$D$56="",Aturan!$C$56,Aturan!$D$56),"Nyaman","Cukup")))))</f>
        <v/>
      </c>
      <c r="N229" s="70" t="str">
        <f aca="false">IF($A229="","",IF(AND(Aturan!$C$57="",Aturan!$D$57=""),"Tidak dinilai",IF(F229="","Belum ada data",IF(F229&lt;IF(Aturan!$C$57="",0,Aturan!$C$57),"Kurang",IF(F229&gt;=IF(Aturan!$D$57="",Aturan!$C$57,Aturan!$D$57),"Nyaman","Cukup")))))</f>
        <v/>
      </c>
      <c r="O229" s="70" t="str">
        <f aca="false">IF($A229="","",IF(AND(Aturan!$C$58="",Aturan!$D$58=""),"Tidak dinilai",IF(G229="","Belum ada data",IF(G229&lt;IF(Aturan!$C$58="",0,Aturan!$C$58),"Kurang",IF(G229&gt;=IF(Aturan!$D$58="",Aturan!$C$58,Aturan!$D$58),"Nyaman","Cukup")))))</f>
        <v/>
      </c>
      <c r="P229" s="70" t="str">
        <f aca="false">IF($A229="","",IF(AND(Aturan!$C$59="",Aturan!$D$59=""),"Tidak dinilai",IF(H229="","Belum ada data",IF(H229&lt;IF(Aturan!$C$59="",0,Aturan!$C$59),"Kurang",IF(H229&gt;=IF(Aturan!$D$59="",Aturan!$C$59,Aturan!$D$59),"Nyaman","Cukup")))))</f>
        <v/>
      </c>
      <c r="Q229" s="70" t="str">
        <f aca="false">IF($A229="","",IF(COUNTIF(K229:P229,"Tidak dinilai")=6,"Tidak dinilai",IF(COUNTIF(K229:P229,"Kurang")&gt;0,"Kurang cocok",IF(COUNTIF(K229:P229,"Belum ada data")&gt;0,"Data belum lengkap",IF(COUNTIF(K229:P229,"Cukup")&gt;0,"Bisa, dengan catatan","Cocok")))))</f>
        <v/>
      </c>
      <c r="R229" s="33" t="str">
        <f aca="false">IF($A229="","",IF(K229="Kurang","prosesor tingkat "&amp;C229&amp;" dari 5, di bawah batas minimal (tingkat "&amp;Aturan!$C$54&amp;")",IF(K229="Cukup","prosesor tingkat "&amp;C229&amp;" dari 5 cukup, nyamannya mulai tingkat "&amp;Aturan!$D$54,IF(K229="Belum ada data","tingkat prosesor belum diisi",""))))</f>
        <v/>
      </c>
      <c r="S229" s="33" t="str">
        <f aca="false">IF($A229="","",IF(L229="Kurang","grafis tingkat "&amp;D229&amp;" dari 5, di bawah batas minimal (tingkat "&amp;Aturan!$C$55&amp;")",IF(L229="Cukup","grafis tingkat "&amp;D229&amp;" dari 5 cukup, nyamannya mulai tingkat "&amp;Aturan!$D$55,IF(L229="Belum ada data","tingkat grafis belum diisi",""))))</f>
        <v/>
      </c>
      <c r="T229" s="33" t="str">
        <f aca="false">IF($A229="","",IF(M229="Kurang","RAM "&amp;E229&amp;" GB, di bawah batas minimal "&amp;Aturan!$C$56&amp;" GB ("&amp;I229&amp;")",IF(M229="Cukup","RAM "&amp;E229&amp;" GB cukup, nyamannya "&amp;Aturan!$D$56&amp;" GB atau lebih ("&amp;I229&amp;")",IF(M229="Belum ada data","ukuran RAM belum diisi",""))))</f>
        <v/>
      </c>
      <c r="U229" s="33" t="str">
        <f aca="false">IF($A229="","",IF(N229="Kurang","penyimpanan "&amp;F229&amp;" GB, di bawah batas minimal "&amp;Aturan!$C$57&amp;" GB ("&amp;J229&amp;")",IF(N229="Cukup","penyimpanan "&amp;F229&amp;" GB cukup, nyamannya "&amp;Aturan!$D$57&amp;" GB atau lebih ("&amp;J229&amp;")",IF(N229="Belum ada data","ukuran penyimpanan belum diisi",""))))</f>
        <v/>
      </c>
      <c r="V229" s="33" t="str">
        <f aca="false">IF($A229="","",IF(O229="Kurang","layar "&amp;Varian!$AG49&amp;", di bawah batas minimal ("&amp;IFERROR(INDEX(Aturan!$A$63:$A$66,MATCH(Aturan!$C$58,Aturan!$B$63:$B$66,0)),"peringkat "&amp;Aturan!$C$58)&amp;")",IF(O229="Cukup","layar "&amp;Varian!$AG49&amp;" cukup, nyamannya "&amp;IFERROR(INDEX(Aturan!$A$63:$A$66,MATCH(Aturan!$D$58,Aturan!$B$63:$B$66,0)),"peringkat "&amp;Aturan!$D$58),IF(O229="Belum ada data","jenis layar belum diketahui",""))))</f>
        <v/>
      </c>
      <c r="W229" s="33" t="str">
        <f aca="false">IF($A229="","",IF(P229="Kurang","layar "&amp;H229&amp;" Hz, di bawah batas minimal "&amp;Aturan!$C$59&amp;" Hz",IF(P229="Cukup","layar "&amp;H229&amp;" Hz cukup, nyamannya "&amp;Aturan!$D$59&amp;" Hz atau lebih",IF(P229="Belum ada data","refresh rate belum diketahui",""))))</f>
        <v/>
      </c>
      <c r="X229" s="33" t="str">
        <f aca="false">IF($A229="","",IF(K229="Kurang",R229&amp;"; ","")&amp;IF(L229="Kurang",S229&amp;"; ","")&amp;IF(M229="Kurang",T229&amp;"; ","")&amp;IF(N229="Kurang",U229&amp;"; ","")&amp;IF(O229="Kurang",V229&amp;"; ","")&amp;IF(P229="Kurang",W229&amp;"; ","")&amp;IF(K229="Belum ada data",R229&amp;"; ","")&amp;IF(L229="Belum ada data",S229&amp;"; ","")&amp;IF(M229="Belum ada data",T229&amp;"; ","")&amp;IF(N229="Belum ada data",U229&amp;"; ","")&amp;IF(O229="Belum ada data",V229&amp;"; ","")&amp;IF(P229="Belum ada data",W229&amp;"; ","")&amp;IF(K229="Cukup",R229&amp;"; ","")&amp;IF(L229="Cukup",S229&amp;"; ","")&amp;IF(M229="Cukup",T229&amp;"; ","")&amp;IF(N229="Cukup",U229&amp;"; ","")&amp;IF(O229="Cukup",V229&amp;"; ","")&amp;IF(P229="Cukup",W229&amp;"; ",""))</f>
        <v/>
      </c>
      <c r="Y229" s="33" t="str">
        <f aca="false">IF($A229="","",IF(K229="Nyaman","prosesor, ","")&amp;IF(L229="Nyaman","grafis, ","")&amp;IF(M229="Nyaman","RAM, ","")&amp;IF(N229="Nyaman","penyimpanan, ","")&amp;IF(O229="Nyaman","layar, ","")&amp;IF(P229="Nyaman","refresh rate, ",""))</f>
        <v/>
      </c>
      <c r="Z229" s="33" t="str">
        <f aca="false">IF($A229="","",IF(Q229="Tidak dinilai","Belum ada kriteria yang dinilai untuk kebutuhan ini.",IF(Q229="Cocok","Semua kriteria yang dinilai sudah nyaman: "&amp;LEFT(Y229,LEN(Y229)-2)&amp;".",UPPER(LEFT(X229,1))&amp;MID(X229,2,LEN(X229)-3)&amp;"."&amp;IF(Y229="",""," Sudah nyaman: "&amp;LEFT(Y229,LEN(Y229)-2)&amp;"."))))</f>
        <v/>
      </c>
      <c r="AA229" s="33"/>
      <c r="AB229" s="33"/>
      <c r="AC229" s="69"/>
    </row>
    <row r="230" customFormat="false" ht="15" hidden="false" customHeight="true" outlineLevel="0" collapsed="false">
      <c r="A230" s="66" t="str">
        <f aca="false">IF(Varian!$A50="","",Varian!$A50)</f>
        <v/>
      </c>
      <c r="B230" s="66" t="str">
        <f aca="false">IF($A230="","",Aturan!$A$21)</f>
        <v/>
      </c>
      <c r="C230" s="67" t="str">
        <f aca="false">IF($A230="","",IFERROR(IF(ISNUMBER(INDEX(CPU!$J$4:$J$64,MATCH(Varian!$J50,CPU!$A$4:$A$64,0))),INDEX(CPU!$J$4:$J$64,MATCH(Varian!$J50,CPU!$A$4:$A$64,0)),""),""))</f>
        <v/>
      </c>
      <c r="D230" s="67" t="str">
        <f aca="false">IF($A230="","",IFERROR(IF(ISNUMBER(INDEX(GPU!$G$4:$G$64,MATCH(Varian!$K50,GPU!$A$4:$A$64,0))),INDEX(GPU!$G$4:$G$64,MATCH(Varian!$K50,GPU!$A$4:$A$64,0)),""),""))</f>
        <v/>
      </c>
      <c r="E230" s="67" t="str">
        <f aca="false">IF($A230="","",IF(ISNUMBER(Varian!$M50),Varian!$M50,""))</f>
        <v/>
      </c>
      <c r="F230" s="67" t="str">
        <f aca="false">IF($A230="","",IF(ISNUMBER(Varian!$V50),Varian!$V50,""))</f>
        <v/>
      </c>
      <c r="G230" s="67" t="str">
        <f aca="false">IF($A230="","",IFERROR(INDEX(Aturan!$B$63:$B$66,MATCH(Varian!$AG50,Aturan!$A$63:$A$66,0)),""))</f>
        <v/>
      </c>
      <c r="H230" s="67" t="str">
        <f aca="false">IF($A230="","",IF(ISNUMBER(Varian!$AI50),Varian!$AI50,""))</f>
        <v/>
      </c>
      <c r="I230" s="66" t="str">
        <f aca="false">IF($A230="","",IF(Varian!$Q50="disolder","menempel di papan utama, tidak bisa ditambah",IF(OR(Varian!$Q50="slot",Varian!$Q50="setengah_disolder"),IF(Varian!$Q50="setengah_disolder","sebagian menempel, ","")&amp;IF(ISNUMBER(Varian!$U50),IF(AND(ISNUMBER(Varian!$M50),Varian!$U50&gt;Varian!$M50),"bisa dinaikkan lewat slot sampai "&amp;Varian!$U50&amp;" GB","sudah di batas maksimal "&amp;Varian!$U50&amp;" GB"),"ada slot, batas maksimalnya belum diketahui"),"belum diketahui apakah bisa ditambah")))</f>
        <v/>
      </c>
      <c r="J230" s="66" t="str">
        <f aca="false">IF($A230="","",IF(Varian!$Z50="ya","bisa diganti dengan yang lebih besar",IF(Varian!$Z50="tidak","menempel, tidak bisa diganti","belum diketahui apakah bisa diganti")))</f>
        <v/>
      </c>
      <c r="K230" s="68" t="str">
        <f aca="false">IF($A230="","",IF(AND(Aturan!$C$30="",Aturan!$D$30=""),"Tidak dinilai",IF(C230="","Belum ada data",IF(C230&lt;IF(Aturan!$C$30="",0,Aturan!$C$30),"Kurang",IF(C230&gt;=IF(Aturan!$D$30="",Aturan!$C$30,Aturan!$D$30),"Nyaman","Cukup")))))</f>
        <v/>
      </c>
      <c r="L230" s="68" t="str">
        <f aca="false">IF($A230="","",IF(AND(Aturan!$C$31="",Aturan!$D$31=""),"Tidak dinilai",IF(D230="","Belum ada data",IF(D230&lt;IF(Aturan!$C$31="",0,Aturan!$C$31),"Kurang",IF(D230&gt;=IF(Aturan!$D$31="",Aturan!$C$31,Aturan!$D$31),"Nyaman","Cukup")))))</f>
        <v/>
      </c>
      <c r="M230" s="68" t="str">
        <f aca="false">IF($A230="","",IF(AND(Aturan!$C$32="",Aturan!$D$32=""),"Tidak dinilai",IF(E230="","Belum ada data",IF(E230&lt;IF(Aturan!$C$32="",0,Aturan!$C$32),"Kurang",IF(E230&gt;=IF(Aturan!$D$32="",Aturan!$C$32,Aturan!$D$32),"Nyaman","Cukup")))))</f>
        <v/>
      </c>
      <c r="N230" s="68" t="str">
        <f aca="false">IF($A230="","",IF(AND(Aturan!$C$33="",Aturan!$D$33=""),"Tidak dinilai",IF(F230="","Belum ada data",IF(F230&lt;IF(Aturan!$C$33="",0,Aturan!$C$33),"Kurang",IF(F230&gt;=IF(Aturan!$D$33="",Aturan!$C$33,Aturan!$D$33),"Nyaman","Cukup")))))</f>
        <v/>
      </c>
      <c r="O230" s="68" t="str">
        <f aca="false">IF($A230="","",IF(AND(Aturan!$C$34="",Aturan!$D$34=""),"Tidak dinilai",IF(G230="","Belum ada data",IF(G230&lt;IF(Aturan!$C$34="",0,Aturan!$C$34),"Kurang",IF(G230&gt;=IF(Aturan!$D$34="",Aturan!$C$34,Aturan!$D$34),"Nyaman","Cukup")))))</f>
        <v/>
      </c>
      <c r="P230" s="68" t="str">
        <f aca="false">IF($A230="","",IF(AND(Aturan!$C$35="",Aturan!$D$35=""),"Tidak dinilai",IF(H230="","Belum ada data",IF(H230&lt;IF(Aturan!$C$35="",0,Aturan!$C$35),"Kurang",IF(H230&gt;=IF(Aturan!$D$35="",Aturan!$C$35,Aturan!$D$35),"Nyaman","Cukup")))))</f>
        <v/>
      </c>
      <c r="Q230" s="68" t="str">
        <f aca="false">IF($A230="","",IF(COUNTIF(K230:P230,"Tidak dinilai")=6,"Tidak dinilai",IF(COUNTIF(K230:P230,"Kurang")&gt;0,"Kurang cocok",IF(COUNTIF(K230:P230,"Belum ada data")&gt;0,"Data belum lengkap",IF(COUNTIF(K230:P230,"Cukup")&gt;0,"Bisa, dengan catatan","Cocok")))))</f>
        <v/>
      </c>
      <c r="R230" s="66" t="str">
        <f aca="false">IF($A230="","",IF(K230="Kurang","prosesor tingkat "&amp;C230&amp;" dari 5, di bawah batas minimal (tingkat "&amp;Aturan!$C$30&amp;")",IF(K230="Cukup","prosesor tingkat "&amp;C230&amp;" dari 5 cukup, nyamannya mulai tingkat "&amp;Aturan!$D$30,IF(K230="Belum ada data","tingkat prosesor belum diisi",""))))</f>
        <v/>
      </c>
      <c r="S230" s="66" t="str">
        <f aca="false">IF($A230="","",IF(L230="Kurang","grafis tingkat "&amp;D230&amp;" dari 5, di bawah batas minimal (tingkat "&amp;Aturan!$C$31&amp;")",IF(L230="Cukup","grafis tingkat "&amp;D230&amp;" dari 5 cukup, nyamannya mulai tingkat "&amp;Aturan!$D$31,IF(L230="Belum ada data","tingkat grafis belum diisi",""))))</f>
        <v/>
      </c>
      <c r="T230" s="66" t="str">
        <f aca="false">IF($A230="","",IF(M230="Kurang","RAM "&amp;E230&amp;" GB, di bawah batas minimal "&amp;Aturan!$C$32&amp;" GB ("&amp;I230&amp;")",IF(M230="Cukup","RAM "&amp;E230&amp;" GB cukup, nyamannya "&amp;Aturan!$D$32&amp;" GB atau lebih ("&amp;I230&amp;")",IF(M230="Belum ada data","ukuran RAM belum diisi",""))))</f>
        <v/>
      </c>
      <c r="U230" s="66" t="str">
        <f aca="false">IF($A230="","",IF(N230="Kurang","penyimpanan "&amp;F230&amp;" GB, di bawah batas minimal "&amp;Aturan!$C$33&amp;" GB ("&amp;J230&amp;")",IF(N230="Cukup","penyimpanan "&amp;F230&amp;" GB cukup, nyamannya "&amp;Aturan!$D$33&amp;" GB atau lebih ("&amp;J230&amp;")",IF(N230="Belum ada data","ukuran penyimpanan belum diisi",""))))</f>
        <v/>
      </c>
      <c r="V230" s="66" t="str">
        <f aca="false">IF($A230="","",IF(O230="Kurang","layar "&amp;Varian!$AG50&amp;", di bawah batas minimal ("&amp;IFERROR(INDEX(Aturan!$A$63:$A$66,MATCH(Aturan!$C$34,Aturan!$B$63:$B$66,0)),"peringkat "&amp;Aturan!$C$34)&amp;")",IF(O230="Cukup","layar "&amp;Varian!$AG50&amp;" cukup, nyamannya "&amp;IFERROR(INDEX(Aturan!$A$63:$A$66,MATCH(Aturan!$D$34,Aturan!$B$63:$B$66,0)),"peringkat "&amp;Aturan!$D$34),IF(O230="Belum ada data","jenis layar belum diketahui",""))))</f>
        <v/>
      </c>
      <c r="W230" s="66" t="str">
        <f aca="false">IF($A230="","",IF(P230="Kurang","layar "&amp;H230&amp;" Hz, di bawah batas minimal "&amp;Aturan!$C$35&amp;" Hz",IF(P230="Cukup","layar "&amp;H230&amp;" Hz cukup, nyamannya "&amp;Aturan!$D$35&amp;" Hz atau lebih",IF(P230="Belum ada data","refresh rate belum diketahui",""))))</f>
        <v/>
      </c>
      <c r="X230" s="66" t="str">
        <f aca="false">IF($A230="","",IF(K230="Kurang",R230&amp;"; ","")&amp;IF(L230="Kurang",S230&amp;"; ","")&amp;IF(M230="Kurang",T230&amp;"; ","")&amp;IF(N230="Kurang",U230&amp;"; ","")&amp;IF(O230="Kurang",V230&amp;"; ","")&amp;IF(P230="Kurang",W230&amp;"; ","")&amp;IF(K230="Belum ada data",R230&amp;"; ","")&amp;IF(L230="Belum ada data",S230&amp;"; ","")&amp;IF(M230="Belum ada data",T230&amp;"; ","")&amp;IF(N230="Belum ada data",U230&amp;"; ","")&amp;IF(O230="Belum ada data",V230&amp;"; ","")&amp;IF(P230="Belum ada data",W230&amp;"; ","")&amp;IF(K230="Cukup",R230&amp;"; ","")&amp;IF(L230="Cukup",S230&amp;"; ","")&amp;IF(M230="Cukup",T230&amp;"; ","")&amp;IF(N230="Cukup",U230&amp;"; ","")&amp;IF(O230="Cukup",V230&amp;"; ","")&amp;IF(P230="Cukup",W230&amp;"; ",""))</f>
        <v/>
      </c>
      <c r="Y230" s="66" t="str">
        <f aca="false">IF($A230="","",IF(K230="Nyaman","prosesor, ","")&amp;IF(L230="Nyaman","grafis, ","")&amp;IF(M230="Nyaman","RAM, ","")&amp;IF(N230="Nyaman","penyimpanan, ","")&amp;IF(O230="Nyaman","layar, ","")&amp;IF(P230="Nyaman","refresh rate, ",""))</f>
        <v/>
      </c>
      <c r="Z230" s="66" t="str">
        <f aca="false">IF($A230="","",IF(Q230="Tidak dinilai","Belum ada kriteria yang dinilai untuk kebutuhan ini.",IF(Q230="Cocok","Semua kriteria yang dinilai sudah nyaman: "&amp;LEFT(Y230,LEN(Y230)-2)&amp;".",UPPER(LEFT(X230,1))&amp;MID(X230,2,LEN(X230)-3)&amp;"."&amp;IF(Y230="",""," Sudah nyaman: "&amp;LEFT(Y230,LEN(Y230)-2)&amp;"."))))</f>
        <v/>
      </c>
      <c r="AA230" s="66" t="str">
        <f aca="false">IF($A230="","",IF(Varian!$AR50="Windows 10","• "&amp;Aturan!$E$71&amp;CHAR(10),"")&amp;IF(Varian!$BB50="tidak","• "&amp;Aturan!$E$72&amp;CHAR(10),"")&amp;IF(OR(Varian!$AD50="belum terverifikasi",Varian!$AD50="tidak diketahui"),"• "&amp;Aturan!$E$73&amp;CHAR(10),"")&amp;IF(Varian!$AH50="1366x768","• "&amp;Aturan!$E$74&amp;CHAR(10),"")&amp;IF(Varian!$AG50="TN","• "&amp;Aturan!$E$75&amp;CHAR(10),"")&amp;IF(AND(Varian!$Q50="disolder",ISNUMBER(Varian!$M50),Varian!$M50&lt;=8),"• "&amp;Aturan!$E$76&amp;CHAR(10),""))</f>
        <v/>
      </c>
      <c r="AB230" s="66" t="str">
        <f aca="false">IF($A230="","",IF(AA230="","",LEFT(AA230,LEN(AA230)-1)))</f>
        <v/>
      </c>
      <c r="AC230" s="67" t="str">
        <f aca="false">IF($A230="","",IF(AA230="",0,LEN(AA230)-LEN(SUBSTITUTE(AA230,CHAR(10),""))))</f>
        <v/>
      </c>
    </row>
    <row r="231" customFormat="false" ht="15" hidden="false" customHeight="true" outlineLevel="0" collapsed="false">
      <c r="A231" s="33" t="str">
        <f aca="false">IF(Varian!$A50="","",Varian!$A50)</f>
        <v/>
      </c>
      <c r="B231" s="33" t="str">
        <f aca="false">IF($A231="","",Aturan!$A$22)</f>
        <v/>
      </c>
      <c r="C231" s="69" t="str">
        <f aca="false">IF($A231="","",IFERROR(IF(ISNUMBER(INDEX(CPU!$J$4:$J$64,MATCH(Varian!$J50,CPU!$A$4:$A$64,0))),INDEX(CPU!$J$4:$J$64,MATCH(Varian!$J50,CPU!$A$4:$A$64,0)),""),""))</f>
        <v/>
      </c>
      <c r="D231" s="69" t="str">
        <f aca="false">IF($A231="","",IFERROR(IF(ISNUMBER(INDEX(GPU!$G$4:$G$64,MATCH(Varian!$K50,GPU!$A$4:$A$64,0))),INDEX(GPU!$G$4:$G$64,MATCH(Varian!$K50,GPU!$A$4:$A$64,0)),""),""))</f>
        <v/>
      </c>
      <c r="E231" s="69" t="str">
        <f aca="false">IF($A231="","",IF(ISNUMBER(Varian!$M50),Varian!$M50,""))</f>
        <v/>
      </c>
      <c r="F231" s="69" t="str">
        <f aca="false">IF($A231="","",IF(ISNUMBER(Varian!$V50),Varian!$V50,""))</f>
        <v/>
      </c>
      <c r="G231" s="69" t="str">
        <f aca="false">IF($A231="","",IFERROR(INDEX(Aturan!$B$63:$B$66,MATCH(Varian!$AG50,Aturan!$A$63:$A$66,0)),""))</f>
        <v/>
      </c>
      <c r="H231" s="69" t="str">
        <f aca="false">IF($A231="","",IF(ISNUMBER(Varian!$AI50),Varian!$AI50,""))</f>
        <v/>
      </c>
      <c r="I231" s="33" t="str">
        <f aca="false">IF($A231="","",IF(Varian!$Q50="disolder","menempel di papan utama, tidak bisa ditambah",IF(OR(Varian!$Q50="slot",Varian!$Q50="setengah_disolder"),IF(Varian!$Q50="setengah_disolder","sebagian menempel, ","")&amp;IF(ISNUMBER(Varian!$U50),IF(AND(ISNUMBER(Varian!$M50),Varian!$U50&gt;Varian!$M50),"bisa dinaikkan lewat slot sampai "&amp;Varian!$U50&amp;" GB","sudah di batas maksimal "&amp;Varian!$U50&amp;" GB"),"ada slot, batas maksimalnya belum diketahui"),"belum diketahui apakah bisa ditambah")))</f>
        <v/>
      </c>
      <c r="J231" s="33" t="str">
        <f aca="false">IF($A231="","",IF(Varian!$Z50="ya","bisa diganti dengan yang lebih besar",IF(Varian!$Z50="tidak","menempel, tidak bisa diganti","belum diketahui apakah bisa diganti")))</f>
        <v/>
      </c>
      <c r="K231" s="70" t="str">
        <f aca="false">IF($A231="","",IF(AND(Aturan!$C$36="",Aturan!$D$36=""),"Tidak dinilai",IF(C231="","Belum ada data",IF(C231&lt;IF(Aturan!$C$36="",0,Aturan!$C$36),"Kurang",IF(C231&gt;=IF(Aturan!$D$36="",Aturan!$C$36,Aturan!$D$36),"Nyaman","Cukup")))))</f>
        <v/>
      </c>
      <c r="L231" s="70" t="str">
        <f aca="false">IF($A231="","",IF(AND(Aturan!$C$37="",Aturan!$D$37=""),"Tidak dinilai",IF(D231="","Belum ada data",IF(D231&lt;IF(Aturan!$C$37="",0,Aturan!$C$37),"Kurang",IF(D231&gt;=IF(Aturan!$D$37="",Aturan!$C$37,Aturan!$D$37),"Nyaman","Cukup")))))</f>
        <v/>
      </c>
      <c r="M231" s="70" t="str">
        <f aca="false">IF($A231="","",IF(AND(Aturan!$C$38="",Aturan!$D$38=""),"Tidak dinilai",IF(E231="","Belum ada data",IF(E231&lt;IF(Aturan!$C$38="",0,Aturan!$C$38),"Kurang",IF(E231&gt;=IF(Aturan!$D$38="",Aturan!$C$38,Aturan!$D$38),"Nyaman","Cukup")))))</f>
        <v/>
      </c>
      <c r="N231" s="70" t="str">
        <f aca="false">IF($A231="","",IF(AND(Aturan!$C$39="",Aturan!$D$39=""),"Tidak dinilai",IF(F231="","Belum ada data",IF(F231&lt;IF(Aturan!$C$39="",0,Aturan!$C$39),"Kurang",IF(F231&gt;=IF(Aturan!$D$39="",Aturan!$C$39,Aturan!$D$39),"Nyaman","Cukup")))))</f>
        <v/>
      </c>
      <c r="O231" s="70" t="str">
        <f aca="false">IF($A231="","",IF(AND(Aturan!$C$40="",Aturan!$D$40=""),"Tidak dinilai",IF(G231="","Belum ada data",IF(G231&lt;IF(Aturan!$C$40="",0,Aturan!$C$40),"Kurang",IF(G231&gt;=IF(Aturan!$D$40="",Aturan!$C$40,Aturan!$D$40),"Nyaman","Cukup")))))</f>
        <v/>
      </c>
      <c r="P231" s="70" t="str">
        <f aca="false">IF($A231="","",IF(AND(Aturan!$C$41="",Aturan!$D$41=""),"Tidak dinilai",IF(H231="","Belum ada data",IF(H231&lt;IF(Aturan!$C$41="",0,Aturan!$C$41),"Kurang",IF(H231&gt;=IF(Aturan!$D$41="",Aturan!$C$41,Aturan!$D$41),"Nyaman","Cukup")))))</f>
        <v/>
      </c>
      <c r="Q231" s="70" t="str">
        <f aca="false">IF($A231="","",IF(COUNTIF(K231:P231,"Tidak dinilai")=6,"Tidak dinilai",IF(COUNTIF(K231:P231,"Kurang")&gt;0,"Kurang cocok",IF(COUNTIF(K231:P231,"Belum ada data")&gt;0,"Data belum lengkap",IF(COUNTIF(K231:P231,"Cukup")&gt;0,"Bisa, dengan catatan","Cocok")))))</f>
        <v/>
      </c>
      <c r="R231" s="33" t="str">
        <f aca="false">IF($A231="","",IF(K231="Kurang","prosesor tingkat "&amp;C231&amp;" dari 5, di bawah batas minimal (tingkat "&amp;Aturan!$C$36&amp;")",IF(K231="Cukup","prosesor tingkat "&amp;C231&amp;" dari 5 cukup, nyamannya mulai tingkat "&amp;Aturan!$D$36,IF(K231="Belum ada data","tingkat prosesor belum diisi",""))))</f>
        <v/>
      </c>
      <c r="S231" s="33" t="str">
        <f aca="false">IF($A231="","",IF(L231="Kurang","grafis tingkat "&amp;D231&amp;" dari 5, di bawah batas minimal (tingkat "&amp;Aturan!$C$37&amp;")",IF(L231="Cukup","grafis tingkat "&amp;D231&amp;" dari 5 cukup, nyamannya mulai tingkat "&amp;Aturan!$D$37,IF(L231="Belum ada data","tingkat grafis belum diisi",""))))</f>
        <v/>
      </c>
      <c r="T231" s="33" t="str">
        <f aca="false">IF($A231="","",IF(M231="Kurang","RAM "&amp;E231&amp;" GB, di bawah batas minimal "&amp;Aturan!$C$38&amp;" GB ("&amp;I231&amp;")",IF(M231="Cukup","RAM "&amp;E231&amp;" GB cukup, nyamannya "&amp;Aturan!$D$38&amp;" GB atau lebih ("&amp;I231&amp;")",IF(M231="Belum ada data","ukuran RAM belum diisi",""))))</f>
        <v/>
      </c>
      <c r="U231" s="33" t="str">
        <f aca="false">IF($A231="","",IF(N231="Kurang","penyimpanan "&amp;F231&amp;" GB, di bawah batas minimal "&amp;Aturan!$C$39&amp;" GB ("&amp;J231&amp;")",IF(N231="Cukup","penyimpanan "&amp;F231&amp;" GB cukup, nyamannya "&amp;Aturan!$D$39&amp;" GB atau lebih ("&amp;J231&amp;")",IF(N231="Belum ada data","ukuran penyimpanan belum diisi",""))))</f>
        <v/>
      </c>
      <c r="V231" s="33" t="str">
        <f aca="false">IF($A231="","",IF(O231="Kurang","layar "&amp;Varian!$AG50&amp;", di bawah batas minimal ("&amp;IFERROR(INDEX(Aturan!$A$63:$A$66,MATCH(Aturan!$C$40,Aturan!$B$63:$B$66,0)),"peringkat "&amp;Aturan!$C$40)&amp;")",IF(O231="Cukup","layar "&amp;Varian!$AG50&amp;" cukup, nyamannya "&amp;IFERROR(INDEX(Aturan!$A$63:$A$66,MATCH(Aturan!$D$40,Aturan!$B$63:$B$66,0)),"peringkat "&amp;Aturan!$D$40),IF(O231="Belum ada data","jenis layar belum diketahui",""))))</f>
        <v/>
      </c>
      <c r="W231" s="33" t="str">
        <f aca="false">IF($A231="","",IF(P231="Kurang","layar "&amp;H231&amp;" Hz, di bawah batas minimal "&amp;Aturan!$C$41&amp;" Hz",IF(P231="Cukup","layar "&amp;H231&amp;" Hz cukup, nyamannya "&amp;Aturan!$D$41&amp;" Hz atau lebih",IF(P231="Belum ada data","refresh rate belum diketahui",""))))</f>
        <v/>
      </c>
      <c r="X231" s="33" t="str">
        <f aca="false">IF($A231="","",IF(K231="Kurang",R231&amp;"; ","")&amp;IF(L231="Kurang",S231&amp;"; ","")&amp;IF(M231="Kurang",T231&amp;"; ","")&amp;IF(N231="Kurang",U231&amp;"; ","")&amp;IF(O231="Kurang",V231&amp;"; ","")&amp;IF(P231="Kurang",W231&amp;"; ","")&amp;IF(K231="Belum ada data",R231&amp;"; ","")&amp;IF(L231="Belum ada data",S231&amp;"; ","")&amp;IF(M231="Belum ada data",T231&amp;"; ","")&amp;IF(N231="Belum ada data",U231&amp;"; ","")&amp;IF(O231="Belum ada data",V231&amp;"; ","")&amp;IF(P231="Belum ada data",W231&amp;"; ","")&amp;IF(K231="Cukup",R231&amp;"; ","")&amp;IF(L231="Cukup",S231&amp;"; ","")&amp;IF(M231="Cukup",T231&amp;"; ","")&amp;IF(N231="Cukup",U231&amp;"; ","")&amp;IF(O231="Cukup",V231&amp;"; ","")&amp;IF(P231="Cukup",W231&amp;"; ",""))</f>
        <v/>
      </c>
      <c r="Y231" s="33" t="str">
        <f aca="false">IF($A231="","",IF(K231="Nyaman","prosesor, ","")&amp;IF(L231="Nyaman","grafis, ","")&amp;IF(M231="Nyaman","RAM, ","")&amp;IF(N231="Nyaman","penyimpanan, ","")&amp;IF(O231="Nyaman","layar, ","")&amp;IF(P231="Nyaman","refresh rate, ",""))</f>
        <v/>
      </c>
      <c r="Z231" s="33" t="str">
        <f aca="false">IF($A231="","",IF(Q231="Tidak dinilai","Belum ada kriteria yang dinilai untuk kebutuhan ini.",IF(Q231="Cocok","Semua kriteria yang dinilai sudah nyaman: "&amp;LEFT(Y231,LEN(Y231)-2)&amp;".",UPPER(LEFT(X231,1))&amp;MID(X231,2,LEN(X231)-3)&amp;"."&amp;IF(Y231="",""," Sudah nyaman: "&amp;LEFT(Y231,LEN(Y231)-2)&amp;"."))))</f>
        <v/>
      </c>
      <c r="AA231" s="33"/>
      <c r="AB231" s="33"/>
      <c r="AC231" s="69"/>
    </row>
    <row r="232" customFormat="false" ht="15" hidden="false" customHeight="true" outlineLevel="0" collapsed="false">
      <c r="A232" s="33" t="str">
        <f aca="false">IF(Varian!$A50="","",Varian!$A50)</f>
        <v/>
      </c>
      <c r="B232" s="33" t="str">
        <f aca="false">IF($A232="","",Aturan!$A$23)</f>
        <v/>
      </c>
      <c r="C232" s="69" t="str">
        <f aca="false">IF($A232="","",IFERROR(IF(ISNUMBER(INDEX(CPU!$J$4:$J$64,MATCH(Varian!$J50,CPU!$A$4:$A$64,0))),INDEX(CPU!$J$4:$J$64,MATCH(Varian!$J50,CPU!$A$4:$A$64,0)),""),""))</f>
        <v/>
      </c>
      <c r="D232" s="69" t="str">
        <f aca="false">IF($A232="","",IFERROR(IF(ISNUMBER(INDEX(GPU!$G$4:$G$64,MATCH(Varian!$K50,GPU!$A$4:$A$64,0))),INDEX(GPU!$G$4:$G$64,MATCH(Varian!$K50,GPU!$A$4:$A$64,0)),""),""))</f>
        <v/>
      </c>
      <c r="E232" s="69" t="str">
        <f aca="false">IF($A232="","",IF(ISNUMBER(Varian!$M50),Varian!$M50,""))</f>
        <v/>
      </c>
      <c r="F232" s="69" t="str">
        <f aca="false">IF($A232="","",IF(ISNUMBER(Varian!$V50),Varian!$V50,""))</f>
        <v/>
      </c>
      <c r="G232" s="69" t="str">
        <f aca="false">IF($A232="","",IFERROR(INDEX(Aturan!$B$63:$B$66,MATCH(Varian!$AG50,Aturan!$A$63:$A$66,0)),""))</f>
        <v/>
      </c>
      <c r="H232" s="69" t="str">
        <f aca="false">IF($A232="","",IF(ISNUMBER(Varian!$AI50),Varian!$AI50,""))</f>
        <v/>
      </c>
      <c r="I232" s="33" t="str">
        <f aca="false">IF($A232="","",IF(Varian!$Q50="disolder","menempel di papan utama, tidak bisa ditambah",IF(OR(Varian!$Q50="slot",Varian!$Q50="setengah_disolder"),IF(Varian!$Q50="setengah_disolder","sebagian menempel, ","")&amp;IF(ISNUMBER(Varian!$U50),IF(AND(ISNUMBER(Varian!$M50),Varian!$U50&gt;Varian!$M50),"bisa dinaikkan lewat slot sampai "&amp;Varian!$U50&amp;" GB","sudah di batas maksimal "&amp;Varian!$U50&amp;" GB"),"ada slot, batas maksimalnya belum diketahui"),"belum diketahui apakah bisa ditambah")))</f>
        <v/>
      </c>
      <c r="J232" s="33" t="str">
        <f aca="false">IF($A232="","",IF(Varian!$Z50="ya","bisa diganti dengan yang lebih besar",IF(Varian!$Z50="tidak","menempel, tidak bisa diganti","belum diketahui apakah bisa diganti")))</f>
        <v/>
      </c>
      <c r="K232" s="70" t="str">
        <f aca="false">IF($A232="","",IF(AND(Aturan!$C$42="",Aturan!$D$42=""),"Tidak dinilai",IF(C232="","Belum ada data",IF(C232&lt;IF(Aturan!$C$42="",0,Aturan!$C$42),"Kurang",IF(C232&gt;=IF(Aturan!$D$42="",Aturan!$C$42,Aturan!$D$42),"Nyaman","Cukup")))))</f>
        <v/>
      </c>
      <c r="L232" s="70" t="str">
        <f aca="false">IF($A232="","",IF(AND(Aturan!$C$43="",Aturan!$D$43=""),"Tidak dinilai",IF(D232="","Belum ada data",IF(D232&lt;IF(Aturan!$C$43="",0,Aturan!$C$43),"Kurang",IF(D232&gt;=IF(Aturan!$D$43="",Aturan!$C$43,Aturan!$D$43),"Nyaman","Cukup")))))</f>
        <v/>
      </c>
      <c r="M232" s="70" t="str">
        <f aca="false">IF($A232="","",IF(AND(Aturan!$C$44="",Aturan!$D$44=""),"Tidak dinilai",IF(E232="","Belum ada data",IF(E232&lt;IF(Aturan!$C$44="",0,Aturan!$C$44),"Kurang",IF(E232&gt;=IF(Aturan!$D$44="",Aturan!$C$44,Aturan!$D$44),"Nyaman","Cukup")))))</f>
        <v/>
      </c>
      <c r="N232" s="70" t="str">
        <f aca="false">IF($A232="","",IF(AND(Aturan!$C$45="",Aturan!$D$45=""),"Tidak dinilai",IF(F232="","Belum ada data",IF(F232&lt;IF(Aturan!$C$45="",0,Aturan!$C$45),"Kurang",IF(F232&gt;=IF(Aturan!$D$45="",Aturan!$C$45,Aturan!$D$45),"Nyaman","Cukup")))))</f>
        <v/>
      </c>
      <c r="O232" s="70" t="str">
        <f aca="false">IF($A232="","",IF(AND(Aturan!$C$46="",Aturan!$D$46=""),"Tidak dinilai",IF(G232="","Belum ada data",IF(G232&lt;IF(Aturan!$C$46="",0,Aturan!$C$46),"Kurang",IF(G232&gt;=IF(Aturan!$D$46="",Aturan!$C$46,Aturan!$D$46),"Nyaman","Cukup")))))</f>
        <v/>
      </c>
      <c r="P232" s="70" t="str">
        <f aca="false">IF($A232="","",IF(AND(Aturan!$C$47="",Aturan!$D$47=""),"Tidak dinilai",IF(H232="","Belum ada data",IF(H232&lt;IF(Aturan!$C$47="",0,Aturan!$C$47),"Kurang",IF(H232&gt;=IF(Aturan!$D$47="",Aturan!$C$47,Aturan!$D$47),"Nyaman","Cukup")))))</f>
        <v/>
      </c>
      <c r="Q232" s="70" t="str">
        <f aca="false">IF($A232="","",IF(COUNTIF(K232:P232,"Tidak dinilai")=6,"Tidak dinilai",IF(COUNTIF(K232:P232,"Kurang")&gt;0,"Kurang cocok",IF(COUNTIF(K232:P232,"Belum ada data")&gt;0,"Data belum lengkap",IF(COUNTIF(K232:P232,"Cukup")&gt;0,"Bisa, dengan catatan","Cocok")))))</f>
        <v/>
      </c>
      <c r="R232" s="33" t="str">
        <f aca="false">IF($A232="","",IF(K232="Kurang","prosesor tingkat "&amp;C232&amp;" dari 5, di bawah batas minimal (tingkat "&amp;Aturan!$C$42&amp;")",IF(K232="Cukup","prosesor tingkat "&amp;C232&amp;" dari 5 cukup, nyamannya mulai tingkat "&amp;Aturan!$D$42,IF(K232="Belum ada data","tingkat prosesor belum diisi",""))))</f>
        <v/>
      </c>
      <c r="S232" s="33" t="str">
        <f aca="false">IF($A232="","",IF(L232="Kurang","grafis tingkat "&amp;D232&amp;" dari 5, di bawah batas minimal (tingkat "&amp;Aturan!$C$43&amp;")",IF(L232="Cukup","grafis tingkat "&amp;D232&amp;" dari 5 cukup, nyamannya mulai tingkat "&amp;Aturan!$D$43,IF(L232="Belum ada data","tingkat grafis belum diisi",""))))</f>
        <v/>
      </c>
      <c r="T232" s="33" t="str">
        <f aca="false">IF($A232="","",IF(M232="Kurang","RAM "&amp;E232&amp;" GB, di bawah batas minimal "&amp;Aturan!$C$44&amp;" GB ("&amp;I232&amp;")",IF(M232="Cukup","RAM "&amp;E232&amp;" GB cukup, nyamannya "&amp;Aturan!$D$44&amp;" GB atau lebih ("&amp;I232&amp;")",IF(M232="Belum ada data","ukuran RAM belum diisi",""))))</f>
        <v/>
      </c>
      <c r="U232" s="33" t="str">
        <f aca="false">IF($A232="","",IF(N232="Kurang","penyimpanan "&amp;F232&amp;" GB, di bawah batas minimal "&amp;Aturan!$C$45&amp;" GB ("&amp;J232&amp;")",IF(N232="Cukup","penyimpanan "&amp;F232&amp;" GB cukup, nyamannya "&amp;Aturan!$D$45&amp;" GB atau lebih ("&amp;J232&amp;")",IF(N232="Belum ada data","ukuran penyimpanan belum diisi",""))))</f>
        <v/>
      </c>
      <c r="V232" s="33" t="str">
        <f aca="false">IF($A232="","",IF(O232="Kurang","layar "&amp;Varian!$AG50&amp;", di bawah batas minimal ("&amp;IFERROR(INDEX(Aturan!$A$63:$A$66,MATCH(Aturan!$C$46,Aturan!$B$63:$B$66,0)),"peringkat "&amp;Aturan!$C$46)&amp;")",IF(O232="Cukup","layar "&amp;Varian!$AG50&amp;" cukup, nyamannya "&amp;IFERROR(INDEX(Aturan!$A$63:$A$66,MATCH(Aturan!$D$46,Aturan!$B$63:$B$66,0)),"peringkat "&amp;Aturan!$D$46),IF(O232="Belum ada data","jenis layar belum diketahui",""))))</f>
        <v/>
      </c>
      <c r="W232" s="33" t="str">
        <f aca="false">IF($A232="","",IF(P232="Kurang","layar "&amp;H232&amp;" Hz, di bawah batas minimal "&amp;Aturan!$C$47&amp;" Hz",IF(P232="Cukup","layar "&amp;H232&amp;" Hz cukup, nyamannya "&amp;Aturan!$D$47&amp;" Hz atau lebih",IF(P232="Belum ada data","refresh rate belum diketahui",""))))</f>
        <v/>
      </c>
      <c r="X232" s="33" t="str">
        <f aca="false">IF($A232="","",IF(K232="Kurang",R232&amp;"; ","")&amp;IF(L232="Kurang",S232&amp;"; ","")&amp;IF(M232="Kurang",T232&amp;"; ","")&amp;IF(N232="Kurang",U232&amp;"; ","")&amp;IF(O232="Kurang",V232&amp;"; ","")&amp;IF(P232="Kurang",W232&amp;"; ","")&amp;IF(K232="Belum ada data",R232&amp;"; ","")&amp;IF(L232="Belum ada data",S232&amp;"; ","")&amp;IF(M232="Belum ada data",T232&amp;"; ","")&amp;IF(N232="Belum ada data",U232&amp;"; ","")&amp;IF(O232="Belum ada data",V232&amp;"; ","")&amp;IF(P232="Belum ada data",W232&amp;"; ","")&amp;IF(K232="Cukup",R232&amp;"; ","")&amp;IF(L232="Cukup",S232&amp;"; ","")&amp;IF(M232="Cukup",T232&amp;"; ","")&amp;IF(N232="Cukup",U232&amp;"; ","")&amp;IF(O232="Cukup",V232&amp;"; ","")&amp;IF(P232="Cukup",W232&amp;"; ",""))</f>
        <v/>
      </c>
      <c r="Y232" s="33" t="str">
        <f aca="false">IF($A232="","",IF(K232="Nyaman","prosesor, ","")&amp;IF(L232="Nyaman","grafis, ","")&amp;IF(M232="Nyaman","RAM, ","")&amp;IF(N232="Nyaman","penyimpanan, ","")&amp;IF(O232="Nyaman","layar, ","")&amp;IF(P232="Nyaman","refresh rate, ",""))</f>
        <v/>
      </c>
      <c r="Z232" s="33" t="str">
        <f aca="false">IF($A232="","",IF(Q232="Tidak dinilai","Belum ada kriteria yang dinilai untuk kebutuhan ini.",IF(Q232="Cocok","Semua kriteria yang dinilai sudah nyaman: "&amp;LEFT(Y232,LEN(Y232)-2)&amp;".",UPPER(LEFT(X232,1))&amp;MID(X232,2,LEN(X232)-3)&amp;"."&amp;IF(Y232="",""," Sudah nyaman: "&amp;LEFT(Y232,LEN(Y232)-2)&amp;"."))))</f>
        <v/>
      </c>
      <c r="AA232" s="33"/>
      <c r="AB232" s="33"/>
      <c r="AC232" s="69"/>
    </row>
    <row r="233" customFormat="false" ht="15" hidden="false" customHeight="true" outlineLevel="0" collapsed="false">
      <c r="A233" s="33" t="str">
        <f aca="false">IF(Varian!$A50="","",Varian!$A50)</f>
        <v/>
      </c>
      <c r="B233" s="33" t="str">
        <f aca="false">IF($A233="","",Aturan!$A$24)</f>
        <v/>
      </c>
      <c r="C233" s="69" t="str">
        <f aca="false">IF($A233="","",IFERROR(IF(ISNUMBER(INDEX(CPU!$J$4:$J$64,MATCH(Varian!$J50,CPU!$A$4:$A$64,0))),INDEX(CPU!$J$4:$J$64,MATCH(Varian!$J50,CPU!$A$4:$A$64,0)),""),""))</f>
        <v/>
      </c>
      <c r="D233" s="69" t="str">
        <f aca="false">IF($A233="","",IFERROR(IF(ISNUMBER(INDEX(GPU!$G$4:$G$64,MATCH(Varian!$K50,GPU!$A$4:$A$64,0))),INDEX(GPU!$G$4:$G$64,MATCH(Varian!$K50,GPU!$A$4:$A$64,0)),""),""))</f>
        <v/>
      </c>
      <c r="E233" s="69" t="str">
        <f aca="false">IF($A233="","",IF(ISNUMBER(Varian!$M50),Varian!$M50,""))</f>
        <v/>
      </c>
      <c r="F233" s="69" t="str">
        <f aca="false">IF($A233="","",IF(ISNUMBER(Varian!$V50),Varian!$V50,""))</f>
        <v/>
      </c>
      <c r="G233" s="69" t="str">
        <f aca="false">IF($A233="","",IFERROR(INDEX(Aturan!$B$63:$B$66,MATCH(Varian!$AG50,Aturan!$A$63:$A$66,0)),""))</f>
        <v/>
      </c>
      <c r="H233" s="69" t="str">
        <f aca="false">IF($A233="","",IF(ISNUMBER(Varian!$AI50),Varian!$AI50,""))</f>
        <v/>
      </c>
      <c r="I233" s="33" t="str">
        <f aca="false">IF($A233="","",IF(Varian!$Q50="disolder","menempel di papan utama, tidak bisa ditambah",IF(OR(Varian!$Q50="slot",Varian!$Q50="setengah_disolder"),IF(Varian!$Q50="setengah_disolder","sebagian menempel, ","")&amp;IF(ISNUMBER(Varian!$U50),IF(AND(ISNUMBER(Varian!$M50),Varian!$U50&gt;Varian!$M50),"bisa dinaikkan lewat slot sampai "&amp;Varian!$U50&amp;" GB","sudah di batas maksimal "&amp;Varian!$U50&amp;" GB"),"ada slot, batas maksimalnya belum diketahui"),"belum diketahui apakah bisa ditambah")))</f>
        <v/>
      </c>
      <c r="J233" s="33" t="str">
        <f aca="false">IF($A233="","",IF(Varian!$Z50="ya","bisa diganti dengan yang lebih besar",IF(Varian!$Z50="tidak","menempel, tidak bisa diganti","belum diketahui apakah bisa diganti")))</f>
        <v/>
      </c>
      <c r="K233" s="70" t="str">
        <f aca="false">IF($A233="","",IF(AND(Aturan!$C$48="",Aturan!$D$48=""),"Tidak dinilai",IF(C233="","Belum ada data",IF(C233&lt;IF(Aturan!$C$48="",0,Aturan!$C$48),"Kurang",IF(C233&gt;=IF(Aturan!$D$48="",Aturan!$C$48,Aturan!$D$48),"Nyaman","Cukup")))))</f>
        <v/>
      </c>
      <c r="L233" s="70" t="str">
        <f aca="false">IF($A233="","",IF(AND(Aturan!$C$49="",Aturan!$D$49=""),"Tidak dinilai",IF(D233="","Belum ada data",IF(D233&lt;IF(Aturan!$C$49="",0,Aturan!$C$49),"Kurang",IF(D233&gt;=IF(Aturan!$D$49="",Aturan!$C$49,Aturan!$D$49),"Nyaman","Cukup")))))</f>
        <v/>
      </c>
      <c r="M233" s="70" t="str">
        <f aca="false">IF($A233="","",IF(AND(Aturan!$C$50="",Aturan!$D$50=""),"Tidak dinilai",IF(E233="","Belum ada data",IF(E233&lt;IF(Aturan!$C$50="",0,Aturan!$C$50),"Kurang",IF(E233&gt;=IF(Aturan!$D$50="",Aturan!$C$50,Aturan!$D$50),"Nyaman","Cukup")))))</f>
        <v/>
      </c>
      <c r="N233" s="70" t="str">
        <f aca="false">IF($A233="","",IF(AND(Aturan!$C$51="",Aturan!$D$51=""),"Tidak dinilai",IF(F233="","Belum ada data",IF(F233&lt;IF(Aturan!$C$51="",0,Aturan!$C$51),"Kurang",IF(F233&gt;=IF(Aturan!$D$51="",Aturan!$C$51,Aturan!$D$51),"Nyaman","Cukup")))))</f>
        <v/>
      </c>
      <c r="O233" s="70" t="str">
        <f aca="false">IF($A233="","",IF(AND(Aturan!$C$52="",Aturan!$D$52=""),"Tidak dinilai",IF(G233="","Belum ada data",IF(G233&lt;IF(Aturan!$C$52="",0,Aturan!$C$52),"Kurang",IF(G233&gt;=IF(Aturan!$D$52="",Aturan!$C$52,Aturan!$D$52),"Nyaman","Cukup")))))</f>
        <v/>
      </c>
      <c r="P233" s="70" t="str">
        <f aca="false">IF($A233="","",IF(AND(Aturan!$C$53="",Aturan!$D$53=""),"Tidak dinilai",IF(H233="","Belum ada data",IF(H233&lt;IF(Aturan!$C$53="",0,Aturan!$C$53),"Kurang",IF(H233&gt;=IF(Aturan!$D$53="",Aturan!$C$53,Aturan!$D$53),"Nyaman","Cukup")))))</f>
        <v/>
      </c>
      <c r="Q233" s="70" t="str">
        <f aca="false">IF($A233="","",IF(COUNTIF(K233:P233,"Tidak dinilai")=6,"Tidak dinilai",IF(COUNTIF(K233:P233,"Kurang")&gt;0,"Kurang cocok",IF(COUNTIF(K233:P233,"Belum ada data")&gt;0,"Data belum lengkap",IF(COUNTIF(K233:P233,"Cukup")&gt;0,"Bisa, dengan catatan","Cocok")))))</f>
        <v/>
      </c>
      <c r="R233" s="33" t="str">
        <f aca="false">IF($A233="","",IF(K233="Kurang","prosesor tingkat "&amp;C233&amp;" dari 5, di bawah batas minimal (tingkat "&amp;Aturan!$C$48&amp;")",IF(K233="Cukup","prosesor tingkat "&amp;C233&amp;" dari 5 cukup, nyamannya mulai tingkat "&amp;Aturan!$D$48,IF(K233="Belum ada data","tingkat prosesor belum diisi",""))))</f>
        <v/>
      </c>
      <c r="S233" s="33" t="str">
        <f aca="false">IF($A233="","",IF(L233="Kurang","grafis tingkat "&amp;D233&amp;" dari 5, di bawah batas minimal (tingkat "&amp;Aturan!$C$49&amp;")",IF(L233="Cukup","grafis tingkat "&amp;D233&amp;" dari 5 cukup, nyamannya mulai tingkat "&amp;Aturan!$D$49,IF(L233="Belum ada data","tingkat grafis belum diisi",""))))</f>
        <v/>
      </c>
      <c r="T233" s="33" t="str">
        <f aca="false">IF($A233="","",IF(M233="Kurang","RAM "&amp;E233&amp;" GB, di bawah batas minimal "&amp;Aturan!$C$50&amp;" GB ("&amp;I233&amp;")",IF(M233="Cukup","RAM "&amp;E233&amp;" GB cukup, nyamannya "&amp;Aturan!$D$50&amp;" GB atau lebih ("&amp;I233&amp;")",IF(M233="Belum ada data","ukuran RAM belum diisi",""))))</f>
        <v/>
      </c>
      <c r="U233" s="33" t="str">
        <f aca="false">IF($A233="","",IF(N233="Kurang","penyimpanan "&amp;F233&amp;" GB, di bawah batas minimal "&amp;Aturan!$C$51&amp;" GB ("&amp;J233&amp;")",IF(N233="Cukup","penyimpanan "&amp;F233&amp;" GB cukup, nyamannya "&amp;Aturan!$D$51&amp;" GB atau lebih ("&amp;J233&amp;")",IF(N233="Belum ada data","ukuran penyimpanan belum diisi",""))))</f>
        <v/>
      </c>
      <c r="V233" s="33" t="str">
        <f aca="false">IF($A233="","",IF(O233="Kurang","layar "&amp;Varian!$AG50&amp;", di bawah batas minimal ("&amp;IFERROR(INDEX(Aturan!$A$63:$A$66,MATCH(Aturan!$C$52,Aturan!$B$63:$B$66,0)),"peringkat "&amp;Aturan!$C$52)&amp;")",IF(O233="Cukup","layar "&amp;Varian!$AG50&amp;" cukup, nyamannya "&amp;IFERROR(INDEX(Aturan!$A$63:$A$66,MATCH(Aturan!$D$52,Aturan!$B$63:$B$66,0)),"peringkat "&amp;Aturan!$D$52),IF(O233="Belum ada data","jenis layar belum diketahui",""))))</f>
        <v/>
      </c>
      <c r="W233" s="33" t="str">
        <f aca="false">IF($A233="","",IF(P233="Kurang","layar "&amp;H233&amp;" Hz, di bawah batas minimal "&amp;Aturan!$C$53&amp;" Hz",IF(P233="Cukup","layar "&amp;H233&amp;" Hz cukup, nyamannya "&amp;Aturan!$D$53&amp;" Hz atau lebih",IF(P233="Belum ada data","refresh rate belum diketahui",""))))</f>
        <v/>
      </c>
      <c r="X233" s="33" t="str">
        <f aca="false">IF($A233="","",IF(K233="Kurang",R233&amp;"; ","")&amp;IF(L233="Kurang",S233&amp;"; ","")&amp;IF(M233="Kurang",T233&amp;"; ","")&amp;IF(N233="Kurang",U233&amp;"; ","")&amp;IF(O233="Kurang",V233&amp;"; ","")&amp;IF(P233="Kurang",W233&amp;"; ","")&amp;IF(K233="Belum ada data",R233&amp;"; ","")&amp;IF(L233="Belum ada data",S233&amp;"; ","")&amp;IF(M233="Belum ada data",T233&amp;"; ","")&amp;IF(N233="Belum ada data",U233&amp;"; ","")&amp;IF(O233="Belum ada data",V233&amp;"; ","")&amp;IF(P233="Belum ada data",W233&amp;"; ","")&amp;IF(K233="Cukup",R233&amp;"; ","")&amp;IF(L233="Cukup",S233&amp;"; ","")&amp;IF(M233="Cukup",T233&amp;"; ","")&amp;IF(N233="Cukup",U233&amp;"; ","")&amp;IF(O233="Cukup",V233&amp;"; ","")&amp;IF(P233="Cukup",W233&amp;"; ",""))</f>
        <v/>
      </c>
      <c r="Y233" s="33" t="str">
        <f aca="false">IF($A233="","",IF(K233="Nyaman","prosesor, ","")&amp;IF(L233="Nyaman","grafis, ","")&amp;IF(M233="Nyaman","RAM, ","")&amp;IF(N233="Nyaman","penyimpanan, ","")&amp;IF(O233="Nyaman","layar, ","")&amp;IF(P233="Nyaman","refresh rate, ",""))</f>
        <v/>
      </c>
      <c r="Z233" s="33" t="str">
        <f aca="false">IF($A233="","",IF(Q233="Tidak dinilai","Belum ada kriteria yang dinilai untuk kebutuhan ini.",IF(Q233="Cocok","Semua kriteria yang dinilai sudah nyaman: "&amp;LEFT(Y233,LEN(Y233)-2)&amp;".",UPPER(LEFT(X233,1))&amp;MID(X233,2,LEN(X233)-3)&amp;"."&amp;IF(Y233="",""," Sudah nyaman: "&amp;LEFT(Y233,LEN(Y233)-2)&amp;"."))))</f>
        <v/>
      </c>
      <c r="AA233" s="33"/>
      <c r="AB233" s="33"/>
      <c r="AC233" s="69"/>
    </row>
    <row r="234" customFormat="false" ht="15" hidden="false" customHeight="true" outlineLevel="0" collapsed="false">
      <c r="A234" s="33" t="str">
        <f aca="false">IF(Varian!$A50="","",Varian!$A50)</f>
        <v/>
      </c>
      <c r="B234" s="33" t="str">
        <f aca="false">IF($A234="","",Aturan!$A$25)</f>
        <v/>
      </c>
      <c r="C234" s="69" t="str">
        <f aca="false">IF($A234="","",IFERROR(IF(ISNUMBER(INDEX(CPU!$J$4:$J$64,MATCH(Varian!$J50,CPU!$A$4:$A$64,0))),INDEX(CPU!$J$4:$J$64,MATCH(Varian!$J50,CPU!$A$4:$A$64,0)),""),""))</f>
        <v/>
      </c>
      <c r="D234" s="69" t="str">
        <f aca="false">IF($A234="","",IFERROR(IF(ISNUMBER(INDEX(GPU!$G$4:$G$64,MATCH(Varian!$K50,GPU!$A$4:$A$64,0))),INDEX(GPU!$G$4:$G$64,MATCH(Varian!$K50,GPU!$A$4:$A$64,0)),""),""))</f>
        <v/>
      </c>
      <c r="E234" s="69" t="str">
        <f aca="false">IF($A234="","",IF(ISNUMBER(Varian!$M50),Varian!$M50,""))</f>
        <v/>
      </c>
      <c r="F234" s="69" t="str">
        <f aca="false">IF($A234="","",IF(ISNUMBER(Varian!$V50),Varian!$V50,""))</f>
        <v/>
      </c>
      <c r="G234" s="69" t="str">
        <f aca="false">IF($A234="","",IFERROR(INDEX(Aturan!$B$63:$B$66,MATCH(Varian!$AG50,Aturan!$A$63:$A$66,0)),""))</f>
        <v/>
      </c>
      <c r="H234" s="69" t="str">
        <f aca="false">IF($A234="","",IF(ISNUMBER(Varian!$AI50),Varian!$AI50,""))</f>
        <v/>
      </c>
      <c r="I234" s="33" t="str">
        <f aca="false">IF($A234="","",IF(Varian!$Q50="disolder","menempel di papan utama, tidak bisa ditambah",IF(OR(Varian!$Q50="slot",Varian!$Q50="setengah_disolder"),IF(Varian!$Q50="setengah_disolder","sebagian menempel, ","")&amp;IF(ISNUMBER(Varian!$U50),IF(AND(ISNUMBER(Varian!$M50),Varian!$U50&gt;Varian!$M50),"bisa dinaikkan lewat slot sampai "&amp;Varian!$U50&amp;" GB","sudah di batas maksimal "&amp;Varian!$U50&amp;" GB"),"ada slot, batas maksimalnya belum diketahui"),"belum diketahui apakah bisa ditambah")))</f>
        <v/>
      </c>
      <c r="J234" s="33" t="str">
        <f aca="false">IF($A234="","",IF(Varian!$Z50="ya","bisa diganti dengan yang lebih besar",IF(Varian!$Z50="tidak","menempel, tidak bisa diganti","belum diketahui apakah bisa diganti")))</f>
        <v/>
      </c>
      <c r="K234" s="70" t="str">
        <f aca="false">IF($A234="","",IF(AND(Aturan!$C$54="",Aturan!$D$54=""),"Tidak dinilai",IF(C234="","Belum ada data",IF(C234&lt;IF(Aturan!$C$54="",0,Aturan!$C$54),"Kurang",IF(C234&gt;=IF(Aturan!$D$54="",Aturan!$C$54,Aturan!$D$54),"Nyaman","Cukup")))))</f>
        <v/>
      </c>
      <c r="L234" s="70" t="str">
        <f aca="false">IF($A234="","",IF(AND(Aturan!$C$55="",Aturan!$D$55=""),"Tidak dinilai",IF(D234="","Belum ada data",IF(D234&lt;IF(Aturan!$C$55="",0,Aturan!$C$55),"Kurang",IF(D234&gt;=IF(Aturan!$D$55="",Aturan!$C$55,Aturan!$D$55),"Nyaman","Cukup")))))</f>
        <v/>
      </c>
      <c r="M234" s="70" t="str">
        <f aca="false">IF($A234="","",IF(AND(Aturan!$C$56="",Aturan!$D$56=""),"Tidak dinilai",IF(E234="","Belum ada data",IF(E234&lt;IF(Aturan!$C$56="",0,Aturan!$C$56),"Kurang",IF(E234&gt;=IF(Aturan!$D$56="",Aturan!$C$56,Aturan!$D$56),"Nyaman","Cukup")))))</f>
        <v/>
      </c>
      <c r="N234" s="70" t="str">
        <f aca="false">IF($A234="","",IF(AND(Aturan!$C$57="",Aturan!$D$57=""),"Tidak dinilai",IF(F234="","Belum ada data",IF(F234&lt;IF(Aturan!$C$57="",0,Aturan!$C$57),"Kurang",IF(F234&gt;=IF(Aturan!$D$57="",Aturan!$C$57,Aturan!$D$57),"Nyaman","Cukup")))))</f>
        <v/>
      </c>
      <c r="O234" s="70" t="str">
        <f aca="false">IF($A234="","",IF(AND(Aturan!$C$58="",Aturan!$D$58=""),"Tidak dinilai",IF(G234="","Belum ada data",IF(G234&lt;IF(Aturan!$C$58="",0,Aturan!$C$58),"Kurang",IF(G234&gt;=IF(Aturan!$D$58="",Aturan!$C$58,Aturan!$D$58),"Nyaman","Cukup")))))</f>
        <v/>
      </c>
      <c r="P234" s="70" t="str">
        <f aca="false">IF($A234="","",IF(AND(Aturan!$C$59="",Aturan!$D$59=""),"Tidak dinilai",IF(H234="","Belum ada data",IF(H234&lt;IF(Aturan!$C$59="",0,Aturan!$C$59),"Kurang",IF(H234&gt;=IF(Aturan!$D$59="",Aturan!$C$59,Aturan!$D$59),"Nyaman","Cukup")))))</f>
        <v/>
      </c>
      <c r="Q234" s="70" t="str">
        <f aca="false">IF($A234="","",IF(COUNTIF(K234:P234,"Tidak dinilai")=6,"Tidak dinilai",IF(COUNTIF(K234:P234,"Kurang")&gt;0,"Kurang cocok",IF(COUNTIF(K234:P234,"Belum ada data")&gt;0,"Data belum lengkap",IF(COUNTIF(K234:P234,"Cukup")&gt;0,"Bisa, dengan catatan","Cocok")))))</f>
        <v/>
      </c>
      <c r="R234" s="33" t="str">
        <f aca="false">IF($A234="","",IF(K234="Kurang","prosesor tingkat "&amp;C234&amp;" dari 5, di bawah batas minimal (tingkat "&amp;Aturan!$C$54&amp;")",IF(K234="Cukup","prosesor tingkat "&amp;C234&amp;" dari 5 cukup, nyamannya mulai tingkat "&amp;Aturan!$D$54,IF(K234="Belum ada data","tingkat prosesor belum diisi",""))))</f>
        <v/>
      </c>
      <c r="S234" s="33" t="str">
        <f aca="false">IF($A234="","",IF(L234="Kurang","grafis tingkat "&amp;D234&amp;" dari 5, di bawah batas minimal (tingkat "&amp;Aturan!$C$55&amp;")",IF(L234="Cukup","grafis tingkat "&amp;D234&amp;" dari 5 cukup, nyamannya mulai tingkat "&amp;Aturan!$D$55,IF(L234="Belum ada data","tingkat grafis belum diisi",""))))</f>
        <v/>
      </c>
      <c r="T234" s="33" t="str">
        <f aca="false">IF($A234="","",IF(M234="Kurang","RAM "&amp;E234&amp;" GB, di bawah batas minimal "&amp;Aturan!$C$56&amp;" GB ("&amp;I234&amp;")",IF(M234="Cukup","RAM "&amp;E234&amp;" GB cukup, nyamannya "&amp;Aturan!$D$56&amp;" GB atau lebih ("&amp;I234&amp;")",IF(M234="Belum ada data","ukuran RAM belum diisi",""))))</f>
        <v/>
      </c>
      <c r="U234" s="33" t="str">
        <f aca="false">IF($A234="","",IF(N234="Kurang","penyimpanan "&amp;F234&amp;" GB, di bawah batas minimal "&amp;Aturan!$C$57&amp;" GB ("&amp;J234&amp;")",IF(N234="Cukup","penyimpanan "&amp;F234&amp;" GB cukup, nyamannya "&amp;Aturan!$D$57&amp;" GB atau lebih ("&amp;J234&amp;")",IF(N234="Belum ada data","ukuran penyimpanan belum diisi",""))))</f>
        <v/>
      </c>
      <c r="V234" s="33" t="str">
        <f aca="false">IF($A234="","",IF(O234="Kurang","layar "&amp;Varian!$AG50&amp;", di bawah batas minimal ("&amp;IFERROR(INDEX(Aturan!$A$63:$A$66,MATCH(Aturan!$C$58,Aturan!$B$63:$B$66,0)),"peringkat "&amp;Aturan!$C$58)&amp;")",IF(O234="Cukup","layar "&amp;Varian!$AG50&amp;" cukup, nyamannya "&amp;IFERROR(INDEX(Aturan!$A$63:$A$66,MATCH(Aturan!$D$58,Aturan!$B$63:$B$66,0)),"peringkat "&amp;Aturan!$D$58),IF(O234="Belum ada data","jenis layar belum diketahui",""))))</f>
        <v/>
      </c>
      <c r="W234" s="33" t="str">
        <f aca="false">IF($A234="","",IF(P234="Kurang","layar "&amp;H234&amp;" Hz, di bawah batas minimal "&amp;Aturan!$C$59&amp;" Hz",IF(P234="Cukup","layar "&amp;H234&amp;" Hz cukup, nyamannya "&amp;Aturan!$D$59&amp;" Hz atau lebih",IF(P234="Belum ada data","refresh rate belum diketahui",""))))</f>
        <v/>
      </c>
      <c r="X234" s="33" t="str">
        <f aca="false">IF($A234="","",IF(K234="Kurang",R234&amp;"; ","")&amp;IF(L234="Kurang",S234&amp;"; ","")&amp;IF(M234="Kurang",T234&amp;"; ","")&amp;IF(N234="Kurang",U234&amp;"; ","")&amp;IF(O234="Kurang",V234&amp;"; ","")&amp;IF(P234="Kurang",W234&amp;"; ","")&amp;IF(K234="Belum ada data",R234&amp;"; ","")&amp;IF(L234="Belum ada data",S234&amp;"; ","")&amp;IF(M234="Belum ada data",T234&amp;"; ","")&amp;IF(N234="Belum ada data",U234&amp;"; ","")&amp;IF(O234="Belum ada data",V234&amp;"; ","")&amp;IF(P234="Belum ada data",W234&amp;"; ","")&amp;IF(K234="Cukup",R234&amp;"; ","")&amp;IF(L234="Cukup",S234&amp;"; ","")&amp;IF(M234="Cukup",T234&amp;"; ","")&amp;IF(N234="Cukup",U234&amp;"; ","")&amp;IF(O234="Cukup",V234&amp;"; ","")&amp;IF(P234="Cukup",W234&amp;"; ",""))</f>
        <v/>
      </c>
      <c r="Y234" s="33" t="str">
        <f aca="false">IF($A234="","",IF(K234="Nyaman","prosesor, ","")&amp;IF(L234="Nyaman","grafis, ","")&amp;IF(M234="Nyaman","RAM, ","")&amp;IF(N234="Nyaman","penyimpanan, ","")&amp;IF(O234="Nyaman","layar, ","")&amp;IF(P234="Nyaman","refresh rate, ",""))</f>
        <v/>
      </c>
      <c r="Z234" s="33" t="str">
        <f aca="false">IF($A234="","",IF(Q234="Tidak dinilai","Belum ada kriteria yang dinilai untuk kebutuhan ini.",IF(Q234="Cocok","Semua kriteria yang dinilai sudah nyaman: "&amp;LEFT(Y234,LEN(Y234)-2)&amp;".",UPPER(LEFT(X234,1))&amp;MID(X234,2,LEN(X234)-3)&amp;"."&amp;IF(Y234="",""," Sudah nyaman: "&amp;LEFT(Y234,LEN(Y234)-2)&amp;"."))))</f>
        <v/>
      </c>
      <c r="AA234" s="33"/>
      <c r="AB234" s="33"/>
      <c r="AC234" s="69"/>
    </row>
    <row r="235" customFormat="false" ht="15" hidden="false" customHeight="true" outlineLevel="0" collapsed="false">
      <c r="A235" s="66" t="str">
        <f aca="false">IF(Varian!$A51="","",Varian!$A51)</f>
        <v/>
      </c>
      <c r="B235" s="66" t="str">
        <f aca="false">IF($A235="","",Aturan!$A$21)</f>
        <v/>
      </c>
      <c r="C235" s="67" t="str">
        <f aca="false">IF($A235="","",IFERROR(IF(ISNUMBER(INDEX(CPU!$J$4:$J$64,MATCH(Varian!$J51,CPU!$A$4:$A$64,0))),INDEX(CPU!$J$4:$J$64,MATCH(Varian!$J51,CPU!$A$4:$A$64,0)),""),""))</f>
        <v/>
      </c>
      <c r="D235" s="67" t="str">
        <f aca="false">IF($A235="","",IFERROR(IF(ISNUMBER(INDEX(GPU!$G$4:$G$64,MATCH(Varian!$K51,GPU!$A$4:$A$64,0))),INDEX(GPU!$G$4:$G$64,MATCH(Varian!$K51,GPU!$A$4:$A$64,0)),""),""))</f>
        <v/>
      </c>
      <c r="E235" s="67" t="str">
        <f aca="false">IF($A235="","",IF(ISNUMBER(Varian!$M51),Varian!$M51,""))</f>
        <v/>
      </c>
      <c r="F235" s="67" t="str">
        <f aca="false">IF($A235="","",IF(ISNUMBER(Varian!$V51),Varian!$V51,""))</f>
        <v/>
      </c>
      <c r="G235" s="67" t="str">
        <f aca="false">IF($A235="","",IFERROR(INDEX(Aturan!$B$63:$B$66,MATCH(Varian!$AG51,Aturan!$A$63:$A$66,0)),""))</f>
        <v/>
      </c>
      <c r="H235" s="67" t="str">
        <f aca="false">IF($A235="","",IF(ISNUMBER(Varian!$AI51),Varian!$AI51,""))</f>
        <v/>
      </c>
      <c r="I235" s="66" t="str">
        <f aca="false">IF($A235="","",IF(Varian!$Q51="disolder","menempel di papan utama, tidak bisa ditambah",IF(OR(Varian!$Q51="slot",Varian!$Q51="setengah_disolder"),IF(Varian!$Q51="setengah_disolder","sebagian menempel, ","")&amp;IF(ISNUMBER(Varian!$U51),IF(AND(ISNUMBER(Varian!$M51),Varian!$U51&gt;Varian!$M51),"bisa dinaikkan lewat slot sampai "&amp;Varian!$U51&amp;" GB","sudah di batas maksimal "&amp;Varian!$U51&amp;" GB"),"ada slot, batas maksimalnya belum diketahui"),"belum diketahui apakah bisa ditambah")))</f>
        <v/>
      </c>
      <c r="J235" s="66" t="str">
        <f aca="false">IF($A235="","",IF(Varian!$Z51="ya","bisa diganti dengan yang lebih besar",IF(Varian!$Z51="tidak","menempel, tidak bisa diganti","belum diketahui apakah bisa diganti")))</f>
        <v/>
      </c>
      <c r="K235" s="68" t="str">
        <f aca="false">IF($A235="","",IF(AND(Aturan!$C$30="",Aturan!$D$30=""),"Tidak dinilai",IF(C235="","Belum ada data",IF(C235&lt;IF(Aturan!$C$30="",0,Aturan!$C$30),"Kurang",IF(C235&gt;=IF(Aturan!$D$30="",Aturan!$C$30,Aturan!$D$30),"Nyaman","Cukup")))))</f>
        <v/>
      </c>
      <c r="L235" s="68" t="str">
        <f aca="false">IF($A235="","",IF(AND(Aturan!$C$31="",Aturan!$D$31=""),"Tidak dinilai",IF(D235="","Belum ada data",IF(D235&lt;IF(Aturan!$C$31="",0,Aturan!$C$31),"Kurang",IF(D235&gt;=IF(Aturan!$D$31="",Aturan!$C$31,Aturan!$D$31),"Nyaman","Cukup")))))</f>
        <v/>
      </c>
      <c r="M235" s="68" t="str">
        <f aca="false">IF($A235="","",IF(AND(Aturan!$C$32="",Aturan!$D$32=""),"Tidak dinilai",IF(E235="","Belum ada data",IF(E235&lt;IF(Aturan!$C$32="",0,Aturan!$C$32),"Kurang",IF(E235&gt;=IF(Aturan!$D$32="",Aturan!$C$32,Aturan!$D$32),"Nyaman","Cukup")))))</f>
        <v/>
      </c>
      <c r="N235" s="68" t="str">
        <f aca="false">IF($A235="","",IF(AND(Aturan!$C$33="",Aturan!$D$33=""),"Tidak dinilai",IF(F235="","Belum ada data",IF(F235&lt;IF(Aturan!$C$33="",0,Aturan!$C$33),"Kurang",IF(F235&gt;=IF(Aturan!$D$33="",Aturan!$C$33,Aturan!$D$33),"Nyaman","Cukup")))))</f>
        <v/>
      </c>
      <c r="O235" s="68" t="str">
        <f aca="false">IF($A235="","",IF(AND(Aturan!$C$34="",Aturan!$D$34=""),"Tidak dinilai",IF(G235="","Belum ada data",IF(G235&lt;IF(Aturan!$C$34="",0,Aturan!$C$34),"Kurang",IF(G235&gt;=IF(Aturan!$D$34="",Aturan!$C$34,Aturan!$D$34),"Nyaman","Cukup")))))</f>
        <v/>
      </c>
      <c r="P235" s="68" t="str">
        <f aca="false">IF($A235="","",IF(AND(Aturan!$C$35="",Aturan!$D$35=""),"Tidak dinilai",IF(H235="","Belum ada data",IF(H235&lt;IF(Aturan!$C$35="",0,Aturan!$C$35),"Kurang",IF(H235&gt;=IF(Aturan!$D$35="",Aturan!$C$35,Aturan!$D$35),"Nyaman","Cukup")))))</f>
        <v/>
      </c>
      <c r="Q235" s="68" t="str">
        <f aca="false">IF($A235="","",IF(COUNTIF(K235:P235,"Tidak dinilai")=6,"Tidak dinilai",IF(COUNTIF(K235:P235,"Kurang")&gt;0,"Kurang cocok",IF(COUNTIF(K235:P235,"Belum ada data")&gt;0,"Data belum lengkap",IF(COUNTIF(K235:P235,"Cukup")&gt;0,"Bisa, dengan catatan","Cocok")))))</f>
        <v/>
      </c>
      <c r="R235" s="66" t="str">
        <f aca="false">IF($A235="","",IF(K235="Kurang","prosesor tingkat "&amp;C235&amp;" dari 5, di bawah batas minimal (tingkat "&amp;Aturan!$C$30&amp;")",IF(K235="Cukup","prosesor tingkat "&amp;C235&amp;" dari 5 cukup, nyamannya mulai tingkat "&amp;Aturan!$D$30,IF(K235="Belum ada data","tingkat prosesor belum diisi",""))))</f>
        <v/>
      </c>
      <c r="S235" s="66" t="str">
        <f aca="false">IF($A235="","",IF(L235="Kurang","grafis tingkat "&amp;D235&amp;" dari 5, di bawah batas minimal (tingkat "&amp;Aturan!$C$31&amp;")",IF(L235="Cukup","grafis tingkat "&amp;D235&amp;" dari 5 cukup, nyamannya mulai tingkat "&amp;Aturan!$D$31,IF(L235="Belum ada data","tingkat grafis belum diisi",""))))</f>
        <v/>
      </c>
      <c r="T235" s="66" t="str">
        <f aca="false">IF($A235="","",IF(M235="Kurang","RAM "&amp;E235&amp;" GB, di bawah batas minimal "&amp;Aturan!$C$32&amp;" GB ("&amp;I235&amp;")",IF(M235="Cukup","RAM "&amp;E235&amp;" GB cukup, nyamannya "&amp;Aturan!$D$32&amp;" GB atau lebih ("&amp;I235&amp;")",IF(M235="Belum ada data","ukuran RAM belum diisi",""))))</f>
        <v/>
      </c>
      <c r="U235" s="66" t="str">
        <f aca="false">IF($A235="","",IF(N235="Kurang","penyimpanan "&amp;F235&amp;" GB, di bawah batas minimal "&amp;Aturan!$C$33&amp;" GB ("&amp;J235&amp;")",IF(N235="Cukup","penyimpanan "&amp;F235&amp;" GB cukup, nyamannya "&amp;Aturan!$D$33&amp;" GB atau lebih ("&amp;J235&amp;")",IF(N235="Belum ada data","ukuran penyimpanan belum diisi",""))))</f>
        <v/>
      </c>
      <c r="V235" s="66" t="str">
        <f aca="false">IF($A235="","",IF(O235="Kurang","layar "&amp;Varian!$AG51&amp;", di bawah batas minimal ("&amp;IFERROR(INDEX(Aturan!$A$63:$A$66,MATCH(Aturan!$C$34,Aturan!$B$63:$B$66,0)),"peringkat "&amp;Aturan!$C$34)&amp;")",IF(O235="Cukup","layar "&amp;Varian!$AG51&amp;" cukup, nyamannya "&amp;IFERROR(INDEX(Aturan!$A$63:$A$66,MATCH(Aturan!$D$34,Aturan!$B$63:$B$66,0)),"peringkat "&amp;Aturan!$D$34),IF(O235="Belum ada data","jenis layar belum diketahui",""))))</f>
        <v/>
      </c>
      <c r="W235" s="66" t="str">
        <f aca="false">IF($A235="","",IF(P235="Kurang","layar "&amp;H235&amp;" Hz, di bawah batas minimal "&amp;Aturan!$C$35&amp;" Hz",IF(P235="Cukup","layar "&amp;H235&amp;" Hz cukup, nyamannya "&amp;Aturan!$D$35&amp;" Hz atau lebih",IF(P235="Belum ada data","refresh rate belum diketahui",""))))</f>
        <v/>
      </c>
      <c r="X235" s="66" t="str">
        <f aca="false">IF($A235="","",IF(K235="Kurang",R235&amp;"; ","")&amp;IF(L235="Kurang",S235&amp;"; ","")&amp;IF(M235="Kurang",T235&amp;"; ","")&amp;IF(N235="Kurang",U235&amp;"; ","")&amp;IF(O235="Kurang",V235&amp;"; ","")&amp;IF(P235="Kurang",W235&amp;"; ","")&amp;IF(K235="Belum ada data",R235&amp;"; ","")&amp;IF(L235="Belum ada data",S235&amp;"; ","")&amp;IF(M235="Belum ada data",T235&amp;"; ","")&amp;IF(N235="Belum ada data",U235&amp;"; ","")&amp;IF(O235="Belum ada data",V235&amp;"; ","")&amp;IF(P235="Belum ada data",W235&amp;"; ","")&amp;IF(K235="Cukup",R235&amp;"; ","")&amp;IF(L235="Cukup",S235&amp;"; ","")&amp;IF(M235="Cukup",T235&amp;"; ","")&amp;IF(N235="Cukup",U235&amp;"; ","")&amp;IF(O235="Cukup",V235&amp;"; ","")&amp;IF(P235="Cukup",W235&amp;"; ",""))</f>
        <v/>
      </c>
      <c r="Y235" s="66" t="str">
        <f aca="false">IF($A235="","",IF(K235="Nyaman","prosesor, ","")&amp;IF(L235="Nyaman","grafis, ","")&amp;IF(M235="Nyaman","RAM, ","")&amp;IF(N235="Nyaman","penyimpanan, ","")&amp;IF(O235="Nyaman","layar, ","")&amp;IF(P235="Nyaman","refresh rate, ",""))</f>
        <v/>
      </c>
      <c r="Z235" s="66" t="str">
        <f aca="false">IF($A235="","",IF(Q235="Tidak dinilai","Belum ada kriteria yang dinilai untuk kebutuhan ini.",IF(Q235="Cocok","Semua kriteria yang dinilai sudah nyaman: "&amp;LEFT(Y235,LEN(Y235)-2)&amp;".",UPPER(LEFT(X235,1))&amp;MID(X235,2,LEN(X235)-3)&amp;"."&amp;IF(Y235="",""," Sudah nyaman: "&amp;LEFT(Y235,LEN(Y235)-2)&amp;"."))))</f>
        <v/>
      </c>
      <c r="AA235" s="66" t="str">
        <f aca="false">IF($A235="","",IF(Varian!$AR51="Windows 10","• "&amp;Aturan!$E$71&amp;CHAR(10),"")&amp;IF(Varian!$BB51="tidak","• "&amp;Aturan!$E$72&amp;CHAR(10),"")&amp;IF(OR(Varian!$AD51="belum terverifikasi",Varian!$AD51="tidak diketahui"),"• "&amp;Aturan!$E$73&amp;CHAR(10),"")&amp;IF(Varian!$AH51="1366x768","• "&amp;Aturan!$E$74&amp;CHAR(10),"")&amp;IF(Varian!$AG51="TN","• "&amp;Aturan!$E$75&amp;CHAR(10),"")&amp;IF(AND(Varian!$Q51="disolder",ISNUMBER(Varian!$M51),Varian!$M51&lt;=8),"• "&amp;Aturan!$E$76&amp;CHAR(10),""))</f>
        <v/>
      </c>
      <c r="AB235" s="66" t="str">
        <f aca="false">IF($A235="","",IF(AA235="","",LEFT(AA235,LEN(AA235)-1)))</f>
        <v/>
      </c>
      <c r="AC235" s="67" t="str">
        <f aca="false">IF($A235="","",IF(AA235="",0,LEN(AA235)-LEN(SUBSTITUTE(AA235,CHAR(10),""))))</f>
        <v/>
      </c>
    </row>
    <row r="236" customFormat="false" ht="15" hidden="false" customHeight="true" outlineLevel="0" collapsed="false">
      <c r="A236" s="33" t="str">
        <f aca="false">IF(Varian!$A51="","",Varian!$A51)</f>
        <v/>
      </c>
      <c r="B236" s="33" t="str">
        <f aca="false">IF($A236="","",Aturan!$A$22)</f>
        <v/>
      </c>
      <c r="C236" s="69" t="str">
        <f aca="false">IF($A236="","",IFERROR(IF(ISNUMBER(INDEX(CPU!$J$4:$J$64,MATCH(Varian!$J51,CPU!$A$4:$A$64,0))),INDEX(CPU!$J$4:$J$64,MATCH(Varian!$J51,CPU!$A$4:$A$64,0)),""),""))</f>
        <v/>
      </c>
      <c r="D236" s="69" t="str">
        <f aca="false">IF($A236="","",IFERROR(IF(ISNUMBER(INDEX(GPU!$G$4:$G$64,MATCH(Varian!$K51,GPU!$A$4:$A$64,0))),INDEX(GPU!$G$4:$G$64,MATCH(Varian!$K51,GPU!$A$4:$A$64,0)),""),""))</f>
        <v/>
      </c>
      <c r="E236" s="69" t="str">
        <f aca="false">IF($A236="","",IF(ISNUMBER(Varian!$M51),Varian!$M51,""))</f>
        <v/>
      </c>
      <c r="F236" s="69" t="str">
        <f aca="false">IF($A236="","",IF(ISNUMBER(Varian!$V51),Varian!$V51,""))</f>
        <v/>
      </c>
      <c r="G236" s="69" t="str">
        <f aca="false">IF($A236="","",IFERROR(INDEX(Aturan!$B$63:$B$66,MATCH(Varian!$AG51,Aturan!$A$63:$A$66,0)),""))</f>
        <v/>
      </c>
      <c r="H236" s="69" t="str">
        <f aca="false">IF($A236="","",IF(ISNUMBER(Varian!$AI51),Varian!$AI51,""))</f>
        <v/>
      </c>
      <c r="I236" s="33" t="str">
        <f aca="false">IF($A236="","",IF(Varian!$Q51="disolder","menempel di papan utama, tidak bisa ditambah",IF(OR(Varian!$Q51="slot",Varian!$Q51="setengah_disolder"),IF(Varian!$Q51="setengah_disolder","sebagian menempel, ","")&amp;IF(ISNUMBER(Varian!$U51),IF(AND(ISNUMBER(Varian!$M51),Varian!$U51&gt;Varian!$M51),"bisa dinaikkan lewat slot sampai "&amp;Varian!$U51&amp;" GB","sudah di batas maksimal "&amp;Varian!$U51&amp;" GB"),"ada slot, batas maksimalnya belum diketahui"),"belum diketahui apakah bisa ditambah")))</f>
        <v/>
      </c>
      <c r="J236" s="33" t="str">
        <f aca="false">IF($A236="","",IF(Varian!$Z51="ya","bisa diganti dengan yang lebih besar",IF(Varian!$Z51="tidak","menempel, tidak bisa diganti","belum diketahui apakah bisa diganti")))</f>
        <v/>
      </c>
      <c r="K236" s="70" t="str">
        <f aca="false">IF($A236="","",IF(AND(Aturan!$C$36="",Aturan!$D$36=""),"Tidak dinilai",IF(C236="","Belum ada data",IF(C236&lt;IF(Aturan!$C$36="",0,Aturan!$C$36),"Kurang",IF(C236&gt;=IF(Aturan!$D$36="",Aturan!$C$36,Aturan!$D$36),"Nyaman","Cukup")))))</f>
        <v/>
      </c>
      <c r="L236" s="70" t="str">
        <f aca="false">IF($A236="","",IF(AND(Aturan!$C$37="",Aturan!$D$37=""),"Tidak dinilai",IF(D236="","Belum ada data",IF(D236&lt;IF(Aturan!$C$37="",0,Aturan!$C$37),"Kurang",IF(D236&gt;=IF(Aturan!$D$37="",Aturan!$C$37,Aturan!$D$37),"Nyaman","Cukup")))))</f>
        <v/>
      </c>
      <c r="M236" s="70" t="str">
        <f aca="false">IF($A236="","",IF(AND(Aturan!$C$38="",Aturan!$D$38=""),"Tidak dinilai",IF(E236="","Belum ada data",IF(E236&lt;IF(Aturan!$C$38="",0,Aturan!$C$38),"Kurang",IF(E236&gt;=IF(Aturan!$D$38="",Aturan!$C$38,Aturan!$D$38),"Nyaman","Cukup")))))</f>
        <v/>
      </c>
      <c r="N236" s="70" t="str">
        <f aca="false">IF($A236="","",IF(AND(Aturan!$C$39="",Aturan!$D$39=""),"Tidak dinilai",IF(F236="","Belum ada data",IF(F236&lt;IF(Aturan!$C$39="",0,Aturan!$C$39),"Kurang",IF(F236&gt;=IF(Aturan!$D$39="",Aturan!$C$39,Aturan!$D$39),"Nyaman","Cukup")))))</f>
        <v/>
      </c>
      <c r="O236" s="70" t="str">
        <f aca="false">IF($A236="","",IF(AND(Aturan!$C$40="",Aturan!$D$40=""),"Tidak dinilai",IF(G236="","Belum ada data",IF(G236&lt;IF(Aturan!$C$40="",0,Aturan!$C$40),"Kurang",IF(G236&gt;=IF(Aturan!$D$40="",Aturan!$C$40,Aturan!$D$40),"Nyaman","Cukup")))))</f>
        <v/>
      </c>
      <c r="P236" s="70" t="str">
        <f aca="false">IF($A236="","",IF(AND(Aturan!$C$41="",Aturan!$D$41=""),"Tidak dinilai",IF(H236="","Belum ada data",IF(H236&lt;IF(Aturan!$C$41="",0,Aturan!$C$41),"Kurang",IF(H236&gt;=IF(Aturan!$D$41="",Aturan!$C$41,Aturan!$D$41),"Nyaman","Cukup")))))</f>
        <v/>
      </c>
      <c r="Q236" s="70" t="str">
        <f aca="false">IF($A236="","",IF(COUNTIF(K236:P236,"Tidak dinilai")=6,"Tidak dinilai",IF(COUNTIF(K236:P236,"Kurang")&gt;0,"Kurang cocok",IF(COUNTIF(K236:P236,"Belum ada data")&gt;0,"Data belum lengkap",IF(COUNTIF(K236:P236,"Cukup")&gt;0,"Bisa, dengan catatan","Cocok")))))</f>
        <v/>
      </c>
      <c r="R236" s="33" t="str">
        <f aca="false">IF($A236="","",IF(K236="Kurang","prosesor tingkat "&amp;C236&amp;" dari 5, di bawah batas minimal (tingkat "&amp;Aturan!$C$36&amp;")",IF(K236="Cukup","prosesor tingkat "&amp;C236&amp;" dari 5 cukup, nyamannya mulai tingkat "&amp;Aturan!$D$36,IF(K236="Belum ada data","tingkat prosesor belum diisi",""))))</f>
        <v/>
      </c>
      <c r="S236" s="33" t="str">
        <f aca="false">IF($A236="","",IF(L236="Kurang","grafis tingkat "&amp;D236&amp;" dari 5, di bawah batas minimal (tingkat "&amp;Aturan!$C$37&amp;")",IF(L236="Cukup","grafis tingkat "&amp;D236&amp;" dari 5 cukup, nyamannya mulai tingkat "&amp;Aturan!$D$37,IF(L236="Belum ada data","tingkat grafis belum diisi",""))))</f>
        <v/>
      </c>
      <c r="T236" s="33" t="str">
        <f aca="false">IF($A236="","",IF(M236="Kurang","RAM "&amp;E236&amp;" GB, di bawah batas minimal "&amp;Aturan!$C$38&amp;" GB ("&amp;I236&amp;")",IF(M236="Cukup","RAM "&amp;E236&amp;" GB cukup, nyamannya "&amp;Aturan!$D$38&amp;" GB atau lebih ("&amp;I236&amp;")",IF(M236="Belum ada data","ukuran RAM belum diisi",""))))</f>
        <v/>
      </c>
      <c r="U236" s="33" t="str">
        <f aca="false">IF($A236="","",IF(N236="Kurang","penyimpanan "&amp;F236&amp;" GB, di bawah batas minimal "&amp;Aturan!$C$39&amp;" GB ("&amp;J236&amp;")",IF(N236="Cukup","penyimpanan "&amp;F236&amp;" GB cukup, nyamannya "&amp;Aturan!$D$39&amp;" GB atau lebih ("&amp;J236&amp;")",IF(N236="Belum ada data","ukuran penyimpanan belum diisi",""))))</f>
        <v/>
      </c>
      <c r="V236" s="33" t="str">
        <f aca="false">IF($A236="","",IF(O236="Kurang","layar "&amp;Varian!$AG51&amp;", di bawah batas minimal ("&amp;IFERROR(INDEX(Aturan!$A$63:$A$66,MATCH(Aturan!$C$40,Aturan!$B$63:$B$66,0)),"peringkat "&amp;Aturan!$C$40)&amp;")",IF(O236="Cukup","layar "&amp;Varian!$AG51&amp;" cukup, nyamannya "&amp;IFERROR(INDEX(Aturan!$A$63:$A$66,MATCH(Aturan!$D$40,Aturan!$B$63:$B$66,0)),"peringkat "&amp;Aturan!$D$40),IF(O236="Belum ada data","jenis layar belum diketahui",""))))</f>
        <v/>
      </c>
      <c r="W236" s="33" t="str">
        <f aca="false">IF($A236="","",IF(P236="Kurang","layar "&amp;H236&amp;" Hz, di bawah batas minimal "&amp;Aturan!$C$41&amp;" Hz",IF(P236="Cukup","layar "&amp;H236&amp;" Hz cukup, nyamannya "&amp;Aturan!$D$41&amp;" Hz atau lebih",IF(P236="Belum ada data","refresh rate belum diketahui",""))))</f>
        <v/>
      </c>
      <c r="X236" s="33" t="str">
        <f aca="false">IF($A236="","",IF(K236="Kurang",R236&amp;"; ","")&amp;IF(L236="Kurang",S236&amp;"; ","")&amp;IF(M236="Kurang",T236&amp;"; ","")&amp;IF(N236="Kurang",U236&amp;"; ","")&amp;IF(O236="Kurang",V236&amp;"; ","")&amp;IF(P236="Kurang",W236&amp;"; ","")&amp;IF(K236="Belum ada data",R236&amp;"; ","")&amp;IF(L236="Belum ada data",S236&amp;"; ","")&amp;IF(M236="Belum ada data",T236&amp;"; ","")&amp;IF(N236="Belum ada data",U236&amp;"; ","")&amp;IF(O236="Belum ada data",V236&amp;"; ","")&amp;IF(P236="Belum ada data",W236&amp;"; ","")&amp;IF(K236="Cukup",R236&amp;"; ","")&amp;IF(L236="Cukup",S236&amp;"; ","")&amp;IF(M236="Cukup",T236&amp;"; ","")&amp;IF(N236="Cukup",U236&amp;"; ","")&amp;IF(O236="Cukup",V236&amp;"; ","")&amp;IF(P236="Cukup",W236&amp;"; ",""))</f>
        <v/>
      </c>
      <c r="Y236" s="33" t="str">
        <f aca="false">IF($A236="","",IF(K236="Nyaman","prosesor, ","")&amp;IF(L236="Nyaman","grafis, ","")&amp;IF(M236="Nyaman","RAM, ","")&amp;IF(N236="Nyaman","penyimpanan, ","")&amp;IF(O236="Nyaman","layar, ","")&amp;IF(P236="Nyaman","refresh rate, ",""))</f>
        <v/>
      </c>
      <c r="Z236" s="33" t="str">
        <f aca="false">IF($A236="","",IF(Q236="Tidak dinilai","Belum ada kriteria yang dinilai untuk kebutuhan ini.",IF(Q236="Cocok","Semua kriteria yang dinilai sudah nyaman: "&amp;LEFT(Y236,LEN(Y236)-2)&amp;".",UPPER(LEFT(X236,1))&amp;MID(X236,2,LEN(X236)-3)&amp;"."&amp;IF(Y236="",""," Sudah nyaman: "&amp;LEFT(Y236,LEN(Y236)-2)&amp;"."))))</f>
        <v/>
      </c>
      <c r="AA236" s="33"/>
      <c r="AB236" s="33"/>
      <c r="AC236" s="69"/>
    </row>
    <row r="237" customFormat="false" ht="15" hidden="false" customHeight="true" outlineLevel="0" collapsed="false">
      <c r="A237" s="33" t="str">
        <f aca="false">IF(Varian!$A51="","",Varian!$A51)</f>
        <v/>
      </c>
      <c r="B237" s="33" t="str">
        <f aca="false">IF($A237="","",Aturan!$A$23)</f>
        <v/>
      </c>
      <c r="C237" s="69" t="str">
        <f aca="false">IF($A237="","",IFERROR(IF(ISNUMBER(INDEX(CPU!$J$4:$J$64,MATCH(Varian!$J51,CPU!$A$4:$A$64,0))),INDEX(CPU!$J$4:$J$64,MATCH(Varian!$J51,CPU!$A$4:$A$64,0)),""),""))</f>
        <v/>
      </c>
      <c r="D237" s="69" t="str">
        <f aca="false">IF($A237="","",IFERROR(IF(ISNUMBER(INDEX(GPU!$G$4:$G$64,MATCH(Varian!$K51,GPU!$A$4:$A$64,0))),INDEX(GPU!$G$4:$G$64,MATCH(Varian!$K51,GPU!$A$4:$A$64,0)),""),""))</f>
        <v/>
      </c>
      <c r="E237" s="69" t="str">
        <f aca="false">IF($A237="","",IF(ISNUMBER(Varian!$M51),Varian!$M51,""))</f>
        <v/>
      </c>
      <c r="F237" s="69" t="str">
        <f aca="false">IF($A237="","",IF(ISNUMBER(Varian!$V51),Varian!$V51,""))</f>
        <v/>
      </c>
      <c r="G237" s="69" t="str">
        <f aca="false">IF($A237="","",IFERROR(INDEX(Aturan!$B$63:$B$66,MATCH(Varian!$AG51,Aturan!$A$63:$A$66,0)),""))</f>
        <v/>
      </c>
      <c r="H237" s="69" t="str">
        <f aca="false">IF($A237="","",IF(ISNUMBER(Varian!$AI51),Varian!$AI51,""))</f>
        <v/>
      </c>
      <c r="I237" s="33" t="str">
        <f aca="false">IF($A237="","",IF(Varian!$Q51="disolder","menempel di papan utama, tidak bisa ditambah",IF(OR(Varian!$Q51="slot",Varian!$Q51="setengah_disolder"),IF(Varian!$Q51="setengah_disolder","sebagian menempel, ","")&amp;IF(ISNUMBER(Varian!$U51),IF(AND(ISNUMBER(Varian!$M51),Varian!$U51&gt;Varian!$M51),"bisa dinaikkan lewat slot sampai "&amp;Varian!$U51&amp;" GB","sudah di batas maksimal "&amp;Varian!$U51&amp;" GB"),"ada slot, batas maksimalnya belum diketahui"),"belum diketahui apakah bisa ditambah")))</f>
        <v/>
      </c>
      <c r="J237" s="33" t="str">
        <f aca="false">IF($A237="","",IF(Varian!$Z51="ya","bisa diganti dengan yang lebih besar",IF(Varian!$Z51="tidak","menempel, tidak bisa diganti","belum diketahui apakah bisa diganti")))</f>
        <v/>
      </c>
      <c r="K237" s="70" t="str">
        <f aca="false">IF($A237="","",IF(AND(Aturan!$C$42="",Aturan!$D$42=""),"Tidak dinilai",IF(C237="","Belum ada data",IF(C237&lt;IF(Aturan!$C$42="",0,Aturan!$C$42),"Kurang",IF(C237&gt;=IF(Aturan!$D$42="",Aturan!$C$42,Aturan!$D$42),"Nyaman","Cukup")))))</f>
        <v/>
      </c>
      <c r="L237" s="70" t="str">
        <f aca="false">IF($A237="","",IF(AND(Aturan!$C$43="",Aturan!$D$43=""),"Tidak dinilai",IF(D237="","Belum ada data",IF(D237&lt;IF(Aturan!$C$43="",0,Aturan!$C$43),"Kurang",IF(D237&gt;=IF(Aturan!$D$43="",Aturan!$C$43,Aturan!$D$43),"Nyaman","Cukup")))))</f>
        <v/>
      </c>
      <c r="M237" s="70" t="str">
        <f aca="false">IF($A237="","",IF(AND(Aturan!$C$44="",Aturan!$D$44=""),"Tidak dinilai",IF(E237="","Belum ada data",IF(E237&lt;IF(Aturan!$C$44="",0,Aturan!$C$44),"Kurang",IF(E237&gt;=IF(Aturan!$D$44="",Aturan!$C$44,Aturan!$D$44),"Nyaman","Cukup")))))</f>
        <v/>
      </c>
      <c r="N237" s="70" t="str">
        <f aca="false">IF($A237="","",IF(AND(Aturan!$C$45="",Aturan!$D$45=""),"Tidak dinilai",IF(F237="","Belum ada data",IF(F237&lt;IF(Aturan!$C$45="",0,Aturan!$C$45),"Kurang",IF(F237&gt;=IF(Aturan!$D$45="",Aturan!$C$45,Aturan!$D$45),"Nyaman","Cukup")))))</f>
        <v/>
      </c>
      <c r="O237" s="70" t="str">
        <f aca="false">IF($A237="","",IF(AND(Aturan!$C$46="",Aturan!$D$46=""),"Tidak dinilai",IF(G237="","Belum ada data",IF(G237&lt;IF(Aturan!$C$46="",0,Aturan!$C$46),"Kurang",IF(G237&gt;=IF(Aturan!$D$46="",Aturan!$C$46,Aturan!$D$46),"Nyaman","Cukup")))))</f>
        <v/>
      </c>
      <c r="P237" s="70" t="str">
        <f aca="false">IF($A237="","",IF(AND(Aturan!$C$47="",Aturan!$D$47=""),"Tidak dinilai",IF(H237="","Belum ada data",IF(H237&lt;IF(Aturan!$C$47="",0,Aturan!$C$47),"Kurang",IF(H237&gt;=IF(Aturan!$D$47="",Aturan!$C$47,Aturan!$D$47),"Nyaman","Cukup")))))</f>
        <v/>
      </c>
      <c r="Q237" s="70" t="str">
        <f aca="false">IF($A237="","",IF(COUNTIF(K237:P237,"Tidak dinilai")=6,"Tidak dinilai",IF(COUNTIF(K237:P237,"Kurang")&gt;0,"Kurang cocok",IF(COUNTIF(K237:P237,"Belum ada data")&gt;0,"Data belum lengkap",IF(COUNTIF(K237:P237,"Cukup")&gt;0,"Bisa, dengan catatan","Cocok")))))</f>
        <v/>
      </c>
      <c r="R237" s="33" t="str">
        <f aca="false">IF($A237="","",IF(K237="Kurang","prosesor tingkat "&amp;C237&amp;" dari 5, di bawah batas minimal (tingkat "&amp;Aturan!$C$42&amp;")",IF(K237="Cukup","prosesor tingkat "&amp;C237&amp;" dari 5 cukup, nyamannya mulai tingkat "&amp;Aturan!$D$42,IF(K237="Belum ada data","tingkat prosesor belum diisi",""))))</f>
        <v/>
      </c>
      <c r="S237" s="33" t="str">
        <f aca="false">IF($A237="","",IF(L237="Kurang","grafis tingkat "&amp;D237&amp;" dari 5, di bawah batas minimal (tingkat "&amp;Aturan!$C$43&amp;")",IF(L237="Cukup","grafis tingkat "&amp;D237&amp;" dari 5 cukup, nyamannya mulai tingkat "&amp;Aturan!$D$43,IF(L237="Belum ada data","tingkat grafis belum diisi",""))))</f>
        <v/>
      </c>
      <c r="T237" s="33" t="str">
        <f aca="false">IF($A237="","",IF(M237="Kurang","RAM "&amp;E237&amp;" GB, di bawah batas minimal "&amp;Aturan!$C$44&amp;" GB ("&amp;I237&amp;")",IF(M237="Cukup","RAM "&amp;E237&amp;" GB cukup, nyamannya "&amp;Aturan!$D$44&amp;" GB atau lebih ("&amp;I237&amp;")",IF(M237="Belum ada data","ukuran RAM belum diisi",""))))</f>
        <v/>
      </c>
      <c r="U237" s="33" t="str">
        <f aca="false">IF($A237="","",IF(N237="Kurang","penyimpanan "&amp;F237&amp;" GB, di bawah batas minimal "&amp;Aturan!$C$45&amp;" GB ("&amp;J237&amp;")",IF(N237="Cukup","penyimpanan "&amp;F237&amp;" GB cukup, nyamannya "&amp;Aturan!$D$45&amp;" GB atau lebih ("&amp;J237&amp;")",IF(N237="Belum ada data","ukuran penyimpanan belum diisi",""))))</f>
        <v/>
      </c>
      <c r="V237" s="33" t="str">
        <f aca="false">IF($A237="","",IF(O237="Kurang","layar "&amp;Varian!$AG51&amp;", di bawah batas minimal ("&amp;IFERROR(INDEX(Aturan!$A$63:$A$66,MATCH(Aturan!$C$46,Aturan!$B$63:$B$66,0)),"peringkat "&amp;Aturan!$C$46)&amp;")",IF(O237="Cukup","layar "&amp;Varian!$AG51&amp;" cukup, nyamannya "&amp;IFERROR(INDEX(Aturan!$A$63:$A$66,MATCH(Aturan!$D$46,Aturan!$B$63:$B$66,0)),"peringkat "&amp;Aturan!$D$46),IF(O237="Belum ada data","jenis layar belum diketahui",""))))</f>
        <v/>
      </c>
      <c r="W237" s="33" t="str">
        <f aca="false">IF($A237="","",IF(P237="Kurang","layar "&amp;H237&amp;" Hz, di bawah batas minimal "&amp;Aturan!$C$47&amp;" Hz",IF(P237="Cukup","layar "&amp;H237&amp;" Hz cukup, nyamannya "&amp;Aturan!$D$47&amp;" Hz atau lebih",IF(P237="Belum ada data","refresh rate belum diketahui",""))))</f>
        <v/>
      </c>
      <c r="X237" s="33" t="str">
        <f aca="false">IF($A237="","",IF(K237="Kurang",R237&amp;"; ","")&amp;IF(L237="Kurang",S237&amp;"; ","")&amp;IF(M237="Kurang",T237&amp;"; ","")&amp;IF(N237="Kurang",U237&amp;"; ","")&amp;IF(O237="Kurang",V237&amp;"; ","")&amp;IF(P237="Kurang",W237&amp;"; ","")&amp;IF(K237="Belum ada data",R237&amp;"; ","")&amp;IF(L237="Belum ada data",S237&amp;"; ","")&amp;IF(M237="Belum ada data",T237&amp;"; ","")&amp;IF(N237="Belum ada data",U237&amp;"; ","")&amp;IF(O237="Belum ada data",V237&amp;"; ","")&amp;IF(P237="Belum ada data",W237&amp;"; ","")&amp;IF(K237="Cukup",R237&amp;"; ","")&amp;IF(L237="Cukup",S237&amp;"; ","")&amp;IF(M237="Cukup",T237&amp;"; ","")&amp;IF(N237="Cukup",U237&amp;"; ","")&amp;IF(O237="Cukup",V237&amp;"; ","")&amp;IF(P237="Cukup",W237&amp;"; ",""))</f>
        <v/>
      </c>
      <c r="Y237" s="33" t="str">
        <f aca="false">IF($A237="","",IF(K237="Nyaman","prosesor, ","")&amp;IF(L237="Nyaman","grafis, ","")&amp;IF(M237="Nyaman","RAM, ","")&amp;IF(N237="Nyaman","penyimpanan, ","")&amp;IF(O237="Nyaman","layar, ","")&amp;IF(P237="Nyaman","refresh rate, ",""))</f>
        <v/>
      </c>
      <c r="Z237" s="33" t="str">
        <f aca="false">IF($A237="","",IF(Q237="Tidak dinilai","Belum ada kriteria yang dinilai untuk kebutuhan ini.",IF(Q237="Cocok","Semua kriteria yang dinilai sudah nyaman: "&amp;LEFT(Y237,LEN(Y237)-2)&amp;".",UPPER(LEFT(X237,1))&amp;MID(X237,2,LEN(X237)-3)&amp;"."&amp;IF(Y237="",""," Sudah nyaman: "&amp;LEFT(Y237,LEN(Y237)-2)&amp;"."))))</f>
        <v/>
      </c>
      <c r="AA237" s="33"/>
      <c r="AB237" s="33"/>
      <c r="AC237" s="69"/>
    </row>
    <row r="238" customFormat="false" ht="15" hidden="false" customHeight="true" outlineLevel="0" collapsed="false">
      <c r="A238" s="33" t="str">
        <f aca="false">IF(Varian!$A51="","",Varian!$A51)</f>
        <v/>
      </c>
      <c r="B238" s="33" t="str">
        <f aca="false">IF($A238="","",Aturan!$A$24)</f>
        <v/>
      </c>
      <c r="C238" s="69" t="str">
        <f aca="false">IF($A238="","",IFERROR(IF(ISNUMBER(INDEX(CPU!$J$4:$J$64,MATCH(Varian!$J51,CPU!$A$4:$A$64,0))),INDEX(CPU!$J$4:$J$64,MATCH(Varian!$J51,CPU!$A$4:$A$64,0)),""),""))</f>
        <v/>
      </c>
      <c r="D238" s="69" t="str">
        <f aca="false">IF($A238="","",IFERROR(IF(ISNUMBER(INDEX(GPU!$G$4:$G$64,MATCH(Varian!$K51,GPU!$A$4:$A$64,0))),INDEX(GPU!$G$4:$G$64,MATCH(Varian!$K51,GPU!$A$4:$A$64,0)),""),""))</f>
        <v/>
      </c>
      <c r="E238" s="69" t="str">
        <f aca="false">IF($A238="","",IF(ISNUMBER(Varian!$M51),Varian!$M51,""))</f>
        <v/>
      </c>
      <c r="F238" s="69" t="str">
        <f aca="false">IF($A238="","",IF(ISNUMBER(Varian!$V51),Varian!$V51,""))</f>
        <v/>
      </c>
      <c r="G238" s="69" t="str">
        <f aca="false">IF($A238="","",IFERROR(INDEX(Aturan!$B$63:$B$66,MATCH(Varian!$AG51,Aturan!$A$63:$A$66,0)),""))</f>
        <v/>
      </c>
      <c r="H238" s="69" t="str">
        <f aca="false">IF($A238="","",IF(ISNUMBER(Varian!$AI51),Varian!$AI51,""))</f>
        <v/>
      </c>
      <c r="I238" s="33" t="str">
        <f aca="false">IF($A238="","",IF(Varian!$Q51="disolder","menempel di papan utama, tidak bisa ditambah",IF(OR(Varian!$Q51="slot",Varian!$Q51="setengah_disolder"),IF(Varian!$Q51="setengah_disolder","sebagian menempel, ","")&amp;IF(ISNUMBER(Varian!$U51),IF(AND(ISNUMBER(Varian!$M51),Varian!$U51&gt;Varian!$M51),"bisa dinaikkan lewat slot sampai "&amp;Varian!$U51&amp;" GB","sudah di batas maksimal "&amp;Varian!$U51&amp;" GB"),"ada slot, batas maksimalnya belum diketahui"),"belum diketahui apakah bisa ditambah")))</f>
        <v/>
      </c>
      <c r="J238" s="33" t="str">
        <f aca="false">IF($A238="","",IF(Varian!$Z51="ya","bisa diganti dengan yang lebih besar",IF(Varian!$Z51="tidak","menempel, tidak bisa diganti","belum diketahui apakah bisa diganti")))</f>
        <v/>
      </c>
      <c r="K238" s="70" t="str">
        <f aca="false">IF($A238="","",IF(AND(Aturan!$C$48="",Aturan!$D$48=""),"Tidak dinilai",IF(C238="","Belum ada data",IF(C238&lt;IF(Aturan!$C$48="",0,Aturan!$C$48),"Kurang",IF(C238&gt;=IF(Aturan!$D$48="",Aturan!$C$48,Aturan!$D$48),"Nyaman","Cukup")))))</f>
        <v/>
      </c>
      <c r="L238" s="70" t="str">
        <f aca="false">IF($A238="","",IF(AND(Aturan!$C$49="",Aturan!$D$49=""),"Tidak dinilai",IF(D238="","Belum ada data",IF(D238&lt;IF(Aturan!$C$49="",0,Aturan!$C$49),"Kurang",IF(D238&gt;=IF(Aturan!$D$49="",Aturan!$C$49,Aturan!$D$49),"Nyaman","Cukup")))))</f>
        <v/>
      </c>
      <c r="M238" s="70" t="str">
        <f aca="false">IF($A238="","",IF(AND(Aturan!$C$50="",Aturan!$D$50=""),"Tidak dinilai",IF(E238="","Belum ada data",IF(E238&lt;IF(Aturan!$C$50="",0,Aturan!$C$50),"Kurang",IF(E238&gt;=IF(Aturan!$D$50="",Aturan!$C$50,Aturan!$D$50),"Nyaman","Cukup")))))</f>
        <v/>
      </c>
      <c r="N238" s="70" t="str">
        <f aca="false">IF($A238="","",IF(AND(Aturan!$C$51="",Aturan!$D$51=""),"Tidak dinilai",IF(F238="","Belum ada data",IF(F238&lt;IF(Aturan!$C$51="",0,Aturan!$C$51),"Kurang",IF(F238&gt;=IF(Aturan!$D$51="",Aturan!$C$51,Aturan!$D$51),"Nyaman","Cukup")))))</f>
        <v/>
      </c>
      <c r="O238" s="70" t="str">
        <f aca="false">IF($A238="","",IF(AND(Aturan!$C$52="",Aturan!$D$52=""),"Tidak dinilai",IF(G238="","Belum ada data",IF(G238&lt;IF(Aturan!$C$52="",0,Aturan!$C$52),"Kurang",IF(G238&gt;=IF(Aturan!$D$52="",Aturan!$C$52,Aturan!$D$52),"Nyaman","Cukup")))))</f>
        <v/>
      </c>
      <c r="P238" s="70" t="str">
        <f aca="false">IF($A238="","",IF(AND(Aturan!$C$53="",Aturan!$D$53=""),"Tidak dinilai",IF(H238="","Belum ada data",IF(H238&lt;IF(Aturan!$C$53="",0,Aturan!$C$53),"Kurang",IF(H238&gt;=IF(Aturan!$D$53="",Aturan!$C$53,Aturan!$D$53),"Nyaman","Cukup")))))</f>
        <v/>
      </c>
      <c r="Q238" s="70" t="str">
        <f aca="false">IF($A238="","",IF(COUNTIF(K238:P238,"Tidak dinilai")=6,"Tidak dinilai",IF(COUNTIF(K238:P238,"Kurang")&gt;0,"Kurang cocok",IF(COUNTIF(K238:P238,"Belum ada data")&gt;0,"Data belum lengkap",IF(COUNTIF(K238:P238,"Cukup")&gt;0,"Bisa, dengan catatan","Cocok")))))</f>
        <v/>
      </c>
      <c r="R238" s="33" t="str">
        <f aca="false">IF($A238="","",IF(K238="Kurang","prosesor tingkat "&amp;C238&amp;" dari 5, di bawah batas minimal (tingkat "&amp;Aturan!$C$48&amp;")",IF(K238="Cukup","prosesor tingkat "&amp;C238&amp;" dari 5 cukup, nyamannya mulai tingkat "&amp;Aturan!$D$48,IF(K238="Belum ada data","tingkat prosesor belum diisi",""))))</f>
        <v/>
      </c>
      <c r="S238" s="33" t="str">
        <f aca="false">IF($A238="","",IF(L238="Kurang","grafis tingkat "&amp;D238&amp;" dari 5, di bawah batas minimal (tingkat "&amp;Aturan!$C$49&amp;")",IF(L238="Cukup","grafis tingkat "&amp;D238&amp;" dari 5 cukup, nyamannya mulai tingkat "&amp;Aturan!$D$49,IF(L238="Belum ada data","tingkat grafis belum diisi",""))))</f>
        <v/>
      </c>
      <c r="T238" s="33" t="str">
        <f aca="false">IF($A238="","",IF(M238="Kurang","RAM "&amp;E238&amp;" GB, di bawah batas minimal "&amp;Aturan!$C$50&amp;" GB ("&amp;I238&amp;")",IF(M238="Cukup","RAM "&amp;E238&amp;" GB cukup, nyamannya "&amp;Aturan!$D$50&amp;" GB atau lebih ("&amp;I238&amp;")",IF(M238="Belum ada data","ukuran RAM belum diisi",""))))</f>
        <v/>
      </c>
      <c r="U238" s="33" t="str">
        <f aca="false">IF($A238="","",IF(N238="Kurang","penyimpanan "&amp;F238&amp;" GB, di bawah batas minimal "&amp;Aturan!$C$51&amp;" GB ("&amp;J238&amp;")",IF(N238="Cukup","penyimpanan "&amp;F238&amp;" GB cukup, nyamannya "&amp;Aturan!$D$51&amp;" GB atau lebih ("&amp;J238&amp;")",IF(N238="Belum ada data","ukuran penyimpanan belum diisi",""))))</f>
        <v/>
      </c>
      <c r="V238" s="33" t="str">
        <f aca="false">IF($A238="","",IF(O238="Kurang","layar "&amp;Varian!$AG51&amp;", di bawah batas minimal ("&amp;IFERROR(INDEX(Aturan!$A$63:$A$66,MATCH(Aturan!$C$52,Aturan!$B$63:$B$66,0)),"peringkat "&amp;Aturan!$C$52)&amp;")",IF(O238="Cukup","layar "&amp;Varian!$AG51&amp;" cukup, nyamannya "&amp;IFERROR(INDEX(Aturan!$A$63:$A$66,MATCH(Aturan!$D$52,Aturan!$B$63:$B$66,0)),"peringkat "&amp;Aturan!$D$52),IF(O238="Belum ada data","jenis layar belum diketahui",""))))</f>
        <v/>
      </c>
      <c r="W238" s="33" t="str">
        <f aca="false">IF($A238="","",IF(P238="Kurang","layar "&amp;H238&amp;" Hz, di bawah batas minimal "&amp;Aturan!$C$53&amp;" Hz",IF(P238="Cukup","layar "&amp;H238&amp;" Hz cukup, nyamannya "&amp;Aturan!$D$53&amp;" Hz atau lebih",IF(P238="Belum ada data","refresh rate belum diketahui",""))))</f>
        <v/>
      </c>
      <c r="X238" s="33" t="str">
        <f aca="false">IF($A238="","",IF(K238="Kurang",R238&amp;"; ","")&amp;IF(L238="Kurang",S238&amp;"; ","")&amp;IF(M238="Kurang",T238&amp;"; ","")&amp;IF(N238="Kurang",U238&amp;"; ","")&amp;IF(O238="Kurang",V238&amp;"; ","")&amp;IF(P238="Kurang",W238&amp;"; ","")&amp;IF(K238="Belum ada data",R238&amp;"; ","")&amp;IF(L238="Belum ada data",S238&amp;"; ","")&amp;IF(M238="Belum ada data",T238&amp;"; ","")&amp;IF(N238="Belum ada data",U238&amp;"; ","")&amp;IF(O238="Belum ada data",V238&amp;"; ","")&amp;IF(P238="Belum ada data",W238&amp;"; ","")&amp;IF(K238="Cukup",R238&amp;"; ","")&amp;IF(L238="Cukup",S238&amp;"; ","")&amp;IF(M238="Cukup",T238&amp;"; ","")&amp;IF(N238="Cukup",U238&amp;"; ","")&amp;IF(O238="Cukup",V238&amp;"; ","")&amp;IF(P238="Cukup",W238&amp;"; ",""))</f>
        <v/>
      </c>
      <c r="Y238" s="33" t="str">
        <f aca="false">IF($A238="","",IF(K238="Nyaman","prosesor, ","")&amp;IF(L238="Nyaman","grafis, ","")&amp;IF(M238="Nyaman","RAM, ","")&amp;IF(N238="Nyaman","penyimpanan, ","")&amp;IF(O238="Nyaman","layar, ","")&amp;IF(P238="Nyaman","refresh rate, ",""))</f>
        <v/>
      </c>
      <c r="Z238" s="33" t="str">
        <f aca="false">IF($A238="","",IF(Q238="Tidak dinilai","Belum ada kriteria yang dinilai untuk kebutuhan ini.",IF(Q238="Cocok","Semua kriteria yang dinilai sudah nyaman: "&amp;LEFT(Y238,LEN(Y238)-2)&amp;".",UPPER(LEFT(X238,1))&amp;MID(X238,2,LEN(X238)-3)&amp;"."&amp;IF(Y238="",""," Sudah nyaman: "&amp;LEFT(Y238,LEN(Y238)-2)&amp;"."))))</f>
        <v/>
      </c>
      <c r="AA238" s="33"/>
      <c r="AB238" s="33"/>
      <c r="AC238" s="69"/>
    </row>
    <row r="239" customFormat="false" ht="15" hidden="false" customHeight="true" outlineLevel="0" collapsed="false">
      <c r="A239" s="33" t="str">
        <f aca="false">IF(Varian!$A51="","",Varian!$A51)</f>
        <v/>
      </c>
      <c r="B239" s="33" t="str">
        <f aca="false">IF($A239="","",Aturan!$A$25)</f>
        <v/>
      </c>
      <c r="C239" s="69" t="str">
        <f aca="false">IF($A239="","",IFERROR(IF(ISNUMBER(INDEX(CPU!$J$4:$J$64,MATCH(Varian!$J51,CPU!$A$4:$A$64,0))),INDEX(CPU!$J$4:$J$64,MATCH(Varian!$J51,CPU!$A$4:$A$64,0)),""),""))</f>
        <v/>
      </c>
      <c r="D239" s="69" t="str">
        <f aca="false">IF($A239="","",IFERROR(IF(ISNUMBER(INDEX(GPU!$G$4:$G$64,MATCH(Varian!$K51,GPU!$A$4:$A$64,0))),INDEX(GPU!$G$4:$G$64,MATCH(Varian!$K51,GPU!$A$4:$A$64,0)),""),""))</f>
        <v/>
      </c>
      <c r="E239" s="69" t="str">
        <f aca="false">IF($A239="","",IF(ISNUMBER(Varian!$M51),Varian!$M51,""))</f>
        <v/>
      </c>
      <c r="F239" s="69" t="str">
        <f aca="false">IF($A239="","",IF(ISNUMBER(Varian!$V51),Varian!$V51,""))</f>
        <v/>
      </c>
      <c r="G239" s="69" t="str">
        <f aca="false">IF($A239="","",IFERROR(INDEX(Aturan!$B$63:$B$66,MATCH(Varian!$AG51,Aturan!$A$63:$A$66,0)),""))</f>
        <v/>
      </c>
      <c r="H239" s="69" t="str">
        <f aca="false">IF($A239="","",IF(ISNUMBER(Varian!$AI51),Varian!$AI51,""))</f>
        <v/>
      </c>
      <c r="I239" s="33" t="str">
        <f aca="false">IF($A239="","",IF(Varian!$Q51="disolder","menempel di papan utama, tidak bisa ditambah",IF(OR(Varian!$Q51="slot",Varian!$Q51="setengah_disolder"),IF(Varian!$Q51="setengah_disolder","sebagian menempel, ","")&amp;IF(ISNUMBER(Varian!$U51),IF(AND(ISNUMBER(Varian!$M51),Varian!$U51&gt;Varian!$M51),"bisa dinaikkan lewat slot sampai "&amp;Varian!$U51&amp;" GB","sudah di batas maksimal "&amp;Varian!$U51&amp;" GB"),"ada slot, batas maksimalnya belum diketahui"),"belum diketahui apakah bisa ditambah")))</f>
        <v/>
      </c>
      <c r="J239" s="33" t="str">
        <f aca="false">IF($A239="","",IF(Varian!$Z51="ya","bisa diganti dengan yang lebih besar",IF(Varian!$Z51="tidak","menempel, tidak bisa diganti","belum diketahui apakah bisa diganti")))</f>
        <v/>
      </c>
      <c r="K239" s="70" t="str">
        <f aca="false">IF($A239="","",IF(AND(Aturan!$C$54="",Aturan!$D$54=""),"Tidak dinilai",IF(C239="","Belum ada data",IF(C239&lt;IF(Aturan!$C$54="",0,Aturan!$C$54),"Kurang",IF(C239&gt;=IF(Aturan!$D$54="",Aturan!$C$54,Aturan!$D$54),"Nyaman","Cukup")))))</f>
        <v/>
      </c>
      <c r="L239" s="70" t="str">
        <f aca="false">IF($A239="","",IF(AND(Aturan!$C$55="",Aturan!$D$55=""),"Tidak dinilai",IF(D239="","Belum ada data",IF(D239&lt;IF(Aturan!$C$55="",0,Aturan!$C$55),"Kurang",IF(D239&gt;=IF(Aturan!$D$55="",Aturan!$C$55,Aturan!$D$55),"Nyaman","Cukup")))))</f>
        <v/>
      </c>
      <c r="M239" s="70" t="str">
        <f aca="false">IF($A239="","",IF(AND(Aturan!$C$56="",Aturan!$D$56=""),"Tidak dinilai",IF(E239="","Belum ada data",IF(E239&lt;IF(Aturan!$C$56="",0,Aturan!$C$56),"Kurang",IF(E239&gt;=IF(Aturan!$D$56="",Aturan!$C$56,Aturan!$D$56),"Nyaman","Cukup")))))</f>
        <v/>
      </c>
      <c r="N239" s="70" t="str">
        <f aca="false">IF($A239="","",IF(AND(Aturan!$C$57="",Aturan!$D$57=""),"Tidak dinilai",IF(F239="","Belum ada data",IF(F239&lt;IF(Aturan!$C$57="",0,Aturan!$C$57),"Kurang",IF(F239&gt;=IF(Aturan!$D$57="",Aturan!$C$57,Aturan!$D$57),"Nyaman","Cukup")))))</f>
        <v/>
      </c>
      <c r="O239" s="70" t="str">
        <f aca="false">IF($A239="","",IF(AND(Aturan!$C$58="",Aturan!$D$58=""),"Tidak dinilai",IF(G239="","Belum ada data",IF(G239&lt;IF(Aturan!$C$58="",0,Aturan!$C$58),"Kurang",IF(G239&gt;=IF(Aturan!$D$58="",Aturan!$C$58,Aturan!$D$58),"Nyaman","Cukup")))))</f>
        <v/>
      </c>
      <c r="P239" s="70" t="str">
        <f aca="false">IF($A239="","",IF(AND(Aturan!$C$59="",Aturan!$D$59=""),"Tidak dinilai",IF(H239="","Belum ada data",IF(H239&lt;IF(Aturan!$C$59="",0,Aturan!$C$59),"Kurang",IF(H239&gt;=IF(Aturan!$D$59="",Aturan!$C$59,Aturan!$D$59),"Nyaman","Cukup")))))</f>
        <v/>
      </c>
      <c r="Q239" s="70" t="str">
        <f aca="false">IF($A239="","",IF(COUNTIF(K239:P239,"Tidak dinilai")=6,"Tidak dinilai",IF(COUNTIF(K239:P239,"Kurang")&gt;0,"Kurang cocok",IF(COUNTIF(K239:P239,"Belum ada data")&gt;0,"Data belum lengkap",IF(COUNTIF(K239:P239,"Cukup")&gt;0,"Bisa, dengan catatan","Cocok")))))</f>
        <v/>
      </c>
      <c r="R239" s="33" t="str">
        <f aca="false">IF($A239="","",IF(K239="Kurang","prosesor tingkat "&amp;C239&amp;" dari 5, di bawah batas minimal (tingkat "&amp;Aturan!$C$54&amp;")",IF(K239="Cukup","prosesor tingkat "&amp;C239&amp;" dari 5 cukup, nyamannya mulai tingkat "&amp;Aturan!$D$54,IF(K239="Belum ada data","tingkat prosesor belum diisi",""))))</f>
        <v/>
      </c>
      <c r="S239" s="33" t="str">
        <f aca="false">IF($A239="","",IF(L239="Kurang","grafis tingkat "&amp;D239&amp;" dari 5, di bawah batas minimal (tingkat "&amp;Aturan!$C$55&amp;")",IF(L239="Cukup","grafis tingkat "&amp;D239&amp;" dari 5 cukup, nyamannya mulai tingkat "&amp;Aturan!$D$55,IF(L239="Belum ada data","tingkat grafis belum diisi",""))))</f>
        <v/>
      </c>
      <c r="T239" s="33" t="str">
        <f aca="false">IF($A239="","",IF(M239="Kurang","RAM "&amp;E239&amp;" GB, di bawah batas minimal "&amp;Aturan!$C$56&amp;" GB ("&amp;I239&amp;")",IF(M239="Cukup","RAM "&amp;E239&amp;" GB cukup, nyamannya "&amp;Aturan!$D$56&amp;" GB atau lebih ("&amp;I239&amp;")",IF(M239="Belum ada data","ukuran RAM belum diisi",""))))</f>
        <v/>
      </c>
      <c r="U239" s="33" t="str">
        <f aca="false">IF($A239="","",IF(N239="Kurang","penyimpanan "&amp;F239&amp;" GB, di bawah batas minimal "&amp;Aturan!$C$57&amp;" GB ("&amp;J239&amp;")",IF(N239="Cukup","penyimpanan "&amp;F239&amp;" GB cukup, nyamannya "&amp;Aturan!$D$57&amp;" GB atau lebih ("&amp;J239&amp;")",IF(N239="Belum ada data","ukuran penyimpanan belum diisi",""))))</f>
        <v/>
      </c>
      <c r="V239" s="33" t="str">
        <f aca="false">IF($A239="","",IF(O239="Kurang","layar "&amp;Varian!$AG51&amp;", di bawah batas minimal ("&amp;IFERROR(INDEX(Aturan!$A$63:$A$66,MATCH(Aturan!$C$58,Aturan!$B$63:$B$66,0)),"peringkat "&amp;Aturan!$C$58)&amp;")",IF(O239="Cukup","layar "&amp;Varian!$AG51&amp;" cukup, nyamannya "&amp;IFERROR(INDEX(Aturan!$A$63:$A$66,MATCH(Aturan!$D$58,Aturan!$B$63:$B$66,0)),"peringkat "&amp;Aturan!$D$58),IF(O239="Belum ada data","jenis layar belum diketahui",""))))</f>
        <v/>
      </c>
      <c r="W239" s="33" t="str">
        <f aca="false">IF($A239="","",IF(P239="Kurang","layar "&amp;H239&amp;" Hz, di bawah batas minimal "&amp;Aturan!$C$59&amp;" Hz",IF(P239="Cukup","layar "&amp;H239&amp;" Hz cukup, nyamannya "&amp;Aturan!$D$59&amp;" Hz atau lebih",IF(P239="Belum ada data","refresh rate belum diketahui",""))))</f>
        <v/>
      </c>
      <c r="X239" s="33" t="str">
        <f aca="false">IF($A239="","",IF(K239="Kurang",R239&amp;"; ","")&amp;IF(L239="Kurang",S239&amp;"; ","")&amp;IF(M239="Kurang",T239&amp;"; ","")&amp;IF(N239="Kurang",U239&amp;"; ","")&amp;IF(O239="Kurang",V239&amp;"; ","")&amp;IF(P239="Kurang",W239&amp;"; ","")&amp;IF(K239="Belum ada data",R239&amp;"; ","")&amp;IF(L239="Belum ada data",S239&amp;"; ","")&amp;IF(M239="Belum ada data",T239&amp;"; ","")&amp;IF(N239="Belum ada data",U239&amp;"; ","")&amp;IF(O239="Belum ada data",V239&amp;"; ","")&amp;IF(P239="Belum ada data",W239&amp;"; ","")&amp;IF(K239="Cukup",R239&amp;"; ","")&amp;IF(L239="Cukup",S239&amp;"; ","")&amp;IF(M239="Cukup",T239&amp;"; ","")&amp;IF(N239="Cukup",U239&amp;"; ","")&amp;IF(O239="Cukup",V239&amp;"; ","")&amp;IF(P239="Cukup",W239&amp;"; ",""))</f>
        <v/>
      </c>
      <c r="Y239" s="33" t="str">
        <f aca="false">IF($A239="","",IF(K239="Nyaman","prosesor, ","")&amp;IF(L239="Nyaman","grafis, ","")&amp;IF(M239="Nyaman","RAM, ","")&amp;IF(N239="Nyaman","penyimpanan, ","")&amp;IF(O239="Nyaman","layar, ","")&amp;IF(P239="Nyaman","refresh rate, ",""))</f>
        <v/>
      </c>
      <c r="Z239" s="33" t="str">
        <f aca="false">IF($A239="","",IF(Q239="Tidak dinilai","Belum ada kriteria yang dinilai untuk kebutuhan ini.",IF(Q239="Cocok","Semua kriteria yang dinilai sudah nyaman: "&amp;LEFT(Y239,LEN(Y239)-2)&amp;".",UPPER(LEFT(X239,1))&amp;MID(X239,2,LEN(X239)-3)&amp;"."&amp;IF(Y239="",""," Sudah nyaman: "&amp;LEFT(Y239,LEN(Y239)-2)&amp;"."))))</f>
        <v/>
      </c>
      <c r="AA239" s="33"/>
      <c r="AB239" s="33"/>
      <c r="AC239" s="69"/>
    </row>
    <row r="240" customFormat="false" ht="15" hidden="false" customHeight="true" outlineLevel="0" collapsed="false">
      <c r="A240" s="66" t="str">
        <f aca="false">IF(Varian!$A52="","",Varian!$A52)</f>
        <v/>
      </c>
      <c r="B240" s="66" t="str">
        <f aca="false">IF($A240="","",Aturan!$A$21)</f>
        <v/>
      </c>
      <c r="C240" s="67" t="str">
        <f aca="false">IF($A240="","",IFERROR(IF(ISNUMBER(INDEX(CPU!$J$4:$J$64,MATCH(Varian!$J52,CPU!$A$4:$A$64,0))),INDEX(CPU!$J$4:$J$64,MATCH(Varian!$J52,CPU!$A$4:$A$64,0)),""),""))</f>
        <v/>
      </c>
      <c r="D240" s="67" t="str">
        <f aca="false">IF($A240="","",IFERROR(IF(ISNUMBER(INDEX(GPU!$G$4:$G$64,MATCH(Varian!$K52,GPU!$A$4:$A$64,0))),INDEX(GPU!$G$4:$G$64,MATCH(Varian!$K52,GPU!$A$4:$A$64,0)),""),""))</f>
        <v/>
      </c>
      <c r="E240" s="67" t="str">
        <f aca="false">IF($A240="","",IF(ISNUMBER(Varian!$M52),Varian!$M52,""))</f>
        <v/>
      </c>
      <c r="F240" s="67" t="str">
        <f aca="false">IF($A240="","",IF(ISNUMBER(Varian!$V52),Varian!$V52,""))</f>
        <v/>
      </c>
      <c r="G240" s="67" t="str">
        <f aca="false">IF($A240="","",IFERROR(INDEX(Aturan!$B$63:$B$66,MATCH(Varian!$AG52,Aturan!$A$63:$A$66,0)),""))</f>
        <v/>
      </c>
      <c r="H240" s="67" t="str">
        <f aca="false">IF($A240="","",IF(ISNUMBER(Varian!$AI52),Varian!$AI52,""))</f>
        <v/>
      </c>
      <c r="I240" s="66" t="str">
        <f aca="false">IF($A240="","",IF(Varian!$Q52="disolder","menempel di papan utama, tidak bisa ditambah",IF(OR(Varian!$Q52="slot",Varian!$Q52="setengah_disolder"),IF(Varian!$Q52="setengah_disolder","sebagian menempel, ","")&amp;IF(ISNUMBER(Varian!$U52),IF(AND(ISNUMBER(Varian!$M52),Varian!$U52&gt;Varian!$M52),"bisa dinaikkan lewat slot sampai "&amp;Varian!$U52&amp;" GB","sudah di batas maksimal "&amp;Varian!$U52&amp;" GB"),"ada slot, batas maksimalnya belum diketahui"),"belum diketahui apakah bisa ditambah")))</f>
        <v/>
      </c>
      <c r="J240" s="66" t="str">
        <f aca="false">IF($A240="","",IF(Varian!$Z52="ya","bisa diganti dengan yang lebih besar",IF(Varian!$Z52="tidak","menempel, tidak bisa diganti","belum diketahui apakah bisa diganti")))</f>
        <v/>
      </c>
      <c r="K240" s="68" t="str">
        <f aca="false">IF($A240="","",IF(AND(Aturan!$C$30="",Aturan!$D$30=""),"Tidak dinilai",IF(C240="","Belum ada data",IF(C240&lt;IF(Aturan!$C$30="",0,Aturan!$C$30),"Kurang",IF(C240&gt;=IF(Aturan!$D$30="",Aturan!$C$30,Aturan!$D$30),"Nyaman","Cukup")))))</f>
        <v/>
      </c>
      <c r="L240" s="68" t="str">
        <f aca="false">IF($A240="","",IF(AND(Aturan!$C$31="",Aturan!$D$31=""),"Tidak dinilai",IF(D240="","Belum ada data",IF(D240&lt;IF(Aturan!$C$31="",0,Aturan!$C$31),"Kurang",IF(D240&gt;=IF(Aturan!$D$31="",Aturan!$C$31,Aturan!$D$31),"Nyaman","Cukup")))))</f>
        <v/>
      </c>
      <c r="M240" s="68" t="str">
        <f aca="false">IF($A240="","",IF(AND(Aturan!$C$32="",Aturan!$D$32=""),"Tidak dinilai",IF(E240="","Belum ada data",IF(E240&lt;IF(Aturan!$C$32="",0,Aturan!$C$32),"Kurang",IF(E240&gt;=IF(Aturan!$D$32="",Aturan!$C$32,Aturan!$D$32),"Nyaman","Cukup")))))</f>
        <v/>
      </c>
      <c r="N240" s="68" t="str">
        <f aca="false">IF($A240="","",IF(AND(Aturan!$C$33="",Aturan!$D$33=""),"Tidak dinilai",IF(F240="","Belum ada data",IF(F240&lt;IF(Aturan!$C$33="",0,Aturan!$C$33),"Kurang",IF(F240&gt;=IF(Aturan!$D$33="",Aturan!$C$33,Aturan!$D$33),"Nyaman","Cukup")))))</f>
        <v/>
      </c>
      <c r="O240" s="68" t="str">
        <f aca="false">IF($A240="","",IF(AND(Aturan!$C$34="",Aturan!$D$34=""),"Tidak dinilai",IF(G240="","Belum ada data",IF(G240&lt;IF(Aturan!$C$34="",0,Aturan!$C$34),"Kurang",IF(G240&gt;=IF(Aturan!$D$34="",Aturan!$C$34,Aturan!$D$34),"Nyaman","Cukup")))))</f>
        <v/>
      </c>
      <c r="P240" s="68" t="str">
        <f aca="false">IF($A240="","",IF(AND(Aturan!$C$35="",Aturan!$D$35=""),"Tidak dinilai",IF(H240="","Belum ada data",IF(H240&lt;IF(Aturan!$C$35="",0,Aturan!$C$35),"Kurang",IF(H240&gt;=IF(Aturan!$D$35="",Aturan!$C$35,Aturan!$D$35),"Nyaman","Cukup")))))</f>
        <v/>
      </c>
      <c r="Q240" s="68" t="str">
        <f aca="false">IF($A240="","",IF(COUNTIF(K240:P240,"Tidak dinilai")=6,"Tidak dinilai",IF(COUNTIF(K240:P240,"Kurang")&gt;0,"Kurang cocok",IF(COUNTIF(K240:P240,"Belum ada data")&gt;0,"Data belum lengkap",IF(COUNTIF(K240:P240,"Cukup")&gt;0,"Bisa, dengan catatan","Cocok")))))</f>
        <v/>
      </c>
      <c r="R240" s="66" t="str">
        <f aca="false">IF($A240="","",IF(K240="Kurang","prosesor tingkat "&amp;C240&amp;" dari 5, di bawah batas minimal (tingkat "&amp;Aturan!$C$30&amp;")",IF(K240="Cukup","prosesor tingkat "&amp;C240&amp;" dari 5 cukup, nyamannya mulai tingkat "&amp;Aturan!$D$30,IF(K240="Belum ada data","tingkat prosesor belum diisi",""))))</f>
        <v/>
      </c>
      <c r="S240" s="66" t="str">
        <f aca="false">IF($A240="","",IF(L240="Kurang","grafis tingkat "&amp;D240&amp;" dari 5, di bawah batas minimal (tingkat "&amp;Aturan!$C$31&amp;")",IF(L240="Cukup","grafis tingkat "&amp;D240&amp;" dari 5 cukup, nyamannya mulai tingkat "&amp;Aturan!$D$31,IF(L240="Belum ada data","tingkat grafis belum diisi",""))))</f>
        <v/>
      </c>
      <c r="T240" s="66" t="str">
        <f aca="false">IF($A240="","",IF(M240="Kurang","RAM "&amp;E240&amp;" GB, di bawah batas minimal "&amp;Aturan!$C$32&amp;" GB ("&amp;I240&amp;")",IF(M240="Cukup","RAM "&amp;E240&amp;" GB cukup, nyamannya "&amp;Aturan!$D$32&amp;" GB atau lebih ("&amp;I240&amp;")",IF(M240="Belum ada data","ukuran RAM belum diisi",""))))</f>
        <v/>
      </c>
      <c r="U240" s="66" t="str">
        <f aca="false">IF($A240="","",IF(N240="Kurang","penyimpanan "&amp;F240&amp;" GB, di bawah batas minimal "&amp;Aturan!$C$33&amp;" GB ("&amp;J240&amp;")",IF(N240="Cukup","penyimpanan "&amp;F240&amp;" GB cukup, nyamannya "&amp;Aturan!$D$33&amp;" GB atau lebih ("&amp;J240&amp;")",IF(N240="Belum ada data","ukuran penyimpanan belum diisi",""))))</f>
        <v/>
      </c>
      <c r="V240" s="66" t="str">
        <f aca="false">IF($A240="","",IF(O240="Kurang","layar "&amp;Varian!$AG52&amp;", di bawah batas minimal ("&amp;IFERROR(INDEX(Aturan!$A$63:$A$66,MATCH(Aturan!$C$34,Aturan!$B$63:$B$66,0)),"peringkat "&amp;Aturan!$C$34)&amp;")",IF(O240="Cukup","layar "&amp;Varian!$AG52&amp;" cukup, nyamannya "&amp;IFERROR(INDEX(Aturan!$A$63:$A$66,MATCH(Aturan!$D$34,Aturan!$B$63:$B$66,0)),"peringkat "&amp;Aturan!$D$34),IF(O240="Belum ada data","jenis layar belum diketahui",""))))</f>
        <v/>
      </c>
      <c r="W240" s="66" t="str">
        <f aca="false">IF($A240="","",IF(P240="Kurang","layar "&amp;H240&amp;" Hz, di bawah batas minimal "&amp;Aturan!$C$35&amp;" Hz",IF(P240="Cukup","layar "&amp;H240&amp;" Hz cukup, nyamannya "&amp;Aturan!$D$35&amp;" Hz atau lebih",IF(P240="Belum ada data","refresh rate belum diketahui",""))))</f>
        <v/>
      </c>
      <c r="X240" s="66" t="str">
        <f aca="false">IF($A240="","",IF(K240="Kurang",R240&amp;"; ","")&amp;IF(L240="Kurang",S240&amp;"; ","")&amp;IF(M240="Kurang",T240&amp;"; ","")&amp;IF(N240="Kurang",U240&amp;"; ","")&amp;IF(O240="Kurang",V240&amp;"; ","")&amp;IF(P240="Kurang",W240&amp;"; ","")&amp;IF(K240="Belum ada data",R240&amp;"; ","")&amp;IF(L240="Belum ada data",S240&amp;"; ","")&amp;IF(M240="Belum ada data",T240&amp;"; ","")&amp;IF(N240="Belum ada data",U240&amp;"; ","")&amp;IF(O240="Belum ada data",V240&amp;"; ","")&amp;IF(P240="Belum ada data",W240&amp;"; ","")&amp;IF(K240="Cukup",R240&amp;"; ","")&amp;IF(L240="Cukup",S240&amp;"; ","")&amp;IF(M240="Cukup",T240&amp;"; ","")&amp;IF(N240="Cukup",U240&amp;"; ","")&amp;IF(O240="Cukup",V240&amp;"; ","")&amp;IF(P240="Cukup",W240&amp;"; ",""))</f>
        <v/>
      </c>
      <c r="Y240" s="66" t="str">
        <f aca="false">IF($A240="","",IF(K240="Nyaman","prosesor, ","")&amp;IF(L240="Nyaman","grafis, ","")&amp;IF(M240="Nyaman","RAM, ","")&amp;IF(N240="Nyaman","penyimpanan, ","")&amp;IF(O240="Nyaman","layar, ","")&amp;IF(P240="Nyaman","refresh rate, ",""))</f>
        <v/>
      </c>
      <c r="Z240" s="66" t="str">
        <f aca="false">IF($A240="","",IF(Q240="Tidak dinilai","Belum ada kriteria yang dinilai untuk kebutuhan ini.",IF(Q240="Cocok","Semua kriteria yang dinilai sudah nyaman: "&amp;LEFT(Y240,LEN(Y240)-2)&amp;".",UPPER(LEFT(X240,1))&amp;MID(X240,2,LEN(X240)-3)&amp;"."&amp;IF(Y240="",""," Sudah nyaman: "&amp;LEFT(Y240,LEN(Y240)-2)&amp;"."))))</f>
        <v/>
      </c>
      <c r="AA240" s="66" t="str">
        <f aca="false">IF($A240="","",IF(Varian!$AR52="Windows 10","• "&amp;Aturan!$E$71&amp;CHAR(10),"")&amp;IF(Varian!$BB52="tidak","• "&amp;Aturan!$E$72&amp;CHAR(10),"")&amp;IF(OR(Varian!$AD52="belum terverifikasi",Varian!$AD52="tidak diketahui"),"• "&amp;Aturan!$E$73&amp;CHAR(10),"")&amp;IF(Varian!$AH52="1366x768","• "&amp;Aturan!$E$74&amp;CHAR(10),"")&amp;IF(Varian!$AG52="TN","• "&amp;Aturan!$E$75&amp;CHAR(10),"")&amp;IF(AND(Varian!$Q52="disolder",ISNUMBER(Varian!$M52),Varian!$M52&lt;=8),"• "&amp;Aturan!$E$76&amp;CHAR(10),""))</f>
        <v/>
      </c>
      <c r="AB240" s="66" t="str">
        <f aca="false">IF($A240="","",IF(AA240="","",LEFT(AA240,LEN(AA240)-1)))</f>
        <v/>
      </c>
      <c r="AC240" s="67" t="str">
        <f aca="false">IF($A240="","",IF(AA240="",0,LEN(AA240)-LEN(SUBSTITUTE(AA240,CHAR(10),""))))</f>
        <v/>
      </c>
    </row>
    <row r="241" customFormat="false" ht="15" hidden="false" customHeight="true" outlineLevel="0" collapsed="false">
      <c r="A241" s="33" t="str">
        <f aca="false">IF(Varian!$A52="","",Varian!$A52)</f>
        <v/>
      </c>
      <c r="B241" s="33" t="str">
        <f aca="false">IF($A241="","",Aturan!$A$22)</f>
        <v/>
      </c>
      <c r="C241" s="69" t="str">
        <f aca="false">IF($A241="","",IFERROR(IF(ISNUMBER(INDEX(CPU!$J$4:$J$64,MATCH(Varian!$J52,CPU!$A$4:$A$64,0))),INDEX(CPU!$J$4:$J$64,MATCH(Varian!$J52,CPU!$A$4:$A$64,0)),""),""))</f>
        <v/>
      </c>
      <c r="D241" s="69" t="str">
        <f aca="false">IF($A241="","",IFERROR(IF(ISNUMBER(INDEX(GPU!$G$4:$G$64,MATCH(Varian!$K52,GPU!$A$4:$A$64,0))),INDEX(GPU!$G$4:$G$64,MATCH(Varian!$K52,GPU!$A$4:$A$64,0)),""),""))</f>
        <v/>
      </c>
      <c r="E241" s="69" t="str">
        <f aca="false">IF($A241="","",IF(ISNUMBER(Varian!$M52),Varian!$M52,""))</f>
        <v/>
      </c>
      <c r="F241" s="69" t="str">
        <f aca="false">IF($A241="","",IF(ISNUMBER(Varian!$V52),Varian!$V52,""))</f>
        <v/>
      </c>
      <c r="G241" s="69" t="str">
        <f aca="false">IF($A241="","",IFERROR(INDEX(Aturan!$B$63:$B$66,MATCH(Varian!$AG52,Aturan!$A$63:$A$66,0)),""))</f>
        <v/>
      </c>
      <c r="H241" s="69" t="str">
        <f aca="false">IF($A241="","",IF(ISNUMBER(Varian!$AI52),Varian!$AI52,""))</f>
        <v/>
      </c>
      <c r="I241" s="33" t="str">
        <f aca="false">IF($A241="","",IF(Varian!$Q52="disolder","menempel di papan utama, tidak bisa ditambah",IF(OR(Varian!$Q52="slot",Varian!$Q52="setengah_disolder"),IF(Varian!$Q52="setengah_disolder","sebagian menempel, ","")&amp;IF(ISNUMBER(Varian!$U52),IF(AND(ISNUMBER(Varian!$M52),Varian!$U52&gt;Varian!$M52),"bisa dinaikkan lewat slot sampai "&amp;Varian!$U52&amp;" GB","sudah di batas maksimal "&amp;Varian!$U52&amp;" GB"),"ada slot, batas maksimalnya belum diketahui"),"belum diketahui apakah bisa ditambah")))</f>
        <v/>
      </c>
      <c r="J241" s="33" t="str">
        <f aca="false">IF($A241="","",IF(Varian!$Z52="ya","bisa diganti dengan yang lebih besar",IF(Varian!$Z52="tidak","menempel, tidak bisa diganti","belum diketahui apakah bisa diganti")))</f>
        <v/>
      </c>
      <c r="K241" s="70" t="str">
        <f aca="false">IF($A241="","",IF(AND(Aturan!$C$36="",Aturan!$D$36=""),"Tidak dinilai",IF(C241="","Belum ada data",IF(C241&lt;IF(Aturan!$C$36="",0,Aturan!$C$36),"Kurang",IF(C241&gt;=IF(Aturan!$D$36="",Aturan!$C$36,Aturan!$D$36),"Nyaman","Cukup")))))</f>
        <v/>
      </c>
      <c r="L241" s="70" t="str">
        <f aca="false">IF($A241="","",IF(AND(Aturan!$C$37="",Aturan!$D$37=""),"Tidak dinilai",IF(D241="","Belum ada data",IF(D241&lt;IF(Aturan!$C$37="",0,Aturan!$C$37),"Kurang",IF(D241&gt;=IF(Aturan!$D$37="",Aturan!$C$37,Aturan!$D$37),"Nyaman","Cukup")))))</f>
        <v/>
      </c>
      <c r="M241" s="70" t="str">
        <f aca="false">IF($A241="","",IF(AND(Aturan!$C$38="",Aturan!$D$38=""),"Tidak dinilai",IF(E241="","Belum ada data",IF(E241&lt;IF(Aturan!$C$38="",0,Aturan!$C$38),"Kurang",IF(E241&gt;=IF(Aturan!$D$38="",Aturan!$C$38,Aturan!$D$38),"Nyaman","Cukup")))))</f>
        <v/>
      </c>
      <c r="N241" s="70" t="str">
        <f aca="false">IF($A241="","",IF(AND(Aturan!$C$39="",Aturan!$D$39=""),"Tidak dinilai",IF(F241="","Belum ada data",IF(F241&lt;IF(Aturan!$C$39="",0,Aturan!$C$39),"Kurang",IF(F241&gt;=IF(Aturan!$D$39="",Aturan!$C$39,Aturan!$D$39),"Nyaman","Cukup")))))</f>
        <v/>
      </c>
      <c r="O241" s="70" t="str">
        <f aca="false">IF($A241="","",IF(AND(Aturan!$C$40="",Aturan!$D$40=""),"Tidak dinilai",IF(G241="","Belum ada data",IF(G241&lt;IF(Aturan!$C$40="",0,Aturan!$C$40),"Kurang",IF(G241&gt;=IF(Aturan!$D$40="",Aturan!$C$40,Aturan!$D$40),"Nyaman","Cukup")))))</f>
        <v/>
      </c>
      <c r="P241" s="70" t="str">
        <f aca="false">IF($A241="","",IF(AND(Aturan!$C$41="",Aturan!$D$41=""),"Tidak dinilai",IF(H241="","Belum ada data",IF(H241&lt;IF(Aturan!$C$41="",0,Aturan!$C$41),"Kurang",IF(H241&gt;=IF(Aturan!$D$41="",Aturan!$C$41,Aturan!$D$41),"Nyaman","Cukup")))))</f>
        <v/>
      </c>
      <c r="Q241" s="70" t="str">
        <f aca="false">IF($A241="","",IF(COUNTIF(K241:P241,"Tidak dinilai")=6,"Tidak dinilai",IF(COUNTIF(K241:P241,"Kurang")&gt;0,"Kurang cocok",IF(COUNTIF(K241:P241,"Belum ada data")&gt;0,"Data belum lengkap",IF(COUNTIF(K241:P241,"Cukup")&gt;0,"Bisa, dengan catatan","Cocok")))))</f>
        <v/>
      </c>
      <c r="R241" s="33" t="str">
        <f aca="false">IF($A241="","",IF(K241="Kurang","prosesor tingkat "&amp;C241&amp;" dari 5, di bawah batas minimal (tingkat "&amp;Aturan!$C$36&amp;")",IF(K241="Cukup","prosesor tingkat "&amp;C241&amp;" dari 5 cukup, nyamannya mulai tingkat "&amp;Aturan!$D$36,IF(K241="Belum ada data","tingkat prosesor belum diisi",""))))</f>
        <v/>
      </c>
      <c r="S241" s="33" t="str">
        <f aca="false">IF($A241="","",IF(L241="Kurang","grafis tingkat "&amp;D241&amp;" dari 5, di bawah batas minimal (tingkat "&amp;Aturan!$C$37&amp;")",IF(L241="Cukup","grafis tingkat "&amp;D241&amp;" dari 5 cukup, nyamannya mulai tingkat "&amp;Aturan!$D$37,IF(L241="Belum ada data","tingkat grafis belum diisi",""))))</f>
        <v/>
      </c>
      <c r="T241" s="33" t="str">
        <f aca="false">IF($A241="","",IF(M241="Kurang","RAM "&amp;E241&amp;" GB, di bawah batas minimal "&amp;Aturan!$C$38&amp;" GB ("&amp;I241&amp;")",IF(M241="Cukup","RAM "&amp;E241&amp;" GB cukup, nyamannya "&amp;Aturan!$D$38&amp;" GB atau lebih ("&amp;I241&amp;")",IF(M241="Belum ada data","ukuran RAM belum diisi",""))))</f>
        <v/>
      </c>
      <c r="U241" s="33" t="str">
        <f aca="false">IF($A241="","",IF(N241="Kurang","penyimpanan "&amp;F241&amp;" GB, di bawah batas minimal "&amp;Aturan!$C$39&amp;" GB ("&amp;J241&amp;")",IF(N241="Cukup","penyimpanan "&amp;F241&amp;" GB cukup, nyamannya "&amp;Aturan!$D$39&amp;" GB atau lebih ("&amp;J241&amp;")",IF(N241="Belum ada data","ukuran penyimpanan belum diisi",""))))</f>
        <v/>
      </c>
      <c r="V241" s="33" t="str">
        <f aca="false">IF($A241="","",IF(O241="Kurang","layar "&amp;Varian!$AG52&amp;", di bawah batas minimal ("&amp;IFERROR(INDEX(Aturan!$A$63:$A$66,MATCH(Aturan!$C$40,Aturan!$B$63:$B$66,0)),"peringkat "&amp;Aturan!$C$40)&amp;")",IF(O241="Cukup","layar "&amp;Varian!$AG52&amp;" cukup, nyamannya "&amp;IFERROR(INDEX(Aturan!$A$63:$A$66,MATCH(Aturan!$D$40,Aturan!$B$63:$B$66,0)),"peringkat "&amp;Aturan!$D$40),IF(O241="Belum ada data","jenis layar belum diketahui",""))))</f>
        <v/>
      </c>
      <c r="W241" s="33" t="str">
        <f aca="false">IF($A241="","",IF(P241="Kurang","layar "&amp;H241&amp;" Hz, di bawah batas minimal "&amp;Aturan!$C$41&amp;" Hz",IF(P241="Cukup","layar "&amp;H241&amp;" Hz cukup, nyamannya "&amp;Aturan!$D$41&amp;" Hz atau lebih",IF(P241="Belum ada data","refresh rate belum diketahui",""))))</f>
        <v/>
      </c>
      <c r="X241" s="33" t="str">
        <f aca="false">IF($A241="","",IF(K241="Kurang",R241&amp;"; ","")&amp;IF(L241="Kurang",S241&amp;"; ","")&amp;IF(M241="Kurang",T241&amp;"; ","")&amp;IF(N241="Kurang",U241&amp;"; ","")&amp;IF(O241="Kurang",V241&amp;"; ","")&amp;IF(P241="Kurang",W241&amp;"; ","")&amp;IF(K241="Belum ada data",R241&amp;"; ","")&amp;IF(L241="Belum ada data",S241&amp;"; ","")&amp;IF(M241="Belum ada data",T241&amp;"; ","")&amp;IF(N241="Belum ada data",U241&amp;"; ","")&amp;IF(O241="Belum ada data",V241&amp;"; ","")&amp;IF(P241="Belum ada data",W241&amp;"; ","")&amp;IF(K241="Cukup",R241&amp;"; ","")&amp;IF(L241="Cukup",S241&amp;"; ","")&amp;IF(M241="Cukup",T241&amp;"; ","")&amp;IF(N241="Cukup",U241&amp;"; ","")&amp;IF(O241="Cukup",V241&amp;"; ","")&amp;IF(P241="Cukup",W241&amp;"; ",""))</f>
        <v/>
      </c>
      <c r="Y241" s="33" t="str">
        <f aca="false">IF($A241="","",IF(K241="Nyaman","prosesor, ","")&amp;IF(L241="Nyaman","grafis, ","")&amp;IF(M241="Nyaman","RAM, ","")&amp;IF(N241="Nyaman","penyimpanan, ","")&amp;IF(O241="Nyaman","layar, ","")&amp;IF(P241="Nyaman","refresh rate, ",""))</f>
        <v/>
      </c>
      <c r="Z241" s="33" t="str">
        <f aca="false">IF($A241="","",IF(Q241="Tidak dinilai","Belum ada kriteria yang dinilai untuk kebutuhan ini.",IF(Q241="Cocok","Semua kriteria yang dinilai sudah nyaman: "&amp;LEFT(Y241,LEN(Y241)-2)&amp;".",UPPER(LEFT(X241,1))&amp;MID(X241,2,LEN(X241)-3)&amp;"."&amp;IF(Y241="",""," Sudah nyaman: "&amp;LEFT(Y241,LEN(Y241)-2)&amp;"."))))</f>
        <v/>
      </c>
      <c r="AA241" s="33"/>
      <c r="AB241" s="33"/>
      <c r="AC241" s="69"/>
    </row>
    <row r="242" customFormat="false" ht="15" hidden="false" customHeight="true" outlineLevel="0" collapsed="false">
      <c r="A242" s="33" t="str">
        <f aca="false">IF(Varian!$A52="","",Varian!$A52)</f>
        <v/>
      </c>
      <c r="B242" s="33" t="str">
        <f aca="false">IF($A242="","",Aturan!$A$23)</f>
        <v/>
      </c>
      <c r="C242" s="69" t="str">
        <f aca="false">IF($A242="","",IFERROR(IF(ISNUMBER(INDEX(CPU!$J$4:$J$64,MATCH(Varian!$J52,CPU!$A$4:$A$64,0))),INDEX(CPU!$J$4:$J$64,MATCH(Varian!$J52,CPU!$A$4:$A$64,0)),""),""))</f>
        <v/>
      </c>
      <c r="D242" s="69" t="str">
        <f aca="false">IF($A242="","",IFERROR(IF(ISNUMBER(INDEX(GPU!$G$4:$G$64,MATCH(Varian!$K52,GPU!$A$4:$A$64,0))),INDEX(GPU!$G$4:$G$64,MATCH(Varian!$K52,GPU!$A$4:$A$64,0)),""),""))</f>
        <v/>
      </c>
      <c r="E242" s="69" t="str">
        <f aca="false">IF($A242="","",IF(ISNUMBER(Varian!$M52),Varian!$M52,""))</f>
        <v/>
      </c>
      <c r="F242" s="69" t="str">
        <f aca="false">IF($A242="","",IF(ISNUMBER(Varian!$V52),Varian!$V52,""))</f>
        <v/>
      </c>
      <c r="G242" s="69" t="str">
        <f aca="false">IF($A242="","",IFERROR(INDEX(Aturan!$B$63:$B$66,MATCH(Varian!$AG52,Aturan!$A$63:$A$66,0)),""))</f>
        <v/>
      </c>
      <c r="H242" s="69" t="str">
        <f aca="false">IF($A242="","",IF(ISNUMBER(Varian!$AI52),Varian!$AI52,""))</f>
        <v/>
      </c>
      <c r="I242" s="33" t="str">
        <f aca="false">IF($A242="","",IF(Varian!$Q52="disolder","menempel di papan utama, tidak bisa ditambah",IF(OR(Varian!$Q52="slot",Varian!$Q52="setengah_disolder"),IF(Varian!$Q52="setengah_disolder","sebagian menempel, ","")&amp;IF(ISNUMBER(Varian!$U52),IF(AND(ISNUMBER(Varian!$M52),Varian!$U52&gt;Varian!$M52),"bisa dinaikkan lewat slot sampai "&amp;Varian!$U52&amp;" GB","sudah di batas maksimal "&amp;Varian!$U52&amp;" GB"),"ada slot, batas maksimalnya belum diketahui"),"belum diketahui apakah bisa ditambah")))</f>
        <v/>
      </c>
      <c r="J242" s="33" t="str">
        <f aca="false">IF($A242="","",IF(Varian!$Z52="ya","bisa diganti dengan yang lebih besar",IF(Varian!$Z52="tidak","menempel, tidak bisa diganti","belum diketahui apakah bisa diganti")))</f>
        <v/>
      </c>
      <c r="K242" s="70" t="str">
        <f aca="false">IF($A242="","",IF(AND(Aturan!$C$42="",Aturan!$D$42=""),"Tidak dinilai",IF(C242="","Belum ada data",IF(C242&lt;IF(Aturan!$C$42="",0,Aturan!$C$42),"Kurang",IF(C242&gt;=IF(Aturan!$D$42="",Aturan!$C$42,Aturan!$D$42),"Nyaman","Cukup")))))</f>
        <v/>
      </c>
      <c r="L242" s="70" t="str">
        <f aca="false">IF($A242="","",IF(AND(Aturan!$C$43="",Aturan!$D$43=""),"Tidak dinilai",IF(D242="","Belum ada data",IF(D242&lt;IF(Aturan!$C$43="",0,Aturan!$C$43),"Kurang",IF(D242&gt;=IF(Aturan!$D$43="",Aturan!$C$43,Aturan!$D$43),"Nyaman","Cukup")))))</f>
        <v/>
      </c>
      <c r="M242" s="70" t="str">
        <f aca="false">IF($A242="","",IF(AND(Aturan!$C$44="",Aturan!$D$44=""),"Tidak dinilai",IF(E242="","Belum ada data",IF(E242&lt;IF(Aturan!$C$44="",0,Aturan!$C$44),"Kurang",IF(E242&gt;=IF(Aturan!$D$44="",Aturan!$C$44,Aturan!$D$44),"Nyaman","Cukup")))))</f>
        <v/>
      </c>
      <c r="N242" s="70" t="str">
        <f aca="false">IF($A242="","",IF(AND(Aturan!$C$45="",Aturan!$D$45=""),"Tidak dinilai",IF(F242="","Belum ada data",IF(F242&lt;IF(Aturan!$C$45="",0,Aturan!$C$45),"Kurang",IF(F242&gt;=IF(Aturan!$D$45="",Aturan!$C$45,Aturan!$D$45),"Nyaman","Cukup")))))</f>
        <v/>
      </c>
      <c r="O242" s="70" t="str">
        <f aca="false">IF($A242="","",IF(AND(Aturan!$C$46="",Aturan!$D$46=""),"Tidak dinilai",IF(G242="","Belum ada data",IF(G242&lt;IF(Aturan!$C$46="",0,Aturan!$C$46),"Kurang",IF(G242&gt;=IF(Aturan!$D$46="",Aturan!$C$46,Aturan!$D$46),"Nyaman","Cukup")))))</f>
        <v/>
      </c>
      <c r="P242" s="70" t="str">
        <f aca="false">IF($A242="","",IF(AND(Aturan!$C$47="",Aturan!$D$47=""),"Tidak dinilai",IF(H242="","Belum ada data",IF(H242&lt;IF(Aturan!$C$47="",0,Aturan!$C$47),"Kurang",IF(H242&gt;=IF(Aturan!$D$47="",Aturan!$C$47,Aturan!$D$47),"Nyaman","Cukup")))))</f>
        <v/>
      </c>
      <c r="Q242" s="70" t="str">
        <f aca="false">IF($A242="","",IF(COUNTIF(K242:P242,"Tidak dinilai")=6,"Tidak dinilai",IF(COUNTIF(K242:P242,"Kurang")&gt;0,"Kurang cocok",IF(COUNTIF(K242:P242,"Belum ada data")&gt;0,"Data belum lengkap",IF(COUNTIF(K242:P242,"Cukup")&gt;0,"Bisa, dengan catatan","Cocok")))))</f>
        <v/>
      </c>
      <c r="R242" s="33" t="str">
        <f aca="false">IF($A242="","",IF(K242="Kurang","prosesor tingkat "&amp;C242&amp;" dari 5, di bawah batas minimal (tingkat "&amp;Aturan!$C$42&amp;")",IF(K242="Cukup","prosesor tingkat "&amp;C242&amp;" dari 5 cukup, nyamannya mulai tingkat "&amp;Aturan!$D$42,IF(K242="Belum ada data","tingkat prosesor belum diisi",""))))</f>
        <v/>
      </c>
      <c r="S242" s="33" t="str">
        <f aca="false">IF($A242="","",IF(L242="Kurang","grafis tingkat "&amp;D242&amp;" dari 5, di bawah batas minimal (tingkat "&amp;Aturan!$C$43&amp;")",IF(L242="Cukup","grafis tingkat "&amp;D242&amp;" dari 5 cukup, nyamannya mulai tingkat "&amp;Aturan!$D$43,IF(L242="Belum ada data","tingkat grafis belum diisi",""))))</f>
        <v/>
      </c>
      <c r="T242" s="33" t="str">
        <f aca="false">IF($A242="","",IF(M242="Kurang","RAM "&amp;E242&amp;" GB, di bawah batas minimal "&amp;Aturan!$C$44&amp;" GB ("&amp;I242&amp;")",IF(M242="Cukup","RAM "&amp;E242&amp;" GB cukup, nyamannya "&amp;Aturan!$D$44&amp;" GB atau lebih ("&amp;I242&amp;")",IF(M242="Belum ada data","ukuran RAM belum diisi",""))))</f>
        <v/>
      </c>
      <c r="U242" s="33" t="str">
        <f aca="false">IF($A242="","",IF(N242="Kurang","penyimpanan "&amp;F242&amp;" GB, di bawah batas minimal "&amp;Aturan!$C$45&amp;" GB ("&amp;J242&amp;")",IF(N242="Cukup","penyimpanan "&amp;F242&amp;" GB cukup, nyamannya "&amp;Aturan!$D$45&amp;" GB atau lebih ("&amp;J242&amp;")",IF(N242="Belum ada data","ukuran penyimpanan belum diisi",""))))</f>
        <v/>
      </c>
      <c r="V242" s="33" t="str">
        <f aca="false">IF($A242="","",IF(O242="Kurang","layar "&amp;Varian!$AG52&amp;", di bawah batas minimal ("&amp;IFERROR(INDEX(Aturan!$A$63:$A$66,MATCH(Aturan!$C$46,Aturan!$B$63:$B$66,0)),"peringkat "&amp;Aturan!$C$46)&amp;")",IF(O242="Cukup","layar "&amp;Varian!$AG52&amp;" cukup, nyamannya "&amp;IFERROR(INDEX(Aturan!$A$63:$A$66,MATCH(Aturan!$D$46,Aturan!$B$63:$B$66,0)),"peringkat "&amp;Aturan!$D$46),IF(O242="Belum ada data","jenis layar belum diketahui",""))))</f>
        <v/>
      </c>
      <c r="W242" s="33" t="str">
        <f aca="false">IF($A242="","",IF(P242="Kurang","layar "&amp;H242&amp;" Hz, di bawah batas minimal "&amp;Aturan!$C$47&amp;" Hz",IF(P242="Cukup","layar "&amp;H242&amp;" Hz cukup, nyamannya "&amp;Aturan!$D$47&amp;" Hz atau lebih",IF(P242="Belum ada data","refresh rate belum diketahui",""))))</f>
        <v/>
      </c>
      <c r="X242" s="33" t="str">
        <f aca="false">IF($A242="","",IF(K242="Kurang",R242&amp;"; ","")&amp;IF(L242="Kurang",S242&amp;"; ","")&amp;IF(M242="Kurang",T242&amp;"; ","")&amp;IF(N242="Kurang",U242&amp;"; ","")&amp;IF(O242="Kurang",V242&amp;"; ","")&amp;IF(P242="Kurang",W242&amp;"; ","")&amp;IF(K242="Belum ada data",R242&amp;"; ","")&amp;IF(L242="Belum ada data",S242&amp;"; ","")&amp;IF(M242="Belum ada data",T242&amp;"; ","")&amp;IF(N242="Belum ada data",U242&amp;"; ","")&amp;IF(O242="Belum ada data",V242&amp;"; ","")&amp;IF(P242="Belum ada data",W242&amp;"; ","")&amp;IF(K242="Cukup",R242&amp;"; ","")&amp;IF(L242="Cukup",S242&amp;"; ","")&amp;IF(M242="Cukup",T242&amp;"; ","")&amp;IF(N242="Cukup",U242&amp;"; ","")&amp;IF(O242="Cukup",V242&amp;"; ","")&amp;IF(P242="Cukup",W242&amp;"; ",""))</f>
        <v/>
      </c>
      <c r="Y242" s="33" t="str">
        <f aca="false">IF($A242="","",IF(K242="Nyaman","prosesor, ","")&amp;IF(L242="Nyaman","grafis, ","")&amp;IF(M242="Nyaman","RAM, ","")&amp;IF(N242="Nyaman","penyimpanan, ","")&amp;IF(O242="Nyaman","layar, ","")&amp;IF(P242="Nyaman","refresh rate, ",""))</f>
        <v/>
      </c>
      <c r="Z242" s="33" t="str">
        <f aca="false">IF($A242="","",IF(Q242="Tidak dinilai","Belum ada kriteria yang dinilai untuk kebutuhan ini.",IF(Q242="Cocok","Semua kriteria yang dinilai sudah nyaman: "&amp;LEFT(Y242,LEN(Y242)-2)&amp;".",UPPER(LEFT(X242,1))&amp;MID(X242,2,LEN(X242)-3)&amp;"."&amp;IF(Y242="",""," Sudah nyaman: "&amp;LEFT(Y242,LEN(Y242)-2)&amp;"."))))</f>
        <v/>
      </c>
      <c r="AA242" s="33"/>
      <c r="AB242" s="33"/>
      <c r="AC242" s="69"/>
    </row>
    <row r="243" customFormat="false" ht="15" hidden="false" customHeight="true" outlineLevel="0" collapsed="false">
      <c r="A243" s="33" t="str">
        <f aca="false">IF(Varian!$A52="","",Varian!$A52)</f>
        <v/>
      </c>
      <c r="B243" s="33" t="str">
        <f aca="false">IF($A243="","",Aturan!$A$24)</f>
        <v/>
      </c>
      <c r="C243" s="69" t="str">
        <f aca="false">IF($A243="","",IFERROR(IF(ISNUMBER(INDEX(CPU!$J$4:$J$64,MATCH(Varian!$J52,CPU!$A$4:$A$64,0))),INDEX(CPU!$J$4:$J$64,MATCH(Varian!$J52,CPU!$A$4:$A$64,0)),""),""))</f>
        <v/>
      </c>
      <c r="D243" s="69" t="str">
        <f aca="false">IF($A243="","",IFERROR(IF(ISNUMBER(INDEX(GPU!$G$4:$G$64,MATCH(Varian!$K52,GPU!$A$4:$A$64,0))),INDEX(GPU!$G$4:$G$64,MATCH(Varian!$K52,GPU!$A$4:$A$64,0)),""),""))</f>
        <v/>
      </c>
      <c r="E243" s="69" t="str">
        <f aca="false">IF($A243="","",IF(ISNUMBER(Varian!$M52),Varian!$M52,""))</f>
        <v/>
      </c>
      <c r="F243" s="69" t="str">
        <f aca="false">IF($A243="","",IF(ISNUMBER(Varian!$V52),Varian!$V52,""))</f>
        <v/>
      </c>
      <c r="G243" s="69" t="str">
        <f aca="false">IF($A243="","",IFERROR(INDEX(Aturan!$B$63:$B$66,MATCH(Varian!$AG52,Aturan!$A$63:$A$66,0)),""))</f>
        <v/>
      </c>
      <c r="H243" s="69" t="str">
        <f aca="false">IF($A243="","",IF(ISNUMBER(Varian!$AI52),Varian!$AI52,""))</f>
        <v/>
      </c>
      <c r="I243" s="33" t="str">
        <f aca="false">IF($A243="","",IF(Varian!$Q52="disolder","menempel di papan utama, tidak bisa ditambah",IF(OR(Varian!$Q52="slot",Varian!$Q52="setengah_disolder"),IF(Varian!$Q52="setengah_disolder","sebagian menempel, ","")&amp;IF(ISNUMBER(Varian!$U52),IF(AND(ISNUMBER(Varian!$M52),Varian!$U52&gt;Varian!$M52),"bisa dinaikkan lewat slot sampai "&amp;Varian!$U52&amp;" GB","sudah di batas maksimal "&amp;Varian!$U52&amp;" GB"),"ada slot, batas maksimalnya belum diketahui"),"belum diketahui apakah bisa ditambah")))</f>
        <v/>
      </c>
      <c r="J243" s="33" t="str">
        <f aca="false">IF($A243="","",IF(Varian!$Z52="ya","bisa diganti dengan yang lebih besar",IF(Varian!$Z52="tidak","menempel, tidak bisa diganti","belum diketahui apakah bisa diganti")))</f>
        <v/>
      </c>
      <c r="K243" s="70" t="str">
        <f aca="false">IF($A243="","",IF(AND(Aturan!$C$48="",Aturan!$D$48=""),"Tidak dinilai",IF(C243="","Belum ada data",IF(C243&lt;IF(Aturan!$C$48="",0,Aturan!$C$48),"Kurang",IF(C243&gt;=IF(Aturan!$D$48="",Aturan!$C$48,Aturan!$D$48),"Nyaman","Cukup")))))</f>
        <v/>
      </c>
      <c r="L243" s="70" t="str">
        <f aca="false">IF($A243="","",IF(AND(Aturan!$C$49="",Aturan!$D$49=""),"Tidak dinilai",IF(D243="","Belum ada data",IF(D243&lt;IF(Aturan!$C$49="",0,Aturan!$C$49),"Kurang",IF(D243&gt;=IF(Aturan!$D$49="",Aturan!$C$49,Aturan!$D$49),"Nyaman","Cukup")))))</f>
        <v/>
      </c>
      <c r="M243" s="70" t="str">
        <f aca="false">IF($A243="","",IF(AND(Aturan!$C$50="",Aturan!$D$50=""),"Tidak dinilai",IF(E243="","Belum ada data",IF(E243&lt;IF(Aturan!$C$50="",0,Aturan!$C$50),"Kurang",IF(E243&gt;=IF(Aturan!$D$50="",Aturan!$C$50,Aturan!$D$50),"Nyaman","Cukup")))))</f>
        <v/>
      </c>
      <c r="N243" s="70" t="str">
        <f aca="false">IF($A243="","",IF(AND(Aturan!$C$51="",Aturan!$D$51=""),"Tidak dinilai",IF(F243="","Belum ada data",IF(F243&lt;IF(Aturan!$C$51="",0,Aturan!$C$51),"Kurang",IF(F243&gt;=IF(Aturan!$D$51="",Aturan!$C$51,Aturan!$D$51),"Nyaman","Cukup")))))</f>
        <v/>
      </c>
      <c r="O243" s="70" t="str">
        <f aca="false">IF($A243="","",IF(AND(Aturan!$C$52="",Aturan!$D$52=""),"Tidak dinilai",IF(G243="","Belum ada data",IF(G243&lt;IF(Aturan!$C$52="",0,Aturan!$C$52),"Kurang",IF(G243&gt;=IF(Aturan!$D$52="",Aturan!$C$52,Aturan!$D$52),"Nyaman","Cukup")))))</f>
        <v/>
      </c>
      <c r="P243" s="70" t="str">
        <f aca="false">IF($A243="","",IF(AND(Aturan!$C$53="",Aturan!$D$53=""),"Tidak dinilai",IF(H243="","Belum ada data",IF(H243&lt;IF(Aturan!$C$53="",0,Aturan!$C$53),"Kurang",IF(H243&gt;=IF(Aturan!$D$53="",Aturan!$C$53,Aturan!$D$53),"Nyaman","Cukup")))))</f>
        <v/>
      </c>
      <c r="Q243" s="70" t="str">
        <f aca="false">IF($A243="","",IF(COUNTIF(K243:P243,"Tidak dinilai")=6,"Tidak dinilai",IF(COUNTIF(K243:P243,"Kurang")&gt;0,"Kurang cocok",IF(COUNTIF(K243:P243,"Belum ada data")&gt;0,"Data belum lengkap",IF(COUNTIF(K243:P243,"Cukup")&gt;0,"Bisa, dengan catatan","Cocok")))))</f>
        <v/>
      </c>
      <c r="R243" s="33" t="str">
        <f aca="false">IF($A243="","",IF(K243="Kurang","prosesor tingkat "&amp;C243&amp;" dari 5, di bawah batas minimal (tingkat "&amp;Aturan!$C$48&amp;")",IF(K243="Cukup","prosesor tingkat "&amp;C243&amp;" dari 5 cukup, nyamannya mulai tingkat "&amp;Aturan!$D$48,IF(K243="Belum ada data","tingkat prosesor belum diisi",""))))</f>
        <v/>
      </c>
      <c r="S243" s="33" t="str">
        <f aca="false">IF($A243="","",IF(L243="Kurang","grafis tingkat "&amp;D243&amp;" dari 5, di bawah batas minimal (tingkat "&amp;Aturan!$C$49&amp;")",IF(L243="Cukup","grafis tingkat "&amp;D243&amp;" dari 5 cukup, nyamannya mulai tingkat "&amp;Aturan!$D$49,IF(L243="Belum ada data","tingkat grafis belum diisi",""))))</f>
        <v/>
      </c>
      <c r="T243" s="33" t="str">
        <f aca="false">IF($A243="","",IF(M243="Kurang","RAM "&amp;E243&amp;" GB, di bawah batas minimal "&amp;Aturan!$C$50&amp;" GB ("&amp;I243&amp;")",IF(M243="Cukup","RAM "&amp;E243&amp;" GB cukup, nyamannya "&amp;Aturan!$D$50&amp;" GB atau lebih ("&amp;I243&amp;")",IF(M243="Belum ada data","ukuran RAM belum diisi",""))))</f>
        <v/>
      </c>
      <c r="U243" s="33" t="str">
        <f aca="false">IF($A243="","",IF(N243="Kurang","penyimpanan "&amp;F243&amp;" GB, di bawah batas minimal "&amp;Aturan!$C$51&amp;" GB ("&amp;J243&amp;")",IF(N243="Cukup","penyimpanan "&amp;F243&amp;" GB cukup, nyamannya "&amp;Aturan!$D$51&amp;" GB atau lebih ("&amp;J243&amp;")",IF(N243="Belum ada data","ukuran penyimpanan belum diisi",""))))</f>
        <v/>
      </c>
      <c r="V243" s="33" t="str">
        <f aca="false">IF($A243="","",IF(O243="Kurang","layar "&amp;Varian!$AG52&amp;", di bawah batas minimal ("&amp;IFERROR(INDEX(Aturan!$A$63:$A$66,MATCH(Aturan!$C$52,Aturan!$B$63:$B$66,0)),"peringkat "&amp;Aturan!$C$52)&amp;")",IF(O243="Cukup","layar "&amp;Varian!$AG52&amp;" cukup, nyamannya "&amp;IFERROR(INDEX(Aturan!$A$63:$A$66,MATCH(Aturan!$D$52,Aturan!$B$63:$B$66,0)),"peringkat "&amp;Aturan!$D$52),IF(O243="Belum ada data","jenis layar belum diketahui",""))))</f>
        <v/>
      </c>
      <c r="W243" s="33" t="str">
        <f aca="false">IF($A243="","",IF(P243="Kurang","layar "&amp;H243&amp;" Hz, di bawah batas minimal "&amp;Aturan!$C$53&amp;" Hz",IF(P243="Cukup","layar "&amp;H243&amp;" Hz cukup, nyamannya "&amp;Aturan!$D$53&amp;" Hz atau lebih",IF(P243="Belum ada data","refresh rate belum diketahui",""))))</f>
        <v/>
      </c>
      <c r="X243" s="33" t="str">
        <f aca="false">IF($A243="","",IF(K243="Kurang",R243&amp;"; ","")&amp;IF(L243="Kurang",S243&amp;"; ","")&amp;IF(M243="Kurang",T243&amp;"; ","")&amp;IF(N243="Kurang",U243&amp;"; ","")&amp;IF(O243="Kurang",V243&amp;"; ","")&amp;IF(P243="Kurang",W243&amp;"; ","")&amp;IF(K243="Belum ada data",R243&amp;"; ","")&amp;IF(L243="Belum ada data",S243&amp;"; ","")&amp;IF(M243="Belum ada data",T243&amp;"; ","")&amp;IF(N243="Belum ada data",U243&amp;"; ","")&amp;IF(O243="Belum ada data",V243&amp;"; ","")&amp;IF(P243="Belum ada data",W243&amp;"; ","")&amp;IF(K243="Cukup",R243&amp;"; ","")&amp;IF(L243="Cukup",S243&amp;"; ","")&amp;IF(M243="Cukup",T243&amp;"; ","")&amp;IF(N243="Cukup",U243&amp;"; ","")&amp;IF(O243="Cukup",V243&amp;"; ","")&amp;IF(P243="Cukup",W243&amp;"; ",""))</f>
        <v/>
      </c>
      <c r="Y243" s="33" t="str">
        <f aca="false">IF($A243="","",IF(K243="Nyaman","prosesor, ","")&amp;IF(L243="Nyaman","grafis, ","")&amp;IF(M243="Nyaman","RAM, ","")&amp;IF(N243="Nyaman","penyimpanan, ","")&amp;IF(O243="Nyaman","layar, ","")&amp;IF(P243="Nyaman","refresh rate, ",""))</f>
        <v/>
      </c>
      <c r="Z243" s="33" t="str">
        <f aca="false">IF($A243="","",IF(Q243="Tidak dinilai","Belum ada kriteria yang dinilai untuk kebutuhan ini.",IF(Q243="Cocok","Semua kriteria yang dinilai sudah nyaman: "&amp;LEFT(Y243,LEN(Y243)-2)&amp;".",UPPER(LEFT(X243,1))&amp;MID(X243,2,LEN(X243)-3)&amp;"."&amp;IF(Y243="",""," Sudah nyaman: "&amp;LEFT(Y243,LEN(Y243)-2)&amp;"."))))</f>
        <v/>
      </c>
      <c r="AA243" s="33"/>
      <c r="AB243" s="33"/>
      <c r="AC243" s="69"/>
    </row>
    <row r="244" customFormat="false" ht="15" hidden="false" customHeight="true" outlineLevel="0" collapsed="false">
      <c r="A244" s="33" t="str">
        <f aca="false">IF(Varian!$A52="","",Varian!$A52)</f>
        <v/>
      </c>
      <c r="B244" s="33" t="str">
        <f aca="false">IF($A244="","",Aturan!$A$25)</f>
        <v/>
      </c>
      <c r="C244" s="69" t="str">
        <f aca="false">IF($A244="","",IFERROR(IF(ISNUMBER(INDEX(CPU!$J$4:$J$64,MATCH(Varian!$J52,CPU!$A$4:$A$64,0))),INDEX(CPU!$J$4:$J$64,MATCH(Varian!$J52,CPU!$A$4:$A$64,0)),""),""))</f>
        <v/>
      </c>
      <c r="D244" s="69" t="str">
        <f aca="false">IF($A244="","",IFERROR(IF(ISNUMBER(INDEX(GPU!$G$4:$G$64,MATCH(Varian!$K52,GPU!$A$4:$A$64,0))),INDEX(GPU!$G$4:$G$64,MATCH(Varian!$K52,GPU!$A$4:$A$64,0)),""),""))</f>
        <v/>
      </c>
      <c r="E244" s="69" t="str">
        <f aca="false">IF($A244="","",IF(ISNUMBER(Varian!$M52),Varian!$M52,""))</f>
        <v/>
      </c>
      <c r="F244" s="69" t="str">
        <f aca="false">IF($A244="","",IF(ISNUMBER(Varian!$V52),Varian!$V52,""))</f>
        <v/>
      </c>
      <c r="G244" s="69" t="str">
        <f aca="false">IF($A244="","",IFERROR(INDEX(Aturan!$B$63:$B$66,MATCH(Varian!$AG52,Aturan!$A$63:$A$66,0)),""))</f>
        <v/>
      </c>
      <c r="H244" s="69" t="str">
        <f aca="false">IF($A244="","",IF(ISNUMBER(Varian!$AI52),Varian!$AI52,""))</f>
        <v/>
      </c>
      <c r="I244" s="33" t="str">
        <f aca="false">IF($A244="","",IF(Varian!$Q52="disolder","menempel di papan utama, tidak bisa ditambah",IF(OR(Varian!$Q52="slot",Varian!$Q52="setengah_disolder"),IF(Varian!$Q52="setengah_disolder","sebagian menempel, ","")&amp;IF(ISNUMBER(Varian!$U52),IF(AND(ISNUMBER(Varian!$M52),Varian!$U52&gt;Varian!$M52),"bisa dinaikkan lewat slot sampai "&amp;Varian!$U52&amp;" GB","sudah di batas maksimal "&amp;Varian!$U52&amp;" GB"),"ada slot, batas maksimalnya belum diketahui"),"belum diketahui apakah bisa ditambah")))</f>
        <v/>
      </c>
      <c r="J244" s="33" t="str">
        <f aca="false">IF($A244="","",IF(Varian!$Z52="ya","bisa diganti dengan yang lebih besar",IF(Varian!$Z52="tidak","menempel, tidak bisa diganti","belum diketahui apakah bisa diganti")))</f>
        <v/>
      </c>
      <c r="K244" s="70" t="str">
        <f aca="false">IF($A244="","",IF(AND(Aturan!$C$54="",Aturan!$D$54=""),"Tidak dinilai",IF(C244="","Belum ada data",IF(C244&lt;IF(Aturan!$C$54="",0,Aturan!$C$54),"Kurang",IF(C244&gt;=IF(Aturan!$D$54="",Aturan!$C$54,Aturan!$D$54),"Nyaman","Cukup")))))</f>
        <v/>
      </c>
      <c r="L244" s="70" t="str">
        <f aca="false">IF($A244="","",IF(AND(Aturan!$C$55="",Aturan!$D$55=""),"Tidak dinilai",IF(D244="","Belum ada data",IF(D244&lt;IF(Aturan!$C$55="",0,Aturan!$C$55),"Kurang",IF(D244&gt;=IF(Aturan!$D$55="",Aturan!$C$55,Aturan!$D$55),"Nyaman","Cukup")))))</f>
        <v/>
      </c>
      <c r="M244" s="70" t="str">
        <f aca="false">IF($A244="","",IF(AND(Aturan!$C$56="",Aturan!$D$56=""),"Tidak dinilai",IF(E244="","Belum ada data",IF(E244&lt;IF(Aturan!$C$56="",0,Aturan!$C$56),"Kurang",IF(E244&gt;=IF(Aturan!$D$56="",Aturan!$C$56,Aturan!$D$56),"Nyaman","Cukup")))))</f>
        <v/>
      </c>
      <c r="N244" s="70" t="str">
        <f aca="false">IF($A244="","",IF(AND(Aturan!$C$57="",Aturan!$D$57=""),"Tidak dinilai",IF(F244="","Belum ada data",IF(F244&lt;IF(Aturan!$C$57="",0,Aturan!$C$57),"Kurang",IF(F244&gt;=IF(Aturan!$D$57="",Aturan!$C$57,Aturan!$D$57),"Nyaman","Cukup")))))</f>
        <v/>
      </c>
      <c r="O244" s="70" t="str">
        <f aca="false">IF($A244="","",IF(AND(Aturan!$C$58="",Aturan!$D$58=""),"Tidak dinilai",IF(G244="","Belum ada data",IF(G244&lt;IF(Aturan!$C$58="",0,Aturan!$C$58),"Kurang",IF(G244&gt;=IF(Aturan!$D$58="",Aturan!$C$58,Aturan!$D$58),"Nyaman","Cukup")))))</f>
        <v/>
      </c>
      <c r="P244" s="70" t="str">
        <f aca="false">IF($A244="","",IF(AND(Aturan!$C$59="",Aturan!$D$59=""),"Tidak dinilai",IF(H244="","Belum ada data",IF(H244&lt;IF(Aturan!$C$59="",0,Aturan!$C$59),"Kurang",IF(H244&gt;=IF(Aturan!$D$59="",Aturan!$C$59,Aturan!$D$59),"Nyaman","Cukup")))))</f>
        <v/>
      </c>
      <c r="Q244" s="70" t="str">
        <f aca="false">IF($A244="","",IF(COUNTIF(K244:P244,"Tidak dinilai")=6,"Tidak dinilai",IF(COUNTIF(K244:P244,"Kurang")&gt;0,"Kurang cocok",IF(COUNTIF(K244:P244,"Belum ada data")&gt;0,"Data belum lengkap",IF(COUNTIF(K244:P244,"Cukup")&gt;0,"Bisa, dengan catatan","Cocok")))))</f>
        <v/>
      </c>
      <c r="R244" s="33" t="str">
        <f aca="false">IF($A244="","",IF(K244="Kurang","prosesor tingkat "&amp;C244&amp;" dari 5, di bawah batas minimal (tingkat "&amp;Aturan!$C$54&amp;")",IF(K244="Cukup","prosesor tingkat "&amp;C244&amp;" dari 5 cukup, nyamannya mulai tingkat "&amp;Aturan!$D$54,IF(K244="Belum ada data","tingkat prosesor belum diisi",""))))</f>
        <v/>
      </c>
      <c r="S244" s="33" t="str">
        <f aca="false">IF($A244="","",IF(L244="Kurang","grafis tingkat "&amp;D244&amp;" dari 5, di bawah batas minimal (tingkat "&amp;Aturan!$C$55&amp;")",IF(L244="Cukup","grafis tingkat "&amp;D244&amp;" dari 5 cukup, nyamannya mulai tingkat "&amp;Aturan!$D$55,IF(L244="Belum ada data","tingkat grafis belum diisi",""))))</f>
        <v/>
      </c>
      <c r="T244" s="33" t="str">
        <f aca="false">IF($A244="","",IF(M244="Kurang","RAM "&amp;E244&amp;" GB, di bawah batas minimal "&amp;Aturan!$C$56&amp;" GB ("&amp;I244&amp;")",IF(M244="Cukup","RAM "&amp;E244&amp;" GB cukup, nyamannya "&amp;Aturan!$D$56&amp;" GB atau lebih ("&amp;I244&amp;")",IF(M244="Belum ada data","ukuran RAM belum diisi",""))))</f>
        <v/>
      </c>
      <c r="U244" s="33" t="str">
        <f aca="false">IF($A244="","",IF(N244="Kurang","penyimpanan "&amp;F244&amp;" GB, di bawah batas minimal "&amp;Aturan!$C$57&amp;" GB ("&amp;J244&amp;")",IF(N244="Cukup","penyimpanan "&amp;F244&amp;" GB cukup, nyamannya "&amp;Aturan!$D$57&amp;" GB atau lebih ("&amp;J244&amp;")",IF(N244="Belum ada data","ukuran penyimpanan belum diisi",""))))</f>
        <v/>
      </c>
      <c r="V244" s="33" t="str">
        <f aca="false">IF($A244="","",IF(O244="Kurang","layar "&amp;Varian!$AG52&amp;", di bawah batas minimal ("&amp;IFERROR(INDEX(Aturan!$A$63:$A$66,MATCH(Aturan!$C$58,Aturan!$B$63:$B$66,0)),"peringkat "&amp;Aturan!$C$58)&amp;")",IF(O244="Cukup","layar "&amp;Varian!$AG52&amp;" cukup, nyamannya "&amp;IFERROR(INDEX(Aturan!$A$63:$A$66,MATCH(Aturan!$D$58,Aturan!$B$63:$B$66,0)),"peringkat "&amp;Aturan!$D$58),IF(O244="Belum ada data","jenis layar belum diketahui",""))))</f>
        <v/>
      </c>
      <c r="W244" s="33" t="str">
        <f aca="false">IF($A244="","",IF(P244="Kurang","layar "&amp;H244&amp;" Hz, di bawah batas minimal "&amp;Aturan!$C$59&amp;" Hz",IF(P244="Cukup","layar "&amp;H244&amp;" Hz cukup, nyamannya "&amp;Aturan!$D$59&amp;" Hz atau lebih",IF(P244="Belum ada data","refresh rate belum diketahui",""))))</f>
        <v/>
      </c>
      <c r="X244" s="33" t="str">
        <f aca="false">IF($A244="","",IF(K244="Kurang",R244&amp;"; ","")&amp;IF(L244="Kurang",S244&amp;"; ","")&amp;IF(M244="Kurang",T244&amp;"; ","")&amp;IF(N244="Kurang",U244&amp;"; ","")&amp;IF(O244="Kurang",V244&amp;"; ","")&amp;IF(P244="Kurang",W244&amp;"; ","")&amp;IF(K244="Belum ada data",R244&amp;"; ","")&amp;IF(L244="Belum ada data",S244&amp;"; ","")&amp;IF(M244="Belum ada data",T244&amp;"; ","")&amp;IF(N244="Belum ada data",U244&amp;"; ","")&amp;IF(O244="Belum ada data",V244&amp;"; ","")&amp;IF(P244="Belum ada data",W244&amp;"; ","")&amp;IF(K244="Cukup",R244&amp;"; ","")&amp;IF(L244="Cukup",S244&amp;"; ","")&amp;IF(M244="Cukup",T244&amp;"; ","")&amp;IF(N244="Cukup",U244&amp;"; ","")&amp;IF(O244="Cukup",V244&amp;"; ","")&amp;IF(P244="Cukup",W244&amp;"; ",""))</f>
        <v/>
      </c>
      <c r="Y244" s="33" t="str">
        <f aca="false">IF($A244="","",IF(K244="Nyaman","prosesor, ","")&amp;IF(L244="Nyaman","grafis, ","")&amp;IF(M244="Nyaman","RAM, ","")&amp;IF(N244="Nyaman","penyimpanan, ","")&amp;IF(O244="Nyaman","layar, ","")&amp;IF(P244="Nyaman","refresh rate, ",""))</f>
        <v/>
      </c>
      <c r="Z244" s="33" t="str">
        <f aca="false">IF($A244="","",IF(Q244="Tidak dinilai","Belum ada kriteria yang dinilai untuk kebutuhan ini.",IF(Q244="Cocok","Semua kriteria yang dinilai sudah nyaman: "&amp;LEFT(Y244,LEN(Y244)-2)&amp;".",UPPER(LEFT(X244,1))&amp;MID(X244,2,LEN(X244)-3)&amp;"."&amp;IF(Y244="",""," Sudah nyaman: "&amp;LEFT(Y244,LEN(Y244)-2)&amp;"."))))</f>
        <v/>
      </c>
      <c r="AA244" s="33"/>
      <c r="AB244" s="33"/>
      <c r="AC244" s="69"/>
    </row>
    <row r="245" customFormat="false" ht="15" hidden="false" customHeight="true" outlineLevel="0" collapsed="false">
      <c r="A245" s="66" t="str">
        <f aca="false">IF(Varian!$A53="","",Varian!$A53)</f>
        <v/>
      </c>
      <c r="B245" s="66" t="str">
        <f aca="false">IF($A245="","",Aturan!$A$21)</f>
        <v/>
      </c>
      <c r="C245" s="67" t="str">
        <f aca="false">IF($A245="","",IFERROR(IF(ISNUMBER(INDEX(CPU!$J$4:$J$64,MATCH(Varian!$J53,CPU!$A$4:$A$64,0))),INDEX(CPU!$J$4:$J$64,MATCH(Varian!$J53,CPU!$A$4:$A$64,0)),""),""))</f>
        <v/>
      </c>
      <c r="D245" s="67" t="str">
        <f aca="false">IF($A245="","",IFERROR(IF(ISNUMBER(INDEX(GPU!$G$4:$G$64,MATCH(Varian!$K53,GPU!$A$4:$A$64,0))),INDEX(GPU!$G$4:$G$64,MATCH(Varian!$K53,GPU!$A$4:$A$64,0)),""),""))</f>
        <v/>
      </c>
      <c r="E245" s="67" t="str">
        <f aca="false">IF($A245="","",IF(ISNUMBER(Varian!$M53),Varian!$M53,""))</f>
        <v/>
      </c>
      <c r="F245" s="67" t="str">
        <f aca="false">IF($A245="","",IF(ISNUMBER(Varian!$V53),Varian!$V53,""))</f>
        <v/>
      </c>
      <c r="G245" s="67" t="str">
        <f aca="false">IF($A245="","",IFERROR(INDEX(Aturan!$B$63:$B$66,MATCH(Varian!$AG53,Aturan!$A$63:$A$66,0)),""))</f>
        <v/>
      </c>
      <c r="H245" s="67" t="str">
        <f aca="false">IF($A245="","",IF(ISNUMBER(Varian!$AI53),Varian!$AI53,""))</f>
        <v/>
      </c>
      <c r="I245" s="66" t="str">
        <f aca="false">IF($A245="","",IF(Varian!$Q53="disolder","menempel di papan utama, tidak bisa ditambah",IF(OR(Varian!$Q53="slot",Varian!$Q53="setengah_disolder"),IF(Varian!$Q53="setengah_disolder","sebagian menempel, ","")&amp;IF(ISNUMBER(Varian!$U53),IF(AND(ISNUMBER(Varian!$M53),Varian!$U53&gt;Varian!$M53),"bisa dinaikkan lewat slot sampai "&amp;Varian!$U53&amp;" GB","sudah di batas maksimal "&amp;Varian!$U53&amp;" GB"),"ada slot, batas maksimalnya belum diketahui"),"belum diketahui apakah bisa ditambah")))</f>
        <v/>
      </c>
      <c r="J245" s="66" t="str">
        <f aca="false">IF($A245="","",IF(Varian!$Z53="ya","bisa diganti dengan yang lebih besar",IF(Varian!$Z53="tidak","menempel, tidak bisa diganti","belum diketahui apakah bisa diganti")))</f>
        <v/>
      </c>
      <c r="K245" s="68" t="str">
        <f aca="false">IF($A245="","",IF(AND(Aturan!$C$30="",Aturan!$D$30=""),"Tidak dinilai",IF(C245="","Belum ada data",IF(C245&lt;IF(Aturan!$C$30="",0,Aturan!$C$30),"Kurang",IF(C245&gt;=IF(Aturan!$D$30="",Aturan!$C$30,Aturan!$D$30),"Nyaman","Cukup")))))</f>
        <v/>
      </c>
      <c r="L245" s="68" t="str">
        <f aca="false">IF($A245="","",IF(AND(Aturan!$C$31="",Aturan!$D$31=""),"Tidak dinilai",IF(D245="","Belum ada data",IF(D245&lt;IF(Aturan!$C$31="",0,Aturan!$C$31),"Kurang",IF(D245&gt;=IF(Aturan!$D$31="",Aturan!$C$31,Aturan!$D$31),"Nyaman","Cukup")))))</f>
        <v/>
      </c>
      <c r="M245" s="68" t="str">
        <f aca="false">IF($A245="","",IF(AND(Aturan!$C$32="",Aturan!$D$32=""),"Tidak dinilai",IF(E245="","Belum ada data",IF(E245&lt;IF(Aturan!$C$32="",0,Aturan!$C$32),"Kurang",IF(E245&gt;=IF(Aturan!$D$32="",Aturan!$C$32,Aturan!$D$32),"Nyaman","Cukup")))))</f>
        <v/>
      </c>
      <c r="N245" s="68" t="str">
        <f aca="false">IF($A245="","",IF(AND(Aturan!$C$33="",Aturan!$D$33=""),"Tidak dinilai",IF(F245="","Belum ada data",IF(F245&lt;IF(Aturan!$C$33="",0,Aturan!$C$33),"Kurang",IF(F245&gt;=IF(Aturan!$D$33="",Aturan!$C$33,Aturan!$D$33),"Nyaman","Cukup")))))</f>
        <v/>
      </c>
      <c r="O245" s="68" t="str">
        <f aca="false">IF($A245="","",IF(AND(Aturan!$C$34="",Aturan!$D$34=""),"Tidak dinilai",IF(G245="","Belum ada data",IF(G245&lt;IF(Aturan!$C$34="",0,Aturan!$C$34),"Kurang",IF(G245&gt;=IF(Aturan!$D$34="",Aturan!$C$34,Aturan!$D$34),"Nyaman","Cukup")))))</f>
        <v/>
      </c>
      <c r="P245" s="68" t="str">
        <f aca="false">IF($A245="","",IF(AND(Aturan!$C$35="",Aturan!$D$35=""),"Tidak dinilai",IF(H245="","Belum ada data",IF(H245&lt;IF(Aturan!$C$35="",0,Aturan!$C$35),"Kurang",IF(H245&gt;=IF(Aturan!$D$35="",Aturan!$C$35,Aturan!$D$35),"Nyaman","Cukup")))))</f>
        <v/>
      </c>
      <c r="Q245" s="68" t="str">
        <f aca="false">IF($A245="","",IF(COUNTIF(K245:P245,"Tidak dinilai")=6,"Tidak dinilai",IF(COUNTIF(K245:P245,"Kurang")&gt;0,"Kurang cocok",IF(COUNTIF(K245:P245,"Belum ada data")&gt;0,"Data belum lengkap",IF(COUNTIF(K245:P245,"Cukup")&gt;0,"Bisa, dengan catatan","Cocok")))))</f>
        <v/>
      </c>
      <c r="R245" s="66" t="str">
        <f aca="false">IF($A245="","",IF(K245="Kurang","prosesor tingkat "&amp;C245&amp;" dari 5, di bawah batas minimal (tingkat "&amp;Aturan!$C$30&amp;")",IF(K245="Cukup","prosesor tingkat "&amp;C245&amp;" dari 5 cukup, nyamannya mulai tingkat "&amp;Aturan!$D$30,IF(K245="Belum ada data","tingkat prosesor belum diisi",""))))</f>
        <v/>
      </c>
      <c r="S245" s="66" t="str">
        <f aca="false">IF($A245="","",IF(L245="Kurang","grafis tingkat "&amp;D245&amp;" dari 5, di bawah batas minimal (tingkat "&amp;Aturan!$C$31&amp;")",IF(L245="Cukup","grafis tingkat "&amp;D245&amp;" dari 5 cukup, nyamannya mulai tingkat "&amp;Aturan!$D$31,IF(L245="Belum ada data","tingkat grafis belum diisi",""))))</f>
        <v/>
      </c>
      <c r="T245" s="66" t="str">
        <f aca="false">IF($A245="","",IF(M245="Kurang","RAM "&amp;E245&amp;" GB, di bawah batas minimal "&amp;Aturan!$C$32&amp;" GB ("&amp;I245&amp;")",IF(M245="Cukup","RAM "&amp;E245&amp;" GB cukup, nyamannya "&amp;Aturan!$D$32&amp;" GB atau lebih ("&amp;I245&amp;")",IF(M245="Belum ada data","ukuran RAM belum diisi",""))))</f>
        <v/>
      </c>
      <c r="U245" s="66" t="str">
        <f aca="false">IF($A245="","",IF(N245="Kurang","penyimpanan "&amp;F245&amp;" GB, di bawah batas minimal "&amp;Aturan!$C$33&amp;" GB ("&amp;J245&amp;")",IF(N245="Cukup","penyimpanan "&amp;F245&amp;" GB cukup, nyamannya "&amp;Aturan!$D$33&amp;" GB atau lebih ("&amp;J245&amp;")",IF(N245="Belum ada data","ukuran penyimpanan belum diisi",""))))</f>
        <v/>
      </c>
      <c r="V245" s="66" t="str">
        <f aca="false">IF($A245="","",IF(O245="Kurang","layar "&amp;Varian!$AG53&amp;", di bawah batas minimal ("&amp;IFERROR(INDEX(Aturan!$A$63:$A$66,MATCH(Aturan!$C$34,Aturan!$B$63:$B$66,0)),"peringkat "&amp;Aturan!$C$34)&amp;")",IF(O245="Cukup","layar "&amp;Varian!$AG53&amp;" cukup, nyamannya "&amp;IFERROR(INDEX(Aturan!$A$63:$A$66,MATCH(Aturan!$D$34,Aturan!$B$63:$B$66,0)),"peringkat "&amp;Aturan!$D$34),IF(O245="Belum ada data","jenis layar belum diketahui",""))))</f>
        <v/>
      </c>
      <c r="W245" s="66" t="str">
        <f aca="false">IF($A245="","",IF(P245="Kurang","layar "&amp;H245&amp;" Hz, di bawah batas minimal "&amp;Aturan!$C$35&amp;" Hz",IF(P245="Cukup","layar "&amp;H245&amp;" Hz cukup, nyamannya "&amp;Aturan!$D$35&amp;" Hz atau lebih",IF(P245="Belum ada data","refresh rate belum diketahui",""))))</f>
        <v/>
      </c>
      <c r="X245" s="66" t="str">
        <f aca="false">IF($A245="","",IF(K245="Kurang",R245&amp;"; ","")&amp;IF(L245="Kurang",S245&amp;"; ","")&amp;IF(M245="Kurang",T245&amp;"; ","")&amp;IF(N245="Kurang",U245&amp;"; ","")&amp;IF(O245="Kurang",V245&amp;"; ","")&amp;IF(P245="Kurang",W245&amp;"; ","")&amp;IF(K245="Belum ada data",R245&amp;"; ","")&amp;IF(L245="Belum ada data",S245&amp;"; ","")&amp;IF(M245="Belum ada data",T245&amp;"; ","")&amp;IF(N245="Belum ada data",U245&amp;"; ","")&amp;IF(O245="Belum ada data",V245&amp;"; ","")&amp;IF(P245="Belum ada data",W245&amp;"; ","")&amp;IF(K245="Cukup",R245&amp;"; ","")&amp;IF(L245="Cukup",S245&amp;"; ","")&amp;IF(M245="Cukup",T245&amp;"; ","")&amp;IF(N245="Cukup",U245&amp;"; ","")&amp;IF(O245="Cukup",V245&amp;"; ","")&amp;IF(P245="Cukup",W245&amp;"; ",""))</f>
        <v/>
      </c>
      <c r="Y245" s="66" t="str">
        <f aca="false">IF($A245="","",IF(K245="Nyaman","prosesor, ","")&amp;IF(L245="Nyaman","grafis, ","")&amp;IF(M245="Nyaman","RAM, ","")&amp;IF(N245="Nyaman","penyimpanan, ","")&amp;IF(O245="Nyaman","layar, ","")&amp;IF(P245="Nyaman","refresh rate, ",""))</f>
        <v/>
      </c>
      <c r="Z245" s="66" t="str">
        <f aca="false">IF($A245="","",IF(Q245="Tidak dinilai","Belum ada kriteria yang dinilai untuk kebutuhan ini.",IF(Q245="Cocok","Semua kriteria yang dinilai sudah nyaman: "&amp;LEFT(Y245,LEN(Y245)-2)&amp;".",UPPER(LEFT(X245,1))&amp;MID(X245,2,LEN(X245)-3)&amp;"."&amp;IF(Y245="",""," Sudah nyaman: "&amp;LEFT(Y245,LEN(Y245)-2)&amp;"."))))</f>
        <v/>
      </c>
      <c r="AA245" s="66" t="str">
        <f aca="false">IF($A245="","",IF(Varian!$AR53="Windows 10","• "&amp;Aturan!$E$71&amp;CHAR(10),"")&amp;IF(Varian!$BB53="tidak","• "&amp;Aturan!$E$72&amp;CHAR(10),"")&amp;IF(OR(Varian!$AD53="belum terverifikasi",Varian!$AD53="tidak diketahui"),"• "&amp;Aturan!$E$73&amp;CHAR(10),"")&amp;IF(Varian!$AH53="1366x768","• "&amp;Aturan!$E$74&amp;CHAR(10),"")&amp;IF(Varian!$AG53="TN","• "&amp;Aturan!$E$75&amp;CHAR(10),"")&amp;IF(AND(Varian!$Q53="disolder",ISNUMBER(Varian!$M53),Varian!$M53&lt;=8),"• "&amp;Aturan!$E$76&amp;CHAR(10),""))</f>
        <v/>
      </c>
      <c r="AB245" s="66" t="str">
        <f aca="false">IF($A245="","",IF(AA245="","",LEFT(AA245,LEN(AA245)-1)))</f>
        <v/>
      </c>
      <c r="AC245" s="67" t="str">
        <f aca="false">IF($A245="","",IF(AA245="",0,LEN(AA245)-LEN(SUBSTITUTE(AA245,CHAR(10),""))))</f>
        <v/>
      </c>
    </row>
    <row r="246" customFormat="false" ht="15" hidden="false" customHeight="true" outlineLevel="0" collapsed="false">
      <c r="A246" s="33" t="str">
        <f aca="false">IF(Varian!$A53="","",Varian!$A53)</f>
        <v/>
      </c>
      <c r="B246" s="33" t="str">
        <f aca="false">IF($A246="","",Aturan!$A$22)</f>
        <v/>
      </c>
      <c r="C246" s="69" t="str">
        <f aca="false">IF($A246="","",IFERROR(IF(ISNUMBER(INDEX(CPU!$J$4:$J$64,MATCH(Varian!$J53,CPU!$A$4:$A$64,0))),INDEX(CPU!$J$4:$J$64,MATCH(Varian!$J53,CPU!$A$4:$A$64,0)),""),""))</f>
        <v/>
      </c>
      <c r="D246" s="69" t="str">
        <f aca="false">IF($A246="","",IFERROR(IF(ISNUMBER(INDEX(GPU!$G$4:$G$64,MATCH(Varian!$K53,GPU!$A$4:$A$64,0))),INDEX(GPU!$G$4:$G$64,MATCH(Varian!$K53,GPU!$A$4:$A$64,0)),""),""))</f>
        <v/>
      </c>
      <c r="E246" s="69" t="str">
        <f aca="false">IF($A246="","",IF(ISNUMBER(Varian!$M53),Varian!$M53,""))</f>
        <v/>
      </c>
      <c r="F246" s="69" t="str">
        <f aca="false">IF($A246="","",IF(ISNUMBER(Varian!$V53),Varian!$V53,""))</f>
        <v/>
      </c>
      <c r="G246" s="69" t="str">
        <f aca="false">IF($A246="","",IFERROR(INDEX(Aturan!$B$63:$B$66,MATCH(Varian!$AG53,Aturan!$A$63:$A$66,0)),""))</f>
        <v/>
      </c>
      <c r="H246" s="69" t="str">
        <f aca="false">IF($A246="","",IF(ISNUMBER(Varian!$AI53),Varian!$AI53,""))</f>
        <v/>
      </c>
      <c r="I246" s="33" t="str">
        <f aca="false">IF($A246="","",IF(Varian!$Q53="disolder","menempel di papan utama, tidak bisa ditambah",IF(OR(Varian!$Q53="slot",Varian!$Q53="setengah_disolder"),IF(Varian!$Q53="setengah_disolder","sebagian menempel, ","")&amp;IF(ISNUMBER(Varian!$U53),IF(AND(ISNUMBER(Varian!$M53),Varian!$U53&gt;Varian!$M53),"bisa dinaikkan lewat slot sampai "&amp;Varian!$U53&amp;" GB","sudah di batas maksimal "&amp;Varian!$U53&amp;" GB"),"ada slot, batas maksimalnya belum diketahui"),"belum diketahui apakah bisa ditambah")))</f>
        <v/>
      </c>
      <c r="J246" s="33" t="str">
        <f aca="false">IF($A246="","",IF(Varian!$Z53="ya","bisa diganti dengan yang lebih besar",IF(Varian!$Z53="tidak","menempel, tidak bisa diganti","belum diketahui apakah bisa diganti")))</f>
        <v/>
      </c>
      <c r="K246" s="70" t="str">
        <f aca="false">IF($A246="","",IF(AND(Aturan!$C$36="",Aturan!$D$36=""),"Tidak dinilai",IF(C246="","Belum ada data",IF(C246&lt;IF(Aturan!$C$36="",0,Aturan!$C$36),"Kurang",IF(C246&gt;=IF(Aturan!$D$36="",Aturan!$C$36,Aturan!$D$36),"Nyaman","Cukup")))))</f>
        <v/>
      </c>
      <c r="L246" s="70" t="str">
        <f aca="false">IF($A246="","",IF(AND(Aturan!$C$37="",Aturan!$D$37=""),"Tidak dinilai",IF(D246="","Belum ada data",IF(D246&lt;IF(Aturan!$C$37="",0,Aturan!$C$37),"Kurang",IF(D246&gt;=IF(Aturan!$D$37="",Aturan!$C$37,Aturan!$D$37),"Nyaman","Cukup")))))</f>
        <v/>
      </c>
      <c r="M246" s="70" t="str">
        <f aca="false">IF($A246="","",IF(AND(Aturan!$C$38="",Aturan!$D$38=""),"Tidak dinilai",IF(E246="","Belum ada data",IF(E246&lt;IF(Aturan!$C$38="",0,Aturan!$C$38),"Kurang",IF(E246&gt;=IF(Aturan!$D$38="",Aturan!$C$38,Aturan!$D$38),"Nyaman","Cukup")))))</f>
        <v/>
      </c>
      <c r="N246" s="70" t="str">
        <f aca="false">IF($A246="","",IF(AND(Aturan!$C$39="",Aturan!$D$39=""),"Tidak dinilai",IF(F246="","Belum ada data",IF(F246&lt;IF(Aturan!$C$39="",0,Aturan!$C$39),"Kurang",IF(F246&gt;=IF(Aturan!$D$39="",Aturan!$C$39,Aturan!$D$39),"Nyaman","Cukup")))))</f>
        <v/>
      </c>
      <c r="O246" s="70" t="str">
        <f aca="false">IF($A246="","",IF(AND(Aturan!$C$40="",Aturan!$D$40=""),"Tidak dinilai",IF(G246="","Belum ada data",IF(G246&lt;IF(Aturan!$C$40="",0,Aturan!$C$40),"Kurang",IF(G246&gt;=IF(Aturan!$D$40="",Aturan!$C$40,Aturan!$D$40),"Nyaman","Cukup")))))</f>
        <v/>
      </c>
      <c r="P246" s="70" t="str">
        <f aca="false">IF($A246="","",IF(AND(Aturan!$C$41="",Aturan!$D$41=""),"Tidak dinilai",IF(H246="","Belum ada data",IF(H246&lt;IF(Aturan!$C$41="",0,Aturan!$C$41),"Kurang",IF(H246&gt;=IF(Aturan!$D$41="",Aturan!$C$41,Aturan!$D$41),"Nyaman","Cukup")))))</f>
        <v/>
      </c>
      <c r="Q246" s="70" t="str">
        <f aca="false">IF($A246="","",IF(COUNTIF(K246:P246,"Tidak dinilai")=6,"Tidak dinilai",IF(COUNTIF(K246:P246,"Kurang")&gt;0,"Kurang cocok",IF(COUNTIF(K246:P246,"Belum ada data")&gt;0,"Data belum lengkap",IF(COUNTIF(K246:P246,"Cukup")&gt;0,"Bisa, dengan catatan","Cocok")))))</f>
        <v/>
      </c>
      <c r="R246" s="33" t="str">
        <f aca="false">IF($A246="","",IF(K246="Kurang","prosesor tingkat "&amp;C246&amp;" dari 5, di bawah batas minimal (tingkat "&amp;Aturan!$C$36&amp;")",IF(K246="Cukup","prosesor tingkat "&amp;C246&amp;" dari 5 cukup, nyamannya mulai tingkat "&amp;Aturan!$D$36,IF(K246="Belum ada data","tingkat prosesor belum diisi",""))))</f>
        <v/>
      </c>
      <c r="S246" s="33" t="str">
        <f aca="false">IF($A246="","",IF(L246="Kurang","grafis tingkat "&amp;D246&amp;" dari 5, di bawah batas minimal (tingkat "&amp;Aturan!$C$37&amp;")",IF(L246="Cukup","grafis tingkat "&amp;D246&amp;" dari 5 cukup, nyamannya mulai tingkat "&amp;Aturan!$D$37,IF(L246="Belum ada data","tingkat grafis belum diisi",""))))</f>
        <v/>
      </c>
      <c r="T246" s="33" t="str">
        <f aca="false">IF($A246="","",IF(M246="Kurang","RAM "&amp;E246&amp;" GB, di bawah batas minimal "&amp;Aturan!$C$38&amp;" GB ("&amp;I246&amp;")",IF(M246="Cukup","RAM "&amp;E246&amp;" GB cukup, nyamannya "&amp;Aturan!$D$38&amp;" GB atau lebih ("&amp;I246&amp;")",IF(M246="Belum ada data","ukuran RAM belum diisi",""))))</f>
        <v/>
      </c>
      <c r="U246" s="33" t="str">
        <f aca="false">IF($A246="","",IF(N246="Kurang","penyimpanan "&amp;F246&amp;" GB, di bawah batas minimal "&amp;Aturan!$C$39&amp;" GB ("&amp;J246&amp;")",IF(N246="Cukup","penyimpanan "&amp;F246&amp;" GB cukup, nyamannya "&amp;Aturan!$D$39&amp;" GB atau lebih ("&amp;J246&amp;")",IF(N246="Belum ada data","ukuran penyimpanan belum diisi",""))))</f>
        <v/>
      </c>
      <c r="V246" s="33" t="str">
        <f aca="false">IF($A246="","",IF(O246="Kurang","layar "&amp;Varian!$AG53&amp;", di bawah batas minimal ("&amp;IFERROR(INDEX(Aturan!$A$63:$A$66,MATCH(Aturan!$C$40,Aturan!$B$63:$B$66,0)),"peringkat "&amp;Aturan!$C$40)&amp;")",IF(O246="Cukup","layar "&amp;Varian!$AG53&amp;" cukup, nyamannya "&amp;IFERROR(INDEX(Aturan!$A$63:$A$66,MATCH(Aturan!$D$40,Aturan!$B$63:$B$66,0)),"peringkat "&amp;Aturan!$D$40),IF(O246="Belum ada data","jenis layar belum diketahui",""))))</f>
        <v/>
      </c>
      <c r="W246" s="33" t="str">
        <f aca="false">IF($A246="","",IF(P246="Kurang","layar "&amp;H246&amp;" Hz, di bawah batas minimal "&amp;Aturan!$C$41&amp;" Hz",IF(P246="Cukup","layar "&amp;H246&amp;" Hz cukup, nyamannya "&amp;Aturan!$D$41&amp;" Hz atau lebih",IF(P246="Belum ada data","refresh rate belum diketahui",""))))</f>
        <v/>
      </c>
      <c r="X246" s="33" t="str">
        <f aca="false">IF($A246="","",IF(K246="Kurang",R246&amp;"; ","")&amp;IF(L246="Kurang",S246&amp;"; ","")&amp;IF(M246="Kurang",T246&amp;"; ","")&amp;IF(N246="Kurang",U246&amp;"; ","")&amp;IF(O246="Kurang",V246&amp;"; ","")&amp;IF(P246="Kurang",W246&amp;"; ","")&amp;IF(K246="Belum ada data",R246&amp;"; ","")&amp;IF(L246="Belum ada data",S246&amp;"; ","")&amp;IF(M246="Belum ada data",T246&amp;"; ","")&amp;IF(N246="Belum ada data",U246&amp;"; ","")&amp;IF(O246="Belum ada data",V246&amp;"; ","")&amp;IF(P246="Belum ada data",W246&amp;"; ","")&amp;IF(K246="Cukup",R246&amp;"; ","")&amp;IF(L246="Cukup",S246&amp;"; ","")&amp;IF(M246="Cukup",T246&amp;"; ","")&amp;IF(N246="Cukup",U246&amp;"; ","")&amp;IF(O246="Cukup",V246&amp;"; ","")&amp;IF(P246="Cukup",W246&amp;"; ",""))</f>
        <v/>
      </c>
      <c r="Y246" s="33" t="str">
        <f aca="false">IF($A246="","",IF(K246="Nyaman","prosesor, ","")&amp;IF(L246="Nyaman","grafis, ","")&amp;IF(M246="Nyaman","RAM, ","")&amp;IF(N246="Nyaman","penyimpanan, ","")&amp;IF(O246="Nyaman","layar, ","")&amp;IF(P246="Nyaman","refresh rate, ",""))</f>
        <v/>
      </c>
      <c r="Z246" s="33" t="str">
        <f aca="false">IF($A246="","",IF(Q246="Tidak dinilai","Belum ada kriteria yang dinilai untuk kebutuhan ini.",IF(Q246="Cocok","Semua kriteria yang dinilai sudah nyaman: "&amp;LEFT(Y246,LEN(Y246)-2)&amp;".",UPPER(LEFT(X246,1))&amp;MID(X246,2,LEN(X246)-3)&amp;"."&amp;IF(Y246="",""," Sudah nyaman: "&amp;LEFT(Y246,LEN(Y246)-2)&amp;"."))))</f>
        <v/>
      </c>
      <c r="AA246" s="33"/>
      <c r="AB246" s="33"/>
      <c r="AC246" s="69"/>
    </row>
    <row r="247" customFormat="false" ht="15" hidden="false" customHeight="true" outlineLevel="0" collapsed="false">
      <c r="A247" s="33" t="str">
        <f aca="false">IF(Varian!$A53="","",Varian!$A53)</f>
        <v/>
      </c>
      <c r="B247" s="33" t="str">
        <f aca="false">IF($A247="","",Aturan!$A$23)</f>
        <v/>
      </c>
      <c r="C247" s="69" t="str">
        <f aca="false">IF($A247="","",IFERROR(IF(ISNUMBER(INDEX(CPU!$J$4:$J$64,MATCH(Varian!$J53,CPU!$A$4:$A$64,0))),INDEX(CPU!$J$4:$J$64,MATCH(Varian!$J53,CPU!$A$4:$A$64,0)),""),""))</f>
        <v/>
      </c>
      <c r="D247" s="69" t="str">
        <f aca="false">IF($A247="","",IFERROR(IF(ISNUMBER(INDEX(GPU!$G$4:$G$64,MATCH(Varian!$K53,GPU!$A$4:$A$64,0))),INDEX(GPU!$G$4:$G$64,MATCH(Varian!$K53,GPU!$A$4:$A$64,0)),""),""))</f>
        <v/>
      </c>
      <c r="E247" s="69" t="str">
        <f aca="false">IF($A247="","",IF(ISNUMBER(Varian!$M53),Varian!$M53,""))</f>
        <v/>
      </c>
      <c r="F247" s="69" t="str">
        <f aca="false">IF($A247="","",IF(ISNUMBER(Varian!$V53),Varian!$V53,""))</f>
        <v/>
      </c>
      <c r="G247" s="69" t="str">
        <f aca="false">IF($A247="","",IFERROR(INDEX(Aturan!$B$63:$B$66,MATCH(Varian!$AG53,Aturan!$A$63:$A$66,0)),""))</f>
        <v/>
      </c>
      <c r="H247" s="69" t="str">
        <f aca="false">IF($A247="","",IF(ISNUMBER(Varian!$AI53),Varian!$AI53,""))</f>
        <v/>
      </c>
      <c r="I247" s="33" t="str">
        <f aca="false">IF($A247="","",IF(Varian!$Q53="disolder","menempel di papan utama, tidak bisa ditambah",IF(OR(Varian!$Q53="slot",Varian!$Q53="setengah_disolder"),IF(Varian!$Q53="setengah_disolder","sebagian menempel, ","")&amp;IF(ISNUMBER(Varian!$U53),IF(AND(ISNUMBER(Varian!$M53),Varian!$U53&gt;Varian!$M53),"bisa dinaikkan lewat slot sampai "&amp;Varian!$U53&amp;" GB","sudah di batas maksimal "&amp;Varian!$U53&amp;" GB"),"ada slot, batas maksimalnya belum diketahui"),"belum diketahui apakah bisa ditambah")))</f>
        <v/>
      </c>
      <c r="J247" s="33" t="str">
        <f aca="false">IF($A247="","",IF(Varian!$Z53="ya","bisa diganti dengan yang lebih besar",IF(Varian!$Z53="tidak","menempel, tidak bisa diganti","belum diketahui apakah bisa diganti")))</f>
        <v/>
      </c>
      <c r="K247" s="70" t="str">
        <f aca="false">IF($A247="","",IF(AND(Aturan!$C$42="",Aturan!$D$42=""),"Tidak dinilai",IF(C247="","Belum ada data",IF(C247&lt;IF(Aturan!$C$42="",0,Aturan!$C$42),"Kurang",IF(C247&gt;=IF(Aturan!$D$42="",Aturan!$C$42,Aturan!$D$42),"Nyaman","Cukup")))))</f>
        <v/>
      </c>
      <c r="L247" s="70" t="str">
        <f aca="false">IF($A247="","",IF(AND(Aturan!$C$43="",Aturan!$D$43=""),"Tidak dinilai",IF(D247="","Belum ada data",IF(D247&lt;IF(Aturan!$C$43="",0,Aturan!$C$43),"Kurang",IF(D247&gt;=IF(Aturan!$D$43="",Aturan!$C$43,Aturan!$D$43),"Nyaman","Cukup")))))</f>
        <v/>
      </c>
      <c r="M247" s="70" t="str">
        <f aca="false">IF($A247="","",IF(AND(Aturan!$C$44="",Aturan!$D$44=""),"Tidak dinilai",IF(E247="","Belum ada data",IF(E247&lt;IF(Aturan!$C$44="",0,Aturan!$C$44),"Kurang",IF(E247&gt;=IF(Aturan!$D$44="",Aturan!$C$44,Aturan!$D$44),"Nyaman","Cukup")))))</f>
        <v/>
      </c>
      <c r="N247" s="70" t="str">
        <f aca="false">IF($A247="","",IF(AND(Aturan!$C$45="",Aturan!$D$45=""),"Tidak dinilai",IF(F247="","Belum ada data",IF(F247&lt;IF(Aturan!$C$45="",0,Aturan!$C$45),"Kurang",IF(F247&gt;=IF(Aturan!$D$45="",Aturan!$C$45,Aturan!$D$45),"Nyaman","Cukup")))))</f>
        <v/>
      </c>
      <c r="O247" s="70" t="str">
        <f aca="false">IF($A247="","",IF(AND(Aturan!$C$46="",Aturan!$D$46=""),"Tidak dinilai",IF(G247="","Belum ada data",IF(G247&lt;IF(Aturan!$C$46="",0,Aturan!$C$46),"Kurang",IF(G247&gt;=IF(Aturan!$D$46="",Aturan!$C$46,Aturan!$D$46),"Nyaman","Cukup")))))</f>
        <v/>
      </c>
      <c r="P247" s="70" t="str">
        <f aca="false">IF($A247="","",IF(AND(Aturan!$C$47="",Aturan!$D$47=""),"Tidak dinilai",IF(H247="","Belum ada data",IF(H247&lt;IF(Aturan!$C$47="",0,Aturan!$C$47),"Kurang",IF(H247&gt;=IF(Aturan!$D$47="",Aturan!$C$47,Aturan!$D$47),"Nyaman","Cukup")))))</f>
        <v/>
      </c>
      <c r="Q247" s="70" t="str">
        <f aca="false">IF($A247="","",IF(COUNTIF(K247:P247,"Tidak dinilai")=6,"Tidak dinilai",IF(COUNTIF(K247:P247,"Kurang")&gt;0,"Kurang cocok",IF(COUNTIF(K247:P247,"Belum ada data")&gt;0,"Data belum lengkap",IF(COUNTIF(K247:P247,"Cukup")&gt;0,"Bisa, dengan catatan","Cocok")))))</f>
        <v/>
      </c>
      <c r="R247" s="33" t="str">
        <f aca="false">IF($A247="","",IF(K247="Kurang","prosesor tingkat "&amp;C247&amp;" dari 5, di bawah batas minimal (tingkat "&amp;Aturan!$C$42&amp;")",IF(K247="Cukup","prosesor tingkat "&amp;C247&amp;" dari 5 cukup, nyamannya mulai tingkat "&amp;Aturan!$D$42,IF(K247="Belum ada data","tingkat prosesor belum diisi",""))))</f>
        <v/>
      </c>
      <c r="S247" s="33" t="str">
        <f aca="false">IF($A247="","",IF(L247="Kurang","grafis tingkat "&amp;D247&amp;" dari 5, di bawah batas minimal (tingkat "&amp;Aturan!$C$43&amp;")",IF(L247="Cukup","grafis tingkat "&amp;D247&amp;" dari 5 cukup, nyamannya mulai tingkat "&amp;Aturan!$D$43,IF(L247="Belum ada data","tingkat grafis belum diisi",""))))</f>
        <v/>
      </c>
      <c r="T247" s="33" t="str">
        <f aca="false">IF($A247="","",IF(M247="Kurang","RAM "&amp;E247&amp;" GB, di bawah batas minimal "&amp;Aturan!$C$44&amp;" GB ("&amp;I247&amp;")",IF(M247="Cukup","RAM "&amp;E247&amp;" GB cukup, nyamannya "&amp;Aturan!$D$44&amp;" GB atau lebih ("&amp;I247&amp;")",IF(M247="Belum ada data","ukuran RAM belum diisi",""))))</f>
        <v/>
      </c>
      <c r="U247" s="33" t="str">
        <f aca="false">IF($A247="","",IF(N247="Kurang","penyimpanan "&amp;F247&amp;" GB, di bawah batas minimal "&amp;Aturan!$C$45&amp;" GB ("&amp;J247&amp;")",IF(N247="Cukup","penyimpanan "&amp;F247&amp;" GB cukup, nyamannya "&amp;Aturan!$D$45&amp;" GB atau lebih ("&amp;J247&amp;")",IF(N247="Belum ada data","ukuran penyimpanan belum diisi",""))))</f>
        <v/>
      </c>
      <c r="V247" s="33" t="str">
        <f aca="false">IF($A247="","",IF(O247="Kurang","layar "&amp;Varian!$AG53&amp;", di bawah batas minimal ("&amp;IFERROR(INDEX(Aturan!$A$63:$A$66,MATCH(Aturan!$C$46,Aturan!$B$63:$B$66,0)),"peringkat "&amp;Aturan!$C$46)&amp;")",IF(O247="Cukup","layar "&amp;Varian!$AG53&amp;" cukup, nyamannya "&amp;IFERROR(INDEX(Aturan!$A$63:$A$66,MATCH(Aturan!$D$46,Aturan!$B$63:$B$66,0)),"peringkat "&amp;Aturan!$D$46),IF(O247="Belum ada data","jenis layar belum diketahui",""))))</f>
        <v/>
      </c>
      <c r="W247" s="33" t="str">
        <f aca="false">IF($A247="","",IF(P247="Kurang","layar "&amp;H247&amp;" Hz, di bawah batas minimal "&amp;Aturan!$C$47&amp;" Hz",IF(P247="Cukup","layar "&amp;H247&amp;" Hz cukup, nyamannya "&amp;Aturan!$D$47&amp;" Hz atau lebih",IF(P247="Belum ada data","refresh rate belum diketahui",""))))</f>
        <v/>
      </c>
      <c r="X247" s="33" t="str">
        <f aca="false">IF($A247="","",IF(K247="Kurang",R247&amp;"; ","")&amp;IF(L247="Kurang",S247&amp;"; ","")&amp;IF(M247="Kurang",T247&amp;"; ","")&amp;IF(N247="Kurang",U247&amp;"; ","")&amp;IF(O247="Kurang",V247&amp;"; ","")&amp;IF(P247="Kurang",W247&amp;"; ","")&amp;IF(K247="Belum ada data",R247&amp;"; ","")&amp;IF(L247="Belum ada data",S247&amp;"; ","")&amp;IF(M247="Belum ada data",T247&amp;"; ","")&amp;IF(N247="Belum ada data",U247&amp;"; ","")&amp;IF(O247="Belum ada data",V247&amp;"; ","")&amp;IF(P247="Belum ada data",W247&amp;"; ","")&amp;IF(K247="Cukup",R247&amp;"; ","")&amp;IF(L247="Cukup",S247&amp;"; ","")&amp;IF(M247="Cukup",T247&amp;"; ","")&amp;IF(N247="Cukup",U247&amp;"; ","")&amp;IF(O247="Cukup",V247&amp;"; ","")&amp;IF(P247="Cukup",W247&amp;"; ",""))</f>
        <v/>
      </c>
      <c r="Y247" s="33" t="str">
        <f aca="false">IF($A247="","",IF(K247="Nyaman","prosesor, ","")&amp;IF(L247="Nyaman","grafis, ","")&amp;IF(M247="Nyaman","RAM, ","")&amp;IF(N247="Nyaman","penyimpanan, ","")&amp;IF(O247="Nyaman","layar, ","")&amp;IF(P247="Nyaman","refresh rate, ",""))</f>
        <v/>
      </c>
      <c r="Z247" s="33" t="str">
        <f aca="false">IF($A247="","",IF(Q247="Tidak dinilai","Belum ada kriteria yang dinilai untuk kebutuhan ini.",IF(Q247="Cocok","Semua kriteria yang dinilai sudah nyaman: "&amp;LEFT(Y247,LEN(Y247)-2)&amp;".",UPPER(LEFT(X247,1))&amp;MID(X247,2,LEN(X247)-3)&amp;"."&amp;IF(Y247="",""," Sudah nyaman: "&amp;LEFT(Y247,LEN(Y247)-2)&amp;"."))))</f>
        <v/>
      </c>
      <c r="AA247" s="33"/>
      <c r="AB247" s="33"/>
      <c r="AC247" s="69"/>
    </row>
    <row r="248" customFormat="false" ht="15" hidden="false" customHeight="true" outlineLevel="0" collapsed="false">
      <c r="A248" s="33" t="str">
        <f aca="false">IF(Varian!$A53="","",Varian!$A53)</f>
        <v/>
      </c>
      <c r="B248" s="33" t="str">
        <f aca="false">IF($A248="","",Aturan!$A$24)</f>
        <v/>
      </c>
      <c r="C248" s="69" t="str">
        <f aca="false">IF($A248="","",IFERROR(IF(ISNUMBER(INDEX(CPU!$J$4:$J$64,MATCH(Varian!$J53,CPU!$A$4:$A$64,0))),INDEX(CPU!$J$4:$J$64,MATCH(Varian!$J53,CPU!$A$4:$A$64,0)),""),""))</f>
        <v/>
      </c>
      <c r="D248" s="69" t="str">
        <f aca="false">IF($A248="","",IFERROR(IF(ISNUMBER(INDEX(GPU!$G$4:$G$64,MATCH(Varian!$K53,GPU!$A$4:$A$64,0))),INDEX(GPU!$G$4:$G$64,MATCH(Varian!$K53,GPU!$A$4:$A$64,0)),""),""))</f>
        <v/>
      </c>
      <c r="E248" s="69" t="str">
        <f aca="false">IF($A248="","",IF(ISNUMBER(Varian!$M53),Varian!$M53,""))</f>
        <v/>
      </c>
      <c r="F248" s="69" t="str">
        <f aca="false">IF($A248="","",IF(ISNUMBER(Varian!$V53),Varian!$V53,""))</f>
        <v/>
      </c>
      <c r="G248" s="69" t="str">
        <f aca="false">IF($A248="","",IFERROR(INDEX(Aturan!$B$63:$B$66,MATCH(Varian!$AG53,Aturan!$A$63:$A$66,0)),""))</f>
        <v/>
      </c>
      <c r="H248" s="69" t="str">
        <f aca="false">IF($A248="","",IF(ISNUMBER(Varian!$AI53),Varian!$AI53,""))</f>
        <v/>
      </c>
      <c r="I248" s="33" t="str">
        <f aca="false">IF($A248="","",IF(Varian!$Q53="disolder","menempel di papan utama, tidak bisa ditambah",IF(OR(Varian!$Q53="slot",Varian!$Q53="setengah_disolder"),IF(Varian!$Q53="setengah_disolder","sebagian menempel, ","")&amp;IF(ISNUMBER(Varian!$U53),IF(AND(ISNUMBER(Varian!$M53),Varian!$U53&gt;Varian!$M53),"bisa dinaikkan lewat slot sampai "&amp;Varian!$U53&amp;" GB","sudah di batas maksimal "&amp;Varian!$U53&amp;" GB"),"ada slot, batas maksimalnya belum diketahui"),"belum diketahui apakah bisa ditambah")))</f>
        <v/>
      </c>
      <c r="J248" s="33" t="str">
        <f aca="false">IF($A248="","",IF(Varian!$Z53="ya","bisa diganti dengan yang lebih besar",IF(Varian!$Z53="tidak","menempel, tidak bisa diganti","belum diketahui apakah bisa diganti")))</f>
        <v/>
      </c>
      <c r="K248" s="70" t="str">
        <f aca="false">IF($A248="","",IF(AND(Aturan!$C$48="",Aturan!$D$48=""),"Tidak dinilai",IF(C248="","Belum ada data",IF(C248&lt;IF(Aturan!$C$48="",0,Aturan!$C$48),"Kurang",IF(C248&gt;=IF(Aturan!$D$48="",Aturan!$C$48,Aturan!$D$48),"Nyaman","Cukup")))))</f>
        <v/>
      </c>
      <c r="L248" s="70" t="str">
        <f aca="false">IF($A248="","",IF(AND(Aturan!$C$49="",Aturan!$D$49=""),"Tidak dinilai",IF(D248="","Belum ada data",IF(D248&lt;IF(Aturan!$C$49="",0,Aturan!$C$49),"Kurang",IF(D248&gt;=IF(Aturan!$D$49="",Aturan!$C$49,Aturan!$D$49),"Nyaman","Cukup")))))</f>
        <v/>
      </c>
      <c r="M248" s="70" t="str">
        <f aca="false">IF($A248="","",IF(AND(Aturan!$C$50="",Aturan!$D$50=""),"Tidak dinilai",IF(E248="","Belum ada data",IF(E248&lt;IF(Aturan!$C$50="",0,Aturan!$C$50),"Kurang",IF(E248&gt;=IF(Aturan!$D$50="",Aturan!$C$50,Aturan!$D$50),"Nyaman","Cukup")))))</f>
        <v/>
      </c>
      <c r="N248" s="70" t="str">
        <f aca="false">IF($A248="","",IF(AND(Aturan!$C$51="",Aturan!$D$51=""),"Tidak dinilai",IF(F248="","Belum ada data",IF(F248&lt;IF(Aturan!$C$51="",0,Aturan!$C$51),"Kurang",IF(F248&gt;=IF(Aturan!$D$51="",Aturan!$C$51,Aturan!$D$51),"Nyaman","Cukup")))))</f>
        <v/>
      </c>
      <c r="O248" s="70" t="str">
        <f aca="false">IF($A248="","",IF(AND(Aturan!$C$52="",Aturan!$D$52=""),"Tidak dinilai",IF(G248="","Belum ada data",IF(G248&lt;IF(Aturan!$C$52="",0,Aturan!$C$52),"Kurang",IF(G248&gt;=IF(Aturan!$D$52="",Aturan!$C$52,Aturan!$D$52),"Nyaman","Cukup")))))</f>
        <v/>
      </c>
      <c r="P248" s="70" t="str">
        <f aca="false">IF($A248="","",IF(AND(Aturan!$C$53="",Aturan!$D$53=""),"Tidak dinilai",IF(H248="","Belum ada data",IF(H248&lt;IF(Aturan!$C$53="",0,Aturan!$C$53),"Kurang",IF(H248&gt;=IF(Aturan!$D$53="",Aturan!$C$53,Aturan!$D$53),"Nyaman","Cukup")))))</f>
        <v/>
      </c>
      <c r="Q248" s="70" t="str">
        <f aca="false">IF($A248="","",IF(COUNTIF(K248:P248,"Tidak dinilai")=6,"Tidak dinilai",IF(COUNTIF(K248:P248,"Kurang")&gt;0,"Kurang cocok",IF(COUNTIF(K248:P248,"Belum ada data")&gt;0,"Data belum lengkap",IF(COUNTIF(K248:P248,"Cukup")&gt;0,"Bisa, dengan catatan","Cocok")))))</f>
        <v/>
      </c>
      <c r="R248" s="33" t="str">
        <f aca="false">IF($A248="","",IF(K248="Kurang","prosesor tingkat "&amp;C248&amp;" dari 5, di bawah batas minimal (tingkat "&amp;Aturan!$C$48&amp;")",IF(K248="Cukup","prosesor tingkat "&amp;C248&amp;" dari 5 cukup, nyamannya mulai tingkat "&amp;Aturan!$D$48,IF(K248="Belum ada data","tingkat prosesor belum diisi",""))))</f>
        <v/>
      </c>
      <c r="S248" s="33" t="str">
        <f aca="false">IF($A248="","",IF(L248="Kurang","grafis tingkat "&amp;D248&amp;" dari 5, di bawah batas minimal (tingkat "&amp;Aturan!$C$49&amp;")",IF(L248="Cukup","grafis tingkat "&amp;D248&amp;" dari 5 cukup, nyamannya mulai tingkat "&amp;Aturan!$D$49,IF(L248="Belum ada data","tingkat grafis belum diisi",""))))</f>
        <v/>
      </c>
      <c r="T248" s="33" t="str">
        <f aca="false">IF($A248="","",IF(M248="Kurang","RAM "&amp;E248&amp;" GB, di bawah batas minimal "&amp;Aturan!$C$50&amp;" GB ("&amp;I248&amp;")",IF(M248="Cukup","RAM "&amp;E248&amp;" GB cukup, nyamannya "&amp;Aturan!$D$50&amp;" GB atau lebih ("&amp;I248&amp;")",IF(M248="Belum ada data","ukuran RAM belum diisi",""))))</f>
        <v/>
      </c>
      <c r="U248" s="33" t="str">
        <f aca="false">IF($A248="","",IF(N248="Kurang","penyimpanan "&amp;F248&amp;" GB, di bawah batas minimal "&amp;Aturan!$C$51&amp;" GB ("&amp;J248&amp;")",IF(N248="Cukup","penyimpanan "&amp;F248&amp;" GB cukup, nyamannya "&amp;Aturan!$D$51&amp;" GB atau lebih ("&amp;J248&amp;")",IF(N248="Belum ada data","ukuran penyimpanan belum diisi",""))))</f>
        <v/>
      </c>
      <c r="V248" s="33" t="str">
        <f aca="false">IF($A248="","",IF(O248="Kurang","layar "&amp;Varian!$AG53&amp;", di bawah batas minimal ("&amp;IFERROR(INDEX(Aturan!$A$63:$A$66,MATCH(Aturan!$C$52,Aturan!$B$63:$B$66,0)),"peringkat "&amp;Aturan!$C$52)&amp;")",IF(O248="Cukup","layar "&amp;Varian!$AG53&amp;" cukup, nyamannya "&amp;IFERROR(INDEX(Aturan!$A$63:$A$66,MATCH(Aturan!$D$52,Aturan!$B$63:$B$66,0)),"peringkat "&amp;Aturan!$D$52),IF(O248="Belum ada data","jenis layar belum diketahui",""))))</f>
        <v/>
      </c>
      <c r="W248" s="33" t="str">
        <f aca="false">IF($A248="","",IF(P248="Kurang","layar "&amp;H248&amp;" Hz, di bawah batas minimal "&amp;Aturan!$C$53&amp;" Hz",IF(P248="Cukup","layar "&amp;H248&amp;" Hz cukup, nyamannya "&amp;Aturan!$D$53&amp;" Hz atau lebih",IF(P248="Belum ada data","refresh rate belum diketahui",""))))</f>
        <v/>
      </c>
      <c r="X248" s="33" t="str">
        <f aca="false">IF($A248="","",IF(K248="Kurang",R248&amp;"; ","")&amp;IF(L248="Kurang",S248&amp;"; ","")&amp;IF(M248="Kurang",T248&amp;"; ","")&amp;IF(N248="Kurang",U248&amp;"; ","")&amp;IF(O248="Kurang",V248&amp;"; ","")&amp;IF(P248="Kurang",W248&amp;"; ","")&amp;IF(K248="Belum ada data",R248&amp;"; ","")&amp;IF(L248="Belum ada data",S248&amp;"; ","")&amp;IF(M248="Belum ada data",T248&amp;"; ","")&amp;IF(N248="Belum ada data",U248&amp;"; ","")&amp;IF(O248="Belum ada data",V248&amp;"; ","")&amp;IF(P248="Belum ada data",W248&amp;"; ","")&amp;IF(K248="Cukup",R248&amp;"; ","")&amp;IF(L248="Cukup",S248&amp;"; ","")&amp;IF(M248="Cukup",T248&amp;"; ","")&amp;IF(N248="Cukup",U248&amp;"; ","")&amp;IF(O248="Cukup",V248&amp;"; ","")&amp;IF(P248="Cukup",W248&amp;"; ",""))</f>
        <v/>
      </c>
      <c r="Y248" s="33" t="str">
        <f aca="false">IF($A248="","",IF(K248="Nyaman","prosesor, ","")&amp;IF(L248="Nyaman","grafis, ","")&amp;IF(M248="Nyaman","RAM, ","")&amp;IF(N248="Nyaman","penyimpanan, ","")&amp;IF(O248="Nyaman","layar, ","")&amp;IF(P248="Nyaman","refresh rate, ",""))</f>
        <v/>
      </c>
      <c r="Z248" s="33" t="str">
        <f aca="false">IF($A248="","",IF(Q248="Tidak dinilai","Belum ada kriteria yang dinilai untuk kebutuhan ini.",IF(Q248="Cocok","Semua kriteria yang dinilai sudah nyaman: "&amp;LEFT(Y248,LEN(Y248)-2)&amp;".",UPPER(LEFT(X248,1))&amp;MID(X248,2,LEN(X248)-3)&amp;"."&amp;IF(Y248="",""," Sudah nyaman: "&amp;LEFT(Y248,LEN(Y248)-2)&amp;"."))))</f>
        <v/>
      </c>
      <c r="AA248" s="33"/>
      <c r="AB248" s="33"/>
      <c r="AC248" s="69"/>
    </row>
    <row r="249" customFormat="false" ht="15" hidden="false" customHeight="true" outlineLevel="0" collapsed="false">
      <c r="A249" s="33" t="str">
        <f aca="false">IF(Varian!$A53="","",Varian!$A53)</f>
        <v/>
      </c>
      <c r="B249" s="33" t="str">
        <f aca="false">IF($A249="","",Aturan!$A$25)</f>
        <v/>
      </c>
      <c r="C249" s="69" t="str">
        <f aca="false">IF($A249="","",IFERROR(IF(ISNUMBER(INDEX(CPU!$J$4:$J$64,MATCH(Varian!$J53,CPU!$A$4:$A$64,0))),INDEX(CPU!$J$4:$J$64,MATCH(Varian!$J53,CPU!$A$4:$A$64,0)),""),""))</f>
        <v/>
      </c>
      <c r="D249" s="69" t="str">
        <f aca="false">IF($A249="","",IFERROR(IF(ISNUMBER(INDEX(GPU!$G$4:$G$64,MATCH(Varian!$K53,GPU!$A$4:$A$64,0))),INDEX(GPU!$G$4:$G$64,MATCH(Varian!$K53,GPU!$A$4:$A$64,0)),""),""))</f>
        <v/>
      </c>
      <c r="E249" s="69" t="str">
        <f aca="false">IF($A249="","",IF(ISNUMBER(Varian!$M53),Varian!$M53,""))</f>
        <v/>
      </c>
      <c r="F249" s="69" t="str">
        <f aca="false">IF($A249="","",IF(ISNUMBER(Varian!$V53),Varian!$V53,""))</f>
        <v/>
      </c>
      <c r="G249" s="69" t="str">
        <f aca="false">IF($A249="","",IFERROR(INDEX(Aturan!$B$63:$B$66,MATCH(Varian!$AG53,Aturan!$A$63:$A$66,0)),""))</f>
        <v/>
      </c>
      <c r="H249" s="69" t="str">
        <f aca="false">IF($A249="","",IF(ISNUMBER(Varian!$AI53),Varian!$AI53,""))</f>
        <v/>
      </c>
      <c r="I249" s="33" t="str">
        <f aca="false">IF($A249="","",IF(Varian!$Q53="disolder","menempel di papan utama, tidak bisa ditambah",IF(OR(Varian!$Q53="slot",Varian!$Q53="setengah_disolder"),IF(Varian!$Q53="setengah_disolder","sebagian menempel, ","")&amp;IF(ISNUMBER(Varian!$U53),IF(AND(ISNUMBER(Varian!$M53),Varian!$U53&gt;Varian!$M53),"bisa dinaikkan lewat slot sampai "&amp;Varian!$U53&amp;" GB","sudah di batas maksimal "&amp;Varian!$U53&amp;" GB"),"ada slot, batas maksimalnya belum diketahui"),"belum diketahui apakah bisa ditambah")))</f>
        <v/>
      </c>
      <c r="J249" s="33" t="str">
        <f aca="false">IF($A249="","",IF(Varian!$Z53="ya","bisa diganti dengan yang lebih besar",IF(Varian!$Z53="tidak","menempel, tidak bisa diganti","belum diketahui apakah bisa diganti")))</f>
        <v/>
      </c>
      <c r="K249" s="70" t="str">
        <f aca="false">IF($A249="","",IF(AND(Aturan!$C$54="",Aturan!$D$54=""),"Tidak dinilai",IF(C249="","Belum ada data",IF(C249&lt;IF(Aturan!$C$54="",0,Aturan!$C$54),"Kurang",IF(C249&gt;=IF(Aturan!$D$54="",Aturan!$C$54,Aturan!$D$54),"Nyaman","Cukup")))))</f>
        <v/>
      </c>
      <c r="L249" s="70" t="str">
        <f aca="false">IF($A249="","",IF(AND(Aturan!$C$55="",Aturan!$D$55=""),"Tidak dinilai",IF(D249="","Belum ada data",IF(D249&lt;IF(Aturan!$C$55="",0,Aturan!$C$55),"Kurang",IF(D249&gt;=IF(Aturan!$D$55="",Aturan!$C$55,Aturan!$D$55),"Nyaman","Cukup")))))</f>
        <v/>
      </c>
      <c r="M249" s="70" t="str">
        <f aca="false">IF($A249="","",IF(AND(Aturan!$C$56="",Aturan!$D$56=""),"Tidak dinilai",IF(E249="","Belum ada data",IF(E249&lt;IF(Aturan!$C$56="",0,Aturan!$C$56),"Kurang",IF(E249&gt;=IF(Aturan!$D$56="",Aturan!$C$56,Aturan!$D$56),"Nyaman","Cukup")))))</f>
        <v/>
      </c>
      <c r="N249" s="70" t="str">
        <f aca="false">IF($A249="","",IF(AND(Aturan!$C$57="",Aturan!$D$57=""),"Tidak dinilai",IF(F249="","Belum ada data",IF(F249&lt;IF(Aturan!$C$57="",0,Aturan!$C$57),"Kurang",IF(F249&gt;=IF(Aturan!$D$57="",Aturan!$C$57,Aturan!$D$57),"Nyaman","Cukup")))))</f>
        <v/>
      </c>
      <c r="O249" s="70" t="str">
        <f aca="false">IF($A249="","",IF(AND(Aturan!$C$58="",Aturan!$D$58=""),"Tidak dinilai",IF(G249="","Belum ada data",IF(G249&lt;IF(Aturan!$C$58="",0,Aturan!$C$58),"Kurang",IF(G249&gt;=IF(Aturan!$D$58="",Aturan!$C$58,Aturan!$D$58),"Nyaman","Cukup")))))</f>
        <v/>
      </c>
      <c r="P249" s="70" t="str">
        <f aca="false">IF($A249="","",IF(AND(Aturan!$C$59="",Aturan!$D$59=""),"Tidak dinilai",IF(H249="","Belum ada data",IF(H249&lt;IF(Aturan!$C$59="",0,Aturan!$C$59),"Kurang",IF(H249&gt;=IF(Aturan!$D$59="",Aturan!$C$59,Aturan!$D$59),"Nyaman","Cukup")))))</f>
        <v/>
      </c>
      <c r="Q249" s="70" t="str">
        <f aca="false">IF($A249="","",IF(COUNTIF(K249:P249,"Tidak dinilai")=6,"Tidak dinilai",IF(COUNTIF(K249:P249,"Kurang")&gt;0,"Kurang cocok",IF(COUNTIF(K249:P249,"Belum ada data")&gt;0,"Data belum lengkap",IF(COUNTIF(K249:P249,"Cukup")&gt;0,"Bisa, dengan catatan","Cocok")))))</f>
        <v/>
      </c>
      <c r="R249" s="33" t="str">
        <f aca="false">IF($A249="","",IF(K249="Kurang","prosesor tingkat "&amp;C249&amp;" dari 5, di bawah batas minimal (tingkat "&amp;Aturan!$C$54&amp;")",IF(K249="Cukup","prosesor tingkat "&amp;C249&amp;" dari 5 cukup, nyamannya mulai tingkat "&amp;Aturan!$D$54,IF(K249="Belum ada data","tingkat prosesor belum diisi",""))))</f>
        <v/>
      </c>
      <c r="S249" s="33" t="str">
        <f aca="false">IF($A249="","",IF(L249="Kurang","grafis tingkat "&amp;D249&amp;" dari 5, di bawah batas minimal (tingkat "&amp;Aturan!$C$55&amp;")",IF(L249="Cukup","grafis tingkat "&amp;D249&amp;" dari 5 cukup, nyamannya mulai tingkat "&amp;Aturan!$D$55,IF(L249="Belum ada data","tingkat grafis belum diisi",""))))</f>
        <v/>
      </c>
      <c r="T249" s="33" t="str">
        <f aca="false">IF($A249="","",IF(M249="Kurang","RAM "&amp;E249&amp;" GB, di bawah batas minimal "&amp;Aturan!$C$56&amp;" GB ("&amp;I249&amp;")",IF(M249="Cukup","RAM "&amp;E249&amp;" GB cukup, nyamannya "&amp;Aturan!$D$56&amp;" GB atau lebih ("&amp;I249&amp;")",IF(M249="Belum ada data","ukuran RAM belum diisi",""))))</f>
        <v/>
      </c>
      <c r="U249" s="33" t="str">
        <f aca="false">IF($A249="","",IF(N249="Kurang","penyimpanan "&amp;F249&amp;" GB, di bawah batas minimal "&amp;Aturan!$C$57&amp;" GB ("&amp;J249&amp;")",IF(N249="Cukup","penyimpanan "&amp;F249&amp;" GB cukup, nyamannya "&amp;Aturan!$D$57&amp;" GB atau lebih ("&amp;J249&amp;")",IF(N249="Belum ada data","ukuran penyimpanan belum diisi",""))))</f>
        <v/>
      </c>
      <c r="V249" s="33" t="str">
        <f aca="false">IF($A249="","",IF(O249="Kurang","layar "&amp;Varian!$AG53&amp;", di bawah batas minimal ("&amp;IFERROR(INDEX(Aturan!$A$63:$A$66,MATCH(Aturan!$C$58,Aturan!$B$63:$B$66,0)),"peringkat "&amp;Aturan!$C$58)&amp;")",IF(O249="Cukup","layar "&amp;Varian!$AG53&amp;" cukup, nyamannya "&amp;IFERROR(INDEX(Aturan!$A$63:$A$66,MATCH(Aturan!$D$58,Aturan!$B$63:$B$66,0)),"peringkat "&amp;Aturan!$D$58),IF(O249="Belum ada data","jenis layar belum diketahui",""))))</f>
        <v/>
      </c>
      <c r="W249" s="33" t="str">
        <f aca="false">IF($A249="","",IF(P249="Kurang","layar "&amp;H249&amp;" Hz, di bawah batas minimal "&amp;Aturan!$C$59&amp;" Hz",IF(P249="Cukup","layar "&amp;H249&amp;" Hz cukup, nyamannya "&amp;Aturan!$D$59&amp;" Hz atau lebih",IF(P249="Belum ada data","refresh rate belum diketahui",""))))</f>
        <v/>
      </c>
      <c r="X249" s="33" t="str">
        <f aca="false">IF($A249="","",IF(K249="Kurang",R249&amp;"; ","")&amp;IF(L249="Kurang",S249&amp;"; ","")&amp;IF(M249="Kurang",T249&amp;"; ","")&amp;IF(N249="Kurang",U249&amp;"; ","")&amp;IF(O249="Kurang",V249&amp;"; ","")&amp;IF(P249="Kurang",W249&amp;"; ","")&amp;IF(K249="Belum ada data",R249&amp;"; ","")&amp;IF(L249="Belum ada data",S249&amp;"; ","")&amp;IF(M249="Belum ada data",T249&amp;"; ","")&amp;IF(N249="Belum ada data",U249&amp;"; ","")&amp;IF(O249="Belum ada data",V249&amp;"; ","")&amp;IF(P249="Belum ada data",W249&amp;"; ","")&amp;IF(K249="Cukup",R249&amp;"; ","")&amp;IF(L249="Cukup",S249&amp;"; ","")&amp;IF(M249="Cukup",T249&amp;"; ","")&amp;IF(N249="Cukup",U249&amp;"; ","")&amp;IF(O249="Cukup",V249&amp;"; ","")&amp;IF(P249="Cukup",W249&amp;"; ",""))</f>
        <v/>
      </c>
      <c r="Y249" s="33" t="str">
        <f aca="false">IF($A249="","",IF(K249="Nyaman","prosesor, ","")&amp;IF(L249="Nyaman","grafis, ","")&amp;IF(M249="Nyaman","RAM, ","")&amp;IF(N249="Nyaman","penyimpanan, ","")&amp;IF(O249="Nyaman","layar, ","")&amp;IF(P249="Nyaman","refresh rate, ",""))</f>
        <v/>
      </c>
      <c r="Z249" s="33" t="str">
        <f aca="false">IF($A249="","",IF(Q249="Tidak dinilai","Belum ada kriteria yang dinilai untuk kebutuhan ini.",IF(Q249="Cocok","Semua kriteria yang dinilai sudah nyaman: "&amp;LEFT(Y249,LEN(Y249)-2)&amp;".",UPPER(LEFT(X249,1))&amp;MID(X249,2,LEN(X249)-3)&amp;"."&amp;IF(Y249="",""," Sudah nyaman: "&amp;LEFT(Y249,LEN(Y249)-2)&amp;"."))))</f>
        <v/>
      </c>
      <c r="AA249" s="33"/>
      <c r="AB249" s="33"/>
      <c r="AC249" s="69"/>
    </row>
    <row r="250" customFormat="false" ht="15" hidden="false" customHeight="true" outlineLevel="0" collapsed="false">
      <c r="A250" s="66" t="str">
        <f aca="false">IF(Varian!$A54="","",Varian!$A54)</f>
        <v/>
      </c>
      <c r="B250" s="66" t="str">
        <f aca="false">IF($A250="","",Aturan!$A$21)</f>
        <v/>
      </c>
      <c r="C250" s="67" t="str">
        <f aca="false">IF($A250="","",IFERROR(IF(ISNUMBER(INDEX(CPU!$J$4:$J$64,MATCH(Varian!$J54,CPU!$A$4:$A$64,0))),INDEX(CPU!$J$4:$J$64,MATCH(Varian!$J54,CPU!$A$4:$A$64,0)),""),""))</f>
        <v/>
      </c>
      <c r="D250" s="67" t="str">
        <f aca="false">IF($A250="","",IFERROR(IF(ISNUMBER(INDEX(GPU!$G$4:$G$64,MATCH(Varian!$K54,GPU!$A$4:$A$64,0))),INDEX(GPU!$G$4:$G$64,MATCH(Varian!$K54,GPU!$A$4:$A$64,0)),""),""))</f>
        <v/>
      </c>
      <c r="E250" s="67" t="str">
        <f aca="false">IF($A250="","",IF(ISNUMBER(Varian!$M54),Varian!$M54,""))</f>
        <v/>
      </c>
      <c r="F250" s="67" t="str">
        <f aca="false">IF($A250="","",IF(ISNUMBER(Varian!$V54),Varian!$V54,""))</f>
        <v/>
      </c>
      <c r="G250" s="67" t="str">
        <f aca="false">IF($A250="","",IFERROR(INDEX(Aturan!$B$63:$B$66,MATCH(Varian!$AG54,Aturan!$A$63:$A$66,0)),""))</f>
        <v/>
      </c>
      <c r="H250" s="67" t="str">
        <f aca="false">IF($A250="","",IF(ISNUMBER(Varian!$AI54),Varian!$AI54,""))</f>
        <v/>
      </c>
      <c r="I250" s="66" t="str">
        <f aca="false">IF($A250="","",IF(Varian!$Q54="disolder","menempel di papan utama, tidak bisa ditambah",IF(OR(Varian!$Q54="slot",Varian!$Q54="setengah_disolder"),IF(Varian!$Q54="setengah_disolder","sebagian menempel, ","")&amp;IF(ISNUMBER(Varian!$U54),IF(AND(ISNUMBER(Varian!$M54),Varian!$U54&gt;Varian!$M54),"bisa dinaikkan lewat slot sampai "&amp;Varian!$U54&amp;" GB","sudah di batas maksimal "&amp;Varian!$U54&amp;" GB"),"ada slot, batas maksimalnya belum diketahui"),"belum diketahui apakah bisa ditambah")))</f>
        <v/>
      </c>
      <c r="J250" s="66" t="str">
        <f aca="false">IF($A250="","",IF(Varian!$Z54="ya","bisa diganti dengan yang lebih besar",IF(Varian!$Z54="tidak","menempel, tidak bisa diganti","belum diketahui apakah bisa diganti")))</f>
        <v/>
      </c>
      <c r="K250" s="68" t="str">
        <f aca="false">IF($A250="","",IF(AND(Aturan!$C$30="",Aturan!$D$30=""),"Tidak dinilai",IF(C250="","Belum ada data",IF(C250&lt;IF(Aturan!$C$30="",0,Aturan!$C$30),"Kurang",IF(C250&gt;=IF(Aturan!$D$30="",Aturan!$C$30,Aturan!$D$30),"Nyaman","Cukup")))))</f>
        <v/>
      </c>
      <c r="L250" s="68" t="str">
        <f aca="false">IF($A250="","",IF(AND(Aturan!$C$31="",Aturan!$D$31=""),"Tidak dinilai",IF(D250="","Belum ada data",IF(D250&lt;IF(Aturan!$C$31="",0,Aturan!$C$31),"Kurang",IF(D250&gt;=IF(Aturan!$D$31="",Aturan!$C$31,Aturan!$D$31),"Nyaman","Cukup")))))</f>
        <v/>
      </c>
      <c r="M250" s="68" t="str">
        <f aca="false">IF($A250="","",IF(AND(Aturan!$C$32="",Aturan!$D$32=""),"Tidak dinilai",IF(E250="","Belum ada data",IF(E250&lt;IF(Aturan!$C$32="",0,Aturan!$C$32),"Kurang",IF(E250&gt;=IF(Aturan!$D$32="",Aturan!$C$32,Aturan!$D$32),"Nyaman","Cukup")))))</f>
        <v/>
      </c>
      <c r="N250" s="68" t="str">
        <f aca="false">IF($A250="","",IF(AND(Aturan!$C$33="",Aturan!$D$33=""),"Tidak dinilai",IF(F250="","Belum ada data",IF(F250&lt;IF(Aturan!$C$33="",0,Aturan!$C$33),"Kurang",IF(F250&gt;=IF(Aturan!$D$33="",Aturan!$C$33,Aturan!$D$33),"Nyaman","Cukup")))))</f>
        <v/>
      </c>
      <c r="O250" s="68" t="str">
        <f aca="false">IF($A250="","",IF(AND(Aturan!$C$34="",Aturan!$D$34=""),"Tidak dinilai",IF(G250="","Belum ada data",IF(G250&lt;IF(Aturan!$C$34="",0,Aturan!$C$34),"Kurang",IF(G250&gt;=IF(Aturan!$D$34="",Aturan!$C$34,Aturan!$D$34),"Nyaman","Cukup")))))</f>
        <v/>
      </c>
      <c r="P250" s="68" t="str">
        <f aca="false">IF($A250="","",IF(AND(Aturan!$C$35="",Aturan!$D$35=""),"Tidak dinilai",IF(H250="","Belum ada data",IF(H250&lt;IF(Aturan!$C$35="",0,Aturan!$C$35),"Kurang",IF(H250&gt;=IF(Aturan!$D$35="",Aturan!$C$35,Aturan!$D$35),"Nyaman","Cukup")))))</f>
        <v/>
      </c>
      <c r="Q250" s="68" t="str">
        <f aca="false">IF($A250="","",IF(COUNTIF(K250:P250,"Tidak dinilai")=6,"Tidak dinilai",IF(COUNTIF(K250:P250,"Kurang")&gt;0,"Kurang cocok",IF(COUNTIF(K250:P250,"Belum ada data")&gt;0,"Data belum lengkap",IF(COUNTIF(K250:P250,"Cukup")&gt;0,"Bisa, dengan catatan","Cocok")))))</f>
        <v/>
      </c>
      <c r="R250" s="66" t="str">
        <f aca="false">IF($A250="","",IF(K250="Kurang","prosesor tingkat "&amp;C250&amp;" dari 5, di bawah batas minimal (tingkat "&amp;Aturan!$C$30&amp;")",IF(K250="Cukup","prosesor tingkat "&amp;C250&amp;" dari 5 cukup, nyamannya mulai tingkat "&amp;Aturan!$D$30,IF(K250="Belum ada data","tingkat prosesor belum diisi",""))))</f>
        <v/>
      </c>
      <c r="S250" s="66" t="str">
        <f aca="false">IF($A250="","",IF(L250="Kurang","grafis tingkat "&amp;D250&amp;" dari 5, di bawah batas minimal (tingkat "&amp;Aturan!$C$31&amp;")",IF(L250="Cukup","grafis tingkat "&amp;D250&amp;" dari 5 cukup, nyamannya mulai tingkat "&amp;Aturan!$D$31,IF(L250="Belum ada data","tingkat grafis belum diisi",""))))</f>
        <v/>
      </c>
      <c r="T250" s="66" t="str">
        <f aca="false">IF($A250="","",IF(M250="Kurang","RAM "&amp;E250&amp;" GB, di bawah batas minimal "&amp;Aturan!$C$32&amp;" GB ("&amp;I250&amp;")",IF(M250="Cukup","RAM "&amp;E250&amp;" GB cukup, nyamannya "&amp;Aturan!$D$32&amp;" GB atau lebih ("&amp;I250&amp;")",IF(M250="Belum ada data","ukuran RAM belum diisi",""))))</f>
        <v/>
      </c>
      <c r="U250" s="66" t="str">
        <f aca="false">IF($A250="","",IF(N250="Kurang","penyimpanan "&amp;F250&amp;" GB, di bawah batas minimal "&amp;Aturan!$C$33&amp;" GB ("&amp;J250&amp;")",IF(N250="Cukup","penyimpanan "&amp;F250&amp;" GB cukup, nyamannya "&amp;Aturan!$D$33&amp;" GB atau lebih ("&amp;J250&amp;")",IF(N250="Belum ada data","ukuran penyimpanan belum diisi",""))))</f>
        <v/>
      </c>
      <c r="V250" s="66" t="str">
        <f aca="false">IF($A250="","",IF(O250="Kurang","layar "&amp;Varian!$AG54&amp;", di bawah batas minimal ("&amp;IFERROR(INDEX(Aturan!$A$63:$A$66,MATCH(Aturan!$C$34,Aturan!$B$63:$B$66,0)),"peringkat "&amp;Aturan!$C$34)&amp;")",IF(O250="Cukup","layar "&amp;Varian!$AG54&amp;" cukup, nyamannya "&amp;IFERROR(INDEX(Aturan!$A$63:$A$66,MATCH(Aturan!$D$34,Aturan!$B$63:$B$66,0)),"peringkat "&amp;Aturan!$D$34),IF(O250="Belum ada data","jenis layar belum diketahui",""))))</f>
        <v/>
      </c>
      <c r="W250" s="66" t="str">
        <f aca="false">IF($A250="","",IF(P250="Kurang","layar "&amp;H250&amp;" Hz, di bawah batas minimal "&amp;Aturan!$C$35&amp;" Hz",IF(P250="Cukup","layar "&amp;H250&amp;" Hz cukup, nyamannya "&amp;Aturan!$D$35&amp;" Hz atau lebih",IF(P250="Belum ada data","refresh rate belum diketahui",""))))</f>
        <v/>
      </c>
      <c r="X250" s="66" t="str">
        <f aca="false">IF($A250="","",IF(K250="Kurang",R250&amp;"; ","")&amp;IF(L250="Kurang",S250&amp;"; ","")&amp;IF(M250="Kurang",T250&amp;"; ","")&amp;IF(N250="Kurang",U250&amp;"; ","")&amp;IF(O250="Kurang",V250&amp;"; ","")&amp;IF(P250="Kurang",W250&amp;"; ","")&amp;IF(K250="Belum ada data",R250&amp;"; ","")&amp;IF(L250="Belum ada data",S250&amp;"; ","")&amp;IF(M250="Belum ada data",T250&amp;"; ","")&amp;IF(N250="Belum ada data",U250&amp;"; ","")&amp;IF(O250="Belum ada data",V250&amp;"; ","")&amp;IF(P250="Belum ada data",W250&amp;"; ","")&amp;IF(K250="Cukup",R250&amp;"; ","")&amp;IF(L250="Cukup",S250&amp;"; ","")&amp;IF(M250="Cukup",T250&amp;"; ","")&amp;IF(N250="Cukup",U250&amp;"; ","")&amp;IF(O250="Cukup",V250&amp;"; ","")&amp;IF(P250="Cukup",W250&amp;"; ",""))</f>
        <v/>
      </c>
      <c r="Y250" s="66" t="str">
        <f aca="false">IF($A250="","",IF(K250="Nyaman","prosesor, ","")&amp;IF(L250="Nyaman","grafis, ","")&amp;IF(M250="Nyaman","RAM, ","")&amp;IF(N250="Nyaman","penyimpanan, ","")&amp;IF(O250="Nyaman","layar, ","")&amp;IF(P250="Nyaman","refresh rate, ",""))</f>
        <v/>
      </c>
      <c r="Z250" s="66" t="str">
        <f aca="false">IF($A250="","",IF(Q250="Tidak dinilai","Belum ada kriteria yang dinilai untuk kebutuhan ini.",IF(Q250="Cocok","Semua kriteria yang dinilai sudah nyaman: "&amp;LEFT(Y250,LEN(Y250)-2)&amp;".",UPPER(LEFT(X250,1))&amp;MID(X250,2,LEN(X250)-3)&amp;"."&amp;IF(Y250="",""," Sudah nyaman: "&amp;LEFT(Y250,LEN(Y250)-2)&amp;"."))))</f>
        <v/>
      </c>
      <c r="AA250" s="66" t="str">
        <f aca="false">IF($A250="","",IF(Varian!$AR54="Windows 10","• "&amp;Aturan!$E$71&amp;CHAR(10),"")&amp;IF(Varian!$BB54="tidak","• "&amp;Aturan!$E$72&amp;CHAR(10),"")&amp;IF(OR(Varian!$AD54="belum terverifikasi",Varian!$AD54="tidak diketahui"),"• "&amp;Aturan!$E$73&amp;CHAR(10),"")&amp;IF(Varian!$AH54="1366x768","• "&amp;Aturan!$E$74&amp;CHAR(10),"")&amp;IF(Varian!$AG54="TN","• "&amp;Aturan!$E$75&amp;CHAR(10),"")&amp;IF(AND(Varian!$Q54="disolder",ISNUMBER(Varian!$M54),Varian!$M54&lt;=8),"• "&amp;Aturan!$E$76&amp;CHAR(10),""))</f>
        <v/>
      </c>
      <c r="AB250" s="66" t="str">
        <f aca="false">IF($A250="","",IF(AA250="","",LEFT(AA250,LEN(AA250)-1)))</f>
        <v/>
      </c>
      <c r="AC250" s="67" t="str">
        <f aca="false">IF($A250="","",IF(AA250="",0,LEN(AA250)-LEN(SUBSTITUTE(AA250,CHAR(10),""))))</f>
        <v/>
      </c>
    </row>
    <row r="251" customFormat="false" ht="15" hidden="false" customHeight="true" outlineLevel="0" collapsed="false">
      <c r="A251" s="33" t="str">
        <f aca="false">IF(Varian!$A54="","",Varian!$A54)</f>
        <v/>
      </c>
      <c r="B251" s="33" t="str">
        <f aca="false">IF($A251="","",Aturan!$A$22)</f>
        <v/>
      </c>
      <c r="C251" s="69" t="str">
        <f aca="false">IF($A251="","",IFERROR(IF(ISNUMBER(INDEX(CPU!$J$4:$J$64,MATCH(Varian!$J54,CPU!$A$4:$A$64,0))),INDEX(CPU!$J$4:$J$64,MATCH(Varian!$J54,CPU!$A$4:$A$64,0)),""),""))</f>
        <v/>
      </c>
      <c r="D251" s="69" t="str">
        <f aca="false">IF($A251="","",IFERROR(IF(ISNUMBER(INDEX(GPU!$G$4:$G$64,MATCH(Varian!$K54,GPU!$A$4:$A$64,0))),INDEX(GPU!$G$4:$G$64,MATCH(Varian!$K54,GPU!$A$4:$A$64,0)),""),""))</f>
        <v/>
      </c>
      <c r="E251" s="69" t="str">
        <f aca="false">IF($A251="","",IF(ISNUMBER(Varian!$M54),Varian!$M54,""))</f>
        <v/>
      </c>
      <c r="F251" s="69" t="str">
        <f aca="false">IF($A251="","",IF(ISNUMBER(Varian!$V54),Varian!$V54,""))</f>
        <v/>
      </c>
      <c r="G251" s="69" t="str">
        <f aca="false">IF($A251="","",IFERROR(INDEX(Aturan!$B$63:$B$66,MATCH(Varian!$AG54,Aturan!$A$63:$A$66,0)),""))</f>
        <v/>
      </c>
      <c r="H251" s="69" t="str">
        <f aca="false">IF($A251="","",IF(ISNUMBER(Varian!$AI54),Varian!$AI54,""))</f>
        <v/>
      </c>
      <c r="I251" s="33" t="str">
        <f aca="false">IF($A251="","",IF(Varian!$Q54="disolder","menempel di papan utama, tidak bisa ditambah",IF(OR(Varian!$Q54="slot",Varian!$Q54="setengah_disolder"),IF(Varian!$Q54="setengah_disolder","sebagian menempel, ","")&amp;IF(ISNUMBER(Varian!$U54),IF(AND(ISNUMBER(Varian!$M54),Varian!$U54&gt;Varian!$M54),"bisa dinaikkan lewat slot sampai "&amp;Varian!$U54&amp;" GB","sudah di batas maksimal "&amp;Varian!$U54&amp;" GB"),"ada slot, batas maksimalnya belum diketahui"),"belum diketahui apakah bisa ditambah")))</f>
        <v/>
      </c>
      <c r="J251" s="33" t="str">
        <f aca="false">IF($A251="","",IF(Varian!$Z54="ya","bisa diganti dengan yang lebih besar",IF(Varian!$Z54="tidak","menempel, tidak bisa diganti","belum diketahui apakah bisa diganti")))</f>
        <v/>
      </c>
      <c r="K251" s="70" t="str">
        <f aca="false">IF($A251="","",IF(AND(Aturan!$C$36="",Aturan!$D$36=""),"Tidak dinilai",IF(C251="","Belum ada data",IF(C251&lt;IF(Aturan!$C$36="",0,Aturan!$C$36),"Kurang",IF(C251&gt;=IF(Aturan!$D$36="",Aturan!$C$36,Aturan!$D$36),"Nyaman","Cukup")))))</f>
        <v/>
      </c>
      <c r="L251" s="70" t="str">
        <f aca="false">IF($A251="","",IF(AND(Aturan!$C$37="",Aturan!$D$37=""),"Tidak dinilai",IF(D251="","Belum ada data",IF(D251&lt;IF(Aturan!$C$37="",0,Aturan!$C$37),"Kurang",IF(D251&gt;=IF(Aturan!$D$37="",Aturan!$C$37,Aturan!$D$37),"Nyaman","Cukup")))))</f>
        <v/>
      </c>
      <c r="M251" s="70" t="str">
        <f aca="false">IF($A251="","",IF(AND(Aturan!$C$38="",Aturan!$D$38=""),"Tidak dinilai",IF(E251="","Belum ada data",IF(E251&lt;IF(Aturan!$C$38="",0,Aturan!$C$38),"Kurang",IF(E251&gt;=IF(Aturan!$D$38="",Aturan!$C$38,Aturan!$D$38),"Nyaman","Cukup")))))</f>
        <v/>
      </c>
      <c r="N251" s="70" t="str">
        <f aca="false">IF($A251="","",IF(AND(Aturan!$C$39="",Aturan!$D$39=""),"Tidak dinilai",IF(F251="","Belum ada data",IF(F251&lt;IF(Aturan!$C$39="",0,Aturan!$C$39),"Kurang",IF(F251&gt;=IF(Aturan!$D$39="",Aturan!$C$39,Aturan!$D$39),"Nyaman","Cukup")))))</f>
        <v/>
      </c>
      <c r="O251" s="70" t="str">
        <f aca="false">IF($A251="","",IF(AND(Aturan!$C$40="",Aturan!$D$40=""),"Tidak dinilai",IF(G251="","Belum ada data",IF(G251&lt;IF(Aturan!$C$40="",0,Aturan!$C$40),"Kurang",IF(G251&gt;=IF(Aturan!$D$40="",Aturan!$C$40,Aturan!$D$40),"Nyaman","Cukup")))))</f>
        <v/>
      </c>
      <c r="P251" s="70" t="str">
        <f aca="false">IF($A251="","",IF(AND(Aturan!$C$41="",Aturan!$D$41=""),"Tidak dinilai",IF(H251="","Belum ada data",IF(H251&lt;IF(Aturan!$C$41="",0,Aturan!$C$41),"Kurang",IF(H251&gt;=IF(Aturan!$D$41="",Aturan!$C$41,Aturan!$D$41),"Nyaman","Cukup")))))</f>
        <v/>
      </c>
      <c r="Q251" s="70" t="str">
        <f aca="false">IF($A251="","",IF(COUNTIF(K251:P251,"Tidak dinilai")=6,"Tidak dinilai",IF(COUNTIF(K251:P251,"Kurang")&gt;0,"Kurang cocok",IF(COUNTIF(K251:P251,"Belum ada data")&gt;0,"Data belum lengkap",IF(COUNTIF(K251:P251,"Cukup")&gt;0,"Bisa, dengan catatan","Cocok")))))</f>
        <v/>
      </c>
      <c r="R251" s="33" t="str">
        <f aca="false">IF($A251="","",IF(K251="Kurang","prosesor tingkat "&amp;C251&amp;" dari 5, di bawah batas minimal (tingkat "&amp;Aturan!$C$36&amp;")",IF(K251="Cukup","prosesor tingkat "&amp;C251&amp;" dari 5 cukup, nyamannya mulai tingkat "&amp;Aturan!$D$36,IF(K251="Belum ada data","tingkat prosesor belum diisi",""))))</f>
        <v/>
      </c>
      <c r="S251" s="33" t="str">
        <f aca="false">IF($A251="","",IF(L251="Kurang","grafis tingkat "&amp;D251&amp;" dari 5, di bawah batas minimal (tingkat "&amp;Aturan!$C$37&amp;")",IF(L251="Cukup","grafis tingkat "&amp;D251&amp;" dari 5 cukup, nyamannya mulai tingkat "&amp;Aturan!$D$37,IF(L251="Belum ada data","tingkat grafis belum diisi",""))))</f>
        <v/>
      </c>
      <c r="T251" s="33" t="str">
        <f aca="false">IF($A251="","",IF(M251="Kurang","RAM "&amp;E251&amp;" GB, di bawah batas minimal "&amp;Aturan!$C$38&amp;" GB ("&amp;I251&amp;")",IF(M251="Cukup","RAM "&amp;E251&amp;" GB cukup, nyamannya "&amp;Aturan!$D$38&amp;" GB atau lebih ("&amp;I251&amp;")",IF(M251="Belum ada data","ukuran RAM belum diisi",""))))</f>
        <v/>
      </c>
      <c r="U251" s="33" t="str">
        <f aca="false">IF($A251="","",IF(N251="Kurang","penyimpanan "&amp;F251&amp;" GB, di bawah batas minimal "&amp;Aturan!$C$39&amp;" GB ("&amp;J251&amp;")",IF(N251="Cukup","penyimpanan "&amp;F251&amp;" GB cukup, nyamannya "&amp;Aturan!$D$39&amp;" GB atau lebih ("&amp;J251&amp;")",IF(N251="Belum ada data","ukuran penyimpanan belum diisi",""))))</f>
        <v/>
      </c>
      <c r="V251" s="33" t="str">
        <f aca="false">IF($A251="","",IF(O251="Kurang","layar "&amp;Varian!$AG54&amp;", di bawah batas minimal ("&amp;IFERROR(INDEX(Aturan!$A$63:$A$66,MATCH(Aturan!$C$40,Aturan!$B$63:$B$66,0)),"peringkat "&amp;Aturan!$C$40)&amp;")",IF(O251="Cukup","layar "&amp;Varian!$AG54&amp;" cukup, nyamannya "&amp;IFERROR(INDEX(Aturan!$A$63:$A$66,MATCH(Aturan!$D$40,Aturan!$B$63:$B$66,0)),"peringkat "&amp;Aturan!$D$40),IF(O251="Belum ada data","jenis layar belum diketahui",""))))</f>
        <v/>
      </c>
      <c r="W251" s="33" t="str">
        <f aca="false">IF($A251="","",IF(P251="Kurang","layar "&amp;H251&amp;" Hz, di bawah batas minimal "&amp;Aturan!$C$41&amp;" Hz",IF(P251="Cukup","layar "&amp;H251&amp;" Hz cukup, nyamannya "&amp;Aturan!$D$41&amp;" Hz atau lebih",IF(P251="Belum ada data","refresh rate belum diketahui",""))))</f>
        <v/>
      </c>
      <c r="X251" s="33" t="str">
        <f aca="false">IF($A251="","",IF(K251="Kurang",R251&amp;"; ","")&amp;IF(L251="Kurang",S251&amp;"; ","")&amp;IF(M251="Kurang",T251&amp;"; ","")&amp;IF(N251="Kurang",U251&amp;"; ","")&amp;IF(O251="Kurang",V251&amp;"; ","")&amp;IF(P251="Kurang",W251&amp;"; ","")&amp;IF(K251="Belum ada data",R251&amp;"; ","")&amp;IF(L251="Belum ada data",S251&amp;"; ","")&amp;IF(M251="Belum ada data",T251&amp;"; ","")&amp;IF(N251="Belum ada data",U251&amp;"; ","")&amp;IF(O251="Belum ada data",V251&amp;"; ","")&amp;IF(P251="Belum ada data",W251&amp;"; ","")&amp;IF(K251="Cukup",R251&amp;"; ","")&amp;IF(L251="Cukup",S251&amp;"; ","")&amp;IF(M251="Cukup",T251&amp;"; ","")&amp;IF(N251="Cukup",U251&amp;"; ","")&amp;IF(O251="Cukup",V251&amp;"; ","")&amp;IF(P251="Cukup",W251&amp;"; ",""))</f>
        <v/>
      </c>
      <c r="Y251" s="33" t="str">
        <f aca="false">IF($A251="","",IF(K251="Nyaman","prosesor, ","")&amp;IF(L251="Nyaman","grafis, ","")&amp;IF(M251="Nyaman","RAM, ","")&amp;IF(N251="Nyaman","penyimpanan, ","")&amp;IF(O251="Nyaman","layar, ","")&amp;IF(P251="Nyaman","refresh rate, ",""))</f>
        <v/>
      </c>
      <c r="Z251" s="33" t="str">
        <f aca="false">IF($A251="","",IF(Q251="Tidak dinilai","Belum ada kriteria yang dinilai untuk kebutuhan ini.",IF(Q251="Cocok","Semua kriteria yang dinilai sudah nyaman: "&amp;LEFT(Y251,LEN(Y251)-2)&amp;".",UPPER(LEFT(X251,1))&amp;MID(X251,2,LEN(X251)-3)&amp;"."&amp;IF(Y251="",""," Sudah nyaman: "&amp;LEFT(Y251,LEN(Y251)-2)&amp;"."))))</f>
        <v/>
      </c>
      <c r="AA251" s="33"/>
      <c r="AB251" s="33"/>
      <c r="AC251" s="69"/>
    </row>
    <row r="252" customFormat="false" ht="15" hidden="false" customHeight="true" outlineLevel="0" collapsed="false">
      <c r="A252" s="33" t="str">
        <f aca="false">IF(Varian!$A54="","",Varian!$A54)</f>
        <v/>
      </c>
      <c r="B252" s="33" t="str">
        <f aca="false">IF($A252="","",Aturan!$A$23)</f>
        <v/>
      </c>
      <c r="C252" s="69" t="str">
        <f aca="false">IF($A252="","",IFERROR(IF(ISNUMBER(INDEX(CPU!$J$4:$J$64,MATCH(Varian!$J54,CPU!$A$4:$A$64,0))),INDEX(CPU!$J$4:$J$64,MATCH(Varian!$J54,CPU!$A$4:$A$64,0)),""),""))</f>
        <v/>
      </c>
      <c r="D252" s="69" t="str">
        <f aca="false">IF($A252="","",IFERROR(IF(ISNUMBER(INDEX(GPU!$G$4:$G$64,MATCH(Varian!$K54,GPU!$A$4:$A$64,0))),INDEX(GPU!$G$4:$G$64,MATCH(Varian!$K54,GPU!$A$4:$A$64,0)),""),""))</f>
        <v/>
      </c>
      <c r="E252" s="69" t="str">
        <f aca="false">IF($A252="","",IF(ISNUMBER(Varian!$M54),Varian!$M54,""))</f>
        <v/>
      </c>
      <c r="F252" s="69" t="str">
        <f aca="false">IF($A252="","",IF(ISNUMBER(Varian!$V54),Varian!$V54,""))</f>
        <v/>
      </c>
      <c r="G252" s="69" t="str">
        <f aca="false">IF($A252="","",IFERROR(INDEX(Aturan!$B$63:$B$66,MATCH(Varian!$AG54,Aturan!$A$63:$A$66,0)),""))</f>
        <v/>
      </c>
      <c r="H252" s="69" t="str">
        <f aca="false">IF($A252="","",IF(ISNUMBER(Varian!$AI54),Varian!$AI54,""))</f>
        <v/>
      </c>
      <c r="I252" s="33" t="str">
        <f aca="false">IF($A252="","",IF(Varian!$Q54="disolder","menempel di papan utama, tidak bisa ditambah",IF(OR(Varian!$Q54="slot",Varian!$Q54="setengah_disolder"),IF(Varian!$Q54="setengah_disolder","sebagian menempel, ","")&amp;IF(ISNUMBER(Varian!$U54),IF(AND(ISNUMBER(Varian!$M54),Varian!$U54&gt;Varian!$M54),"bisa dinaikkan lewat slot sampai "&amp;Varian!$U54&amp;" GB","sudah di batas maksimal "&amp;Varian!$U54&amp;" GB"),"ada slot, batas maksimalnya belum diketahui"),"belum diketahui apakah bisa ditambah")))</f>
        <v/>
      </c>
      <c r="J252" s="33" t="str">
        <f aca="false">IF($A252="","",IF(Varian!$Z54="ya","bisa diganti dengan yang lebih besar",IF(Varian!$Z54="tidak","menempel, tidak bisa diganti","belum diketahui apakah bisa diganti")))</f>
        <v/>
      </c>
      <c r="K252" s="70" t="str">
        <f aca="false">IF($A252="","",IF(AND(Aturan!$C$42="",Aturan!$D$42=""),"Tidak dinilai",IF(C252="","Belum ada data",IF(C252&lt;IF(Aturan!$C$42="",0,Aturan!$C$42),"Kurang",IF(C252&gt;=IF(Aturan!$D$42="",Aturan!$C$42,Aturan!$D$42),"Nyaman","Cukup")))))</f>
        <v/>
      </c>
      <c r="L252" s="70" t="str">
        <f aca="false">IF($A252="","",IF(AND(Aturan!$C$43="",Aturan!$D$43=""),"Tidak dinilai",IF(D252="","Belum ada data",IF(D252&lt;IF(Aturan!$C$43="",0,Aturan!$C$43),"Kurang",IF(D252&gt;=IF(Aturan!$D$43="",Aturan!$C$43,Aturan!$D$43),"Nyaman","Cukup")))))</f>
        <v/>
      </c>
      <c r="M252" s="70" t="str">
        <f aca="false">IF($A252="","",IF(AND(Aturan!$C$44="",Aturan!$D$44=""),"Tidak dinilai",IF(E252="","Belum ada data",IF(E252&lt;IF(Aturan!$C$44="",0,Aturan!$C$44),"Kurang",IF(E252&gt;=IF(Aturan!$D$44="",Aturan!$C$44,Aturan!$D$44),"Nyaman","Cukup")))))</f>
        <v/>
      </c>
      <c r="N252" s="70" t="str">
        <f aca="false">IF($A252="","",IF(AND(Aturan!$C$45="",Aturan!$D$45=""),"Tidak dinilai",IF(F252="","Belum ada data",IF(F252&lt;IF(Aturan!$C$45="",0,Aturan!$C$45),"Kurang",IF(F252&gt;=IF(Aturan!$D$45="",Aturan!$C$45,Aturan!$D$45),"Nyaman","Cukup")))))</f>
        <v/>
      </c>
      <c r="O252" s="70" t="str">
        <f aca="false">IF($A252="","",IF(AND(Aturan!$C$46="",Aturan!$D$46=""),"Tidak dinilai",IF(G252="","Belum ada data",IF(G252&lt;IF(Aturan!$C$46="",0,Aturan!$C$46),"Kurang",IF(G252&gt;=IF(Aturan!$D$46="",Aturan!$C$46,Aturan!$D$46),"Nyaman","Cukup")))))</f>
        <v/>
      </c>
      <c r="P252" s="70" t="str">
        <f aca="false">IF($A252="","",IF(AND(Aturan!$C$47="",Aturan!$D$47=""),"Tidak dinilai",IF(H252="","Belum ada data",IF(H252&lt;IF(Aturan!$C$47="",0,Aturan!$C$47),"Kurang",IF(H252&gt;=IF(Aturan!$D$47="",Aturan!$C$47,Aturan!$D$47),"Nyaman","Cukup")))))</f>
        <v/>
      </c>
      <c r="Q252" s="70" t="str">
        <f aca="false">IF($A252="","",IF(COUNTIF(K252:P252,"Tidak dinilai")=6,"Tidak dinilai",IF(COUNTIF(K252:P252,"Kurang")&gt;0,"Kurang cocok",IF(COUNTIF(K252:P252,"Belum ada data")&gt;0,"Data belum lengkap",IF(COUNTIF(K252:P252,"Cukup")&gt;0,"Bisa, dengan catatan","Cocok")))))</f>
        <v/>
      </c>
      <c r="R252" s="33" t="str">
        <f aca="false">IF($A252="","",IF(K252="Kurang","prosesor tingkat "&amp;C252&amp;" dari 5, di bawah batas minimal (tingkat "&amp;Aturan!$C$42&amp;")",IF(K252="Cukup","prosesor tingkat "&amp;C252&amp;" dari 5 cukup, nyamannya mulai tingkat "&amp;Aturan!$D$42,IF(K252="Belum ada data","tingkat prosesor belum diisi",""))))</f>
        <v/>
      </c>
      <c r="S252" s="33" t="str">
        <f aca="false">IF($A252="","",IF(L252="Kurang","grafis tingkat "&amp;D252&amp;" dari 5, di bawah batas minimal (tingkat "&amp;Aturan!$C$43&amp;")",IF(L252="Cukup","grafis tingkat "&amp;D252&amp;" dari 5 cukup, nyamannya mulai tingkat "&amp;Aturan!$D$43,IF(L252="Belum ada data","tingkat grafis belum diisi",""))))</f>
        <v/>
      </c>
      <c r="T252" s="33" t="str">
        <f aca="false">IF($A252="","",IF(M252="Kurang","RAM "&amp;E252&amp;" GB, di bawah batas minimal "&amp;Aturan!$C$44&amp;" GB ("&amp;I252&amp;")",IF(M252="Cukup","RAM "&amp;E252&amp;" GB cukup, nyamannya "&amp;Aturan!$D$44&amp;" GB atau lebih ("&amp;I252&amp;")",IF(M252="Belum ada data","ukuran RAM belum diisi",""))))</f>
        <v/>
      </c>
      <c r="U252" s="33" t="str">
        <f aca="false">IF($A252="","",IF(N252="Kurang","penyimpanan "&amp;F252&amp;" GB, di bawah batas minimal "&amp;Aturan!$C$45&amp;" GB ("&amp;J252&amp;")",IF(N252="Cukup","penyimpanan "&amp;F252&amp;" GB cukup, nyamannya "&amp;Aturan!$D$45&amp;" GB atau lebih ("&amp;J252&amp;")",IF(N252="Belum ada data","ukuran penyimpanan belum diisi",""))))</f>
        <v/>
      </c>
      <c r="V252" s="33" t="str">
        <f aca="false">IF($A252="","",IF(O252="Kurang","layar "&amp;Varian!$AG54&amp;", di bawah batas minimal ("&amp;IFERROR(INDEX(Aturan!$A$63:$A$66,MATCH(Aturan!$C$46,Aturan!$B$63:$B$66,0)),"peringkat "&amp;Aturan!$C$46)&amp;")",IF(O252="Cukup","layar "&amp;Varian!$AG54&amp;" cukup, nyamannya "&amp;IFERROR(INDEX(Aturan!$A$63:$A$66,MATCH(Aturan!$D$46,Aturan!$B$63:$B$66,0)),"peringkat "&amp;Aturan!$D$46),IF(O252="Belum ada data","jenis layar belum diketahui",""))))</f>
        <v/>
      </c>
      <c r="W252" s="33" t="str">
        <f aca="false">IF($A252="","",IF(P252="Kurang","layar "&amp;H252&amp;" Hz, di bawah batas minimal "&amp;Aturan!$C$47&amp;" Hz",IF(P252="Cukup","layar "&amp;H252&amp;" Hz cukup, nyamannya "&amp;Aturan!$D$47&amp;" Hz atau lebih",IF(P252="Belum ada data","refresh rate belum diketahui",""))))</f>
        <v/>
      </c>
      <c r="X252" s="33" t="str">
        <f aca="false">IF($A252="","",IF(K252="Kurang",R252&amp;"; ","")&amp;IF(L252="Kurang",S252&amp;"; ","")&amp;IF(M252="Kurang",T252&amp;"; ","")&amp;IF(N252="Kurang",U252&amp;"; ","")&amp;IF(O252="Kurang",V252&amp;"; ","")&amp;IF(P252="Kurang",W252&amp;"; ","")&amp;IF(K252="Belum ada data",R252&amp;"; ","")&amp;IF(L252="Belum ada data",S252&amp;"; ","")&amp;IF(M252="Belum ada data",T252&amp;"; ","")&amp;IF(N252="Belum ada data",U252&amp;"; ","")&amp;IF(O252="Belum ada data",V252&amp;"; ","")&amp;IF(P252="Belum ada data",W252&amp;"; ","")&amp;IF(K252="Cukup",R252&amp;"; ","")&amp;IF(L252="Cukup",S252&amp;"; ","")&amp;IF(M252="Cukup",T252&amp;"; ","")&amp;IF(N252="Cukup",U252&amp;"; ","")&amp;IF(O252="Cukup",V252&amp;"; ","")&amp;IF(P252="Cukup",W252&amp;"; ",""))</f>
        <v/>
      </c>
      <c r="Y252" s="33" t="str">
        <f aca="false">IF($A252="","",IF(K252="Nyaman","prosesor, ","")&amp;IF(L252="Nyaman","grafis, ","")&amp;IF(M252="Nyaman","RAM, ","")&amp;IF(N252="Nyaman","penyimpanan, ","")&amp;IF(O252="Nyaman","layar, ","")&amp;IF(P252="Nyaman","refresh rate, ",""))</f>
        <v/>
      </c>
      <c r="Z252" s="33" t="str">
        <f aca="false">IF($A252="","",IF(Q252="Tidak dinilai","Belum ada kriteria yang dinilai untuk kebutuhan ini.",IF(Q252="Cocok","Semua kriteria yang dinilai sudah nyaman: "&amp;LEFT(Y252,LEN(Y252)-2)&amp;".",UPPER(LEFT(X252,1))&amp;MID(X252,2,LEN(X252)-3)&amp;"."&amp;IF(Y252="",""," Sudah nyaman: "&amp;LEFT(Y252,LEN(Y252)-2)&amp;"."))))</f>
        <v/>
      </c>
      <c r="AA252" s="33"/>
      <c r="AB252" s="33"/>
      <c r="AC252" s="69"/>
    </row>
    <row r="253" customFormat="false" ht="15" hidden="false" customHeight="true" outlineLevel="0" collapsed="false">
      <c r="A253" s="33" t="str">
        <f aca="false">IF(Varian!$A54="","",Varian!$A54)</f>
        <v/>
      </c>
      <c r="B253" s="33" t="str">
        <f aca="false">IF($A253="","",Aturan!$A$24)</f>
        <v/>
      </c>
      <c r="C253" s="69" t="str">
        <f aca="false">IF($A253="","",IFERROR(IF(ISNUMBER(INDEX(CPU!$J$4:$J$64,MATCH(Varian!$J54,CPU!$A$4:$A$64,0))),INDEX(CPU!$J$4:$J$64,MATCH(Varian!$J54,CPU!$A$4:$A$64,0)),""),""))</f>
        <v/>
      </c>
      <c r="D253" s="69" t="str">
        <f aca="false">IF($A253="","",IFERROR(IF(ISNUMBER(INDEX(GPU!$G$4:$G$64,MATCH(Varian!$K54,GPU!$A$4:$A$64,0))),INDEX(GPU!$G$4:$G$64,MATCH(Varian!$K54,GPU!$A$4:$A$64,0)),""),""))</f>
        <v/>
      </c>
      <c r="E253" s="69" t="str">
        <f aca="false">IF($A253="","",IF(ISNUMBER(Varian!$M54),Varian!$M54,""))</f>
        <v/>
      </c>
      <c r="F253" s="69" t="str">
        <f aca="false">IF($A253="","",IF(ISNUMBER(Varian!$V54),Varian!$V54,""))</f>
        <v/>
      </c>
      <c r="G253" s="69" t="str">
        <f aca="false">IF($A253="","",IFERROR(INDEX(Aturan!$B$63:$B$66,MATCH(Varian!$AG54,Aturan!$A$63:$A$66,0)),""))</f>
        <v/>
      </c>
      <c r="H253" s="69" t="str">
        <f aca="false">IF($A253="","",IF(ISNUMBER(Varian!$AI54),Varian!$AI54,""))</f>
        <v/>
      </c>
      <c r="I253" s="33" t="str">
        <f aca="false">IF($A253="","",IF(Varian!$Q54="disolder","menempel di papan utama, tidak bisa ditambah",IF(OR(Varian!$Q54="slot",Varian!$Q54="setengah_disolder"),IF(Varian!$Q54="setengah_disolder","sebagian menempel, ","")&amp;IF(ISNUMBER(Varian!$U54),IF(AND(ISNUMBER(Varian!$M54),Varian!$U54&gt;Varian!$M54),"bisa dinaikkan lewat slot sampai "&amp;Varian!$U54&amp;" GB","sudah di batas maksimal "&amp;Varian!$U54&amp;" GB"),"ada slot, batas maksimalnya belum diketahui"),"belum diketahui apakah bisa ditambah")))</f>
        <v/>
      </c>
      <c r="J253" s="33" t="str">
        <f aca="false">IF($A253="","",IF(Varian!$Z54="ya","bisa diganti dengan yang lebih besar",IF(Varian!$Z54="tidak","menempel, tidak bisa diganti","belum diketahui apakah bisa diganti")))</f>
        <v/>
      </c>
      <c r="K253" s="70" t="str">
        <f aca="false">IF($A253="","",IF(AND(Aturan!$C$48="",Aturan!$D$48=""),"Tidak dinilai",IF(C253="","Belum ada data",IF(C253&lt;IF(Aturan!$C$48="",0,Aturan!$C$48),"Kurang",IF(C253&gt;=IF(Aturan!$D$48="",Aturan!$C$48,Aturan!$D$48),"Nyaman","Cukup")))))</f>
        <v/>
      </c>
      <c r="L253" s="70" t="str">
        <f aca="false">IF($A253="","",IF(AND(Aturan!$C$49="",Aturan!$D$49=""),"Tidak dinilai",IF(D253="","Belum ada data",IF(D253&lt;IF(Aturan!$C$49="",0,Aturan!$C$49),"Kurang",IF(D253&gt;=IF(Aturan!$D$49="",Aturan!$C$49,Aturan!$D$49),"Nyaman","Cukup")))))</f>
        <v/>
      </c>
      <c r="M253" s="70" t="str">
        <f aca="false">IF($A253="","",IF(AND(Aturan!$C$50="",Aturan!$D$50=""),"Tidak dinilai",IF(E253="","Belum ada data",IF(E253&lt;IF(Aturan!$C$50="",0,Aturan!$C$50),"Kurang",IF(E253&gt;=IF(Aturan!$D$50="",Aturan!$C$50,Aturan!$D$50),"Nyaman","Cukup")))))</f>
        <v/>
      </c>
      <c r="N253" s="70" t="str">
        <f aca="false">IF($A253="","",IF(AND(Aturan!$C$51="",Aturan!$D$51=""),"Tidak dinilai",IF(F253="","Belum ada data",IF(F253&lt;IF(Aturan!$C$51="",0,Aturan!$C$51),"Kurang",IF(F253&gt;=IF(Aturan!$D$51="",Aturan!$C$51,Aturan!$D$51),"Nyaman","Cukup")))))</f>
        <v/>
      </c>
      <c r="O253" s="70" t="str">
        <f aca="false">IF($A253="","",IF(AND(Aturan!$C$52="",Aturan!$D$52=""),"Tidak dinilai",IF(G253="","Belum ada data",IF(G253&lt;IF(Aturan!$C$52="",0,Aturan!$C$52),"Kurang",IF(G253&gt;=IF(Aturan!$D$52="",Aturan!$C$52,Aturan!$D$52),"Nyaman","Cukup")))))</f>
        <v/>
      </c>
      <c r="P253" s="70" t="str">
        <f aca="false">IF($A253="","",IF(AND(Aturan!$C$53="",Aturan!$D$53=""),"Tidak dinilai",IF(H253="","Belum ada data",IF(H253&lt;IF(Aturan!$C$53="",0,Aturan!$C$53),"Kurang",IF(H253&gt;=IF(Aturan!$D$53="",Aturan!$C$53,Aturan!$D$53),"Nyaman","Cukup")))))</f>
        <v/>
      </c>
      <c r="Q253" s="70" t="str">
        <f aca="false">IF($A253="","",IF(COUNTIF(K253:P253,"Tidak dinilai")=6,"Tidak dinilai",IF(COUNTIF(K253:P253,"Kurang")&gt;0,"Kurang cocok",IF(COUNTIF(K253:P253,"Belum ada data")&gt;0,"Data belum lengkap",IF(COUNTIF(K253:P253,"Cukup")&gt;0,"Bisa, dengan catatan","Cocok")))))</f>
        <v/>
      </c>
      <c r="R253" s="33" t="str">
        <f aca="false">IF($A253="","",IF(K253="Kurang","prosesor tingkat "&amp;C253&amp;" dari 5, di bawah batas minimal (tingkat "&amp;Aturan!$C$48&amp;")",IF(K253="Cukup","prosesor tingkat "&amp;C253&amp;" dari 5 cukup, nyamannya mulai tingkat "&amp;Aturan!$D$48,IF(K253="Belum ada data","tingkat prosesor belum diisi",""))))</f>
        <v/>
      </c>
      <c r="S253" s="33" t="str">
        <f aca="false">IF($A253="","",IF(L253="Kurang","grafis tingkat "&amp;D253&amp;" dari 5, di bawah batas minimal (tingkat "&amp;Aturan!$C$49&amp;")",IF(L253="Cukup","grafis tingkat "&amp;D253&amp;" dari 5 cukup, nyamannya mulai tingkat "&amp;Aturan!$D$49,IF(L253="Belum ada data","tingkat grafis belum diisi",""))))</f>
        <v/>
      </c>
      <c r="T253" s="33" t="str">
        <f aca="false">IF($A253="","",IF(M253="Kurang","RAM "&amp;E253&amp;" GB, di bawah batas minimal "&amp;Aturan!$C$50&amp;" GB ("&amp;I253&amp;")",IF(M253="Cukup","RAM "&amp;E253&amp;" GB cukup, nyamannya "&amp;Aturan!$D$50&amp;" GB atau lebih ("&amp;I253&amp;")",IF(M253="Belum ada data","ukuran RAM belum diisi",""))))</f>
        <v/>
      </c>
      <c r="U253" s="33" t="str">
        <f aca="false">IF($A253="","",IF(N253="Kurang","penyimpanan "&amp;F253&amp;" GB, di bawah batas minimal "&amp;Aturan!$C$51&amp;" GB ("&amp;J253&amp;")",IF(N253="Cukup","penyimpanan "&amp;F253&amp;" GB cukup, nyamannya "&amp;Aturan!$D$51&amp;" GB atau lebih ("&amp;J253&amp;")",IF(N253="Belum ada data","ukuran penyimpanan belum diisi",""))))</f>
        <v/>
      </c>
      <c r="V253" s="33" t="str">
        <f aca="false">IF($A253="","",IF(O253="Kurang","layar "&amp;Varian!$AG54&amp;", di bawah batas minimal ("&amp;IFERROR(INDEX(Aturan!$A$63:$A$66,MATCH(Aturan!$C$52,Aturan!$B$63:$B$66,0)),"peringkat "&amp;Aturan!$C$52)&amp;")",IF(O253="Cukup","layar "&amp;Varian!$AG54&amp;" cukup, nyamannya "&amp;IFERROR(INDEX(Aturan!$A$63:$A$66,MATCH(Aturan!$D$52,Aturan!$B$63:$B$66,0)),"peringkat "&amp;Aturan!$D$52),IF(O253="Belum ada data","jenis layar belum diketahui",""))))</f>
        <v/>
      </c>
      <c r="W253" s="33" t="str">
        <f aca="false">IF($A253="","",IF(P253="Kurang","layar "&amp;H253&amp;" Hz, di bawah batas minimal "&amp;Aturan!$C$53&amp;" Hz",IF(P253="Cukup","layar "&amp;H253&amp;" Hz cukup, nyamannya "&amp;Aturan!$D$53&amp;" Hz atau lebih",IF(P253="Belum ada data","refresh rate belum diketahui",""))))</f>
        <v/>
      </c>
      <c r="X253" s="33" t="str">
        <f aca="false">IF($A253="","",IF(K253="Kurang",R253&amp;"; ","")&amp;IF(L253="Kurang",S253&amp;"; ","")&amp;IF(M253="Kurang",T253&amp;"; ","")&amp;IF(N253="Kurang",U253&amp;"; ","")&amp;IF(O253="Kurang",V253&amp;"; ","")&amp;IF(P253="Kurang",W253&amp;"; ","")&amp;IF(K253="Belum ada data",R253&amp;"; ","")&amp;IF(L253="Belum ada data",S253&amp;"; ","")&amp;IF(M253="Belum ada data",T253&amp;"; ","")&amp;IF(N253="Belum ada data",U253&amp;"; ","")&amp;IF(O253="Belum ada data",V253&amp;"; ","")&amp;IF(P253="Belum ada data",W253&amp;"; ","")&amp;IF(K253="Cukup",R253&amp;"; ","")&amp;IF(L253="Cukup",S253&amp;"; ","")&amp;IF(M253="Cukup",T253&amp;"; ","")&amp;IF(N253="Cukup",U253&amp;"; ","")&amp;IF(O253="Cukup",V253&amp;"; ","")&amp;IF(P253="Cukup",W253&amp;"; ",""))</f>
        <v/>
      </c>
      <c r="Y253" s="33" t="str">
        <f aca="false">IF($A253="","",IF(K253="Nyaman","prosesor, ","")&amp;IF(L253="Nyaman","grafis, ","")&amp;IF(M253="Nyaman","RAM, ","")&amp;IF(N253="Nyaman","penyimpanan, ","")&amp;IF(O253="Nyaman","layar, ","")&amp;IF(P253="Nyaman","refresh rate, ",""))</f>
        <v/>
      </c>
      <c r="Z253" s="33" t="str">
        <f aca="false">IF($A253="","",IF(Q253="Tidak dinilai","Belum ada kriteria yang dinilai untuk kebutuhan ini.",IF(Q253="Cocok","Semua kriteria yang dinilai sudah nyaman: "&amp;LEFT(Y253,LEN(Y253)-2)&amp;".",UPPER(LEFT(X253,1))&amp;MID(X253,2,LEN(X253)-3)&amp;"."&amp;IF(Y253="",""," Sudah nyaman: "&amp;LEFT(Y253,LEN(Y253)-2)&amp;"."))))</f>
        <v/>
      </c>
      <c r="AA253" s="33"/>
      <c r="AB253" s="33"/>
      <c r="AC253" s="69"/>
    </row>
    <row r="254" customFormat="false" ht="15" hidden="false" customHeight="true" outlineLevel="0" collapsed="false">
      <c r="A254" s="33" t="str">
        <f aca="false">IF(Varian!$A54="","",Varian!$A54)</f>
        <v/>
      </c>
      <c r="B254" s="33" t="str">
        <f aca="false">IF($A254="","",Aturan!$A$25)</f>
        <v/>
      </c>
      <c r="C254" s="69" t="str">
        <f aca="false">IF($A254="","",IFERROR(IF(ISNUMBER(INDEX(CPU!$J$4:$J$64,MATCH(Varian!$J54,CPU!$A$4:$A$64,0))),INDEX(CPU!$J$4:$J$64,MATCH(Varian!$J54,CPU!$A$4:$A$64,0)),""),""))</f>
        <v/>
      </c>
      <c r="D254" s="69" t="str">
        <f aca="false">IF($A254="","",IFERROR(IF(ISNUMBER(INDEX(GPU!$G$4:$G$64,MATCH(Varian!$K54,GPU!$A$4:$A$64,0))),INDEX(GPU!$G$4:$G$64,MATCH(Varian!$K54,GPU!$A$4:$A$64,0)),""),""))</f>
        <v/>
      </c>
      <c r="E254" s="69" t="str">
        <f aca="false">IF($A254="","",IF(ISNUMBER(Varian!$M54),Varian!$M54,""))</f>
        <v/>
      </c>
      <c r="F254" s="69" t="str">
        <f aca="false">IF($A254="","",IF(ISNUMBER(Varian!$V54),Varian!$V54,""))</f>
        <v/>
      </c>
      <c r="G254" s="69" t="str">
        <f aca="false">IF($A254="","",IFERROR(INDEX(Aturan!$B$63:$B$66,MATCH(Varian!$AG54,Aturan!$A$63:$A$66,0)),""))</f>
        <v/>
      </c>
      <c r="H254" s="69" t="str">
        <f aca="false">IF($A254="","",IF(ISNUMBER(Varian!$AI54),Varian!$AI54,""))</f>
        <v/>
      </c>
      <c r="I254" s="33" t="str">
        <f aca="false">IF($A254="","",IF(Varian!$Q54="disolder","menempel di papan utama, tidak bisa ditambah",IF(OR(Varian!$Q54="slot",Varian!$Q54="setengah_disolder"),IF(Varian!$Q54="setengah_disolder","sebagian menempel, ","")&amp;IF(ISNUMBER(Varian!$U54),IF(AND(ISNUMBER(Varian!$M54),Varian!$U54&gt;Varian!$M54),"bisa dinaikkan lewat slot sampai "&amp;Varian!$U54&amp;" GB","sudah di batas maksimal "&amp;Varian!$U54&amp;" GB"),"ada slot, batas maksimalnya belum diketahui"),"belum diketahui apakah bisa ditambah")))</f>
        <v/>
      </c>
      <c r="J254" s="33" t="str">
        <f aca="false">IF($A254="","",IF(Varian!$Z54="ya","bisa diganti dengan yang lebih besar",IF(Varian!$Z54="tidak","menempel, tidak bisa diganti","belum diketahui apakah bisa diganti")))</f>
        <v/>
      </c>
      <c r="K254" s="70" t="str">
        <f aca="false">IF($A254="","",IF(AND(Aturan!$C$54="",Aturan!$D$54=""),"Tidak dinilai",IF(C254="","Belum ada data",IF(C254&lt;IF(Aturan!$C$54="",0,Aturan!$C$54),"Kurang",IF(C254&gt;=IF(Aturan!$D$54="",Aturan!$C$54,Aturan!$D$54),"Nyaman","Cukup")))))</f>
        <v/>
      </c>
      <c r="L254" s="70" t="str">
        <f aca="false">IF($A254="","",IF(AND(Aturan!$C$55="",Aturan!$D$55=""),"Tidak dinilai",IF(D254="","Belum ada data",IF(D254&lt;IF(Aturan!$C$55="",0,Aturan!$C$55),"Kurang",IF(D254&gt;=IF(Aturan!$D$55="",Aturan!$C$55,Aturan!$D$55),"Nyaman","Cukup")))))</f>
        <v/>
      </c>
      <c r="M254" s="70" t="str">
        <f aca="false">IF($A254="","",IF(AND(Aturan!$C$56="",Aturan!$D$56=""),"Tidak dinilai",IF(E254="","Belum ada data",IF(E254&lt;IF(Aturan!$C$56="",0,Aturan!$C$56),"Kurang",IF(E254&gt;=IF(Aturan!$D$56="",Aturan!$C$56,Aturan!$D$56),"Nyaman","Cukup")))))</f>
        <v/>
      </c>
      <c r="N254" s="70" t="str">
        <f aca="false">IF($A254="","",IF(AND(Aturan!$C$57="",Aturan!$D$57=""),"Tidak dinilai",IF(F254="","Belum ada data",IF(F254&lt;IF(Aturan!$C$57="",0,Aturan!$C$57),"Kurang",IF(F254&gt;=IF(Aturan!$D$57="",Aturan!$C$57,Aturan!$D$57),"Nyaman","Cukup")))))</f>
        <v/>
      </c>
      <c r="O254" s="70" t="str">
        <f aca="false">IF($A254="","",IF(AND(Aturan!$C$58="",Aturan!$D$58=""),"Tidak dinilai",IF(G254="","Belum ada data",IF(G254&lt;IF(Aturan!$C$58="",0,Aturan!$C$58),"Kurang",IF(G254&gt;=IF(Aturan!$D$58="",Aturan!$C$58,Aturan!$D$58),"Nyaman","Cukup")))))</f>
        <v/>
      </c>
      <c r="P254" s="70" t="str">
        <f aca="false">IF($A254="","",IF(AND(Aturan!$C$59="",Aturan!$D$59=""),"Tidak dinilai",IF(H254="","Belum ada data",IF(H254&lt;IF(Aturan!$C$59="",0,Aturan!$C$59),"Kurang",IF(H254&gt;=IF(Aturan!$D$59="",Aturan!$C$59,Aturan!$D$59),"Nyaman","Cukup")))))</f>
        <v/>
      </c>
      <c r="Q254" s="70" t="str">
        <f aca="false">IF($A254="","",IF(COUNTIF(K254:P254,"Tidak dinilai")=6,"Tidak dinilai",IF(COUNTIF(K254:P254,"Kurang")&gt;0,"Kurang cocok",IF(COUNTIF(K254:P254,"Belum ada data")&gt;0,"Data belum lengkap",IF(COUNTIF(K254:P254,"Cukup")&gt;0,"Bisa, dengan catatan","Cocok")))))</f>
        <v/>
      </c>
      <c r="R254" s="33" t="str">
        <f aca="false">IF($A254="","",IF(K254="Kurang","prosesor tingkat "&amp;C254&amp;" dari 5, di bawah batas minimal (tingkat "&amp;Aturan!$C$54&amp;")",IF(K254="Cukup","prosesor tingkat "&amp;C254&amp;" dari 5 cukup, nyamannya mulai tingkat "&amp;Aturan!$D$54,IF(K254="Belum ada data","tingkat prosesor belum diisi",""))))</f>
        <v/>
      </c>
      <c r="S254" s="33" t="str">
        <f aca="false">IF($A254="","",IF(L254="Kurang","grafis tingkat "&amp;D254&amp;" dari 5, di bawah batas minimal (tingkat "&amp;Aturan!$C$55&amp;")",IF(L254="Cukup","grafis tingkat "&amp;D254&amp;" dari 5 cukup, nyamannya mulai tingkat "&amp;Aturan!$D$55,IF(L254="Belum ada data","tingkat grafis belum diisi",""))))</f>
        <v/>
      </c>
      <c r="T254" s="33" t="str">
        <f aca="false">IF($A254="","",IF(M254="Kurang","RAM "&amp;E254&amp;" GB, di bawah batas minimal "&amp;Aturan!$C$56&amp;" GB ("&amp;I254&amp;")",IF(M254="Cukup","RAM "&amp;E254&amp;" GB cukup, nyamannya "&amp;Aturan!$D$56&amp;" GB atau lebih ("&amp;I254&amp;")",IF(M254="Belum ada data","ukuran RAM belum diisi",""))))</f>
        <v/>
      </c>
      <c r="U254" s="33" t="str">
        <f aca="false">IF($A254="","",IF(N254="Kurang","penyimpanan "&amp;F254&amp;" GB, di bawah batas minimal "&amp;Aturan!$C$57&amp;" GB ("&amp;J254&amp;")",IF(N254="Cukup","penyimpanan "&amp;F254&amp;" GB cukup, nyamannya "&amp;Aturan!$D$57&amp;" GB atau lebih ("&amp;J254&amp;")",IF(N254="Belum ada data","ukuran penyimpanan belum diisi",""))))</f>
        <v/>
      </c>
      <c r="V254" s="33" t="str">
        <f aca="false">IF($A254="","",IF(O254="Kurang","layar "&amp;Varian!$AG54&amp;", di bawah batas minimal ("&amp;IFERROR(INDEX(Aturan!$A$63:$A$66,MATCH(Aturan!$C$58,Aturan!$B$63:$B$66,0)),"peringkat "&amp;Aturan!$C$58)&amp;")",IF(O254="Cukup","layar "&amp;Varian!$AG54&amp;" cukup, nyamannya "&amp;IFERROR(INDEX(Aturan!$A$63:$A$66,MATCH(Aturan!$D$58,Aturan!$B$63:$B$66,0)),"peringkat "&amp;Aturan!$D$58),IF(O254="Belum ada data","jenis layar belum diketahui",""))))</f>
        <v/>
      </c>
      <c r="W254" s="33" t="str">
        <f aca="false">IF($A254="","",IF(P254="Kurang","layar "&amp;H254&amp;" Hz, di bawah batas minimal "&amp;Aturan!$C$59&amp;" Hz",IF(P254="Cukup","layar "&amp;H254&amp;" Hz cukup, nyamannya "&amp;Aturan!$D$59&amp;" Hz atau lebih",IF(P254="Belum ada data","refresh rate belum diketahui",""))))</f>
        <v/>
      </c>
      <c r="X254" s="33" t="str">
        <f aca="false">IF($A254="","",IF(K254="Kurang",R254&amp;"; ","")&amp;IF(L254="Kurang",S254&amp;"; ","")&amp;IF(M254="Kurang",T254&amp;"; ","")&amp;IF(N254="Kurang",U254&amp;"; ","")&amp;IF(O254="Kurang",V254&amp;"; ","")&amp;IF(P254="Kurang",W254&amp;"; ","")&amp;IF(K254="Belum ada data",R254&amp;"; ","")&amp;IF(L254="Belum ada data",S254&amp;"; ","")&amp;IF(M254="Belum ada data",T254&amp;"; ","")&amp;IF(N254="Belum ada data",U254&amp;"; ","")&amp;IF(O254="Belum ada data",V254&amp;"; ","")&amp;IF(P254="Belum ada data",W254&amp;"; ","")&amp;IF(K254="Cukup",R254&amp;"; ","")&amp;IF(L254="Cukup",S254&amp;"; ","")&amp;IF(M254="Cukup",T254&amp;"; ","")&amp;IF(N254="Cukup",U254&amp;"; ","")&amp;IF(O254="Cukup",V254&amp;"; ","")&amp;IF(P254="Cukup",W254&amp;"; ",""))</f>
        <v/>
      </c>
      <c r="Y254" s="33" t="str">
        <f aca="false">IF($A254="","",IF(K254="Nyaman","prosesor, ","")&amp;IF(L254="Nyaman","grafis, ","")&amp;IF(M254="Nyaman","RAM, ","")&amp;IF(N254="Nyaman","penyimpanan, ","")&amp;IF(O254="Nyaman","layar, ","")&amp;IF(P254="Nyaman","refresh rate, ",""))</f>
        <v/>
      </c>
      <c r="Z254" s="33" t="str">
        <f aca="false">IF($A254="","",IF(Q254="Tidak dinilai","Belum ada kriteria yang dinilai untuk kebutuhan ini.",IF(Q254="Cocok","Semua kriteria yang dinilai sudah nyaman: "&amp;LEFT(Y254,LEN(Y254)-2)&amp;".",UPPER(LEFT(X254,1))&amp;MID(X254,2,LEN(X254)-3)&amp;"."&amp;IF(Y254="",""," Sudah nyaman: "&amp;LEFT(Y254,LEN(Y254)-2)&amp;"."))))</f>
        <v/>
      </c>
      <c r="AA254" s="33"/>
      <c r="AB254" s="33"/>
      <c r="AC254" s="69"/>
    </row>
    <row r="255" customFormat="false" ht="15" hidden="false" customHeight="true" outlineLevel="0" collapsed="false">
      <c r="A255" s="66" t="str">
        <f aca="false">IF(Varian!$A55="","",Varian!$A55)</f>
        <v/>
      </c>
      <c r="B255" s="66" t="str">
        <f aca="false">IF($A255="","",Aturan!$A$21)</f>
        <v/>
      </c>
      <c r="C255" s="67" t="str">
        <f aca="false">IF($A255="","",IFERROR(IF(ISNUMBER(INDEX(CPU!$J$4:$J$64,MATCH(Varian!$J55,CPU!$A$4:$A$64,0))),INDEX(CPU!$J$4:$J$64,MATCH(Varian!$J55,CPU!$A$4:$A$64,0)),""),""))</f>
        <v/>
      </c>
      <c r="D255" s="67" t="str">
        <f aca="false">IF($A255="","",IFERROR(IF(ISNUMBER(INDEX(GPU!$G$4:$G$64,MATCH(Varian!$K55,GPU!$A$4:$A$64,0))),INDEX(GPU!$G$4:$G$64,MATCH(Varian!$K55,GPU!$A$4:$A$64,0)),""),""))</f>
        <v/>
      </c>
      <c r="E255" s="67" t="str">
        <f aca="false">IF($A255="","",IF(ISNUMBER(Varian!$M55),Varian!$M55,""))</f>
        <v/>
      </c>
      <c r="F255" s="67" t="str">
        <f aca="false">IF($A255="","",IF(ISNUMBER(Varian!$V55),Varian!$V55,""))</f>
        <v/>
      </c>
      <c r="G255" s="67" t="str">
        <f aca="false">IF($A255="","",IFERROR(INDEX(Aturan!$B$63:$B$66,MATCH(Varian!$AG55,Aturan!$A$63:$A$66,0)),""))</f>
        <v/>
      </c>
      <c r="H255" s="67" t="str">
        <f aca="false">IF($A255="","",IF(ISNUMBER(Varian!$AI55),Varian!$AI55,""))</f>
        <v/>
      </c>
      <c r="I255" s="66" t="str">
        <f aca="false">IF($A255="","",IF(Varian!$Q55="disolder","menempel di papan utama, tidak bisa ditambah",IF(OR(Varian!$Q55="slot",Varian!$Q55="setengah_disolder"),IF(Varian!$Q55="setengah_disolder","sebagian menempel, ","")&amp;IF(ISNUMBER(Varian!$U55),IF(AND(ISNUMBER(Varian!$M55),Varian!$U55&gt;Varian!$M55),"bisa dinaikkan lewat slot sampai "&amp;Varian!$U55&amp;" GB","sudah di batas maksimal "&amp;Varian!$U55&amp;" GB"),"ada slot, batas maksimalnya belum diketahui"),"belum diketahui apakah bisa ditambah")))</f>
        <v/>
      </c>
      <c r="J255" s="66" t="str">
        <f aca="false">IF($A255="","",IF(Varian!$Z55="ya","bisa diganti dengan yang lebih besar",IF(Varian!$Z55="tidak","menempel, tidak bisa diganti","belum diketahui apakah bisa diganti")))</f>
        <v/>
      </c>
      <c r="K255" s="68" t="str">
        <f aca="false">IF($A255="","",IF(AND(Aturan!$C$30="",Aturan!$D$30=""),"Tidak dinilai",IF(C255="","Belum ada data",IF(C255&lt;IF(Aturan!$C$30="",0,Aturan!$C$30),"Kurang",IF(C255&gt;=IF(Aturan!$D$30="",Aturan!$C$30,Aturan!$D$30),"Nyaman","Cukup")))))</f>
        <v/>
      </c>
      <c r="L255" s="68" t="str">
        <f aca="false">IF($A255="","",IF(AND(Aturan!$C$31="",Aturan!$D$31=""),"Tidak dinilai",IF(D255="","Belum ada data",IF(D255&lt;IF(Aturan!$C$31="",0,Aturan!$C$31),"Kurang",IF(D255&gt;=IF(Aturan!$D$31="",Aturan!$C$31,Aturan!$D$31),"Nyaman","Cukup")))))</f>
        <v/>
      </c>
      <c r="M255" s="68" t="str">
        <f aca="false">IF($A255="","",IF(AND(Aturan!$C$32="",Aturan!$D$32=""),"Tidak dinilai",IF(E255="","Belum ada data",IF(E255&lt;IF(Aturan!$C$32="",0,Aturan!$C$32),"Kurang",IF(E255&gt;=IF(Aturan!$D$32="",Aturan!$C$32,Aturan!$D$32),"Nyaman","Cukup")))))</f>
        <v/>
      </c>
      <c r="N255" s="68" t="str">
        <f aca="false">IF($A255="","",IF(AND(Aturan!$C$33="",Aturan!$D$33=""),"Tidak dinilai",IF(F255="","Belum ada data",IF(F255&lt;IF(Aturan!$C$33="",0,Aturan!$C$33),"Kurang",IF(F255&gt;=IF(Aturan!$D$33="",Aturan!$C$33,Aturan!$D$33),"Nyaman","Cukup")))))</f>
        <v/>
      </c>
      <c r="O255" s="68" t="str">
        <f aca="false">IF($A255="","",IF(AND(Aturan!$C$34="",Aturan!$D$34=""),"Tidak dinilai",IF(G255="","Belum ada data",IF(G255&lt;IF(Aturan!$C$34="",0,Aturan!$C$34),"Kurang",IF(G255&gt;=IF(Aturan!$D$34="",Aturan!$C$34,Aturan!$D$34),"Nyaman","Cukup")))))</f>
        <v/>
      </c>
      <c r="P255" s="68" t="str">
        <f aca="false">IF($A255="","",IF(AND(Aturan!$C$35="",Aturan!$D$35=""),"Tidak dinilai",IF(H255="","Belum ada data",IF(H255&lt;IF(Aturan!$C$35="",0,Aturan!$C$35),"Kurang",IF(H255&gt;=IF(Aturan!$D$35="",Aturan!$C$35,Aturan!$D$35),"Nyaman","Cukup")))))</f>
        <v/>
      </c>
      <c r="Q255" s="68" t="str">
        <f aca="false">IF($A255="","",IF(COUNTIF(K255:P255,"Tidak dinilai")=6,"Tidak dinilai",IF(COUNTIF(K255:P255,"Kurang")&gt;0,"Kurang cocok",IF(COUNTIF(K255:P255,"Belum ada data")&gt;0,"Data belum lengkap",IF(COUNTIF(K255:P255,"Cukup")&gt;0,"Bisa, dengan catatan","Cocok")))))</f>
        <v/>
      </c>
      <c r="R255" s="66" t="str">
        <f aca="false">IF($A255="","",IF(K255="Kurang","prosesor tingkat "&amp;C255&amp;" dari 5, di bawah batas minimal (tingkat "&amp;Aturan!$C$30&amp;")",IF(K255="Cukup","prosesor tingkat "&amp;C255&amp;" dari 5 cukup, nyamannya mulai tingkat "&amp;Aturan!$D$30,IF(K255="Belum ada data","tingkat prosesor belum diisi",""))))</f>
        <v/>
      </c>
      <c r="S255" s="66" t="str">
        <f aca="false">IF($A255="","",IF(L255="Kurang","grafis tingkat "&amp;D255&amp;" dari 5, di bawah batas minimal (tingkat "&amp;Aturan!$C$31&amp;")",IF(L255="Cukup","grafis tingkat "&amp;D255&amp;" dari 5 cukup, nyamannya mulai tingkat "&amp;Aturan!$D$31,IF(L255="Belum ada data","tingkat grafis belum diisi",""))))</f>
        <v/>
      </c>
      <c r="T255" s="66" t="str">
        <f aca="false">IF($A255="","",IF(M255="Kurang","RAM "&amp;E255&amp;" GB, di bawah batas minimal "&amp;Aturan!$C$32&amp;" GB ("&amp;I255&amp;")",IF(M255="Cukup","RAM "&amp;E255&amp;" GB cukup, nyamannya "&amp;Aturan!$D$32&amp;" GB atau lebih ("&amp;I255&amp;")",IF(M255="Belum ada data","ukuran RAM belum diisi",""))))</f>
        <v/>
      </c>
      <c r="U255" s="66" t="str">
        <f aca="false">IF($A255="","",IF(N255="Kurang","penyimpanan "&amp;F255&amp;" GB, di bawah batas minimal "&amp;Aturan!$C$33&amp;" GB ("&amp;J255&amp;")",IF(N255="Cukup","penyimpanan "&amp;F255&amp;" GB cukup, nyamannya "&amp;Aturan!$D$33&amp;" GB atau lebih ("&amp;J255&amp;")",IF(N255="Belum ada data","ukuran penyimpanan belum diisi",""))))</f>
        <v/>
      </c>
      <c r="V255" s="66" t="str">
        <f aca="false">IF($A255="","",IF(O255="Kurang","layar "&amp;Varian!$AG55&amp;", di bawah batas minimal ("&amp;IFERROR(INDEX(Aturan!$A$63:$A$66,MATCH(Aturan!$C$34,Aturan!$B$63:$B$66,0)),"peringkat "&amp;Aturan!$C$34)&amp;")",IF(O255="Cukup","layar "&amp;Varian!$AG55&amp;" cukup, nyamannya "&amp;IFERROR(INDEX(Aturan!$A$63:$A$66,MATCH(Aturan!$D$34,Aturan!$B$63:$B$66,0)),"peringkat "&amp;Aturan!$D$34),IF(O255="Belum ada data","jenis layar belum diketahui",""))))</f>
        <v/>
      </c>
      <c r="W255" s="66" t="str">
        <f aca="false">IF($A255="","",IF(P255="Kurang","layar "&amp;H255&amp;" Hz, di bawah batas minimal "&amp;Aturan!$C$35&amp;" Hz",IF(P255="Cukup","layar "&amp;H255&amp;" Hz cukup, nyamannya "&amp;Aturan!$D$35&amp;" Hz atau lebih",IF(P255="Belum ada data","refresh rate belum diketahui",""))))</f>
        <v/>
      </c>
      <c r="X255" s="66" t="str">
        <f aca="false">IF($A255="","",IF(K255="Kurang",R255&amp;"; ","")&amp;IF(L255="Kurang",S255&amp;"; ","")&amp;IF(M255="Kurang",T255&amp;"; ","")&amp;IF(N255="Kurang",U255&amp;"; ","")&amp;IF(O255="Kurang",V255&amp;"; ","")&amp;IF(P255="Kurang",W255&amp;"; ","")&amp;IF(K255="Belum ada data",R255&amp;"; ","")&amp;IF(L255="Belum ada data",S255&amp;"; ","")&amp;IF(M255="Belum ada data",T255&amp;"; ","")&amp;IF(N255="Belum ada data",U255&amp;"; ","")&amp;IF(O255="Belum ada data",V255&amp;"; ","")&amp;IF(P255="Belum ada data",W255&amp;"; ","")&amp;IF(K255="Cukup",R255&amp;"; ","")&amp;IF(L255="Cukup",S255&amp;"; ","")&amp;IF(M255="Cukup",T255&amp;"; ","")&amp;IF(N255="Cukup",U255&amp;"; ","")&amp;IF(O255="Cukup",V255&amp;"; ","")&amp;IF(P255="Cukup",W255&amp;"; ",""))</f>
        <v/>
      </c>
      <c r="Y255" s="66" t="str">
        <f aca="false">IF($A255="","",IF(K255="Nyaman","prosesor, ","")&amp;IF(L255="Nyaman","grafis, ","")&amp;IF(M255="Nyaman","RAM, ","")&amp;IF(N255="Nyaman","penyimpanan, ","")&amp;IF(O255="Nyaman","layar, ","")&amp;IF(P255="Nyaman","refresh rate, ",""))</f>
        <v/>
      </c>
      <c r="Z255" s="66" t="str">
        <f aca="false">IF($A255="","",IF(Q255="Tidak dinilai","Belum ada kriteria yang dinilai untuk kebutuhan ini.",IF(Q255="Cocok","Semua kriteria yang dinilai sudah nyaman: "&amp;LEFT(Y255,LEN(Y255)-2)&amp;".",UPPER(LEFT(X255,1))&amp;MID(X255,2,LEN(X255)-3)&amp;"."&amp;IF(Y255="",""," Sudah nyaman: "&amp;LEFT(Y255,LEN(Y255)-2)&amp;"."))))</f>
        <v/>
      </c>
      <c r="AA255" s="66" t="str">
        <f aca="false">IF($A255="","",IF(Varian!$AR55="Windows 10","• "&amp;Aturan!$E$71&amp;CHAR(10),"")&amp;IF(Varian!$BB55="tidak","• "&amp;Aturan!$E$72&amp;CHAR(10),"")&amp;IF(OR(Varian!$AD55="belum terverifikasi",Varian!$AD55="tidak diketahui"),"• "&amp;Aturan!$E$73&amp;CHAR(10),"")&amp;IF(Varian!$AH55="1366x768","• "&amp;Aturan!$E$74&amp;CHAR(10),"")&amp;IF(Varian!$AG55="TN","• "&amp;Aturan!$E$75&amp;CHAR(10),"")&amp;IF(AND(Varian!$Q55="disolder",ISNUMBER(Varian!$M55),Varian!$M55&lt;=8),"• "&amp;Aturan!$E$76&amp;CHAR(10),""))</f>
        <v/>
      </c>
      <c r="AB255" s="66" t="str">
        <f aca="false">IF($A255="","",IF(AA255="","",LEFT(AA255,LEN(AA255)-1)))</f>
        <v/>
      </c>
      <c r="AC255" s="67" t="str">
        <f aca="false">IF($A255="","",IF(AA255="",0,LEN(AA255)-LEN(SUBSTITUTE(AA255,CHAR(10),""))))</f>
        <v/>
      </c>
    </row>
    <row r="256" customFormat="false" ht="15" hidden="false" customHeight="true" outlineLevel="0" collapsed="false">
      <c r="A256" s="33" t="str">
        <f aca="false">IF(Varian!$A55="","",Varian!$A55)</f>
        <v/>
      </c>
      <c r="B256" s="33" t="str">
        <f aca="false">IF($A256="","",Aturan!$A$22)</f>
        <v/>
      </c>
      <c r="C256" s="69" t="str">
        <f aca="false">IF($A256="","",IFERROR(IF(ISNUMBER(INDEX(CPU!$J$4:$J$64,MATCH(Varian!$J55,CPU!$A$4:$A$64,0))),INDEX(CPU!$J$4:$J$64,MATCH(Varian!$J55,CPU!$A$4:$A$64,0)),""),""))</f>
        <v/>
      </c>
      <c r="D256" s="69" t="str">
        <f aca="false">IF($A256="","",IFERROR(IF(ISNUMBER(INDEX(GPU!$G$4:$G$64,MATCH(Varian!$K55,GPU!$A$4:$A$64,0))),INDEX(GPU!$G$4:$G$64,MATCH(Varian!$K55,GPU!$A$4:$A$64,0)),""),""))</f>
        <v/>
      </c>
      <c r="E256" s="69" t="str">
        <f aca="false">IF($A256="","",IF(ISNUMBER(Varian!$M55),Varian!$M55,""))</f>
        <v/>
      </c>
      <c r="F256" s="69" t="str">
        <f aca="false">IF($A256="","",IF(ISNUMBER(Varian!$V55),Varian!$V55,""))</f>
        <v/>
      </c>
      <c r="G256" s="69" t="str">
        <f aca="false">IF($A256="","",IFERROR(INDEX(Aturan!$B$63:$B$66,MATCH(Varian!$AG55,Aturan!$A$63:$A$66,0)),""))</f>
        <v/>
      </c>
      <c r="H256" s="69" t="str">
        <f aca="false">IF($A256="","",IF(ISNUMBER(Varian!$AI55),Varian!$AI55,""))</f>
        <v/>
      </c>
      <c r="I256" s="33" t="str">
        <f aca="false">IF($A256="","",IF(Varian!$Q55="disolder","menempel di papan utama, tidak bisa ditambah",IF(OR(Varian!$Q55="slot",Varian!$Q55="setengah_disolder"),IF(Varian!$Q55="setengah_disolder","sebagian menempel, ","")&amp;IF(ISNUMBER(Varian!$U55),IF(AND(ISNUMBER(Varian!$M55),Varian!$U55&gt;Varian!$M55),"bisa dinaikkan lewat slot sampai "&amp;Varian!$U55&amp;" GB","sudah di batas maksimal "&amp;Varian!$U55&amp;" GB"),"ada slot, batas maksimalnya belum diketahui"),"belum diketahui apakah bisa ditambah")))</f>
        <v/>
      </c>
      <c r="J256" s="33" t="str">
        <f aca="false">IF($A256="","",IF(Varian!$Z55="ya","bisa diganti dengan yang lebih besar",IF(Varian!$Z55="tidak","menempel, tidak bisa diganti","belum diketahui apakah bisa diganti")))</f>
        <v/>
      </c>
      <c r="K256" s="70" t="str">
        <f aca="false">IF($A256="","",IF(AND(Aturan!$C$36="",Aturan!$D$36=""),"Tidak dinilai",IF(C256="","Belum ada data",IF(C256&lt;IF(Aturan!$C$36="",0,Aturan!$C$36),"Kurang",IF(C256&gt;=IF(Aturan!$D$36="",Aturan!$C$36,Aturan!$D$36),"Nyaman","Cukup")))))</f>
        <v/>
      </c>
      <c r="L256" s="70" t="str">
        <f aca="false">IF($A256="","",IF(AND(Aturan!$C$37="",Aturan!$D$37=""),"Tidak dinilai",IF(D256="","Belum ada data",IF(D256&lt;IF(Aturan!$C$37="",0,Aturan!$C$37),"Kurang",IF(D256&gt;=IF(Aturan!$D$37="",Aturan!$C$37,Aturan!$D$37),"Nyaman","Cukup")))))</f>
        <v/>
      </c>
      <c r="M256" s="70" t="str">
        <f aca="false">IF($A256="","",IF(AND(Aturan!$C$38="",Aturan!$D$38=""),"Tidak dinilai",IF(E256="","Belum ada data",IF(E256&lt;IF(Aturan!$C$38="",0,Aturan!$C$38),"Kurang",IF(E256&gt;=IF(Aturan!$D$38="",Aturan!$C$38,Aturan!$D$38),"Nyaman","Cukup")))))</f>
        <v/>
      </c>
      <c r="N256" s="70" t="str">
        <f aca="false">IF($A256="","",IF(AND(Aturan!$C$39="",Aturan!$D$39=""),"Tidak dinilai",IF(F256="","Belum ada data",IF(F256&lt;IF(Aturan!$C$39="",0,Aturan!$C$39),"Kurang",IF(F256&gt;=IF(Aturan!$D$39="",Aturan!$C$39,Aturan!$D$39),"Nyaman","Cukup")))))</f>
        <v/>
      </c>
      <c r="O256" s="70" t="str">
        <f aca="false">IF($A256="","",IF(AND(Aturan!$C$40="",Aturan!$D$40=""),"Tidak dinilai",IF(G256="","Belum ada data",IF(G256&lt;IF(Aturan!$C$40="",0,Aturan!$C$40),"Kurang",IF(G256&gt;=IF(Aturan!$D$40="",Aturan!$C$40,Aturan!$D$40),"Nyaman","Cukup")))))</f>
        <v/>
      </c>
      <c r="P256" s="70" t="str">
        <f aca="false">IF($A256="","",IF(AND(Aturan!$C$41="",Aturan!$D$41=""),"Tidak dinilai",IF(H256="","Belum ada data",IF(H256&lt;IF(Aturan!$C$41="",0,Aturan!$C$41),"Kurang",IF(H256&gt;=IF(Aturan!$D$41="",Aturan!$C$41,Aturan!$D$41),"Nyaman","Cukup")))))</f>
        <v/>
      </c>
      <c r="Q256" s="70" t="str">
        <f aca="false">IF($A256="","",IF(COUNTIF(K256:P256,"Tidak dinilai")=6,"Tidak dinilai",IF(COUNTIF(K256:P256,"Kurang")&gt;0,"Kurang cocok",IF(COUNTIF(K256:P256,"Belum ada data")&gt;0,"Data belum lengkap",IF(COUNTIF(K256:P256,"Cukup")&gt;0,"Bisa, dengan catatan","Cocok")))))</f>
        <v/>
      </c>
      <c r="R256" s="33" t="str">
        <f aca="false">IF($A256="","",IF(K256="Kurang","prosesor tingkat "&amp;C256&amp;" dari 5, di bawah batas minimal (tingkat "&amp;Aturan!$C$36&amp;")",IF(K256="Cukup","prosesor tingkat "&amp;C256&amp;" dari 5 cukup, nyamannya mulai tingkat "&amp;Aturan!$D$36,IF(K256="Belum ada data","tingkat prosesor belum diisi",""))))</f>
        <v/>
      </c>
      <c r="S256" s="33" t="str">
        <f aca="false">IF($A256="","",IF(L256="Kurang","grafis tingkat "&amp;D256&amp;" dari 5, di bawah batas minimal (tingkat "&amp;Aturan!$C$37&amp;")",IF(L256="Cukup","grafis tingkat "&amp;D256&amp;" dari 5 cukup, nyamannya mulai tingkat "&amp;Aturan!$D$37,IF(L256="Belum ada data","tingkat grafis belum diisi",""))))</f>
        <v/>
      </c>
      <c r="T256" s="33" t="str">
        <f aca="false">IF($A256="","",IF(M256="Kurang","RAM "&amp;E256&amp;" GB, di bawah batas minimal "&amp;Aturan!$C$38&amp;" GB ("&amp;I256&amp;")",IF(M256="Cukup","RAM "&amp;E256&amp;" GB cukup, nyamannya "&amp;Aturan!$D$38&amp;" GB atau lebih ("&amp;I256&amp;")",IF(M256="Belum ada data","ukuran RAM belum diisi",""))))</f>
        <v/>
      </c>
      <c r="U256" s="33" t="str">
        <f aca="false">IF($A256="","",IF(N256="Kurang","penyimpanan "&amp;F256&amp;" GB, di bawah batas minimal "&amp;Aturan!$C$39&amp;" GB ("&amp;J256&amp;")",IF(N256="Cukup","penyimpanan "&amp;F256&amp;" GB cukup, nyamannya "&amp;Aturan!$D$39&amp;" GB atau lebih ("&amp;J256&amp;")",IF(N256="Belum ada data","ukuran penyimpanan belum diisi",""))))</f>
        <v/>
      </c>
      <c r="V256" s="33" t="str">
        <f aca="false">IF($A256="","",IF(O256="Kurang","layar "&amp;Varian!$AG55&amp;", di bawah batas minimal ("&amp;IFERROR(INDEX(Aturan!$A$63:$A$66,MATCH(Aturan!$C$40,Aturan!$B$63:$B$66,0)),"peringkat "&amp;Aturan!$C$40)&amp;")",IF(O256="Cukup","layar "&amp;Varian!$AG55&amp;" cukup, nyamannya "&amp;IFERROR(INDEX(Aturan!$A$63:$A$66,MATCH(Aturan!$D$40,Aturan!$B$63:$B$66,0)),"peringkat "&amp;Aturan!$D$40),IF(O256="Belum ada data","jenis layar belum diketahui",""))))</f>
        <v/>
      </c>
      <c r="W256" s="33" t="str">
        <f aca="false">IF($A256="","",IF(P256="Kurang","layar "&amp;H256&amp;" Hz, di bawah batas minimal "&amp;Aturan!$C$41&amp;" Hz",IF(P256="Cukup","layar "&amp;H256&amp;" Hz cukup, nyamannya "&amp;Aturan!$D$41&amp;" Hz atau lebih",IF(P256="Belum ada data","refresh rate belum diketahui",""))))</f>
        <v/>
      </c>
      <c r="X256" s="33" t="str">
        <f aca="false">IF($A256="","",IF(K256="Kurang",R256&amp;"; ","")&amp;IF(L256="Kurang",S256&amp;"; ","")&amp;IF(M256="Kurang",T256&amp;"; ","")&amp;IF(N256="Kurang",U256&amp;"; ","")&amp;IF(O256="Kurang",V256&amp;"; ","")&amp;IF(P256="Kurang",W256&amp;"; ","")&amp;IF(K256="Belum ada data",R256&amp;"; ","")&amp;IF(L256="Belum ada data",S256&amp;"; ","")&amp;IF(M256="Belum ada data",T256&amp;"; ","")&amp;IF(N256="Belum ada data",U256&amp;"; ","")&amp;IF(O256="Belum ada data",V256&amp;"; ","")&amp;IF(P256="Belum ada data",W256&amp;"; ","")&amp;IF(K256="Cukup",R256&amp;"; ","")&amp;IF(L256="Cukup",S256&amp;"; ","")&amp;IF(M256="Cukup",T256&amp;"; ","")&amp;IF(N256="Cukup",U256&amp;"; ","")&amp;IF(O256="Cukup",V256&amp;"; ","")&amp;IF(P256="Cukup",W256&amp;"; ",""))</f>
        <v/>
      </c>
      <c r="Y256" s="33" t="str">
        <f aca="false">IF($A256="","",IF(K256="Nyaman","prosesor, ","")&amp;IF(L256="Nyaman","grafis, ","")&amp;IF(M256="Nyaman","RAM, ","")&amp;IF(N256="Nyaman","penyimpanan, ","")&amp;IF(O256="Nyaman","layar, ","")&amp;IF(P256="Nyaman","refresh rate, ",""))</f>
        <v/>
      </c>
      <c r="Z256" s="33" t="str">
        <f aca="false">IF($A256="","",IF(Q256="Tidak dinilai","Belum ada kriteria yang dinilai untuk kebutuhan ini.",IF(Q256="Cocok","Semua kriteria yang dinilai sudah nyaman: "&amp;LEFT(Y256,LEN(Y256)-2)&amp;".",UPPER(LEFT(X256,1))&amp;MID(X256,2,LEN(X256)-3)&amp;"."&amp;IF(Y256="",""," Sudah nyaman: "&amp;LEFT(Y256,LEN(Y256)-2)&amp;"."))))</f>
        <v/>
      </c>
      <c r="AA256" s="33"/>
      <c r="AB256" s="33"/>
      <c r="AC256" s="69"/>
    </row>
    <row r="257" customFormat="false" ht="15" hidden="false" customHeight="true" outlineLevel="0" collapsed="false">
      <c r="A257" s="33" t="str">
        <f aca="false">IF(Varian!$A55="","",Varian!$A55)</f>
        <v/>
      </c>
      <c r="B257" s="33" t="str">
        <f aca="false">IF($A257="","",Aturan!$A$23)</f>
        <v/>
      </c>
      <c r="C257" s="69" t="str">
        <f aca="false">IF($A257="","",IFERROR(IF(ISNUMBER(INDEX(CPU!$J$4:$J$64,MATCH(Varian!$J55,CPU!$A$4:$A$64,0))),INDEX(CPU!$J$4:$J$64,MATCH(Varian!$J55,CPU!$A$4:$A$64,0)),""),""))</f>
        <v/>
      </c>
      <c r="D257" s="69" t="str">
        <f aca="false">IF($A257="","",IFERROR(IF(ISNUMBER(INDEX(GPU!$G$4:$G$64,MATCH(Varian!$K55,GPU!$A$4:$A$64,0))),INDEX(GPU!$G$4:$G$64,MATCH(Varian!$K55,GPU!$A$4:$A$64,0)),""),""))</f>
        <v/>
      </c>
      <c r="E257" s="69" t="str">
        <f aca="false">IF($A257="","",IF(ISNUMBER(Varian!$M55),Varian!$M55,""))</f>
        <v/>
      </c>
      <c r="F257" s="69" t="str">
        <f aca="false">IF($A257="","",IF(ISNUMBER(Varian!$V55),Varian!$V55,""))</f>
        <v/>
      </c>
      <c r="G257" s="69" t="str">
        <f aca="false">IF($A257="","",IFERROR(INDEX(Aturan!$B$63:$B$66,MATCH(Varian!$AG55,Aturan!$A$63:$A$66,0)),""))</f>
        <v/>
      </c>
      <c r="H257" s="69" t="str">
        <f aca="false">IF($A257="","",IF(ISNUMBER(Varian!$AI55),Varian!$AI55,""))</f>
        <v/>
      </c>
      <c r="I257" s="33" t="str">
        <f aca="false">IF($A257="","",IF(Varian!$Q55="disolder","menempel di papan utama, tidak bisa ditambah",IF(OR(Varian!$Q55="slot",Varian!$Q55="setengah_disolder"),IF(Varian!$Q55="setengah_disolder","sebagian menempel, ","")&amp;IF(ISNUMBER(Varian!$U55),IF(AND(ISNUMBER(Varian!$M55),Varian!$U55&gt;Varian!$M55),"bisa dinaikkan lewat slot sampai "&amp;Varian!$U55&amp;" GB","sudah di batas maksimal "&amp;Varian!$U55&amp;" GB"),"ada slot, batas maksimalnya belum diketahui"),"belum diketahui apakah bisa ditambah")))</f>
        <v/>
      </c>
      <c r="J257" s="33" t="str">
        <f aca="false">IF($A257="","",IF(Varian!$Z55="ya","bisa diganti dengan yang lebih besar",IF(Varian!$Z55="tidak","menempel, tidak bisa diganti","belum diketahui apakah bisa diganti")))</f>
        <v/>
      </c>
      <c r="K257" s="70" t="str">
        <f aca="false">IF($A257="","",IF(AND(Aturan!$C$42="",Aturan!$D$42=""),"Tidak dinilai",IF(C257="","Belum ada data",IF(C257&lt;IF(Aturan!$C$42="",0,Aturan!$C$42),"Kurang",IF(C257&gt;=IF(Aturan!$D$42="",Aturan!$C$42,Aturan!$D$42),"Nyaman","Cukup")))))</f>
        <v/>
      </c>
      <c r="L257" s="70" t="str">
        <f aca="false">IF($A257="","",IF(AND(Aturan!$C$43="",Aturan!$D$43=""),"Tidak dinilai",IF(D257="","Belum ada data",IF(D257&lt;IF(Aturan!$C$43="",0,Aturan!$C$43),"Kurang",IF(D257&gt;=IF(Aturan!$D$43="",Aturan!$C$43,Aturan!$D$43),"Nyaman","Cukup")))))</f>
        <v/>
      </c>
      <c r="M257" s="70" t="str">
        <f aca="false">IF($A257="","",IF(AND(Aturan!$C$44="",Aturan!$D$44=""),"Tidak dinilai",IF(E257="","Belum ada data",IF(E257&lt;IF(Aturan!$C$44="",0,Aturan!$C$44),"Kurang",IF(E257&gt;=IF(Aturan!$D$44="",Aturan!$C$44,Aturan!$D$44),"Nyaman","Cukup")))))</f>
        <v/>
      </c>
      <c r="N257" s="70" t="str">
        <f aca="false">IF($A257="","",IF(AND(Aturan!$C$45="",Aturan!$D$45=""),"Tidak dinilai",IF(F257="","Belum ada data",IF(F257&lt;IF(Aturan!$C$45="",0,Aturan!$C$45),"Kurang",IF(F257&gt;=IF(Aturan!$D$45="",Aturan!$C$45,Aturan!$D$45),"Nyaman","Cukup")))))</f>
        <v/>
      </c>
      <c r="O257" s="70" t="str">
        <f aca="false">IF($A257="","",IF(AND(Aturan!$C$46="",Aturan!$D$46=""),"Tidak dinilai",IF(G257="","Belum ada data",IF(G257&lt;IF(Aturan!$C$46="",0,Aturan!$C$46),"Kurang",IF(G257&gt;=IF(Aturan!$D$46="",Aturan!$C$46,Aturan!$D$46),"Nyaman","Cukup")))))</f>
        <v/>
      </c>
      <c r="P257" s="70" t="str">
        <f aca="false">IF($A257="","",IF(AND(Aturan!$C$47="",Aturan!$D$47=""),"Tidak dinilai",IF(H257="","Belum ada data",IF(H257&lt;IF(Aturan!$C$47="",0,Aturan!$C$47),"Kurang",IF(H257&gt;=IF(Aturan!$D$47="",Aturan!$C$47,Aturan!$D$47),"Nyaman","Cukup")))))</f>
        <v/>
      </c>
      <c r="Q257" s="70" t="str">
        <f aca="false">IF($A257="","",IF(COUNTIF(K257:P257,"Tidak dinilai")=6,"Tidak dinilai",IF(COUNTIF(K257:P257,"Kurang")&gt;0,"Kurang cocok",IF(COUNTIF(K257:P257,"Belum ada data")&gt;0,"Data belum lengkap",IF(COUNTIF(K257:P257,"Cukup")&gt;0,"Bisa, dengan catatan","Cocok")))))</f>
        <v/>
      </c>
      <c r="R257" s="33" t="str">
        <f aca="false">IF($A257="","",IF(K257="Kurang","prosesor tingkat "&amp;C257&amp;" dari 5, di bawah batas minimal (tingkat "&amp;Aturan!$C$42&amp;")",IF(K257="Cukup","prosesor tingkat "&amp;C257&amp;" dari 5 cukup, nyamannya mulai tingkat "&amp;Aturan!$D$42,IF(K257="Belum ada data","tingkat prosesor belum diisi",""))))</f>
        <v/>
      </c>
      <c r="S257" s="33" t="str">
        <f aca="false">IF($A257="","",IF(L257="Kurang","grafis tingkat "&amp;D257&amp;" dari 5, di bawah batas minimal (tingkat "&amp;Aturan!$C$43&amp;")",IF(L257="Cukup","grafis tingkat "&amp;D257&amp;" dari 5 cukup, nyamannya mulai tingkat "&amp;Aturan!$D$43,IF(L257="Belum ada data","tingkat grafis belum diisi",""))))</f>
        <v/>
      </c>
      <c r="T257" s="33" t="str">
        <f aca="false">IF($A257="","",IF(M257="Kurang","RAM "&amp;E257&amp;" GB, di bawah batas minimal "&amp;Aturan!$C$44&amp;" GB ("&amp;I257&amp;")",IF(M257="Cukup","RAM "&amp;E257&amp;" GB cukup, nyamannya "&amp;Aturan!$D$44&amp;" GB atau lebih ("&amp;I257&amp;")",IF(M257="Belum ada data","ukuran RAM belum diisi",""))))</f>
        <v/>
      </c>
      <c r="U257" s="33" t="str">
        <f aca="false">IF($A257="","",IF(N257="Kurang","penyimpanan "&amp;F257&amp;" GB, di bawah batas minimal "&amp;Aturan!$C$45&amp;" GB ("&amp;J257&amp;")",IF(N257="Cukup","penyimpanan "&amp;F257&amp;" GB cukup, nyamannya "&amp;Aturan!$D$45&amp;" GB atau lebih ("&amp;J257&amp;")",IF(N257="Belum ada data","ukuran penyimpanan belum diisi",""))))</f>
        <v/>
      </c>
      <c r="V257" s="33" t="str">
        <f aca="false">IF($A257="","",IF(O257="Kurang","layar "&amp;Varian!$AG55&amp;", di bawah batas minimal ("&amp;IFERROR(INDEX(Aturan!$A$63:$A$66,MATCH(Aturan!$C$46,Aturan!$B$63:$B$66,0)),"peringkat "&amp;Aturan!$C$46)&amp;")",IF(O257="Cukup","layar "&amp;Varian!$AG55&amp;" cukup, nyamannya "&amp;IFERROR(INDEX(Aturan!$A$63:$A$66,MATCH(Aturan!$D$46,Aturan!$B$63:$B$66,0)),"peringkat "&amp;Aturan!$D$46),IF(O257="Belum ada data","jenis layar belum diketahui",""))))</f>
        <v/>
      </c>
      <c r="W257" s="33" t="str">
        <f aca="false">IF($A257="","",IF(P257="Kurang","layar "&amp;H257&amp;" Hz, di bawah batas minimal "&amp;Aturan!$C$47&amp;" Hz",IF(P257="Cukup","layar "&amp;H257&amp;" Hz cukup, nyamannya "&amp;Aturan!$D$47&amp;" Hz atau lebih",IF(P257="Belum ada data","refresh rate belum diketahui",""))))</f>
        <v/>
      </c>
      <c r="X257" s="33" t="str">
        <f aca="false">IF($A257="","",IF(K257="Kurang",R257&amp;"; ","")&amp;IF(L257="Kurang",S257&amp;"; ","")&amp;IF(M257="Kurang",T257&amp;"; ","")&amp;IF(N257="Kurang",U257&amp;"; ","")&amp;IF(O257="Kurang",V257&amp;"; ","")&amp;IF(P257="Kurang",W257&amp;"; ","")&amp;IF(K257="Belum ada data",R257&amp;"; ","")&amp;IF(L257="Belum ada data",S257&amp;"; ","")&amp;IF(M257="Belum ada data",T257&amp;"; ","")&amp;IF(N257="Belum ada data",U257&amp;"; ","")&amp;IF(O257="Belum ada data",V257&amp;"; ","")&amp;IF(P257="Belum ada data",W257&amp;"; ","")&amp;IF(K257="Cukup",R257&amp;"; ","")&amp;IF(L257="Cukup",S257&amp;"; ","")&amp;IF(M257="Cukup",T257&amp;"; ","")&amp;IF(N257="Cukup",U257&amp;"; ","")&amp;IF(O257="Cukup",V257&amp;"; ","")&amp;IF(P257="Cukup",W257&amp;"; ",""))</f>
        <v/>
      </c>
      <c r="Y257" s="33" t="str">
        <f aca="false">IF($A257="","",IF(K257="Nyaman","prosesor, ","")&amp;IF(L257="Nyaman","grafis, ","")&amp;IF(M257="Nyaman","RAM, ","")&amp;IF(N257="Nyaman","penyimpanan, ","")&amp;IF(O257="Nyaman","layar, ","")&amp;IF(P257="Nyaman","refresh rate, ",""))</f>
        <v/>
      </c>
      <c r="Z257" s="33" t="str">
        <f aca="false">IF($A257="","",IF(Q257="Tidak dinilai","Belum ada kriteria yang dinilai untuk kebutuhan ini.",IF(Q257="Cocok","Semua kriteria yang dinilai sudah nyaman: "&amp;LEFT(Y257,LEN(Y257)-2)&amp;".",UPPER(LEFT(X257,1))&amp;MID(X257,2,LEN(X257)-3)&amp;"."&amp;IF(Y257="",""," Sudah nyaman: "&amp;LEFT(Y257,LEN(Y257)-2)&amp;"."))))</f>
        <v/>
      </c>
      <c r="AA257" s="33"/>
      <c r="AB257" s="33"/>
      <c r="AC257" s="69"/>
    </row>
    <row r="258" customFormat="false" ht="15" hidden="false" customHeight="true" outlineLevel="0" collapsed="false">
      <c r="A258" s="33" t="str">
        <f aca="false">IF(Varian!$A55="","",Varian!$A55)</f>
        <v/>
      </c>
      <c r="B258" s="33" t="str">
        <f aca="false">IF($A258="","",Aturan!$A$24)</f>
        <v/>
      </c>
      <c r="C258" s="69" t="str">
        <f aca="false">IF($A258="","",IFERROR(IF(ISNUMBER(INDEX(CPU!$J$4:$J$64,MATCH(Varian!$J55,CPU!$A$4:$A$64,0))),INDEX(CPU!$J$4:$J$64,MATCH(Varian!$J55,CPU!$A$4:$A$64,0)),""),""))</f>
        <v/>
      </c>
      <c r="D258" s="69" t="str">
        <f aca="false">IF($A258="","",IFERROR(IF(ISNUMBER(INDEX(GPU!$G$4:$G$64,MATCH(Varian!$K55,GPU!$A$4:$A$64,0))),INDEX(GPU!$G$4:$G$64,MATCH(Varian!$K55,GPU!$A$4:$A$64,0)),""),""))</f>
        <v/>
      </c>
      <c r="E258" s="69" t="str">
        <f aca="false">IF($A258="","",IF(ISNUMBER(Varian!$M55),Varian!$M55,""))</f>
        <v/>
      </c>
      <c r="F258" s="69" t="str">
        <f aca="false">IF($A258="","",IF(ISNUMBER(Varian!$V55),Varian!$V55,""))</f>
        <v/>
      </c>
      <c r="G258" s="69" t="str">
        <f aca="false">IF($A258="","",IFERROR(INDEX(Aturan!$B$63:$B$66,MATCH(Varian!$AG55,Aturan!$A$63:$A$66,0)),""))</f>
        <v/>
      </c>
      <c r="H258" s="69" t="str">
        <f aca="false">IF($A258="","",IF(ISNUMBER(Varian!$AI55),Varian!$AI55,""))</f>
        <v/>
      </c>
      <c r="I258" s="33" t="str">
        <f aca="false">IF($A258="","",IF(Varian!$Q55="disolder","menempel di papan utama, tidak bisa ditambah",IF(OR(Varian!$Q55="slot",Varian!$Q55="setengah_disolder"),IF(Varian!$Q55="setengah_disolder","sebagian menempel, ","")&amp;IF(ISNUMBER(Varian!$U55),IF(AND(ISNUMBER(Varian!$M55),Varian!$U55&gt;Varian!$M55),"bisa dinaikkan lewat slot sampai "&amp;Varian!$U55&amp;" GB","sudah di batas maksimal "&amp;Varian!$U55&amp;" GB"),"ada slot, batas maksimalnya belum diketahui"),"belum diketahui apakah bisa ditambah")))</f>
        <v/>
      </c>
      <c r="J258" s="33" t="str">
        <f aca="false">IF($A258="","",IF(Varian!$Z55="ya","bisa diganti dengan yang lebih besar",IF(Varian!$Z55="tidak","menempel, tidak bisa diganti","belum diketahui apakah bisa diganti")))</f>
        <v/>
      </c>
      <c r="K258" s="70" t="str">
        <f aca="false">IF($A258="","",IF(AND(Aturan!$C$48="",Aturan!$D$48=""),"Tidak dinilai",IF(C258="","Belum ada data",IF(C258&lt;IF(Aturan!$C$48="",0,Aturan!$C$48),"Kurang",IF(C258&gt;=IF(Aturan!$D$48="",Aturan!$C$48,Aturan!$D$48),"Nyaman","Cukup")))))</f>
        <v/>
      </c>
      <c r="L258" s="70" t="str">
        <f aca="false">IF($A258="","",IF(AND(Aturan!$C$49="",Aturan!$D$49=""),"Tidak dinilai",IF(D258="","Belum ada data",IF(D258&lt;IF(Aturan!$C$49="",0,Aturan!$C$49),"Kurang",IF(D258&gt;=IF(Aturan!$D$49="",Aturan!$C$49,Aturan!$D$49),"Nyaman","Cukup")))))</f>
        <v/>
      </c>
      <c r="M258" s="70" t="str">
        <f aca="false">IF($A258="","",IF(AND(Aturan!$C$50="",Aturan!$D$50=""),"Tidak dinilai",IF(E258="","Belum ada data",IF(E258&lt;IF(Aturan!$C$50="",0,Aturan!$C$50),"Kurang",IF(E258&gt;=IF(Aturan!$D$50="",Aturan!$C$50,Aturan!$D$50),"Nyaman","Cukup")))))</f>
        <v/>
      </c>
      <c r="N258" s="70" t="str">
        <f aca="false">IF($A258="","",IF(AND(Aturan!$C$51="",Aturan!$D$51=""),"Tidak dinilai",IF(F258="","Belum ada data",IF(F258&lt;IF(Aturan!$C$51="",0,Aturan!$C$51),"Kurang",IF(F258&gt;=IF(Aturan!$D$51="",Aturan!$C$51,Aturan!$D$51),"Nyaman","Cukup")))))</f>
        <v/>
      </c>
      <c r="O258" s="70" t="str">
        <f aca="false">IF($A258="","",IF(AND(Aturan!$C$52="",Aturan!$D$52=""),"Tidak dinilai",IF(G258="","Belum ada data",IF(G258&lt;IF(Aturan!$C$52="",0,Aturan!$C$52),"Kurang",IF(G258&gt;=IF(Aturan!$D$52="",Aturan!$C$52,Aturan!$D$52),"Nyaman","Cukup")))))</f>
        <v/>
      </c>
      <c r="P258" s="70" t="str">
        <f aca="false">IF($A258="","",IF(AND(Aturan!$C$53="",Aturan!$D$53=""),"Tidak dinilai",IF(H258="","Belum ada data",IF(H258&lt;IF(Aturan!$C$53="",0,Aturan!$C$53),"Kurang",IF(H258&gt;=IF(Aturan!$D$53="",Aturan!$C$53,Aturan!$D$53),"Nyaman","Cukup")))))</f>
        <v/>
      </c>
      <c r="Q258" s="70" t="str">
        <f aca="false">IF($A258="","",IF(COUNTIF(K258:P258,"Tidak dinilai")=6,"Tidak dinilai",IF(COUNTIF(K258:P258,"Kurang")&gt;0,"Kurang cocok",IF(COUNTIF(K258:P258,"Belum ada data")&gt;0,"Data belum lengkap",IF(COUNTIF(K258:P258,"Cukup")&gt;0,"Bisa, dengan catatan","Cocok")))))</f>
        <v/>
      </c>
      <c r="R258" s="33" t="str">
        <f aca="false">IF($A258="","",IF(K258="Kurang","prosesor tingkat "&amp;C258&amp;" dari 5, di bawah batas minimal (tingkat "&amp;Aturan!$C$48&amp;")",IF(K258="Cukup","prosesor tingkat "&amp;C258&amp;" dari 5 cukup, nyamannya mulai tingkat "&amp;Aturan!$D$48,IF(K258="Belum ada data","tingkat prosesor belum diisi",""))))</f>
        <v/>
      </c>
      <c r="S258" s="33" t="str">
        <f aca="false">IF($A258="","",IF(L258="Kurang","grafis tingkat "&amp;D258&amp;" dari 5, di bawah batas minimal (tingkat "&amp;Aturan!$C$49&amp;")",IF(L258="Cukup","grafis tingkat "&amp;D258&amp;" dari 5 cukup, nyamannya mulai tingkat "&amp;Aturan!$D$49,IF(L258="Belum ada data","tingkat grafis belum diisi",""))))</f>
        <v/>
      </c>
      <c r="T258" s="33" t="str">
        <f aca="false">IF($A258="","",IF(M258="Kurang","RAM "&amp;E258&amp;" GB, di bawah batas minimal "&amp;Aturan!$C$50&amp;" GB ("&amp;I258&amp;")",IF(M258="Cukup","RAM "&amp;E258&amp;" GB cukup, nyamannya "&amp;Aturan!$D$50&amp;" GB atau lebih ("&amp;I258&amp;")",IF(M258="Belum ada data","ukuran RAM belum diisi",""))))</f>
        <v/>
      </c>
      <c r="U258" s="33" t="str">
        <f aca="false">IF($A258="","",IF(N258="Kurang","penyimpanan "&amp;F258&amp;" GB, di bawah batas minimal "&amp;Aturan!$C$51&amp;" GB ("&amp;J258&amp;")",IF(N258="Cukup","penyimpanan "&amp;F258&amp;" GB cukup, nyamannya "&amp;Aturan!$D$51&amp;" GB atau lebih ("&amp;J258&amp;")",IF(N258="Belum ada data","ukuran penyimpanan belum diisi",""))))</f>
        <v/>
      </c>
      <c r="V258" s="33" t="str">
        <f aca="false">IF($A258="","",IF(O258="Kurang","layar "&amp;Varian!$AG55&amp;", di bawah batas minimal ("&amp;IFERROR(INDEX(Aturan!$A$63:$A$66,MATCH(Aturan!$C$52,Aturan!$B$63:$B$66,0)),"peringkat "&amp;Aturan!$C$52)&amp;")",IF(O258="Cukup","layar "&amp;Varian!$AG55&amp;" cukup, nyamannya "&amp;IFERROR(INDEX(Aturan!$A$63:$A$66,MATCH(Aturan!$D$52,Aturan!$B$63:$B$66,0)),"peringkat "&amp;Aturan!$D$52),IF(O258="Belum ada data","jenis layar belum diketahui",""))))</f>
        <v/>
      </c>
      <c r="W258" s="33" t="str">
        <f aca="false">IF($A258="","",IF(P258="Kurang","layar "&amp;H258&amp;" Hz, di bawah batas minimal "&amp;Aturan!$C$53&amp;" Hz",IF(P258="Cukup","layar "&amp;H258&amp;" Hz cukup, nyamannya "&amp;Aturan!$D$53&amp;" Hz atau lebih",IF(P258="Belum ada data","refresh rate belum diketahui",""))))</f>
        <v/>
      </c>
      <c r="X258" s="33" t="str">
        <f aca="false">IF($A258="","",IF(K258="Kurang",R258&amp;"; ","")&amp;IF(L258="Kurang",S258&amp;"; ","")&amp;IF(M258="Kurang",T258&amp;"; ","")&amp;IF(N258="Kurang",U258&amp;"; ","")&amp;IF(O258="Kurang",V258&amp;"; ","")&amp;IF(P258="Kurang",W258&amp;"; ","")&amp;IF(K258="Belum ada data",R258&amp;"; ","")&amp;IF(L258="Belum ada data",S258&amp;"; ","")&amp;IF(M258="Belum ada data",T258&amp;"; ","")&amp;IF(N258="Belum ada data",U258&amp;"; ","")&amp;IF(O258="Belum ada data",V258&amp;"; ","")&amp;IF(P258="Belum ada data",W258&amp;"; ","")&amp;IF(K258="Cukup",R258&amp;"; ","")&amp;IF(L258="Cukup",S258&amp;"; ","")&amp;IF(M258="Cukup",T258&amp;"; ","")&amp;IF(N258="Cukup",U258&amp;"; ","")&amp;IF(O258="Cukup",V258&amp;"; ","")&amp;IF(P258="Cukup",W258&amp;"; ",""))</f>
        <v/>
      </c>
      <c r="Y258" s="33" t="str">
        <f aca="false">IF($A258="","",IF(K258="Nyaman","prosesor, ","")&amp;IF(L258="Nyaman","grafis, ","")&amp;IF(M258="Nyaman","RAM, ","")&amp;IF(N258="Nyaman","penyimpanan, ","")&amp;IF(O258="Nyaman","layar, ","")&amp;IF(P258="Nyaman","refresh rate, ",""))</f>
        <v/>
      </c>
      <c r="Z258" s="33" t="str">
        <f aca="false">IF($A258="","",IF(Q258="Tidak dinilai","Belum ada kriteria yang dinilai untuk kebutuhan ini.",IF(Q258="Cocok","Semua kriteria yang dinilai sudah nyaman: "&amp;LEFT(Y258,LEN(Y258)-2)&amp;".",UPPER(LEFT(X258,1))&amp;MID(X258,2,LEN(X258)-3)&amp;"."&amp;IF(Y258="",""," Sudah nyaman: "&amp;LEFT(Y258,LEN(Y258)-2)&amp;"."))))</f>
        <v/>
      </c>
      <c r="AA258" s="33"/>
      <c r="AB258" s="33"/>
      <c r="AC258" s="69"/>
    </row>
    <row r="259" customFormat="false" ht="15" hidden="false" customHeight="true" outlineLevel="0" collapsed="false">
      <c r="A259" s="33" t="str">
        <f aca="false">IF(Varian!$A55="","",Varian!$A55)</f>
        <v/>
      </c>
      <c r="B259" s="33" t="str">
        <f aca="false">IF($A259="","",Aturan!$A$25)</f>
        <v/>
      </c>
      <c r="C259" s="69" t="str">
        <f aca="false">IF($A259="","",IFERROR(IF(ISNUMBER(INDEX(CPU!$J$4:$J$64,MATCH(Varian!$J55,CPU!$A$4:$A$64,0))),INDEX(CPU!$J$4:$J$64,MATCH(Varian!$J55,CPU!$A$4:$A$64,0)),""),""))</f>
        <v/>
      </c>
      <c r="D259" s="69" t="str">
        <f aca="false">IF($A259="","",IFERROR(IF(ISNUMBER(INDEX(GPU!$G$4:$G$64,MATCH(Varian!$K55,GPU!$A$4:$A$64,0))),INDEX(GPU!$G$4:$G$64,MATCH(Varian!$K55,GPU!$A$4:$A$64,0)),""),""))</f>
        <v/>
      </c>
      <c r="E259" s="69" t="str">
        <f aca="false">IF($A259="","",IF(ISNUMBER(Varian!$M55),Varian!$M55,""))</f>
        <v/>
      </c>
      <c r="F259" s="69" t="str">
        <f aca="false">IF($A259="","",IF(ISNUMBER(Varian!$V55),Varian!$V55,""))</f>
        <v/>
      </c>
      <c r="G259" s="69" t="str">
        <f aca="false">IF($A259="","",IFERROR(INDEX(Aturan!$B$63:$B$66,MATCH(Varian!$AG55,Aturan!$A$63:$A$66,0)),""))</f>
        <v/>
      </c>
      <c r="H259" s="69" t="str">
        <f aca="false">IF($A259="","",IF(ISNUMBER(Varian!$AI55),Varian!$AI55,""))</f>
        <v/>
      </c>
      <c r="I259" s="33" t="str">
        <f aca="false">IF($A259="","",IF(Varian!$Q55="disolder","menempel di papan utama, tidak bisa ditambah",IF(OR(Varian!$Q55="slot",Varian!$Q55="setengah_disolder"),IF(Varian!$Q55="setengah_disolder","sebagian menempel, ","")&amp;IF(ISNUMBER(Varian!$U55),IF(AND(ISNUMBER(Varian!$M55),Varian!$U55&gt;Varian!$M55),"bisa dinaikkan lewat slot sampai "&amp;Varian!$U55&amp;" GB","sudah di batas maksimal "&amp;Varian!$U55&amp;" GB"),"ada slot, batas maksimalnya belum diketahui"),"belum diketahui apakah bisa ditambah")))</f>
        <v/>
      </c>
      <c r="J259" s="33" t="str">
        <f aca="false">IF($A259="","",IF(Varian!$Z55="ya","bisa diganti dengan yang lebih besar",IF(Varian!$Z55="tidak","menempel, tidak bisa diganti","belum diketahui apakah bisa diganti")))</f>
        <v/>
      </c>
      <c r="K259" s="70" t="str">
        <f aca="false">IF($A259="","",IF(AND(Aturan!$C$54="",Aturan!$D$54=""),"Tidak dinilai",IF(C259="","Belum ada data",IF(C259&lt;IF(Aturan!$C$54="",0,Aturan!$C$54),"Kurang",IF(C259&gt;=IF(Aturan!$D$54="",Aturan!$C$54,Aturan!$D$54),"Nyaman","Cukup")))))</f>
        <v/>
      </c>
      <c r="L259" s="70" t="str">
        <f aca="false">IF($A259="","",IF(AND(Aturan!$C$55="",Aturan!$D$55=""),"Tidak dinilai",IF(D259="","Belum ada data",IF(D259&lt;IF(Aturan!$C$55="",0,Aturan!$C$55),"Kurang",IF(D259&gt;=IF(Aturan!$D$55="",Aturan!$C$55,Aturan!$D$55),"Nyaman","Cukup")))))</f>
        <v/>
      </c>
      <c r="M259" s="70" t="str">
        <f aca="false">IF($A259="","",IF(AND(Aturan!$C$56="",Aturan!$D$56=""),"Tidak dinilai",IF(E259="","Belum ada data",IF(E259&lt;IF(Aturan!$C$56="",0,Aturan!$C$56),"Kurang",IF(E259&gt;=IF(Aturan!$D$56="",Aturan!$C$56,Aturan!$D$56),"Nyaman","Cukup")))))</f>
        <v/>
      </c>
      <c r="N259" s="70" t="str">
        <f aca="false">IF($A259="","",IF(AND(Aturan!$C$57="",Aturan!$D$57=""),"Tidak dinilai",IF(F259="","Belum ada data",IF(F259&lt;IF(Aturan!$C$57="",0,Aturan!$C$57),"Kurang",IF(F259&gt;=IF(Aturan!$D$57="",Aturan!$C$57,Aturan!$D$57),"Nyaman","Cukup")))))</f>
        <v/>
      </c>
      <c r="O259" s="70" t="str">
        <f aca="false">IF($A259="","",IF(AND(Aturan!$C$58="",Aturan!$D$58=""),"Tidak dinilai",IF(G259="","Belum ada data",IF(G259&lt;IF(Aturan!$C$58="",0,Aturan!$C$58),"Kurang",IF(G259&gt;=IF(Aturan!$D$58="",Aturan!$C$58,Aturan!$D$58),"Nyaman","Cukup")))))</f>
        <v/>
      </c>
      <c r="P259" s="70" t="str">
        <f aca="false">IF($A259="","",IF(AND(Aturan!$C$59="",Aturan!$D$59=""),"Tidak dinilai",IF(H259="","Belum ada data",IF(H259&lt;IF(Aturan!$C$59="",0,Aturan!$C$59),"Kurang",IF(H259&gt;=IF(Aturan!$D$59="",Aturan!$C$59,Aturan!$D$59),"Nyaman","Cukup")))))</f>
        <v/>
      </c>
      <c r="Q259" s="70" t="str">
        <f aca="false">IF($A259="","",IF(COUNTIF(K259:P259,"Tidak dinilai")=6,"Tidak dinilai",IF(COUNTIF(K259:P259,"Kurang")&gt;0,"Kurang cocok",IF(COUNTIF(K259:P259,"Belum ada data")&gt;0,"Data belum lengkap",IF(COUNTIF(K259:P259,"Cukup")&gt;0,"Bisa, dengan catatan","Cocok")))))</f>
        <v/>
      </c>
      <c r="R259" s="33" t="str">
        <f aca="false">IF($A259="","",IF(K259="Kurang","prosesor tingkat "&amp;C259&amp;" dari 5, di bawah batas minimal (tingkat "&amp;Aturan!$C$54&amp;")",IF(K259="Cukup","prosesor tingkat "&amp;C259&amp;" dari 5 cukup, nyamannya mulai tingkat "&amp;Aturan!$D$54,IF(K259="Belum ada data","tingkat prosesor belum diisi",""))))</f>
        <v/>
      </c>
      <c r="S259" s="33" t="str">
        <f aca="false">IF($A259="","",IF(L259="Kurang","grafis tingkat "&amp;D259&amp;" dari 5, di bawah batas minimal (tingkat "&amp;Aturan!$C$55&amp;")",IF(L259="Cukup","grafis tingkat "&amp;D259&amp;" dari 5 cukup, nyamannya mulai tingkat "&amp;Aturan!$D$55,IF(L259="Belum ada data","tingkat grafis belum diisi",""))))</f>
        <v/>
      </c>
      <c r="T259" s="33" t="str">
        <f aca="false">IF($A259="","",IF(M259="Kurang","RAM "&amp;E259&amp;" GB, di bawah batas minimal "&amp;Aturan!$C$56&amp;" GB ("&amp;I259&amp;")",IF(M259="Cukup","RAM "&amp;E259&amp;" GB cukup, nyamannya "&amp;Aturan!$D$56&amp;" GB atau lebih ("&amp;I259&amp;")",IF(M259="Belum ada data","ukuran RAM belum diisi",""))))</f>
        <v/>
      </c>
      <c r="U259" s="33" t="str">
        <f aca="false">IF($A259="","",IF(N259="Kurang","penyimpanan "&amp;F259&amp;" GB, di bawah batas minimal "&amp;Aturan!$C$57&amp;" GB ("&amp;J259&amp;")",IF(N259="Cukup","penyimpanan "&amp;F259&amp;" GB cukup, nyamannya "&amp;Aturan!$D$57&amp;" GB atau lebih ("&amp;J259&amp;")",IF(N259="Belum ada data","ukuran penyimpanan belum diisi",""))))</f>
        <v/>
      </c>
      <c r="V259" s="33" t="str">
        <f aca="false">IF($A259="","",IF(O259="Kurang","layar "&amp;Varian!$AG55&amp;", di bawah batas minimal ("&amp;IFERROR(INDEX(Aturan!$A$63:$A$66,MATCH(Aturan!$C$58,Aturan!$B$63:$B$66,0)),"peringkat "&amp;Aturan!$C$58)&amp;")",IF(O259="Cukup","layar "&amp;Varian!$AG55&amp;" cukup, nyamannya "&amp;IFERROR(INDEX(Aturan!$A$63:$A$66,MATCH(Aturan!$D$58,Aturan!$B$63:$B$66,0)),"peringkat "&amp;Aturan!$D$58),IF(O259="Belum ada data","jenis layar belum diketahui",""))))</f>
        <v/>
      </c>
      <c r="W259" s="33" t="str">
        <f aca="false">IF($A259="","",IF(P259="Kurang","layar "&amp;H259&amp;" Hz, di bawah batas minimal "&amp;Aturan!$C$59&amp;" Hz",IF(P259="Cukup","layar "&amp;H259&amp;" Hz cukup, nyamannya "&amp;Aturan!$D$59&amp;" Hz atau lebih",IF(P259="Belum ada data","refresh rate belum diketahui",""))))</f>
        <v/>
      </c>
      <c r="X259" s="33" t="str">
        <f aca="false">IF($A259="","",IF(K259="Kurang",R259&amp;"; ","")&amp;IF(L259="Kurang",S259&amp;"; ","")&amp;IF(M259="Kurang",T259&amp;"; ","")&amp;IF(N259="Kurang",U259&amp;"; ","")&amp;IF(O259="Kurang",V259&amp;"; ","")&amp;IF(P259="Kurang",W259&amp;"; ","")&amp;IF(K259="Belum ada data",R259&amp;"; ","")&amp;IF(L259="Belum ada data",S259&amp;"; ","")&amp;IF(M259="Belum ada data",T259&amp;"; ","")&amp;IF(N259="Belum ada data",U259&amp;"; ","")&amp;IF(O259="Belum ada data",V259&amp;"; ","")&amp;IF(P259="Belum ada data",W259&amp;"; ","")&amp;IF(K259="Cukup",R259&amp;"; ","")&amp;IF(L259="Cukup",S259&amp;"; ","")&amp;IF(M259="Cukup",T259&amp;"; ","")&amp;IF(N259="Cukup",U259&amp;"; ","")&amp;IF(O259="Cukup",V259&amp;"; ","")&amp;IF(P259="Cukup",W259&amp;"; ",""))</f>
        <v/>
      </c>
      <c r="Y259" s="33" t="str">
        <f aca="false">IF($A259="","",IF(K259="Nyaman","prosesor, ","")&amp;IF(L259="Nyaman","grafis, ","")&amp;IF(M259="Nyaman","RAM, ","")&amp;IF(N259="Nyaman","penyimpanan, ","")&amp;IF(O259="Nyaman","layar, ","")&amp;IF(P259="Nyaman","refresh rate, ",""))</f>
        <v/>
      </c>
      <c r="Z259" s="33" t="str">
        <f aca="false">IF($A259="","",IF(Q259="Tidak dinilai","Belum ada kriteria yang dinilai untuk kebutuhan ini.",IF(Q259="Cocok","Semua kriteria yang dinilai sudah nyaman: "&amp;LEFT(Y259,LEN(Y259)-2)&amp;".",UPPER(LEFT(X259,1))&amp;MID(X259,2,LEN(X259)-3)&amp;"."&amp;IF(Y259="",""," Sudah nyaman: "&amp;LEFT(Y259,LEN(Y259)-2)&amp;"."))))</f>
        <v/>
      </c>
      <c r="AA259" s="33"/>
      <c r="AB259" s="33"/>
      <c r="AC259" s="69"/>
    </row>
    <row r="260" customFormat="false" ht="15" hidden="false" customHeight="true" outlineLevel="0" collapsed="false">
      <c r="A260" s="66" t="str">
        <f aca="false">IF(Varian!$A56="","",Varian!$A56)</f>
        <v/>
      </c>
      <c r="B260" s="66" t="str">
        <f aca="false">IF($A260="","",Aturan!$A$21)</f>
        <v/>
      </c>
      <c r="C260" s="67" t="str">
        <f aca="false">IF($A260="","",IFERROR(IF(ISNUMBER(INDEX(CPU!$J$4:$J$64,MATCH(Varian!$J56,CPU!$A$4:$A$64,0))),INDEX(CPU!$J$4:$J$64,MATCH(Varian!$J56,CPU!$A$4:$A$64,0)),""),""))</f>
        <v/>
      </c>
      <c r="D260" s="67" t="str">
        <f aca="false">IF($A260="","",IFERROR(IF(ISNUMBER(INDEX(GPU!$G$4:$G$64,MATCH(Varian!$K56,GPU!$A$4:$A$64,0))),INDEX(GPU!$G$4:$G$64,MATCH(Varian!$K56,GPU!$A$4:$A$64,0)),""),""))</f>
        <v/>
      </c>
      <c r="E260" s="67" t="str">
        <f aca="false">IF($A260="","",IF(ISNUMBER(Varian!$M56),Varian!$M56,""))</f>
        <v/>
      </c>
      <c r="F260" s="67" t="str">
        <f aca="false">IF($A260="","",IF(ISNUMBER(Varian!$V56),Varian!$V56,""))</f>
        <v/>
      </c>
      <c r="G260" s="67" t="str">
        <f aca="false">IF($A260="","",IFERROR(INDEX(Aturan!$B$63:$B$66,MATCH(Varian!$AG56,Aturan!$A$63:$A$66,0)),""))</f>
        <v/>
      </c>
      <c r="H260" s="67" t="str">
        <f aca="false">IF($A260="","",IF(ISNUMBER(Varian!$AI56),Varian!$AI56,""))</f>
        <v/>
      </c>
      <c r="I260" s="66" t="str">
        <f aca="false">IF($A260="","",IF(Varian!$Q56="disolder","menempel di papan utama, tidak bisa ditambah",IF(OR(Varian!$Q56="slot",Varian!$Q56="setengah_disolder"),IF(Varian!$Q56="setengah_disolder","sebagian menempel, ","")&amp;IF(ISNUMBER(Varian!$U56),IF(AND(ISNUMBER(Varian!$M56),Varian!$U56&gt;Varian!$M56),"bisa dinaikkan lewat slot sampai "&amp;Varian!$U56&amp;" GB","sudah di batas maksimal "&amp;Varian!$U56&amp;" GB"),"ada slot, batas maksimalnya belum diketahui"),"belum diketahui apakah bisa ditambah")))</f>
        <v/>
      </c>
      <c r="J260" s="66" t="str">
        <f aca="false">IF($A260="","",IF(Varian!$Z56="ya","bisa diganti dengan yang lebih besar",IF(Varian!$Z56="tidak","menempel, tidak bisa diganti","belum diketahui apakah bisa diganti")))</f>
        <v/>
      </c>
      <c r="K260" s="68" t="str">
        <f aca="false">IF($A260="","",IF(AND(Aturan!$C$30="",Aturan!$D$30=""),"Tidak dinilai",IF(C260="","Belum ada data",IF(C260&lt;IF(Aturan!$C$30="",0,Aturan!$C$30),"Kurang",IF(C260&gt;=IF(Aturan!$D$30="",Aturan!$C$30,Aturan!$D$30),"Nyaman","Cukup")))))</f>
        <v/>
      </c>
      <c r="L260" s="68" t="str">
        <f aca="false">IF($A260="","",IF(AND(Aturan!$C$31="",Aturan!$D$31=""),"Tidak dinilai",IF(D260="","Belum ada data",IF(D260&lt;IF(Aturan!$C$31="",0,Aturan!$C$31),"Kurang",IF(D260&gt;=IF(Aturan!$D$31="",Aturan!$C$31,Aturan!$D$31),"Nyaman","Cukup")))))</f>
        <v/>
      </c>
      <c r="M260" s="68" t="str">
        <f aca="false">IF($A260="","",IF(AND(Aturan!$C$32="",Aturan!$D$32=""),"Tidak dinilai",IF(E260="","Belum ada data",IF(E260&lt;IF(Aturan!$C$32="",0,Aturan!$C$32),"Kurang",IF(E260&gt;=IF(Aturan!$D$32="",Aturan!$C$32,Aturan!$D$32),"Nyaman","Cukup")))))</f>
        <v/>
      </c>
      <c r="N260" s="68" t="str">
        <f aca="false">IF($A260="","",IF(AND(Aturan!$C$33="",Aturan!$D$33=""),"Tidak dinilai",IF(F260="","Belum ada data",IF(F260&lt;IF(Aturan!$C$33="",0,Aturan!$C$33),"Kurang",IF(F260&gt;=IF(Aturan!$D$33="",Aturan!$C$33,Aturan!$D$33),"Nyaman","Cukup")))))</f>
        <v/>
      </c>
      <c r="O260" s="68" t="str">
        <f aca="false">IF($A260="","",IF(AND(Aturan!$C$34="",Aturan!$D$34=""),"Tidak dinilai",IF(G260="","Belum ada data",IF(G260&lt;IF(Aturan!$C$34="",0,Aturan!$C$34),"Kurang",IF(G260&gt;=IF(Aturan!$D$34="",Aturan!$C$34,Aturan!$D$34),"Nyaman","Cukup")))))</f>
        <v/>
      </c>
      <c r="P260" s="68" t="str">
        <f aca="false">IF($A260="","",IF(AND(Aturan!$C$35="",Aturan!$D$35=""),"Tidak dinilai",IF(H260="","Belum ada data",IF(H260&lt;IF(Aturan!$C$35="",0,Aturan!$C$35),"Kurang",IF(H260&gt;=IF(Aturan!$D$35="",Aturan!$C$35,Aturan!$D$35),"Nyaman","Cukup")))))</f>
        <v/>
      </c>
      <c r="Q260" s="68" t="str">
        <f aca="false">IF($A260="","",IF(COUNTIF(K260:P260,"Tidak dinilai")=6,"Tidak dinilai",IF(COUNTIF(K260:P260,"Kurang")&gt;0,"Kurang cocok",IF(COUNTIF(K260:P260,"Belum ada data")&gt;0,"Data belum lengkap",IF(COUNTIF(K260:P260,"Cukup")&gt;0,"Bisa, dengan catatan","Cocok")))))</f>
        <v/>
      </c>
      <c r="R260" s="66" t="str">
        <f aca="false">IF($A260="","",IF(K260="Kurang","prosesor tingkat "&amp;C260&amp;" dari 5, di bawah batas minimal (tingkat "&amp;Aturan!$C$30&amp;")",IF(K260="Cukup","prosesor tingkat "&amp;C260&amp;" dari 5 cukup, nyamannya mulai tingkat "&amp;Aturan!$D$30,IF(K260="Belum ada data","tingkat prosesor belum diisi",""))))</f>
        <v/>
      </c>
      <c r="S260" s="66" t="str">
        <f aca="false">IF($A260="","",IF(L260="Kurang","grafis tingkat "&amp;D260&amp;" dari 5, di bawah batas minimal (tingkat "&amp;Aturan!$C$31&amp;")",IF(L260="Cukup","grafis tingkat "&amp;D260&amp;" dari 5 cukup, nyamannya mulai tingkat "&amp;Aturan!$D$31,IF(L260="Belum ada data","tingkat grafis belum diisi",""))))</f>
        <v/>
      </c>
      <c r="T260" s="66" t="str">
        <f aca="false">IF($A260="","",IF(M260="Kurang","RAM "&amp;E260&amp;" GB, di bawah batas minimal "&amp;Aturan!$C$32&amp;" GB ("&amp;I260&amp;")",IF(M260="Cukup","RAM "&amp;E260&amp;" GB cukup, nyamannya "&amp;Aturan!$D$32&amp;" GB atau lebih ("&amp;I260&amp;")",IF(M260="Belum ada data","ukuran RAM belum diisi",""))))</f>
        <v/>
      </c>
      <c r="U260" s="66" t="str">
        <f aca="false">IF($A260="","",IF(N260="Kurang","penyimpanan "&amp;F260&amp;" GB, di bawah batas minimal "&amp;Aturan!$C$33&amp;" GB ("&amp;J260&amp;")",IF(N260="Cukup","penyimpanan "&amp;F260&amp;" GB cukup, nyamannya "&amp;Aturan!$D$33&amp;" GB atau lebih ("&amp;J260&amp;")",IF(N260="Belum ada data","ukuran penyimpanan belum diisi",""))))</f>
        <v/>
      </c>
      <c r="V260" s="66" t="str">
        <f aca="false">IF($A260="","",IF(O260="Kurang","layar "&amp;Varian!$AG56&amp;", di bawah batas minimal ("&amp;IFERROR(INDEX(Aturan!$A$63:$A$66,MATCH(Aturan!$C$34,Aturan!$B$63:$B$66,0)),"peringkat "&amp;Aturan!$C$34)&amp;")",IF(O260="Cukup","layar "&amp;Varian!$AG56&amp;" cukup, nyamannya "&amp;IFERROR(INDEX(Aturan!$A$63:$A$66,MATCH(Aturan!$D$34,Aturan!$B$63:$B$66,0)),"peringkat "&amp;Aturan!$D$34),IF(O260="Belum ada data","jenis layar belum diketahui",""))))</f>
        <v/>
      </c>
      <c r="W260" s="66" t="str">
        <f aca="false">IF($A260="","",IF(P260="Kurang","layar "&amp;H260&amp;" Hz, di bawah batas minimal "&amp;Aturan!$C$35&amp;" Hz",IF(P260="Cukup","layar "&amp;H260&amp;" Hz cukup, nyamannya "&amp;Aturan!$D$35&amp;" Hz atau lebih",IF(P260="Belum ada data","refresh rate belum diketahui",""))))</f>
        <v/>
      </c>
      <c r="X260" s="66" t="str">
        <f aca="false">IF($A260="","",IF(K260="Kurang",R260&amp;"; ","")&amp;IF(L260="Kurang",S260&amp;"; ","")&amp;IF(M260="Kurang",T260&amp;"; ","")&amp;IF(N260="Kurang",U260&amp;"; ","")&amp;IF(O260="Kurang",V260&amp;"; ","")&amp;IF(P260="Kurang",W260&amp;"; ","")&amp;IF(K260="Belum ada data",R260&amp;"; ","")&amp;IF(L260="Belum ada data",S260&amp;"; ","")&amp;IF(M260="Belum ada data",T260&amp;"; ","")&amp;IF(N260="Belum ada data",U260&amp;"; ","")&amp;IF(O260="Belum ada data",V260&amp;"; ","")&amp;IF(P260="Belum ada data",W260&amp;"; ","")&amp;IF(K260="Cukup",R260&amp;"; ","")&amp;IF(L260="Cukup",S260&amp;"; ","")&amp;IF(M260="Cukup",T260&amp;"; ","")&amp;IF(N260="Cukup",U260&amp;"; ","")&amp;IF(O260="Cukup",V260&amp;"; ","")&amp;IF(P260="Cukup",W260&amp;"; ",""))</f>
        <v/>
      </c>
      <c r="Y260" s="66" t="str">
        <f aca="false">IF($A260="","",IF(K260="Nyaman","prosesor, ","")&amp;IF(L260="Nyaman","grafis, ","")&amp;IF(M260="Nyaman","RAM, ","")&amp;IF(N260="Nyaman","penyimpanan, ","")&amp;IF(O260="Nyaman","layar, ","")&amp;IF(P260="Nyaman","refresh rate, ",""))</f>
        <v/>
      </c>
      <c r="Z260" s="66" t="str">
        <f aca="false">IF($A260="","",IF(Q260="Tidak dinilai","Belum ada kriteria yang dinilai untuk kebutuhan ini.",IF(Q260="Cocok","Semua kriteria yang dinilai sudah nyaman: "&amp;LEFT(Y260,LEN(Y260)-2)&amp;".",UPPER(LEFT(X260,1))&amp;MID(X260,2,LEN(X260)-3)&amp;"."&amp;IF(Y260="",""," Sudah nyaman: "&amp;LEFT(Y260,LEN(Y260)-2)&amp;"."))))</f>
        <v/>
      </c>
      <c r="AA260" s="66" t="str">
        <f aca="false">IF($A260="","",IF(Varian!$AR56="Windows 10","• "&amp;Aturan!$E$71&amp;CHAR(10),"")&amp;IF(Varian!$BB56="tidak","• "&amp;Aturan!$E$72&amp;CHAR(10),"")&amp;IF(OR(Varian!$AD56="belum terverifikasi",Varian!$AD56="tidak diketahui"),"• "&amp;Aturan!$E$73&amp;CHAR(10),"")&amp;IF(Varian!$AH56="1366x768","• "&amp;Aturan!$E$74&amp;CHAR(10),"")&amp;IF(Varian!$AG56="TN","• "&amp;Aturan!$E$75&amp;CHAR(10),"")&amp;IF(AND(Varian!$Q56="disolder",ISNUMBER(Varian!$M56),Varian!$M56&lt;=8),"• "&amp;Aturan!$E$76&amp;CHAR(10),""))</f>
        <v/>
      </c>
      <c r="AB260" s="66" t="str">
        <f aca="false">IF($A260="","",IF(AA260="","",LEFT(AA260,LEN(AA260)-1)))</f>
        <v/>
      </c>
      <c r="AC260" s="67" t="str">
        <f aca="false">IF($A260="","",IF(AA260="",0,LEN(AA260)-LEN(SUBSTITUTE(AA260,CHAR(10),""))))</f>
        <v/>
      </c>
    </row>
    <row r="261" customFormat="false" ht="15" hidden="false" customHeight="true" outlineLevel="0" collapsed="false">
      <c r="A261" s="33" t="str">
        <f aca="false">IF(Varian!$A56="","",Varian!$A56)</f>
        <v/>
      </c>
      <c r="B261" s="33" t="str">
        <f aca="false">IF($A261="","",Aturan!$A$22)</f>
        <v/>
      </c>
      <c r="C261" s="69" t="str">
        <f aca="false">IF($A261="","",IFERROR(IF(ISNUMBER(INDEX(CPU!$J$4:$J$64,MATCH(Varian!$J56,CPU!$A$4:$A$64,0))),INDEX(CPU!$J$4:$J$64,MATCH(Varian!$J56,CPU!$A$4:$A$64,0)),""),""))</f>
        <v/>
      </c>
      <c r="D261" s="69" t="str">
        <f aca="false">IF($A261="","",IFERROR(IF(ISNUMBER(INDEX(GPU!$G$4:$G$64,MATCH(Varian!$K56,GPU!$A$4:$A$64,0))),INDEX(GPU!$G$4:$G$64,MATCH(Varian!$K56,GPU!$A$4:$A$64,0)),""),""))</f>
        <v/>
      </c>
      <c r="E261" s="69" t="str">
        <f aca="false">IF($A261="","",IF(ISNUMBER(Varian!$M56),Varian!$M56,""))</f>
        <v/>
      </c>
      <c r="F261" s="69" t="str">
        <f aca="false">IF($A261="","",IF(ISNUMBER(Varian!$V56),Varian!$V56,""))</f>
        <v/>
      </c>
      <c r="G261" s="69" t="str">
        <f aca="false">IF($A261="","",IFERROR(INDEX(Aturan!$B$63:$B$66,MATCH(Varian!$AG56,Aturan!$A$63:$A$66,0)),""))</f>
        <v/>
      </c>
      <c r="H261" s="69" t="str">
        <f aca="false">IF($A261="","",IF(ISNUMBER(Varian!$AI56),Varian!$AI56,""))</f>
        <v/>
      </c>
      <c r="I261" s="33" t="str">
        <f aca="false">IF($A261="","",IF(Varian!$Q56="disolder","menempel di papan utama, tidak bisa ditambah",IF(OR(Varian!$Q56="slot",Varian!$Q56="setengah_disolder"),IF(Varian!$Q56="setengah_disolder","sebagian menempel, ","")&amp;IF(ISNUMBER(Varian!$U56),IF(AND(ISNUMBER(Varian!$M56),Varian!$U56&gt;Varian!$M56),"bisa dinaikkan lewat slot sampai "&amp;Varian!$U56&amp;" GB","sudah di batas maksimal "&amp;Varian!$U56&amp;" GB"),"ada slot, batas maksimalnya belum diketahui"),"belum diketahui apakah bisa ditambah")))</f>
        <v/>
      </c>
      <c r="J261" s="33" t="str">
        <f aca="false">IF($A261="","",IF(Varian!$Z56="ya","bisa diganti dengan yang lebih besar",IF(Varian!$Z56="tidak","menempel, tidak bisa diganti","belum diketahui apakah bisa diganti")))</f>
        <v/>
      </c>
      <c r="K261" s="70" t="str">
        <f aca="false">IF($A261="","",IF(AND(Aturan!$C$36="",Aturan!$D$36=""),"Tidak dinilai",IF(C261="","Belum ada data",IF(C261&lt;IF(Aturan!$C$36="",0,Aturan!$C$36),"Kurang",IF(C261&gt;=IF(Aturan!$D$36="",Aturan!$C$36,Aturan!$D$36),"Nyaman","Cukup")))))</f>
        <v/>
      </c>
      <c r="L261" s="70" t="str">
        <f aca="false">IF($A261="","",IF(AND(Aturan!$C$37="",Aturan!$D$37=""),"Tidak dinilai",IF(D261="","Belum ada data",IF(D261&lt;IF(Aturan!$C$37="",0,Aturan!$C$37),"Kurang",IF(D261&gt;=IF(Aturan!$D$37="",Aturan!$C$37,Aturan!$D$37),"Nyaman","Cukup")))))</f>
        <v/>
      </c>
      <c r="M261" s="70" t="str">
        <f aca="false">IF($A261="","",IF(AND(Aturan!$C$38="",Aturan!$D$38=""),"Tidak dinilai",IF(E261="","Belum ada data",IF(E261&lt;IF(Aturan!$C$38="",0,Aturan!$C$38),"Kurang",IF(E261&gt;=IF(Aturan!$D$38="",Aturan!$C$38,Aturan!$D$38),"Nyaman","Cukup")))))</f>
        <v/>
      </c>
      <c r="N261" s="70" t="str">
        <f aca="false">IF($A261="","",IF(AND(Aturan!$C$39="",Aturan!$D$39=""),"Tidak dinilai",IF(F261="","Belum ada data",IF(F261&lt;IF(Aturan!$C$39="",0,Aturan!$C$39),"Kurang",IF(F261&gt;=IF(Aturan!$D$39="",Aturan!$C$39,Aturan!$D$39),"Nyaman","Cukup")))))</f>
        <v/>
      </c>
      <c r="O261" s="70" t="str">
        <f aca="false">IF($A261="","",IF(AND(Aturan!$C$40="",Aturan!$D$40=""),"Tidak dinilai",IF(G261="","Belum ada data",IF(G261&lt;IF(Aturan!$C$40="",0,Aturan!$C$40),"Kurang",IF(G261&gt;=IF(Aturan!$D$40="",Aturan!$C$40,Aturan!$D$40),"Nyaman","Cukup")))))</f>
        <v/>
      </c>
      <c r="P261" s="70" t="str">
        <f aca="false">IF($A261="","",IF(AND(Aturan!$C$41="",Aturan!$D$41=""),"Tidak dinilai",IF(H261="","Belum ada data",IF(H261&lt;IF(Aturan!$C$41="",0,Aturan!$C$41),"Kurang",IF(H261&gt;=IF(Aturan!$D$41="",Aturan!$C$41,Aturan!$D$41),"Nyaman","Cukup")))))</f>
        <v/>
      </c>
      <c r="Q261" s="70" t="str">
        <f aca="false">IF($A261="","",IF(COUNTIF(K261:P261,"Tidak dinilai")=6,"Tidak dinilai",IF(COUNTIF(K261:P261,"Kurang")&gt;0,"Kurang cocok",IF(COUNTIF(K261:P261,"Belum ada data")&gt;0,"Data belum lengkap",IF(COUNTIF(K261:P261,"Cukup")&gt;0,"Bisa, dengan catatan","Cocok")))))</f>
        <v/>
      </c>
      <c r="R261" s="33" t="str">
        <f aca="false">IF($A261="","",IF(K261="Kurang","prosesor tingkat "&amp;C261&amp;" dari 5, di bawah batas minimal (tingkat "&amp;Aturan!$C$36&amp;")",IF(K261="Cukup","prosesor tingkat "&amp;C261&amp;" dari 5 cukup, nyamannya mulai tingkat "&amp;Aturan!$D$36,IF(K261="Belum ada data","tingkat prosesor belum diisi",""))))</f>
        <v/>
      </c>
      <c r="S261" s="33" t="str">
        <f aca="false">IF($A261="","",IF(L261="Kurang","grafis tingkat "&amp;D261&amp;" dari 5, di bawah batas minimal (tingkat "&amp;Aturan!$C$37&amp;")",IF(L261="Cukup","grafis tingkat "&amp;D261&amp;" dari 5 cukup, nyamannya mulai tingkat "&amp;Aturan!$D$37,IF(L261="Belum ada data","tingkat grafis belum diisi",""))))</f>
        <v/>
      </c>
      <c r="T261" s="33" t="str">
        <f aca="false">IF($A261="","",IF(M261="Kurang","RAM "&amp;E261&amp;" GB, di bawah batas minimal "&amp;Aturan!$C$38&amp;" GB ("&amp;I261&amp;")",IF(M261="Cukup","RAM "&amp;E261&amp;" GB cukup, nyamannya "&amp;Aturan!$D$38&amp;" GB atau lebih ("&amp;I261&amp;")",IF(M261="Belum ada data","ukuran RAM belum diisi",""))))</f>
        <v/>
      </c>
      <c r="U261" s="33" t="str">
        <f aca="false">IF($A261="","",IF(N261="Kurang","penyimpanan "&amp;F261&amp;" GB, di bawah batas minimal "&amp;Aturan!$C$39&amp;" GB ("&amp;J261&amp;")",IF(N261="Cukup","penyimpanan "&amp;F261&amp;" GB cukup, nyamannya "&amp;Aturan!$D$39&amp;" GB atau lebih ("&amp;J261&amp;")",IF(N261="Belum ada data","ukuran penyimpanan belum diisi",""))))</f>
        <v/>
      </c>
      <c r="V261" s="33" t="str">
        <f aca="false">IF($A261="","",IF(O261="Kurang","layar "&amp;Varian!$AG56&amp;", di bawah batas minimal ("&amp;IFERROR(INDEX(Aturan!$A$63:$A$66,MATCH(Aturan!$C$40,Aturan!$B$63:$B$66,0)),"peringkat "&amp;Aturan!$C$40)&amp;")",IF(O261="Cukup","layar "&amp;Varian!$AG56&amp;" cukup, nyamannya "&amp;IFERROR(INDEX(Aturan!$A$63:$A$66,MATCH(Aturan!$D$40,Aturan!$B$63:$B$66,0)),"peringkat "&amp;Aturan!$D$40),IF(O261="Belum ada data","jenis layar belum diketahui",""))))</f>
        <v/>
      </c>
      <c r="W261" s="33" t="str">
        <f aca="false">IF($A261="","",IF(P261="Kurang","layar "&amp;H261&amp;" Hz, di bawah batas minimal "&amp;Aturan!$C$41&amp;" Hz",IF(P261="Cukup","layar "&amp;H261&amp;" Hz cukup, nyamannya "&amp;Aturan!$D$41&amp;" Hz atau lebih",IF(P261="Belum ada data","refresh rate belum diketahui",""))))</f>
        <v/>
      </c>
      <c r="X261" s="33" t="str">
        <f aca="false">IF($A261="","",IF(K261="Kurang",R261&amp;"; ","")&amp;IF(L261="Kurang",S261&amp;"; ","")&amp;IF(M261="Kurang",T261&amp;"; ","")&amp;IF(N261="Kurang",U261&amp;"; ","")&amp;IF(O261="Kurang",V261&amp;"; ","")&amp;IF(P261="Kurang",W261&amp;"; ","")&amp;IF(K261="Belum ada data",R261&amp;"; ","")&amp;IF(L261="Belum ada data",S261&amp;"; ","")&amp;IF(M261="Belum ada data",T261&amp;"; ","")&amp;IF(N261="Belum ada data",U261&amp;"; ","")&amp;IF(O261="Belum ada data",V261&amp;"; ","")&amp;IF(P261="Belum ada data",W261&amp;"; ","")&amp;IF(K261="Cukup",R261&amp;"; ","")&amp;IF(L261="Cukup",S261&amp;"; ","")&amp;IF(M261="Cukup",T261&amp;"; ","")&amp;IF(N261="Cukup",U261&amp;"; ","")&amp;IF(O261="Cukup",V261&amp;"; ","")&amp;IF(P261="Cukup",W261&amp;"; ",""))</f>
        <v/>
      </c>
      <c r="Y261" s="33" t="str">
        <f aca="false">IF($A261="","",IF(K261="Nyaman","prosesor, ","")&amp;IF(L261="Nyaman","grafis, ","")&amp;IF(M261="Nyaman","RAM, ","")&amp;IF(N261="Nyaman","penyimpanan, ","")&amp;IF(O261="Nyaman","layar, ","")&amp;IF(P261="Nyaman","refresh rate, ",""))</f>
        <v/>
      </c>
      <c r="Z261" s="33" t="str">
        <f aca="false">IF($A261="","",IF(Q261="Tidak dinilai","Belum ada kriteria yang dinilai untuk kebutuhan ini.",IF(Q261="Cocok","Semua kriteria yang dinilai sudah nyaman: "&amp;LEFT(Y261,LEN(Y261)-2)&amp;".",UPPER(LEFT(X261,1))&amp;MID(X261,2,LEN(X261)-3)&amp;"."&amp;IF(Y261="",""," Sudah nyaman: "&amp;LEFT(Y261,LEN(Y261)-2)&amp;"."))))</f>
        <v/>
      </c>
      <c r="AA261" s="33"/>
      <c r="AB261" s="33"/>
      <c r="AC261" s="69"/>
    </row>
    <row r="262" customFormat="false" ht="15" hidden="false" customHeight="true" outlineLevel="0" collapsed="false">
      <c r="A262" s="33" t="str">
        <f aca="false">IF(Varian!$A56="","",Varian!$A56)</f>
        <v/>
      </c>
      <c r="B262" s="33" t="str">
        <f aca="false">IF($A262="","",Aturan!$A$23)</f>
        <v/>
      </c>
      <c r="C262" s="69" t="str">
        <f aca="false">IF($A262="","",IFERROR(IF(ISNUMBER(INDEX(CPU!$J$4:$J$64,MATCH(Varian!$J56,CPU!$A$4:$A$64,0))),INDEX(CPU!$J$4:$J$64,MATCH(Varian!$J56,CPU!$A$4:$A$64,0)),""),""))</f>
        <v/>
      </c>
      <c r="D262" s="69" t="str">
        <f aca="false">IF($A262="","",IFERROR(IF(ISNUMBER(INDEX(GPU!$G$4:$G$64,MATCH(Varian!$K56,GPU!$A$4:$A$64,0))),INDEX(GPU!$G$4:$G$64,MATCH(Varian!$K56,GPU!$A$4:$A$64,0)),""),""))</f>
        <v/>
      </c>
      <c r="E262" s="69" t="str">
        <f aca="false">IF($A262="","",IF(ISNUMBER(Varian!$M56),Varian!$M56,""))</f>
        <v/>
      </c>
      <c r="F262" s="69" t="str">
        <f aca="false">IF($A262="","",IF(ISNUMBER(Varian!$V56),Varian!$V56,""))</f>
        <v/>
      </c>
      <c r="G262" s="69" t="str">
        <f aca="false">IF($A262="","",IFERROR(INDEX(Aturan!$B$63:$B$66,MATCH(Varian!$AG56,Aturan!$A$63:$A$66,0)),""))</f>
        <v/>
      </c>
      <c r="H262" s="69" t="str">
        <f aca="false">IF($A262="","",IF(ISNUMBER(Varian!$AI56),Varian!$AI56,""))</f>
        <v/>
      </c>
      <c r="I262" s="33" t="str">
        <f aca="false">IF($A262="","",IF(Varian!$Q56="disolder","menempel di papan utama, tidak bisa ditambah",IF(OR(Varian!$Q56="slot",Varian!$Q56="setengah_disolder"),IF(Varian!$Q56="setengah_disolder","sebagian menempel, ","")&amp;IF(ISNUMBER(Varian!$U56),IF(AND(ISNUMBER(Varian!$M56),Varian!$U56&gt;Varian!$M56),"bisa dinaikkan lewat slot sampai "&amp;Varian!$U56&amp;" GB","sudah di batas maksimal "&amp;Varian!$U56&amp;" GB"),"ada slot, batas maksimalnya belum diketahui"),"belum diketahui apakah bisa ditambah")))</f>
        <v/>
      </c>
      <c r="J262" s="33" t="str">
        <f aca="false">IF($A262="","",IF(Varian!$Z56="ya","bisa diganti dengan yang lebih besar",IF(Varian!$Z56="tidak","menempel, tidak bisa diganti","belum diketahui apakah bisa diganti")))</f>
        <v/>
      </c>
      <c r="K262" s="70" t="str">
        <f aca="false">IF($A262="","",IF(AND(Aturan!$C$42="",Aturan!$D$42=""),"Tidak dinilai",IF(C262="","Belum ada data",IF(C262&lt;IF(Aturan!$C$42="",0,Aturan!$C$42),"Kurang",IF(C262&gt;=IF(Aturan!$D$42="",Aturan!$C$42,Aturan!$D$42),"Nyaman","Cukup")))))</f>
        <v/>
      </c>
      <c r="L262" s="70" t="str">
        <f aca="false">IF($A262="","",IF(AND(Aturan!$C$43="",Aturan!$D$43=""),"Tidak dinilai",IF(D262="","Belum ada data",IF(D262&lt;IF(Aturan!$C$43="",0,Aturan!$C$43),"Kurang",IF(D262&gt;=IF(Aturan!$D$43="",Aturan!$C$43,Aturan!$D$43),"Nyaman","Cukup")))))</f>
        <v/>
      </c>
      <c r="M262" s="70" t="str">
        <f aca="false">IF($A262="","",IF(AND(Aturan!$C$44="",Aturan!$D$44=""),"Tidak dinilai",IF(E262="","Belum ada data",IF(E262&lt;IF(Aturan!$C$44="",0,Aturan!$C$44),"Kurang",IF(E262&gt;=IF(Aturan!$D$44="",Aturan!$C$44,Aturan!$D$44),"Nyaman","Cukup")))))</f>
        <v/>
      </c>
      <c r="N262" s="70" t="str">
        <f aca="false">IF($A262="","",IF(AND(Aturan!$C$45="",Aturan!$D$45=""),"Tidak dinilai",IF(F262="","Belum ada data",IF(F262&lt;IF(Aturan!$C$45="",0,Aturan!$C$45),"Kurang",IF(F262&gt;=IF(Aturan!$D$45="",Aturan!$C$45,Aturan!$D$45),"Nyaman","Cukup")))))</f>
        <v/>
      </c>
      <c r="O262" s="70" t="str">
        <f aca="false">IF($A262="","",IF(AND(Aturan!$C$46="",Aturan!$D$46=""),"Tidak dinilai",IF(G262="","Belum ada data",IF(G262&lt;IF(Aturan!$C$46="",0,Aturan!$C$46),"Kurang",IF(G262&gt;=IF(Aturan!$D$46="",Aturan!$C$46,Aturan!$D$46),"Nyaman","Cukup")))))</f>
        <v/>
      </c>
      <c r="P262" s="70" t="str">
        <f aca="false">IF($A262="","",IF(AND(Aturan!$C$47="",Aturan!$D$47=""),"Tidak dinilai",IF(H262="","Belum ada data",IF(H262&lt;IF(Aturan!$C$47="",0,Aturan!$C$47),"Kurang",IF(H262&gt;=IF(Aturan!$D$47="",Aturan!$C$47,Aturan!$D$47),"Nyaman","Cukup")))))</f>
        <v/>
      </c>
      <c r="Q262" s="70" t="str">
        <f aca="false">IF($A262="","",IF(COUNTIF(K262:P262,"Tidak dinilai")=6,"Tidak dinilai",IF(COUNTIF(K262:P262,"Kurang")&gt;0,"Kurang cocok",IF(COUNTIF(K262:P262,"Belum ada data")&gt;0,"Data belum lengkap",IF(COUNTIF(K262:P262,"Cukup")&gt;0,"Bisa, dengan catatan","Cocok")))))</f>
        <v/>
      </c>
      <c r="R262" s="33" t="str">
        <f aca="false">IF($A262="","",IF(K262="Kurang","prosesor tingkat "&amp;C262&amp;" dari 5, di bawah batas minimal (tingkat "&amp;Aturan!$C$42&amp;")",IF(K262="Cukup","prosesor tingkat "&amp;C262&amp;" dari 5 cukup, nyamannya mulai tingkat "&amp;Aturan!$D$42,IF(K262="Belum ada data","tingkat prosesor belum diisi",""))))</f>
        <v/>
      </c>
      <c r="S262" s="33" t="str">
        <f aca="false">IF($A262="","",IF(L262="Kurang","grafis tingkat "&amp;D262&amp;" dari 5, di bawah batas minimal (tingkat "&amp;Aturan!$C$43&amp;")",IF(L262="Cukup","grafis tingkat "&amp;D262&amp;" dari 5 cukup, nyamannya mulai tingkat "&amp;Aturan!$D$43,IF(L262="Belum ada data","tingkat grafis belum diisi",""))))</f>
        <v/>
      </c>
      <c r="T262" s="33" t="str">
        <f aca="false">IF($A262="","",IF(M262="Kurang","RAM "&amp;E262&amp;" GB, di bawah batas minimal "&amp;Aturan!$C$44&amp;" GB ("&amp;I262&amp;")",IF(M262="Cukup","RAM "&amp;E262&amp;" GB cukup, nyamannya "&amp;Aturan!$D$44&amp;" GB atau lebih ("&amp;I262&amp;")",IF(M262="Belum ada data","ukuran RAM belum diisi",""))))</f>
        <v/>
      </c>
      <c r="U262" s="33" t="str">
        <f aca="false">IF($A262="","",IF(N262="Kurang","penyimpanan "&amp;F262&amp;" GB, di bawah batas minimal "&amp;Aturan!$C$45&amp;" GB ("&amp;J262&amp;")",IF(N262="Cukup","penyimpanan "&amp;F262&amp;" GB cukup, nyamannya "&amp;Aturan!$D$45&amp;" GB atau lebih ("&amp;J262&amp;")",IF(N262="Belum ada data","ukuran penyimpanan belum diisi",""))))</f>
        <v/>
      </c>
      <c r="V262" s="33" t="str">
        <f aca="false">IF($A262="","",IF(O262="Kurang","layar "&amp;Varian!$AG56&amp;", di bawah batas minimal ("&amp;IFERROR(INDEX(Aturan!$A$63:$A$66,MATCH(Aturan!$C$46,Aturan!$B$63:$B$66,0)),"peringkat "&amp;Aturan!$C$46)&amp;")",IF(O262="Cukup","layar "&amp;Varian!$AG56&amp;" cukup, nyamannya "&amp;IFERROR(INDEX(Aturan!$A$63:$A$66,MATCH(Aturan!$D$46,Aturan!$B$63:$B$66,0)),"peringkat "&amp;Aturan!$D$46),IF(O262="Belum ada data","jenis layar belum diketahui",""))))</f>
        <v/>
      </c>
      <c r="W262" s="33" t="str">
        <f aca="false">IF($A262="","",IF(P262="Kurang","layar "&amp;H262&amp;" Hz, di bawah batas minimal "&amp;Aturan!$C$47&amp;" Hz",IF(P262="Cukup","layar "&amp;H262&amp;" Hz cukup, nyamannya "&amp;Aturan!$D$47&amp;" Hz atau lebih",IF(P262="Belum ada data","refresh rate belum diketahui",""))))</f>
        <v/>
      </c>
      <c r="X262" s="33" t="str">
        <f aca="false">IF($A262="","",IF(K262="Kurang",R262&amp;"; ","")&amp;IF(L262="Kurang",S262&amp;"; ","")&amp;IF(M262="Kurang",T262&amp;"; ","")&amp;IF(N262="Kurang",U262&amp;"; ","")&amp;IF(O262="Kurang",V262&amp;"; ","")&amp;IF(P262="Kurang",W262&amp;"; ","")&amp;IF(K262="Belum ada data",R262&amp;"; ","")&amp;IF(L262="Belum ada data",S262&amp;"; ","")&amp;IF(M262="Belum ada data",T262&amp;"; ","")&amp;IF(N262="Belum ada data",U262&amp;"; ","")&amp;IF(O262="Belum ada data",V262&amp;"; ","")&amp;IF(P262="Belum ada data",W262&amp;"; ","")&amp;IF(K262="Cukup",R262&amp;"; ","")&amp;IF(L262="Cukup",S262&amp;"; ","")&amp;IF(M262="Cukup",T262&amp;"; ","")&amp;IF(N262="Cukup",U262&amp;"; ","")&amp;IF(O262="Cukup",V262&amp;"; ","")&amp;IF(P262="Cukup",W262&amp;"; ",""))</f>
        <v/>
      </c>
      <c r="Y262" s="33" t="str">
        <f aca="false">IF($A262="","",IF(K262="Nyaman","prosesor, ","")&amp;IF(L262="Nyaman","grafis, ","")&amp;IF(M262="Nyaman","RAM, ","")&amp;IF(N262="Nyaman","penyimpanan, ","")&amp;IF(O262="Nyaman","layar, ","")&amp;IF(P262="Nyaman","refresh rate, ",""))</f>
        <v/>
      </c>
      <c r="Z262" s="33" t="str">
        <f aca="false">IF($A262="","",IF(Q262="Tidak dinilai","Belum ada kriteria yang dinilai untuk kebutuhan ini.",IF(Q262="Cocok","Semua kriteria yang dinilai sudah nyaman: "&amp;LEFT(Y262,LEN(Y262)-2)&amp;".",UPPER(LEFT(X262,1))&amp;MID(X262,2,LEN(X262)-3)&amp;"."&amp;IF(Y262="",""," Sudah nyaman: "&amp;LEFT(Y262,LEN(Y262)-2)&amp;"."))))</f>
        <v/>
      </c>
      <c r="AA262" s="33"/>
      <c r="AB262" s="33"/>
      <c r="AC262" s="69"/>
    </row>
    <row r="263" customFormat="false" ht="15" hidden="false" customHeight="true" outlineLevel="0" collapsed="false">
      <c r="A263" s="33" t="str">
        <f aca="false">IF(Varian!$A56="","",Varian!$A56)</f>
        <v/>
      </c>
      <c r="B263" s="33" t="str">
        <f aca="false">IF($A263="","",Aturan!$A$24)</f>
        <v/>
      </c>
      <c r="C263" s="69" t="str">
        <f aca="false">IF($A263="","",IFERROR(IF(ISNUMBER(INDEX(CPU!$J$4:$J$64,MATCH(Varian!$J56,CPU!$A$4:$A$64,0))),INDEX(CPU!$J$4:$J$64,MATCH(Varian!$J56,CPU!$A$4:$A$64,0)),""),""))</f>
        <v/>
      </c>
      <c r="D263" s="69" t="str">
        <f aca="false">IF($A263="","",IFERROR(IF(ISNUMBER(INDEX(GPU!$G$4:$G$64,MATCH(Varian!$K56,GPU!$A$4:$A$64,0))),INDEX(GPU!$G$4:$G$64,MATCH(Varian!$K56,GPU!$A$4:$A$64,0)),""),""))</f>
        <v/>
      </c>
      <c r="E263" s="69" t="str">
        <f aca="false">IF($A263="","",IF(ISNUMBER(Varian!$M56),Varian!$M56,""))</f>
        <v/>
      </c>
      <c r="F263" s="69" t="str">
        <f aca="false">IF($A263="","",IF(ISNUMBER(Varian!$V56),Varian!$V56,""))</f>
        <v/>
      </c>
      <c r="G263" s="69" t="str">
        <f aca="false">IF($A263="","",IFERROR(INDEX(Aturan!$B$63:$B$66,MATCH(Varian!$AG56,Aturan!$A$63:$A$66,0)),""))</f>
        <v/>
      </c>
      <c r="H263" s="69" t="str">
        <f aca="false">IF($A263="","",IF(ISNUMBER(Varian!$AI56),Varian!$AI56,""))</f>
        <v/>
      </c>
      <c r="I263" s="33" t="str">
        <f aca="false">IF($A263="","",IF(Varian!$Q56="disolder","menempel di papan utama, tidak bisa ditambah",IF(OR(Varian!$Q56="slot",Varian!$Q56="setengah_disolder"),IF(Varian!$Q56="setengah_disolder","sebagian menempel, ","")&amp;IF(ISNUMBER(Varian!$U56),IF(AND(ISNUMBER(Varian!$M56),Varian!$U56&gt;Varian!$M56),"bisa dinaikkan lewat slot sampai "&amp;Varian!$U56&amp;" GB","sudah di batas maksimal "&amp;Varian!$U56&amp;" GB"),"ada slot, batas maksimalnya belum diketahui"),"belum diketahui apakah bisa ditambah")))</f>
        <v/>
      </c>
      <c r="J263" s="33" t="str">
        <f aca="false">IF($A263="","",IF(Varian!$Z56="ya","bisa diganti dengan yang lebih besar",IF(Varian!$Z56="tidak","menempel, tidak bisa diganti","belum diketahui apakah bisa diganti")))</f>
        <v/>
      </c>
      <c r="K263" s="70" t="str">
        <f aca="false">IF($A263="","",IF(AND(Aturan!$C$48="",Aturan!$D$48=""),"Tidak dinilai",IF(C263="","Belum ada data",IF(C263&lt;IF(Aturan!$C$48="",0,Aturan!$C$48),"Kurang",IF(C263&gt;=IF(Aturan!$D$48="",Aturan!$C$48,Aturan!$D$48),"Nyaman","Cukup")))))</f>
        <v/>
      </c>
      <c r="L263" s="70" t="str">
        <f aca="false">IF($A263="","",IF(AND(Aturan!$C$49="",Aturan!$D$49=""),"Tidak dinilai",IF(D263="","Belum ada data",IF(D263&lt;IF(Aturan!$C$49="",0,Aturan!$C$49),"Kurang",IF(D263&gt;=IF(Aturan!$D$49="",Aturan!$C$49,Aturan!$D$49),"Nyaman","Cukup")))))</f>
        <v/>
      </c>
      <c r="M263" s="70" t="str">
        <f aca="false">IF($A263="","",IF(AND(Aturan!$C$50="",Aturan!$D$50=""),"Tidak dinilai",IF(E263="","Belum ada data",IF(E263&lt;IF(Aturan!$C$50="",0,Aturan!$C$50),"Kurang",IF(E263&gt;=IF(Aturan!$D$50="",Aturan!$C$50,Aturan!$D$50),"Nyaman","Cukup")))))</f>
        <v/>
      </c>
      <c r="N263" s="70" t="str">
        <f aca="false">IF($A263="","",IF(AND(Aturan!$C$51="",Aturan!$D$51=""),"Tidak dinilai",IF(F263="","Belum ada data",IF(F263&lt;IF(Aturan!$C$51="",0,Aturan!$C$51),"Kurang",IF(F263&gt;=IF(Aturan!$D$51="",Aturan!$C$51,Aturan!$D$51),"Nyaman","Cukup")))))</f>
        <v/>
      </c>
      <c r="O263" s="70" t="str">
        <f aca="false">IF($A263="","",IF(AND(Aturan!$C$52="",Aturan!$D$52=""),"Tidak dinilai",IF(G263="","Belum ada data",IF(G263&lt;IF(Aturan!$C$52="",0,Aturan!$C$52),"Kurang",IF(G263&gt;=IF(Aturan!$D$52="",Aturan!$C$52,Aturan!$D$52),"Nyaman","Cukup")))))</f>
        <v/>
      </c>
      <c r="P263" s="70" t="str">
        <f aca="false">IF($A263="","",IF(AND(Aturan!$C$53="",Aturan!$D$53=""),"Tidak dinilai",IF(H263="","Belum ada data",IF(H263&lt;IF(Aturan!$C$53="",0,Aturan!$C$53),"Kurang",IF(H263&gt;=IF(Aturan!$D$53="",Aturan!$C$53,Aturan!$D$53),"Nyaman","Cukup")))))</f>
        <v/>
      </c>
      <c r="Q263" s="70" t="str">
        <f aca="false">IF($A263="","",IF(COUNTIF(K263:P263,"Tidak dinilai")=6,"Tidak dinilai",IF(COUNTIF(K263:P263,"Kurang")&gt;0,"Kurang cocok",IF(COUNTIF(K263:P263,"Belum ada data")&gt;0,"Data belum lengkap",IF(COUNTIF(K263:P263,"Cukup")&gt;0,"Bisa, dengan catatan","Cocok")))))</f>
        <v/>
      </c>
      <c r="R263" s="33" t="str">
        <f aca="false">IF($A263="","",IF(K263="Kurang","prosesor tingkat "&amp;C263&amp;" dari 5, di bawah batas minimal (tingkat "&amp;Aturan!$C$48&amp;")",IF(K263="Cukup","prosesor tingkat "&amp;C263&amp;" dari 5 cukup, nyamannya mulai tingkat "&amp;Aturan!$D$48,IF(K263="Belum ada data","tingkat prosesor belum diisi",""))))</f>
        <v/>
      </c>
      <c r="S263" s="33" t="str">
        <f aca="false">IF($A263="","",IF(L263="Kurang","grafis tingkat "&amp;D263&amp;" dari 5, di bawah batas minimal (tingkat "&amp;Aturan!$C$49&amp;")",IF(L263="Cukup","grafis tingkat "&amp;D263&amp;" dari 5 cukup, nyamannya mulai tingkat "&amp;Aturan!$D$49,IF(L263="Belum ada data","tingkat grafis belum diisi",""))))</f>
        <v/>
      </c>
      <c r="T263" s="33" t="str">
        <f aca="false">IF($A263="","",IF(M263="Kurang","RAM "&amp;E263&amp;" GB, di bawah batas minimal "&amp;Aturan!$C$50&amp;" GB ("&amp;I263&amp;")",IF(M263="Cukup","RAM "&amp;E263&amp;" GB cukup, nyamannya "&amp;Aturan!$D$50&amp;" GB atau lebih ("&amp;I263&amp;")",IF(M263="Belum ada data","ukuran RAM belum diisi",""))))</f>
        <v/>
      </c>
      <c r="U263" s="33" t="str">
        <f aca="false">IF($A263="","",IF(N263="Kurang","penyimpanan "&amp;F263&amp;" GB, di bawah batas minimal "&amp;Aturan!$C$51&amp;" GB ("&amp;J263&amp;")",IF(N263="Cukup","penyimpanan "&amp;F263&amp;" GB cukup, nyamannya "&amp;Aturan!$D$51&amp;" GB atau lebih ("&amp;J263&amp;")",IF(N263="Belum ada data","ukuran penyimpanan belum diisi",""))))</f>
        <v/>
      </c>
      <c r="V263" s="33" t="str">
        <f aca="false">IF($A263="","",IF(O263="Kurang","layar "&amp;Varian!$AG56&amp;", di bawah batas minimal ("&amp;IFERROR(INDEX(Aturan!$A$63:$A$66,MATCH(Aturan!$C$52,Aturan!$B$63:$B$66,0)),"peringkat "&amp;Aturan!$C$52)&amp;")",IF(O263="Cukup","layar "&amp;Varian!$AG56&amp;" cukup, nyamannya "&amp;IFERROR(INDEX(Aturan!$A$63:$A$66,MATCH(Aturan!$D$52,Aturan!$B$63:$B$66,0)),"peringkat "&amp;Aturan!$D$52),IF(O263="Belum ada data","jenis layar belum diketahui",""))))</f>
        <v/>
      </c>
      <c r="W263" s="33" t="str">
        <f aca="false">IF($A263="","",IF(P263="Kurang","layar "&amp;H263&amp;" Hz, di bawah batas minimal "&amp;Aturan!$C$53&amp;" Hz",IF(P263="Cukup","layar "&amp;H263&amp;" Hz cukup, nyamannya "&amp;Aturan!$D$53&amp;" Hz atau lebih",IF(P263="Belum ada data","refresh rate belum diketahui",""))))</f>
        <v/>
      </c>
      <c r="X263" s="33" t="str">
        <f aca="false">IF($A263="","",IF(K263="Kurang",R263&amp;"; ","")&amp;IF(L263="Kurang",S263&amp;"; ","")&amp;IF(M263="Kurang",T263&amp;"; ","")&amp;IF(N263="Kurang",U263&amp;"; ","")&amp;IF(O263="Kurang",V263&amp;"; ","")&amp;IF(P263="Kurang",W263&amp;"; ","")&amp;IF(K263="Belum ada data",R263&amp;"; ","")&amp;IF(L263="Belum ada data",S263&amp;"; ","")&amp;IF(M263="Belum ada data",T263&amp;"; ","")&amp;IF(N263="Belum ada data",U263&amp;"; ","")&amp;IF(O263="Belum ada data",V263&amp;"; ","")&amp;IF(P263="Belum ada data",W263&amp;"; ","")&amp;IF(K263="Cukup",R263&amp;"; ","")&amp;IF(L263="Cukup",S263&amp;"; ","")&amp;IF(M263="Cukup",T263&amp;"; ","")&amp;IF(N263="Cukup",U263&amp;"; ","")&amp;IF(O263="Cukup",V263&amp;"; ","")&amp;IF(P263="Cukup",W263&amp;"; ",""))</f>
        <v/>
      </c>
      <c r="Y263" s="33" t="str">
        <f aca="false">IF($A263="","",IF(K263="Nyaman","prosesor, ","")&amp;IF(L263="Nyaman","grafis, ","")&amp;IF(M263="Nyaman","RAM, ","")&amp;IF(N263="Nyaman","penyimpanan, ","")&amp;IF(O263="Nyaman","layar, ","")&amp;IF(P263="Nyaman","refresh rate, ",""))</f>
        <v/>
      </c>
      <c r="Z263" s="33" t="str">
        <f aca="false">IF($A263="","",IF(Q263="Tidak dinilai","Belum ada kriteria yang dinilai untuk kebutuhan ini.",IF(Q263="Cocok","Semua kriteria yang dinilai sudah nyaman: "&amp;LEFT(Y263,LEN(Y263)-2)&amp;".",UPPER(LEFT(X263,1))&amp;MID(X263,2,LEN(X263)-3)&amp;"."&amp;IF(Y263="",""," Sudah nyaman: "&amp;LEFT(Y263,LEN(Y263)-2)&amp;"."))))</f>
        <v/>
      </c>
      <c r="AA263" s="33"/>
      <c r="AB263" s="33"/>
      <c r="AC263" s="69"/>
    </row>
    <row r="264" customFormat="false" ht="15" hidden="false" customHeight="true" outlineLevel="0" collapsed="false">
      <c r="A264" s="33" t="str">
        <f aca="false">IF(Varian!$A56="","",Varian!$A56)</f>
        <v/>
      </c>
      <c r="B264" s="33" t="str">
        <f aca="false">IF($A264="","",Aturan!$A$25)</f>
        <v/>
      </c>
      <c r="C264" s="69" t="str">
        <f aca="false">IF($A264="","",IFERROR(IF(ISNUMBER(INDEX(CPU!$J$4:$J$64,MATCH(Varian!$J56,CPU!$A$4:$A$64,0))),INDEX(CPU!$J$4:$J$64,MATCH(Varian!$J56,CPU!$A$4:$A$64,0)),""),""))</f>
        <v/>
      </c>
      <c r="D264" s="69" t="str">
        <f aca="false">IF($A264="","",IFERROR(IF(ISNUMBER(INDEX(GPU!$G$4:$G$64,MATCH(Varian!$K56,GPU!$A$4:$A$64,0))),INDEX(GPU!$G$4:$G$64,MATCH(Varian!$K56,GPU!$A$4:$A$64,0)),""),""))</f>
        <v/>
      </c>
      <c r="E264" s="69" t="str">
        <f aca="false">IF($A264="","",IF(ISNUMBER(Varian!$M56),Varian!$M56,""))</f>
        <v/>
      </c>
      <c r="F264" s="69" t="str">
        <f aca="false">IF($A264="","",IF(ISNUMBER(Varian!$V56),Varian!$V56,""))</f>
        <v/>
      </c>
      <c r="G264" s="69" t="str">
        <f aca="false">IF($A264="","",IFERROR(INDEX(Aturan!$B$63:$B$66,MATCH(Varian!$AG56,Aturan!$A$63:$A$66,0)),""))</f>
        <v/>
      </c>
      <c r="H264" s="69" t="str">
        <f aca="false">IF($A264="","",IF(ISNUMBER(Varian!$AI56),Varian!$AI56,""))</f>
        <v/>
      </c>
      <c r="I264" s="33" t="str">
        <f aca="false">IF($A264="","",IF(Varian!$Q56="disolder","menempel di papan utama, tidak bisa ditambah",IF(OR(Varian!$Q56="slot",Varian!$Q56="setengah_disolder"),IF(Varian!$Q56="setengah_disolder","sebagian menempel, ","")&amp;IF(ISNUMBER(Varian!$U56),IF(AND(ISNUMBER(Varian!$M56),Varian!$U56&gt;Varian!$M56),"bisa dinaikkan lewat slot sampai "&amp;Varian!$U56&amp;" GB","sudah di batas maksimal "&amp;Varian!$U56&amp;" GB"),"ada slot, batas maksimalnya belum diketahui"),"belum diketahui apakah bisa ditambah")))</f>
        <v/>
      </c>
      <c r="J264" s="33" t="str">
        <f aca="false">IF($A264="","",IF(Varian!$Z56="ya","bisa diganti dengan yang lebih besar",IF(Varian!$Z56="tidak","menempel, tidak bisa diganti","belum diketahui apakah bisa diganti")))</f>
        <v/>
      </c>
      <c r="K264" s="70" t="str">
        <f aca="false">IF($A264="","",IF(AND(Aturan!$C$54="",Aturan!$D$54=""),"Tidak dinilai",IF(C264="","Belum ada data",IF(C264&lt;IF(Aturan!$C$54="",0,Aturan!$C$54),"Kurang",IF(C264&gt;=IF(Aturan!$D$54="",Aturan!$C$54,Aturan!$D$54),"Nyaman","Cukup")))))</f>
        <v/>
      </c>
      <c r="L264" s="70" t="str">
        <f aca="false">IF($A264="","",IF(AND(Aturan!$C$55="",Aturan!$D$55=""),"Tidak dinilai",IF(D264="","Belum ada data",IF(D264&lt;IF(Aturan!$C$55="",0,Aturan!$C$55),"Kurang",IF(D264&gt;=IF(Aturan!$D$55="",Aturan!$C$55,Aturan!$D$55),"Nyaman","Cukup")))))</f>
        <v/>
      </c>
      <c r="M264" s="70" t="str">
        <f aca="false">IF($A264="","",IF(AND(Aturan!$C$56="",Aturan!$D$56=""),"Tidak dinilai",IF(E264="","Belum ada data",IF(E264&lt;IF(Aturan!$C$56="",0,Aturan!$C$56),"Kurang",IF(E264&gt;=IF(Aturan!$D$56="",Aturan!$C$56,Aturan!$D$56),"Nyaman","Cukup")))))</f>
        <v/>
      </c>
      <c r="N264" s="70" t="str">
        <f aca="false">IF($A264="","",IF(AND(Aturan!$C$57="",Aturan!$D$57=""),"Tidak dinilai",IF(F264="","Belum ada data",IF(F264&lt;IF(Aturan!$C$57="",0,Aturan!$C$57),"Kurang",IF(F264&gt;=IF(Aturan!$D$57="",Aturan!$C$57,Aturan!$D$57),"Nyaman","Cukup")))))</f>
        <v/>
      </c>
      <c r="O264" s="70" t="str">
        <f aca="false">IF($A264="","",IF(AND(Aturan!$C$58="",Aturan!$D$58=""),"Tidak dinilai",IF(G264="","Belum ada data",IF(G264&lt;IF(Aturan!$C$58="",0,Aturan!$C$58),"Kurang",IF(G264&gt;=IF(Aturan!$D$58="",Aturan!$C$58,Aturan!$D$58),"Nyaman","Cukup")))))</f>
        <v/>
      </c>
      <c r="P264" s="70" t="str">
        <f aca="false">IF($A264="","",IF(AND(Aturan!$C$59="",Aturan!$D$59=""),"Tidak dinilai",IF(H264="","Belum ada data",IF(H264&lt;IF(Aturan!$C$59="",0,Aturan!$C$59),"Kurang",IF(H264&gt;=IF(Aturan!$D$59="",Aturan!$C$59,Aturan!$D$59),"Nyaman","Cukup")))))</f>
        <v/>
      </c>
      <c r="Q264" s="70" t="str">
        <f aca="false">IF($A264="","",IF(COUNTIF(K264:P264,"Tidak dinilai")=6,"Tidak dinilai",IF(COUNTIF(K264:P264,"Kurang")&gt;0,"Kurang cocok",IF(COUNTIF(K264:P264,"Belum ada data")&gt;0,"Data belum lengkap",IF(COUNTIF(K264:P264,"Cukup")&gt;0,"Bisa, dengan catatan","Cocok")))))</f>
        <v/>
      </c>
      <c r="R264" s="33" t="str">
        <f aca="false">IF($A264="","",IF(K264="Kurang","prosesor tingkat "&amp;C264&amp;" dari 5, di bawah batas minimal (tingkat "&amp;Aturan!$C$54&amp;")",IF(K264="Cukup","prosesor tingkat "&amp;C264&amp;" dari 5 cukup, nyamannya mulai tingkat "&amp;Aturan!$D$54,IF(K264="Belum ada data","tingkat prosesor belum diisi",""))))</f>
        <v/>
      </c>
      <c r="S264" s="33" t="str">
        <f aca="false">IF($A264="","",IF(L264="Kurang","grafis tingkat "&amp;D264&amp;" dari 5, di bawah batas minimal (tingkat "&amp;Aturan!$C$55&amp;")",IF(L264="Cukup","grafis tingkat "&amp;D264&amp;" dari 5 cukup, nyamannya mulai tingkat "&amp;Aturan!$D$55,IF(L264="Belum ada data","tingkat grafis belum diisi",""))))</f>
        <v/>
      </c>
      <c r="T264" s="33" t="str">
        <f aca="false">IF($A264="","",IF(M264="Kurang","RAM "&amp;E264&amp;" GB, di bawah batas minimal "&amp;Aturan!$C$56&amp;" GB ("&amp;I264&amp;")",IF(M264="Cukup","RAM "&amp;E264&amp;" GB cukup, nyamannya "&amp;Aturan!$D$56&amp;" GB atau lebih ("&amp;I264&amp;")",IF(M264="Belum ada data","ukuran RAM belum diisi",""))))</f>
        <v/>
      </c>
      <c r="U264" s="33" t="str">
        <f aca="false">IF($A264="","",IF(N264="Kurang","penyimpanan "&amp;F264&amp;" GB, di bawah batas minimal "&amp;Aturan!$C$57&amp;" GB ("&amp;J264&amp;")",IF(N264="Cukup","penyimpanan "&amp;F264&amp;" GB cukup, nyamannya "&amp;Aturan!$D$57&amp;" GB atau lebih ("&amp;J264&amp;")",IF(N264="Belum ada data","ukuran penyimpanan belum diisi",""))))</f>
        <v/>
      </c>
      <c r="V264" s="33" t="str">
        <f aca="false">IF($A264="","",IF(O264="Kurang","layar "&amp;Varian!$AG56&amp;", di bawah batas minimal ("&amp;IFERROR(INDEX(Aturan!$A$63:$A$66,MATCH(Aturan!$C$58,Aturan!$B$63:$B$66,0)),"peringkat "&amp;Aturan!$C$58)&amp;")",IF(O264="Cukup","layar "&amp;Varian!$AG56&amp;" cukup, nyamannya "&amp;IFERROR(INDEX(Aturan!$A$63:$A$66,MATCH(Aturan!$D$58,Aturan!$B$63:$B$66,0)),"peringkat "&amp;Aturan!$D$58),IF(O264="Belum ada data","jenis layar belum diketahui",""))))</f>
        <v/>
      </c>
      <c r="W264" s="33" t="str">
        <f aca="false">IF($A264="","",IF(P264="Kurang","layar "&amp;H264&amp;" Hz, di bawah batas minimal "&amp;Aturan!$C$59&amp;" Hz",IF(P264="Cukup","layar "&amp;H264&amp;" Hz cukup, nyamannya "&amp;Aturan!$D$59&amp;" Hz atau lebih",IF(P264="Belum ada data","refresh rate belum diketahui",""))))</f>
        <v/>
      </c>
      <c r="X264" s="33" t="str">
        <f aca="false">IF($A264="","",IF(K264="Kurang",R264&amp;"; ","")&amp;IF(L264="Kurang",S264&amp;"; ","")&amp;IF(M264="Kurang",T264&amp;"; ","")&amp;IF(N264="Kurang",U264&amp;"; ","")&amp;IF(O264="Kurang",V264&amp;"; ","")&amp;IF(P264="Kurang",W264&amp;"; ","")&amp;IF(K264="Belum ada data",R264&amp;"; ","")&amp;IF(L264="Belum ada data",S264&amp;"; ","")&amp;IF(M264="Belum ada data",T264&amp;"; ","")&amp;IF(N264="Belum ada data",U264&amp;"; ","")&amp;IF(O264="Belum ada data",V264&amp;"; ","")&amp;IF(P264="Belum ada data",W264&amp;"; ","")&amp;IF(K264="Cukup",R264&amp;"; ","")&amp;IF(L264="Cukup",S264&amp;"; ","")&amp;IF(M264="Cukup",T264&amp;"; ","")&amp;IF(N264="Cukup",U264&amp;"; ","")&amp;IF(O264="Cukup",V264&amp;"; ","")&amp;IF(P264="Cukup",W264&amp;"; ",""))</f>
        <v/>
      </c>
      <c r="Y264" s="33" t="str">
        <f aca="false">IF($A264="","",IF(K264="Nyaman","prosesor, ","")&amp;IF(L264="Nyaman","grafis, ","")&amp;IF(M264="Nyaman","RAM, ","")&amp;IF(N264="Nyaman","penyimpanan, ","")&amp;IF(O264="Nyaman","layar, ","")&amp;IF(P264="Nyaman","refresh rate, ",""))</f>
        <v/>
      </c>
      <c r="Z264" s="33" t="str">
        <f aca="false">IF($A264="","",IF(Q264="Tidak dinilai","Belum ada kriteria yang dinilai untuk kebutuhan ini.",IF(Q264="Cocok","Semua kriteria yang dinilai sudah nyaman: "&amp;LEFT(Y264,LEN(Y264)-2)&amp;".",UPPER(LEFT(X264,1))&amp;MID(X264,2,LEN(X264)-3)&amp;"."&amp;IF(Y264="",""," Sudah nyaman: "&amp;LEFT(Y264,LEN(Y264)-2)&amp;"."))))</f>
        <v/>
      </c>
      <c r="AA264" s="33"/>
      <c r="AB264" s="33"/>
      <c r="AC264" s="69"/>
    </row>
    <row r="265" customFormat="false" ht="15" hidden="false" customHeight="true" outlineLevel="0" collapsed="false">
      <c r="A265" s="66" t="str">
        <f aca="false">IF(Varian!$A57="","",Varian!$A57)</f>
        <v/>
      </c>
      <c r="B265" s="66" t="str">
        <f aca="false">IF($A265="","",Aturan!$A$21)</f>
        <v/>
      </c>
      <c r="C265" s="67" t="str">
        <f aca="false">IF($A265="","",IFERROR(IF(ISNUMBER(INDEX(CPU!$J$4:$J$64,MATCH(Varian!$J57,CPU!$A$4:$A$64,0))),INDEX(CPU!$J$4:$J$64,MATCH(Varian!$J57,CPU!$A$4:$A$64,0)),""),""))</f>
        <v/>
      </c>
      <c r="D265" s="67" t="str">
        <f aca="false">IF($A265="","",IFERROR(IF(ISNUMBER(INDEX(GPU!$G$4:$G$64,MATCH(Varian!$K57,GPU!$A$4:$A$64,0))),INDEX(GPU!$G$4:$G$64,MATCH(Varian!$K57,GPU!$A$4:$A$64,0)),""),""))</f>
        <v/>
      </c>
      <c r="E265" s="67" t="str">
        <f aca="false">IF($A265="","",IF(ISNUMBER(Varian!$M57),Varian!$M57,""))</f>
        <v/>
      </c>
      <c r="F265" s="67" t="str">
        <f aca="false">IF($A265="","",IF(ISNUMBER(Varian!$V57),Varian!$V57,""))</f>
        <v/>
      </c>
      <c r="G265" s="67" t="str">
        <f aca="false">IF($A265="","",IFERROR(INDEX(Aturan!$B$63:$B$66,MATCH(Varian!$AG57,Aturan!$A$63:$A$66,0)),""))</f>
        <v/>
      </c>
      <c r="H265" s="67" t="str">
        <f aca="false">IF($A265="","",IF(ISNUMBER(Varian!$AI57),Varian!$AI57,""))</f>
        <v/>
      </c>
      <c r="I265" s="66" t="str">
        <f aca="false">IF($A265="","",IF(Varian!$Q57="disolder","menempel di papan utama, tidak bisa ditambah",IF(OR(Varian!$Q57="slot",Varian!$Q57="setengah_disolder"),IF(Varian!$Q57="setengah_disolder","sebagian menempel, ","")&amp;IF(ISNUMBER(Varian!$U57),IF(AND(ISNUMBER(Varian!$M57),Varian!$U57&gt;Varian!$M57),"bisa dinaikkan lewat slot sampai "&amp;Varian!$U57&amp;" GB","sudah di batas maksimal "&amp;Varian!$U57&amp;" GB"),"ada slot, batas maksimalnya belum diketahui"),"belum diketahui apakah bisa ditambah")))</f>
        <v/>
      </c>
      <c r="J265" s="66" t="str">
        <f aca="false">IF($A265="","",IF(Varian!$Z57="ya","bisa diganti dengan yang lebih besar",IF(Varian!$Z57="tidak","menempel, tidak bisa diganti","belum diketahui apakah bisa diganti")))</f>
        <v/>
      </c>
      <c r="K265" s="68" t="str">
        <f aca="false">IF($A265="","",IF(AND(Aturan!$C$30="",Aturan!$D$30=""),"Tidak dinilai",IF(C265="","Belum ada data",IF(C265&lt;IF(Aturan!$C$30="",0,Aturan!$C$30),"Kurang",IF(C265&gt;=IF(Aturan!$D$30="",Aturan!$C$30,Aturan!$D$30),"Nyaman","Cukup")))))</f>
        <v/>
      </c>
      <c r="L265" s="68" t="str">
        <f aca="false">IF($A265="","",IF(AND(Aturan!$C$31="",Aturan!$D$31=""),"Tidak dinilai",IF(D265="","Belum ada data",IF(D265&lt;IF(Aturan!$C$31="",0,Aturan!$C$31),"Kurang",IF(D265&gt;=IF(Aturan!$D$31="",Aturan!$C$31,Aturan!$D$31),"Nyaman","Cukup")))))</f>
        <v/>
      </c>
      <c r="M265" s="68" t="str">
        <f aca="false">IF($A265="","",IF(AND(Aturan!$C$32="",Aturan!$D$32=""),"Tidak dinilai",IF(E265="","Belum ada data",IF(E265&lt;IF(Aturan!$C$32="",0,Aturan!$C$32),"Kurang",IF(E265&gt;=IF(Aturan!$D$32="",Aturan!$C$32,Aturan!$D$32),"Nyaman","Cukup")))))</f>
        <v/>
      </c>
      <c r="N265" s="68" t="str">
        <f aca="false">IF($A265="","",IF(AND(Aturan!$C$33="",Aturan!$D$33=""),"Tidak dinilai",IF(F265="","Belum ada data",IF(F265&lt;IF(Aturan!$C$33="",0,Aturan!$C$33),"Kurang",IF(F265&gt;=IF(Aturan!$D$33="",Aturan!$C$33,Aturan!$D$33),"Nyaman","Cukup")))))</f>
        <v/>
      </c>
      <c r="O265" s="68" t="str">
        <f aca="false">IF($A265="","",IF(AND(Aturan!$C$34="",Aturan!$D$34=""),"Tidak dinilai",IF(G265="","Belum ada data",IF(G265&lt;IF(Aturan!$C$34="",0,Aturan!$C$34),"Kurang",IF(G265&gt;=IF(Aturan!$D$34="",Aturan!$C$34,Aturan!$D$34),"Nyaman","Cukup")))))</f>
        <v/>
      </c>
      <c r="P265" s="68" t="str">
        <f aca="false">IF($A265="","",IF(AND(Aturan!$C$35="",Aturan!$D$35=""),"Tidak dinilai",IF(H265="","Belum ada data",IF(H265&lt;IF(Aturan!$C$35="",0,Aturan!$C$35),"Kurang",IF(H265&gt;=IF(Aturan!$D$35="",Aturan!$C$35,Aturan!$D$35),"Nyaman","Cukup")))))</f>
        <v/>
      </c>
      <c r="Q265" s="68" t="str">
        <f aca="false">IF($A265="","",IF(COUNTIF(K265:P265,"Tidak dinilai")=6,"Tidak dinilai",IF(COUNTIF(K265:P265,"Kurang")&gt;0,"Kurang cocok",IF(COUNTIF(K265:P265,"Belum ada data")&gt;0,"Data belum lengkap",IF(COUNTIF(K265:P265,"Cukup")&gt;0,"Bisa, dengan catatan","Cocok")))))</f>
        <v/>
      </c>
      <c r="R265" s="66" t="str">
        <f aca="false">IF($A265="","",IF(K265="Kurang","prosesor tingkat "&amp;C265&amp;" dari 5, di bawah batas minimal (tingkat "&amp;Aturan!$C$30&amp;")",IF(K265="Cukup","prosesor tingkat "&amp;C265&amp;" dari 5 cukup, nyamannya mulai tingkat "&amp;Aturan!$D$30,IF(K265="Belum ada data","tingkat prosesor belum diisi",""))))</f>
        <v/>
      </c>
      <c r="S265" s="66" t="str">
        <f aca="false">IF($A265="","",IF(L265="Kurang","grafis tingkat "&amp;D265&amp;" dari 5, di bawah batas minimal (tingkat "&amp;Aturan!$C$31&amp;")",IF(L265="Cukup","grafis tingkat "&amp;D265&amp;" dari 5 cukup, nyamannya mulai tingkat "&amp;Aturan!$D$31,IF(L265="Belum ada data","tingkat grafis belum diisi",""))))</f>
        <v/>
      </c>
      <c r="T265" s="66" t="str">
        <f aca="false">IF($A265="","",IF(M265="Kurang","RAM "&amp;E265&amp;" GB, di bawah batas minimal "&amp;Aturan!$C$32&amp;" GB ("&amp;I265&amp;")",IF(M265="Cukup","RAM "&amp;E265&amp;" GB cukup, nyamannya "&amp;Aturan!$D$32&amp;" GB atau lebih ("&amp;I265&amp;")",IF(M265="Belum ada data","ukuran RAM belum diisi",""))))</f>
        <v/>
      </c>
      <c r="U265" s="66" t="str">
        <f aca="false">IF($A265="","",IF(N265="Kurang","penyimpanan "&amp;F265&amp;" GB, di bawah batas minimal "&amp;Aturan!$C$33&amp;" GB ("&amp;J265&amp;")",IF(N265="Cukup","penyimpanan "&amp;F265&amp;" GB cukup, nyamannya "&amp;Aturan!$D$33&amp;" GB atau lebih ("&amp;J265&amp;")",IF(N265="Belum ada data","ukuran penyimpanan belum diisi",""))))</f>
        <v/>
      </c>
      <c r="V265" s="66" t="str">
        <f aca="false">IF($A265="","",IF(O265="Kurang","layar "&amp;Varian!$AG57&amp;", di bawah batas minimal ("&amp;IFERROR(INDEX(Aturan!$A$63:$A$66,MATCH(Aturan!$C$34,Aturan!$B$63:$B$66,0)),"peringkat "&amp;Aturan!$C$34)&amp;")",IF(O265="Cukup","layar "&amp;Varian!$AG57&amp;" cukup, nyamannya "&amp;IFERROR(INDEX(Aturan!$A$63:$A$66,MATCH(Aturan!$D$34,Aturan!$B$63:$B$66,0)),"peringkat "&amp;Aturan!$D$34),IF(O265="Belum ada data","jenis layar belum diketahui",""))))</f>
        <v/>
      </c>
      <c r="W265" s="66" t="str">
        <f aca="false">IF($A265="","",IF(P265="Kurang","layar "&amp;H265&amp;" Hz, di bawah batas minimal "&amp;Aturan!$C$35&amp;" Hz",IF(P265="Cukup","layar "&amp;H265&amp;" Hz cukup, nyamannya "&amp;Aturan!$D$35&amp;" Hz atau lebih",IF(P265="Belum ada data","refresh rate belum diketahui",""))))</f>
        <v/>
      </c>
      <c r="X265" s="66" t="str">
        <f aca="false">IF($A265="","",IF(K265="Kurang",R265&amp;"; ","")&amp;IF(L265="Kurang",S265&amp;"; ","")&amp;IF(M265="Kurang",T265&amp;"; ","")&amp;IF(N265="Kurang",U265&amp;"; ","")&amp;IF(O265="Kurang",V265&amp;"; ","")&amp;IF(P265="Kurang",W265&amp;"; ","")&amp;IF(K265="Belum ada data",R265&amp;"; ","")&amp;IF(L265="Belum ada data",S265&amp;"; ","")&amp;IF(M265="Belum ada data",T265&amp;"; ","")&amp;IF(N265="Belum ada data",U265&amp;"; ","")&amp;IF(O265="Belum ada data",V265&amp;"; ","")&amp;IF(P265="Belum ada data",W265&amp;"; ","")&amp;IF(K265="Cukup",R265&amp;"; ","")&amp;IF(L265="Cukup",S265&amp;"; ","")&amp;IF(M265="Cukup",T265&amp;"; ","")&amp;IF(N265="Cukup",U265&amp;"; ","")&amp;IF(O265="Cukup",V265&amp;"; ","")&amp;IF(P265="Cukup",W265&amp;"; ",""))</f>
        <v/>
      </c>
      <c r="Y265" s="66" t="str">
        <f aca="false">IF($A265="","",IF(K265="Nyaman","prosesor, ","")&amp;IF(L265="Nyaman","grafis, ","")&amp;IF(M265="Nyaman","RAM, ","")&amp;IF(N265="Nyaman","penyimpanan, ","")&amp;IF(O265="Nyaman","layar, ","")&amp;IF(P265="Nyaman","refresh rate, ",""))</f>
        <v/>
      </c>
      <c r="Z265" s="66" t="str">
        <f aca="false">IF($A265="","",IF(Q265="Tidak dinilai","Belum ada kriteria yang dinilai untuk kebutuhan ini.",IF(Q265="Cocok","Semua kriteria yang dinilai sudah nyaman: "&amp;LEFT(Y265,LEN(Y265)-2)&amp;".",UPPER(LEFT(X265,1))&amp;MID(X265,2,LEN(X265)-3)&amp;"."&amp;IF(Y265="",""," Sudah nyaman: "&amp;LEFT(Y265,LEN(Y265)-2)&amp;"."))))</f>
        <v/>
      </c>
      <c r="AA265" s="66" t="str">
        <f aca="false">IF($A265="","",IF(Varian!$AR57="Windows 10","• "&amp;Aturan!$E$71&amp;CHAR(10),"")&amp;IF(Varian!$BB57="tidak","• "&amp;Aturan!$E$72&amp;CHAR(10),"")&amp;IF(OR(Varian!$AD57="belum terverifikasi",Varian!$AD57="tidak diketahui"),"• "&amp;Aturan!$E$73&amp;CHAR(10),"")&amp;IF(Varian!$AH57="1366x768","• "&amp;Aturan!$E$74&amp;CHAR(10),"")&amp;IF(Varian!$AG57="TN","• "&amp;Aturan!$E$75&amp;CHAR(10),"")&amp;IF(AND(Varian!$Q57="disolder",ISNUMBER(Varian!$M57),Varian!$M57&lt;=8),"• "&amp;Aturan!$E$76&amp;CHAR(10),""))</f>
        <v/>
      </c>
      <c r="AB265" s="66" t="str">
        <f aca="false">IF($A265="","",IF(AA265="","",LEFT(AA265,LEN(AA265)-1)))</f>
        <v/>
      </c>
      <c r="AC265" s="67" t="str">
        <f aca="false">IF($A265="","",IF(AA265="",0,LEN(AA265)-LEN(SUBSTITUTE(AA265,CHAR(10),""))))</f>
        <v/>
      </c>
    </row>
    <row r="266" customFormat="false" ht="15" hidden="false" customHeight="true" outlineLevel="0" collapsed="false">
      <c r="A266" s="33" t="str">
        <f aca="false">IF(Varian!$A57="","",Varian!$A57)</f>
        <v/>
      </c>
      <c r="B266" s="33" t="str">
        <f aca="false">IF($A266="","",Aturan!$A$22)</f>
        <v/>
      </c>
      <c r="C266" s="69" t="str">
        <f aca="false">IF($A266="","",IFERROR(IF(ISNUMBER(INDEX(CPU!$J$4:$J$64,MATCH(Varian!$J57,CPU!$A$4:$A$64,0))),INDEX(CPU!$J$4:$J$64,MATCH(Varian!$J57,CPU!$A$4:$A$64,0)),""),""))</f>
        <v/>
      </c>
      <c r="D266" s="69" t="str">
        <f aca="false">IF($A266="","",IFERROR(IF(ISNUMBER(INDEX(GPU!$G$4:$G$64,MATCH(Varian!$K57,GPU!$A$4:$A$64,0))),INDEX(GPU!$G$4:$G$64,MATCH(Varian!$K57,GPU!$A$4:$A$64,0)),""),""))</f>
        <v/>
      </c>
      <c r="E266" s="69" t="str">
        <f aca="false">IF($A266="","",IF(ISNUMBER(Varian!$M57),Varian!$M57,""))</f>
        <v/>
      </c>
      <c r="F266" s="69" t="str">
        <f aca="false">IF($A266="","",IF(ISNUMBER(Varian!$V57),Varian!$V57,""))</f>
        <v/>
      </c>
      <c r="G266" s="69" t="str">
        <f aca="false">IF($A266="","",IFERROR(INDEX(Aturan!$B$63:$B$66,MATCH(Varian!$AG57,Aturan!$A$63:$A$66,0)),""))</f>
        <v/>
      </c>
      <c r="H266" s="69" t="str">
        <f aca="false">IF($A266="","",IF(ISNUMBER(Varian!$AI57),Varian!$AI57,""))</f>
        <v/>
      </c>
      <c r="I266" s="33" t="str">
        <f aca="false">IF($A266="","",IF(Varian!$Q57="disolder","menempel di papan utama, tidak bisa ditambah",IF(OR(Varian!$Q57="slot",Varian!$Q57="setengah_disolder"),IF(Varian!$Q57="setengah_disolder","sebagian menempel, ","")&amp;IF(ISNUMBER(Varian!$U57),IF(AND(ISNUMBER(Varian!$M57),Varian!$U57&gt;Varian!$M57),"bisa dinaikkan lewat slot sampai "&amp;Varian!$U57&amp;" GB","sudah di batas maksimal "&amp;Varian!$U57&amp;" GB"),"ada slot, batas maksimalnya belum diketahui"),"belum diketahui apakah bisa ditambah")))</f>
        <v/>
      </c>
      <c r="J266" s="33" t="str">
        <f aca="false">IF($A266="","",IF(Varian!$Z57="ya","bisa diganti dengan yang lebih besar",IF(Varian!$Z57="tidak","menempel, tidak bisa diganti","belum diketahui apakah bisa diganti")))</f>
        <v/>
      </c>
      <c r="K266" s="70" t="str">
        <f aca="false">IF($A266="","",IF(AND(Aturan!$C$36="",Aturan!$D$36=""),"Tidak dinilai",IF(C266="","Belum ada data",IF(C266&lt;IF(Aturan!$C$36="",0,Aturan!$C$36),"Kurang",IF(C266&gt;=IF(Aturan!$D$36="",Aturan!$C$36,Aturan!$D$36),"Nyaman","Cukup")))))</f>
        <v/>
      </c>
      <c r="L266" s="70" t="str">
        <f aca="false">IF($A266="","",IF(AND(Aturan!$C$37="",Aturan!$D$37=""),"Tidak dinilai",IF(D266="","Belum ada data",IF(D266&lt;IF(Aturan!$C$37="",0,Aturan!$C$37),"Kurang",IF(D266&gt;=IF(Aturan!$D$37="",Aturan!$C$37,Aturan!$D$37),"Nyaman","Cukup")))))</f>
        <v/>
      </c>
      <c r="M266" s="70" t="str">
        <f aca="false">IF($A266="","",IF(AND(Aturan!$C$38="",Aturan!$D$38=""),"Tidak dinilai",IF(E266="","Belum ada data",IF(E266&lt;IF(Aturan!$C$38="",0,Aturan!$C$38),"Kurang",IF(E266&gt;=IF(Aturan!$D$38="",Aturan!$C$38,Aturan!$D$38),"Nyaman","Cukup")))))</f>
        <v/>
      </c>
      <c r="N266" s="70" t="str">
        <f aca="false">IF($A266="","",IF(AND(Aturan!$C$39="",Aturan!$D$39=""),"Tidak dinilai",IF(F266="","Belum ada data",IF(F266&lt;IF(Aturan!$C$39="",0,Aturan!$C$39),"Kurang",IF(F266&gt;=IF(Aturan!$D$39="",Aturan!$C$39,Aturan!$D$39),"Nyaman","Cukup")))))</f>
        <v/>
      </c>
      <c r="O266" s="70" t="str">
        <f aca="false">IF($A266="","",IF(AND(Aturan!$C$40="",Aturan!$D$40=""),"Tidak dinilai",IF(G266="","Belum ada data",IF(G266&lt;IF(Aturan!$C$40="",0,Aturan!$C$40),"Kurang",IF(G266&gt;=IF(Aturan!$D$40="",Aturan!$C$40,Aturan!$D$40),"Nyaman","Cukup")))))</f>
        <v/>
      </c>
      <c r="P266" s="70" t="str">
        <f aca="false">IF($A266="","",IF(AND(Aturan!$C$41="",Aturan!$D$41=""),"Tidak dinilai",IF(H266="","Belum ada data",IF(H266&lt;IF(Aturan!$C$41="",0,Aturan!$C$41),"Kurang",IF(H266&gt;=IF(Aturan!$D$41="",Aturan!$C$41,Aturan!$D$41),"Nyaman","Cukup")))))</f>
        <v/>
      </c>
      <c r="Q266" s="70" t="str">
        <f aca="false">IF($A266="","",IF(COUNTIF(K266:P266,"Tidak dinilai")=6,"Tidak dinilai",IF(COUNTIF(K266:P266,"Kurang")&gt;0,"Kurang cocok",IF(COUNTIF(K266:P266,"Belum ada data")&gt;0,"Data belum lengkap",IF(COUNTIF(K266:P266,"Cukup")&gt;0,"Bisa, dengan catatan","Cocok")))))</f>
        <v/>
      </c>
      <c r="R266" s="33" t="str">
        <f aca="false">IF($A266="","",IF(K266="Kurang","prosesor tingkat "&amp;C266&amp;" dari 5, di bawah batas minimal (tingkat "&amp;Aturan!$C$36&amp;")",IF(K266="Cukup","prosesor tingkat "&amp;C266&amp;" dari 5 cukup, nyamannya mulai tingkat "&amp;Aturan!$D$36,IF(K266="Belum ada data","tingkat prosesor belum diisi",""))))</f>
        <v/>
      </c>
      <c r="S266" s="33" t="str">
        <f aca="false">IF($A266="","",IF(L266="Kurang","grafis tingkat "&amp;D266&amp;" dari 5, di bawah batas minimal (tingkat "&amp;Aturan!$C$37&amp;")",IF(L266="Cukup","grafis tingkat "&amp;D266&amp;" dari 5 cukup, nyamannya mulai tingkat "&amp;Aturan!$D$37,IF(L266="Belum ada data","tingkat grafis belum diisi",""))))</f>
        <v/>
      </c>
      <c r="T266" s="33" t="str">
        <f aca="false">IF($A266="","",IF(M266="Kurang","RAM "&amp;E266&amp;" GB, di bawah batas minimal "&amp;Aturan!$C$38&amp;" GB ("&amp;I266&amp;")",IF(M266="Cukup","RAM "&amp;E266&amp;" GB cukup, nyamannya "&amp;Aturan!$D$38&amp;" GB atau lebih ("&amp;I266&amp;")",IF(M266="Belum ada data","ukuran RAM belum diisi",""))))</f>
        <v/>
      </c>
      <c r="U266" s="33" t="str">
        <f aca="false">IF($A266="","",IF(N266="Kurang","penyimpanan "&amp;F266&amp;" GB, di bawah batas minimal "&amp;Aturan!$C$39&amp;" GB ("&amp;J266&amp;")",IF(N266="Cukup","penyimpanan "&amp;F266&amp;" GB cukup, nyamannya "&amp;Aturan!$D$39&amp;" GB atau lebih ("&amp;J266&amp;")",IF(N266="Belum ada data","ukuran penyimpanan belum diisi",""))))</f>
        <v/>
      </c>
      <c r="V266" s="33" t="str">
        <f aca="false">IF($A266="","",IF(O266="Kurang","layar "&amp;Varian!$AG57&amp;", di bawah batas minimal ("&amp;IFERROR(INDEX(Aturan!$A$63:$A$66,MATCH(Aturan!$C$40,Aturan!$B$63:$B$66,0)),"peringkat "&amp;Aturan!$C$40)&amp;")",IF(O266="Cukup","layar "&amp;Varian!$AG57&amp;" cukup, nyamannya "&amp;IFERROR(INDEX(Aturan!$A$63:$A$66,MATCH(Aturan!$D$40,Aturan!$B$63:$B$66,0)),"peringkat "&amp;Aturan!$D$40),IF(O266="Belum ada data","jenis layar belum diketahui",""))))</f>
        <v/>
      </c>
      <c r="W266" s="33" t="str">
        <f aca="false">IF($A266="","",IF(P266="Kurang","layar "&amp;H266&amp;" Hz, di bawah batas minimal "&amp;Aturan!$C$41&amp;" Hz",IF(P266="Cukup","layar "&amp;H266&amp;" Hz cukup, nyamannya "&amp;Aturan!$D$41&amp;" Hz atau lebih",IF(P266="Belum ada data","refresh rate belum diketahui",""))))</f>
        <v/>
      </c>
      <c r="X266" s="33" t="str">
        <f aca="false">IF($A266="","",IF(K266="Kurang",R266&amp;"; ","")&amp;IF(L266="Kurang",S266&amp;"; ","")&amp;IF(M266="Kurang",T266&amp;"; ","")&amp;IF(N266="Kurang",U266&amp;"; ","")&amp;IF(O266="Kurang",V266&amp;"; ","")&amp;IF(P266="Kurang",W266&amp;"; ","")&amp;IF(K266="Belum ada data",R266&amp;"; ","")&amp;IF(L266="Belum ada data",S266&amp;"; ","")&amp;IF(M266="Belum ada data",T266&amp;"; ","")&amp;IF(N266="Belum ada data",U266&amp;"; ","")&amp;IF(O266="Belum ada data",V266&amp;"; ","")&amp;IF(P266="Belum ada data",W266&amp;"; ","")&amp;IF(K266="Cukup",R266&amp;"; ","")&amp;IF(L266="Cukup",S266&amp;"; ","")&amp;IF(M266="Cukup",T266&amp;"; ","")&amp;IF(N266="Cukup",U266&amp;"; ","")&amp;IF(O266="Cukup",V266&amp;"; ","")&amp;IF(P266="Cukup",W266&amp;"; ",""))</f>
        <v/>
      </c>
      <c r="Y266" s="33" t="str">
        <f aca="false">IF($A266="","",IF(K266="Nyaman","prosesor, ","")&amp;IF(L266="Nyaman","grafis, ","")&amp;IF(M266="Nyaman","RAM, ","")&amp;IF(N266="Nyaman","penyimpanan, ","")&amp;IF(O266="Nyaman","layar, ","")&amp;IF(P266="Nyaman","refresh rate, ",""))</f>
        <v/>
      </c>
      <c r="Z266" s="33" t="str">
        <f aca="false">IF($A266="","",IF(Q266="Tidak dinilai","Belum ada kriteria yang dinilai untuk kebutuhan ini.",IF(Q266="Cocok","Semua kriteria yang dinilai sudah nyaman: "&amp;LEFT(Y266,LEN(Y266)-2)&amp;".",UPPER(LEFT(X266,1))&amp;MID(X266,2,LEN(X266)-3)&amp;"."&amp;IF(Y266="",""," Sudah nyaman: "&amp;LEFT(Y266,LEN(Y266)-2)&amp;"."))))</f>
        <v/>
      </c>
      <c r="AA266" s="33"/>
      <c r="AB266" s="33"/>
      <c r="AC266" s="69"/>
    </row>
    <row r="267" customFormat="false" ht="15" hidden="false" customHeight="true" outlineLevel="0" collapsed="false">
      <c r="A267" s="33" t="str">
        <f aca="false">IF(Varian!$A57="","",Varian!$A57)</f>
        <v/>
      </c>
      <c r="B267" s="33" t="str">
        <f aca="false">IF($A267="","",Aturan!$A$23)</f>
        <v/>
      </c>
      <c r="C267" s="69" t="str">
        <f aca="false">IF($A267="","",IFERROR(IF(ISNUMBER(INDEX(CPU!$J$4:$J$64,MATCH(Varian!$J57,CPU!$A$4:$A$64,0))),INDEX(CPU!$J$4:$J$64,MATCH(Varian!$J57,CPU!$A$4:$A$64,0)),""),""))</f>
        <v/>
      </c>
      <c r="D267" s="69" t="str">
        <f aca="false">IF($A267="","",IFERROR(IF(ISNUMBER(INDEX(GPU!$G$4:$G$64,MATCH(Varian!$K57,GPU!$A$4:$A$64,0))),INDEX(GPU!$G$4:$G$64,MATCH(Varian!$K57,GPU!$A$4:$A$64,0)),""),""))</f>
        <v/>
      </c>
      <c r="E267" s="69" t="str">
        <f aca="false">IF($A267="","",IF(ISNUMBER(Varian!$M57),Varian!$M57,""))</f>
        <v/>
      </c>
      <c r="F267" s="69" t="str">
        <f aca="false">IF($A267="","",IF(ISNUMBER(Varian!$V57),Varian!$V57,""))</f>
        <v/>
      </c>
      <c r="G267" s="69" t="str">
        <f aca="false">IF($A267="","",IFERROR(INDEX(Aturan!$B$63:$B$66,MATCH(Varian!$AG57,Aturan!$A$63:$A$66,0)),""))</f>
        <v/>
      </c>
      <c r="H267" s="69" t="str">
        <f aca="false">IF($A267="","",IF(ISNUMBER(Varian!$AI57),Varian!$AI57,""))</f>
        <v/>
      </c>
      <c r="I267" s="33" t="str">
        <f aca="false">IF($A267="","",IF(Varian!$Q57="disolder","menempel di papan utama, tidak bisa ditambah",IF(OR(Varian!$Q57="slot",Varian!$Q57="setengah_disolder"),IF(Varian!$Q57="setengah_disolder","sebagian menempel, ","")&amp;IF(ISNUMBER(Varian!$U57),IF(AND(ISNUMBER(Varian!$M57),Varian!$U57&gt;Varian!$M57),"bisa dinaikkan lewat slot sampai "&amp;Varian!$U57&amp;" GB","sudah di batas maksimal "&amp;Varian!$U57&amp;" GB"),"ada slot, batas maksimalnya belum diketahui"),"belum diketahui apakah bisa ditambah")))</f>
        <v/>
      </c>
      <c r="J267" s="33" t="str">
        <f aca="false">IF($A267="","",IF(Varian!$Z57="ya","bisa diganti dengan yang lebih besar",IF(Varian!$Z57="tidak","menempel, tidak bisa diganti","belum diketahui apakah bisa diganti")))</f>
        <v/>
      </c>
      <c r="K267" s="70" t="str">
        <f aca="false">IF($A267="","",IF(AND(Aturan!$C$42="",Aturan!$D$42=""),"Tidak dinilai",IF(C267="","Belum ada data",IF(C267&lt;IF(Aturan!$C$42="",0,Aturan!$C$42),"Kurang",IF(C267&gt;=IF(Aturan!$D$42="",Aturan!$C$42,Aturan!$D$42),"Nyaman","Cukup")))))</f>
        <v/>
      </c>
      <c r="L267" s="70" t="str">
        <f aca="false">IF($A267="","",IF(AND(Aturan!$C$43="",Aturan!$D$43=""),"Tidak dinilai",IF(D267="","Belum ada data",IF(D267&lt;IF(Aturan!$C$43="",0,Aturan!$C$43),"Kurang",IF(D267&gt;=IF(Aturan!$D$43="",Aturan!$C$43,Aturan!$D$43),"Nyaman","Cukup")))))</f>
        <v/>
      </c>
      <c r="M267" s="70" t="str">
        <f aca="false">IF($A267="","",IF(AND(Aturan!$C$44="",Aturan!$D$44=""),"Tidak dinilai",IF(E267="","Belum ada data",IF(E267&lt;IF(Aturan!$C$44="",0,Aturan!$C$44),"Kurang",IF(E267&gt;=IF(Aturan!$D$44="",Aturan!$C$44,Aturan!$D$44),"Nyaman","Cukup")))))</f>
        <v/>
      </c>
      <c r="N267" s="70" t="str">
        <f aca="false">IF($A267="","",IF(AND(Aturan!$C$45="",Aturan!$D$45=""),"Tidak dinilai",IF(F267="","Belum ada data",IF(F267&lt;IF(Aturan!$C$45="",0,Aturan!$C$45),"Kurang",IF(F267&gt;=IF(Aturan!$D$45="",Aturan!$C$45,Aturan!$D$45),"Nyaman","Cukup")))))</f>
        <v/>
      </c>
      <c r="O267" s="70" t="str">
        <f aca="false">IF($A267="","",IF(AND(Aturan!$C$46="",Aturan!$D$46=""),"Tidak dinilai",IF(G267="","Belum ada data",IF(G267&lt;IF(Aturan!$C$46="",0,Aturan!$C$46),"Kurang",IF(G267&gt;=IF(Aturan!$D$46="",Aturan!$C$46,Aturan!$D$46),"Nyaman","Cukup")))))</f>
        <v/>
      </c>
      <c r="P267" s="70" t="str">
        <f aca="false">IF($A267="","",IF(AND(Aturan!$C$47="",Aturan!$D$47=""),"Tidak dinilai",IF(H267="","Belum ada data",IF(H267&lt;IF(Aturan!$C$47="",0,Aturan!$C$47),"Kurang",IF(H267&gt;=IF(Aturan!$D$47="",Aturan!$C$47,Aturan!$D$47),"Nyaman","Cukup")))))</f>
        <v/>
      </c>
      <c r="Q267" s="70" t="str">
        <f aca="false">IF($A267="","",IF(COUNTIF(K267:P267,"Tidak dinilai")=6,"Tidak dinilai",IF(COUNTIF(K267:P267,"Kurang")&gt;0,"Kurang cocok",IF(COUNTIF(K267:P267,"Belum ada data")&gt;0,"Data belum lengkap",IF(COUNTIF(K267:P267,"Cukup")&gt;0,"Bisa, dengan catatan","Cocok")))))</f>
        <v/>
      </c>
      <c r="R267" s="33" t="str">
        <f aca="false">IF($A267="","",IF(K267="Kurang","prosesor tingkat "&amp;C267&amp;" dari 5, di bawah batas minimal (tingkat "&amp;Aturan!$C$42&amp;")",IF(K267="Cukup","prosesor tingkat "&amp;C267&amp;" dari 5 cukup, nyamannya mulai tingkat "&amp;Aturan!$D$42,IF(K267="Belum ada data","tingkat prosesor belum diisi",""))))</f>
        <v/>
      </c>
      <c r="S267" s="33" t="str">
        <f aca="false">IF($A267="","",IF(L267="Kurang","grafis tingkat "&amp;D267&amp;" dari 5, di bawah batas minimal (tingkat "&amp;Aturan!$C$43&amp;")",IF(L267="Cukup","grafis tingkat "&amp;D267&amp;" dari 5 cukup, nyamannya mulai tingkat "&amp;Aturan!$D$43,IF(L267="Belum ada data","tingkat grafis belum diisi",""))))</f>
        <v/>
      </c>
      <c r="T267" s="33" t="str">
        <f aca="false">IF($A267="","",IF(M267="Kurang","RAM "&amp;E267&amp;" GB, di bawah batas minimal "&amp;Aturan!$C$44&amp;" GB ("&amp;I267&amp;")",IF(M267="Cukup","RAM "&amp;E267&amp;" GB cukup, nyamannya "&amp;Aturan!$D$44&amp;" GB atau lebih ("&amp;I267&amp;")",IF(M267="Belum ada data","ukuran RAM belum diisi",""))))</f>
        <v/>
      </c>
      <c r="U267" s="33" t="str">
        <f aca="false">IF($A267="","",IF(N267="Kurang","penyimpanan "&amp;F267&amp;" GB, di bawah batas minimal "&amp;Aturan!$C$45&amp;" GB ("&amp;J267&amp;")",IF(N267="Cukup","penyimpanan "&amp;F267&amp;" GB cukup, nyamannya "&amp;Aturan!$D$45&amp;" GB atau lebih ("&amp;J267&amp;")",IF(N267="Belum ada data","ukuran penyimpanan belum diisi",""))))</f>
        <v/>
      </c>
      <c r="V267" s="33" t="str">
        <f aca="false">IF($A267="","",IF(O267="Kurang","layar "&amp;Varian!$AG57&amp;", di bawah batas minimal ("&amp;IFERROR(INDEX(Aturan!$A$63:$A$66,MATCH(Aturan!$C$46,Aturan!$B$63:$B$66,0)),"peringkat "&amp;Aturan!$C$46)&amp;")",IF(O267="Cukup","layar "&amp;Varian!$AG57&amp;" cukup, nyamannya "&amp;IFERROR(INDEX(Aturan!$A$63:$A$66,MATCH(Aturan!$D$46,Aturan!$B$63:$B$66,0)),"peringkat "&amp;Aturan!$D$46),IF(O267="Belum ada data","jenis layar belum diketahui",""))))</f>
        <v/>
      </c>
      <c r="W267" s="33" t="str">
        <f aca="false">IF($A267="","",IF(P267="Kurang","layar "&amp;H267&amp;" Hz, di bawah batas minimal "&amp;Aturan!$C$47&amp;" Hz",IF(P267="Cukup","layar "&amp;H267&amp;" Hz cukup, nyamannya "&amp;Aturan!$D$47&amp;" Hz atau lebih",IF(P267="Belum ada data","refresh rate belum diketahui",""))))</f>
        <v/>
      </c>
      <c r="X267" s="33" t="str">
        <f aca="false">IF($A267="","",IF(K267="Kurang",R267&amp;"; ","")&amp;IF(L267="Kurang",S267&amp;"; ","")&amp;IF(M267="Kurang",T267&amp;"; ","")&amp;IF(N267="Kurang",U267&amp;"; ","")&amp;IF(O267="Kurang",V267&amp;"; ","")&amp;IF(P267="Kurang",W267&amp;"; ","")&amp;IF(K267="Belum ada data",R267&amp;"; ","")&amp;IF(L267="Belum ada data",S267&amp;"; ","")&amp;IF(M267="Belum ada data",T267&amp;"; ","")&amp;IF(N267="Belum ada data",U267&amp;"; ","")&amp;IF(O267="Belum ada data",V267&amp;"; ","")&amp;IF(P267="Belum ada data",W267&amp;"; ","")&amp;IF(K267="Cukup",R267&amp;"; ","")&amp;IF(L267="Cukup",S267&amp;"; ","")&amp;IF(M267="Cukup",T267&amp;"; ","")&amp;IF(N267="Cukup",U267&amp;"; ","")&amp;IF(O267="Cukup",V267&amp;"; ","")&amp;IF(P267="Cukup",W267&amp;"; ",""))</f>
        <v/>
      </c>
      <c r="Y267" s="33" t="str">
        <f aca="false">IF($A267="","",IF(K267="Nyaman","prosesor, ","")&amp;IF(L267="Nyaman","grafis, ","")&amp;IF(M267="Nyaman","RAM, ","")&amp;IF(N267="Nyaman","penyimpanan, ","")&amp;IF(O267="Nyaman","layar, ","")&amp;IF(P267="Nyaman","refresh rate, ",""))</f>
        <v/>
      </c>
      <c r="Z267" s="33" t="str">
        <f aca="false">IF($A267="","",IF(Q267="Tidak dinilai","Belum ada kriteria yang dinilai untuk kebutuhan ini.",IF(Q267="Cocok","Semua kriteria yang dinilai sudah nyaman: "&amp;LEFT(Y267,LEN(Y267)-2)&amp;".",UPPER(LEFT(X267,1))&amp;MID(X267,2,LEN(X267)-3)&amp;"."&amp;IF(Y267="",""," Sudah nyaman: "&amp;LEFT(Y267,LEN(Y267)-2)&amp;"."))))</f>
        <v/>
      </c>
      <c r="AA267" s="33"/>
      <c r="AB267" s="33"/>
      <c r="AC267" s="69"/>
    </row>
    <row r="268" customFormat="false" ht="15" hidden="false" customHeight="true" outlineLevel="0" collapsed="false">
      <c r="A268" s="33" t="str">
        <f aca="false">IF(Varian!$A57="","",Varian!$A57)</f>
        <v/>
      </c>
      <c r="B268" s="33" t="str">
        <f aca="false">IF($A268="","",Aturan!$A$24)</f>
        <v/>
      </c>
      <c r="C268" s="69" t="str">
        <f aca="false">IF($A268="","",IFERROR(IF(ISNUMBER(INDEX(CPU!$J$4:$J$64,MATCH(Varian!$J57,CPU!$A$4:$A$64,0))),INDEX(CPU!$J$4:$J$64,MATCH(Varian!$J57,CPU!$A$4:$A$64,0)),""),""))</f>
        <v/>
      </c>
      <c r="D268" s="69" t="str">
        <f aca="false">IF($A268="","",IFERROR(IF(ISNUMBER(INDEX(GPU!$G$4:$G$64,MATCH(Varian!$K57,GPU!$A$4:$A$64,0))),INDEX(GPU!$G$4:$G$64,MATCH(Varian!$K57,GPU!$A$4:$A$64,0)),""),""))</f>
        <v/>
      </c>
      <c r="E268" s="69" t="str">
        <f aca="false">IF($A268="","",IF(ISNUMBER(Varian!$M57),Varian!$M57,""))</f>
        <v/>
      </c>
      <c r="F268" s="69" t="str">
        <f aca="false">IF($A268="","",IF(ISNUMBER(Varian!$V57),Varian!$V57,""))</f>
        <v/>
      </c>
      <c r="G268" s="69" t="str">
        <f aca="false">IF($A268="","",IFERROR(INDEX(Aturan!$B$63:$B$66,MATCH(Varian!$AG57,Aturan!$A$63:$A$66,0)),""))</f>
        <v/>
      </c>
      <c r="H268" s="69" t="str">
        <f aca="false">IF($A268="","",IF(ISNUMBER(Varian!$AI57),Varian!$AI57,""))</f>
        <v/>
      </c>
      <c r="I268" s="33" t="str">
        <f aca="false">IF($A268="","",IF(Varian!$Q57="disolder","menempel di papan utama, tidak bisa ditambah",IF(OR(Varian!$Q57="slot",Varian!$Q57="setengah_disolder"),IF(Varian!$Q57="setengah_disolder","sebagian menempel, ","")&amp;IF(ISNUMBER(Varian!$U57),IF(AND(ISNUMBER(Varian!$M57),Varian!$U57&gt;Varian!$M57),"bisa dinaikkan lewat slot sampai "&amp;Varian!$U57&amp;" GB","sudah di batas maksimal "&amp;Varian!$U57&amp;" GB"),"ada slot, batas maksimalnya belum diketahui"),"belum diketahui apakah bisa ditambah")))</f>
        <v/>
      </c>
      <c r="J268" s="33" t="str">
        <f aca="false">IF($A268="","",IF(Varian!$Z57="ya","bisa diganti dengan yang lebih besar",IF(Varian!$Z57="tidak","menempel, tidak bisa diganti","belum diketahui apakah bisa diganti")))</f>
        <v/>
      </c>
      <c r="K268" s="70" t="str">
        <f aca="false">IF($A268="","",IF(AND(Aturan!$C$48="",Aturan!$D$48=""),"Tidak dinilai",IF(C268="","Belum ada data",IF(C268&lt;IF(Aturan!$C$48="",0,Aturan!$C$48),"Kurang",IF(C268&gt;=IF(Aturan!$D$48="",Aturan!$C$48,Aturan!$D$48),"Nyaman","Cukup")))))</f>
        <v/>
      </c>
      <c r="L268" s="70" t="str">
        <f aca="false">IF($A268="","",IF(AND(Aturan!$C$49="",Aturan!$D$49=""),"Tidak dinilai",IF(D268="","Belum ada data",IF(D268&lt;IF(Aturan!$C$49="",0,Aturan!$C$49),"Kurang",IF(D268&gt;=IF(Aturan!$D$49="",Aturan!$C$49,Aturan!$D$49),"Nyaman","Cukup")))))</f>
        <v/>
      </c>
      <c r="M268" s="70" t="str">
        <f aca="false">IF($A268="","",IF(AND(Aturan!$C$50="",Aturan!$D$50=""),"Tidak dinilai",IF(E268="","Belum ada data",IF(E268&lt;IF(Aturan!$C$50="",0,Aturan!$C$50),"Kurang",IF(E268&gt;=IF(Aturan!$D$50="",Aturan!$C$50,Aturan!$D$50),"Nyaman","Cukup")))))</f>
        <v/>
      </c>
      <c r="N268" s="70" t="str">
        <f aca="false">IF($A268="","",IF(AND(Aturan!$C$51="",Aturan!$D$51=""),"Tidak dinilai",IF(F268="","Belum ada data",IF(F268&lt;IF(Aturan!$C$51="",0,Aturan!$C$51),"Kurang",IF(F268&gt;=IF(Aturan!$D$51="",Aturan!$C$51,Aturan!$D$51),"Nyaman","Cukup")))))</f>
        <v/>
      </c>
      <c r="O268" s="70" t="str">
        <f aca="false">IF($A268="","",IF(AND(Aturan!$C$52="",Aturan!$D$52=""),"Tidak dinilai",IF(G268="","Belum ada data",IF(G268&lt;IF(Aturan!$C$52="",0,Aturan!$C$52),"Kurang",IF(G268&gt;=IF(Aturan!$D$52="",Aturan!$C$52,Aturan!$D$52),"Nyaman","Cukup")))))</f>
        <v/>
      </c>
      <c r="P268" s="70" t="str">
        <f aca="false">IF($A268="","",IF(AND(Aturan!$C$53="",Aturan!$D$53=""),"Tidak dinilai",IF(H268="","Belum ada data",IF(H268&lt;IF(Aturan!$C$53="",0,Aturan!$C$53),"Kurang",IF(H268&gt;=IF(Aturan!$D$53="",Aturan!$C$53,Aturan!$D$53),"Nyaman","Cukup")))))</f>
        <v/>
      </c>
      <c r="Q268" s="70" t="str">
        <f aca="false">IF($A268="","",IF(COUNTIF(K268:P268,"Tidak dinilai")=6,"Tidak dinilai",IF(COUNTIF(K268:P268,"Kurang")&gt;0,"Kurang cocok",IF(COUNTIF(K268:P268,"Belum ada data")&gt;0,"Data belum lengkap",IF(COUNTIF(K268:P268,"Cukup")&gt;0,"Bisa, dengan catatan","Cocok")))))</f>
        <v/>
      </c>
      <c r="R268" s="33" t="str">
        <f aca="false">IF($A268="","",IF(K268="Kurang","prosesor tingkat "&amp;C268&amp;" dari 5, di bawah batas minimal (tingkat "&amp;Aturan!$C$48&amp;")",IF(K268="Cukup","prosesor tingkat "&amp;C268&amp;" dari 5 cukup, nyamannya mulai tingkat "&amp;Aturan!$D$48,IF(K268="Belum ada data","tingkat prosesor belum diisi",""))))</f>
        <v/>
      </c>
      <c r="S268" s="33" t="str">
        <f aca="false">IF($A268="","",IF(L268="Kurang","grafis tingkat "&amp;D268&amp;" dari 5, di bawah batas minimal (tingkat "&amp;Aturan!$C$49&amp;")",IF(L268="Cukup","grafis tingkat "&amp;D268&amp;" dari 5 cukup, nyamannya mulai tingkat "&amp;Aturan!$D$49,IF(L268="Belum ada data","tingkat grafis belum diisi",""))))</f>
        <v/>
      </c>
      <c r="T268" s="33" t="str">
        <f aca="false">IF($A268="","",IF(M268="Kurang","RAM "&amp;E268&amp;" GB, di bawah batas minimal "&amp;Aturan!$C$50&amp;" GB ("&amp;I268&amp;")",IF(M268="Cukup","RAM "&amp;E268&amp;" GB cukup, nyamannya "&amp;Aturan!$D$50&amp;" GB atau lebih ("&amp;I268&amp;")",IF(M268="Belum ada data","ukuran RAM belum diisi",""))))</f>
        <v/>
      </c>
      <c r="U268" s="33" t="str">
        <f aca="false">IF($A268="","",IF(N268="Kurang","penyimpanan "&amp;F268&amp;" GB, di bawah batas minimal "&amp;Aturan!$C$51&amp;" GB ("&amp;J268&amp;")",IF(N268="Cukup","penyimpanan "&amp;F268&amp;" GB cukup, nyamannya "&amp;Aturan!$D$51&amp;" GB atau lebih ("&amp;J268&amp;")",IF(N268="Belum ada data","ukuran penyimpanan belum diisi",""))))</f>
        <v/>
      </c>
      <c r="V268" s="33" t="str">
        <f aca="false">IF($A268="","",IF(O268="Kurang","layar "&amp;Varian!$AG57&amp;", di bawah batas minimal ("&amp;IFERROR(INDEX(Aturan!$A$63:$A$66,MATCH(Aturan!$C$52,Aturan!$B$63:$B$66,0)),"peringkat "&amp;Aturan!$C$52)&amp;")",IF(O268="Cukup","layar "&amp;Varian!$AG57&amp;" cukup, nyamannya "&amp;IFERROR(INDEX(Aturan!$A$63:$A$66,MATCH(Aturan!$D$52,Aturan!$B$63:$B$66,0)),"peringkat "&amp;Aturan!$D$52),IF(O268="Belum ada data","jenis layar belum diketahui",""))))</f>
        <v/>
      </c>
      <c r="W268" s="33" t="str">
        <f aca="false">IF($A268="","",IF(P268="Kurang","layar "&amp;H268&amp;" Hz, di bawah batas minimal "&amp;Aturan!$C$53&amp;" Hz",IF(P268="Cukup","layar "&amp;H268&amp;" Hz cukup, nyamannya "&amp;Aturan!$D$53&amp;" Hz atau lebih",IF(P268="Belum ada data","refresh rate belum diketahui",""))))</f>
        <v/>
      </c>
      <c r="X268" s="33" t="str">
        <f aca="false">IF($A268="","",IF(K268="Kurang",R268&amp;"; ","")&amp;IF(L268="Kurang",S268&amp;"; ","")&amp;IF(M268="Kurang",T268&amp;"; ","")&amp;IF(N268="Kurang",U268&amp;"; ","")&amp;IF(O268="Kurang",V268&amp;"; ","")&amp;IF(P268="Kurang",W268&amp;"; ","")&amp;IF(K268="Belum ada data",R268&amp;"; ","")&amp;IF(L268="Belum ada data",S268&amp;"; ","")&amp;IF(M268="Belum ada data",T268&amp;"; ","")&amp;IF(N268="Belum ada data",U268&amp;"; ","")&amp;IF(O268="Belum ada data",V268&amp;"; ","")&amp;IF(P268="Belum ada data",W268&amp;"; ","")&amp;IF(K268="Cukup",R268&amp;"; ","")&amp;IF(L268="Cukup",S268&amp;"; ","")&amp;IF(M268="Cukup",T268&amp;"; ","")&amp;IF(N268="Cukup",U268&amp;"; ","")&amp;IF(O268="Cukup",V268&amp;"; ","")&amp;IF(P268="Cukup",W268&amp;"; ",""))</f>
        <v/>
      </c>
      <c r="Y268" s="33" t="str">
        <f aca="false">IF($A268="","",IF(K268="Nyaman","prosesor, ","")&amp;IF(L268="Nyaman","grafis, ","")&amp;IF(M268="Nyaman","RAM, ","")&amp;IF(N268="Nyaman","penyimpanan, ","")&amp;IF(O268="Nyaman","layar, ","")&amp;IF(P268="Nyaman","refresh rate, ",""))</f>
        <v/>
      </c>
      <c r="Z268" s="33" t="str">
        <f aca="false">IF($A268="","",IF(Q268="Tidak dinilai","Belum ada kriteria yang dinilai untuk kebutuhan ini.",IF(Q268="Cocok","Semua kriteria yang dinilai sudah nyaman: "&amp;LEFT(Y268,LEN(Y268)-2)&amp;".",UPPER(LEFT(X268,1))&amp;MID(X268,2,LEN(X268)-3)&amp;"."&amp;IF(Y268="",""," Sudah nyaman: "&amp;LEFT(Y268,LEN(Y268)-2)&amp;"."))))</f>
        <v/>
      </c>
      <c r="AA268" s="33"/>
      <c r="AB268" s="33"/>
      <c r="AC268" s="69"/>
    </row>
    <row r="269" customFormat="false" ht="15" hidden="false" customHeight="true" outlineLevel="0" collapsed="false">
      <c r="A269" s="33" t="str">
        <f aca="false">IF(Varian!$A57="","",Varian!$A57)</f>
        <v/>
      </c>
      <c r="B269" s="33" t="str">
        <f aca="false">IF($A269="","",Aturan!$A$25)</f>
        <v/>
      </c>
      <c r="C269" s="69" t="str">
        <f aca="false">IF($A269="","",IFERROR(IF(ISNUMBER(INDEX(CPU!$J$4:$J$64,MATCH(Varian!$J57,CPU!$A$4:$A$64,0))),INDEX(CPU!$J$4:$J$64,MATCH(Varian!$J57,CPU!$A$4:$A$64,0)),""),""))</f>
        <v/>
      </c>
      <c r="D269" s="69" t="str">
        <f aca="false">IF($A269="","",IFERROR(IF(ISNUMBER(INDEX(GPU!$G$4:$G$64,MATCH(Varian!$K57,GPU!$A$4:$A$64,0))),INDEX(GPU!$G$4:$G$64,MATCH(Varian!$K57,GPU!$A$4:$A$64,0)),""),""))</f>
        <v/>
      </c>
      <c r="E269" s="69" t="str">
        <f aca="false">IF($A269="","",IF(ISNUMBER(Varian!$M57),Varian!$M57,""))</f>
        <v/>
      </c>
      <c r="F269" s="69" t="str">
        <f aca="false">IF($A269="","",IF(ISNUMBER(Varian!$V57),Varian!$V57,""))</f>
        <v/>
      </c>
      <c r="G269" s="69" t="str">
        <f aca="false">IF($A269="","",IFERROR(INDEX(Aturan!$B$63:$B$66,MATCH(Varian!$AG57,Aturan!$A$63:$A$66,0)),""))</f>
        <v/>
      </c>
      <c r="H269" s="69" t="str">
        <f aca="false">IF($A269="","",IF(ISNUMBER(Varian!$AI57),Varian!$AI57,""))</f>
        <v/>
      </c>
      <c r="I269" s="33" t="str">
        <f aca="false">IF($A269="","",IF(Varian!$Q57="disolder","menempel di papan utama, tidak bisa ditambah",IF(OR(Varian!$Q57="slot",Varian!$Q57="setengah_disolder"),IF(Varian!$Q57="setengah_disolder","sebagian menempel, ","")&amp;IF(ISNUMBER(Varian!$U57),IF(AND(ISNUMBER(Varian!$M57),Varian!$U57&gt;Varian!$M57),"bisa dinaikkan lewat slot sampai "&amp;Varian!$U57&amp;" GB","sudah di batas maksimal "&amp;Varian!$U57&amp;" GB"),"ada slot, batas maksimalnya belum diketahui"),"belum diketahui apakah bisa ditambah")))</f>
        <v/>
      </c>
      <c r="J269" s="33" t="str">
        <f aca="false">IF($A269="","",IF(Varian!$Z57="ya","bisa diganti dengan yang lebih besar",IF(Varian!$Z57="tidak","menempel, tidak bisa diganti","belum diketahui apakah bisa diganti")))</f>
        <v/>
      </c>
      <c r="K269" s="70" t="str">
        <f aca="false">IF($A269="","",IF(AND(Aturan!$C$54="",Aturan!$D$54=""),"Tidak dinilai",IF(C269="","Belum ada data",IF(C269&lt;IF(Aturan!$C$54="",0,Aturan!$C$54),"Kurang",IF(C269&gt;=IF(Aturan!$D$54="",Aturan!$C$54,Aturan!$D$54),"Nyaman","Cukup")))))</f>
        <v/>
      </c>
      <c r="L269" s="70" t="str">
        <f aca="false">IF($A269="","",IF(AND(Aturan!$C$55="",Aturan!$D$55=""),"Tidak dinilai",IF(D269="","Belum ada data",IF(D269&lt;IF(Aturan!$C$55="",0,Aturan!$C$55),"Kurang",IF(D269&gt;=IF(Aturan!$D$55="",Aturan!$C$55,Aturan!$D$55),"Nyaman","Cukup")))))</f>
        <v/>
      </c>
      <c r="M269" s="70" t="str">
        <f aca="false">IF($A269="","",IF(AND(Aturan!$C$56="",Aturan!$D$56=""),"Tidak dinilai",IF(E269="","Belum ada data",IF(E269&lt;IF(Aturan!$C$56="",0,Aturan!$C$56),"Kurang",IF(E269&gt;=IF(Aturan!$D$56="",Aturan!$C$56,Aturan!$D$56),"Nyaman","Cukup")))))</f>
        <v/>
      </c>
      <c r="N269" s="70" t="str">
        <f aca="false">IF($A269="","",IF(AND(Aturan!$C$57="",Aturan!$D$57=""),"Tidak dinilai",IF(F269="","Belum ada data",IF(F269&lt;IF(Aturan!$C$57="",0,Aturan!$C$57),"Kurang",IF(F269&gt;=IF(Aturan!$D$57="",Aturan!$C$57,Aturan!$D$57),"Nyaman","Cukup")))))</f>
        <v/>
      </c>
      <c r="O269" s="70" t="str">
        <f aca="false">IF($A269="","",IF(AND(Aturan!$C$58="",Aturan!$D$58=""),"Tidak dinilai",IF(G269="","Belum ada data",IF(G269&lt;IF(Aturan!$C$58="",0,Aturan!$C$58),"Kurang",IF(G269&gt;=IF(Aturan!$D$58="",Aturan!$C$58,Aturan!$D$58),"Nyaman","Cukup")))))</f>
        <v/>
      </c>
      <c r="P269" s="70" t="str">
        <f aca="false">IF($A269="","",IF(AND(Aturan!$C$59="",Aturan!$D$59=""),"Tidak dinilai",IF(H269="","Belum ada data",IF(H269&lt;IF(Aturan!$C$59="",0,Aturan!$C$59),"Kurang",IF(H269&gt;=IF(Aturan!$D$59="",Aturan!$C$59,Aturan!$D$59),"Nyaman","Cukup")))))</f>
        <v/>
      </c>
      <c r="Q269" s="70" t="str">
        <f aca="false">IF($A269="","",IF(COUNTIF(K269:P269,"Tidak dinilai")=6,"Tidak dinilai",IF(COUNTIF(K269:P269,"Kurang")&gt;0,"Kurang cocok",IF(COUNTIF(K269:P269,"Belum ada data")&gt;0,"Data belum lengkap",IF(COUNTIF(K269:P269,"Cukup")&gt;0,"Bisa, dengan catatan","Cocok")))))</f>
        <v/>
      </c>
      <c r="R269" s="33" t="str">
        <f aca="false">IF($A269="","",IF(K269="Kurang","prosesor tingkat "&amp;C269&amp;" dari 5, di bawah batas minimal (tingkat "&amp;Aturan!$C$54&amp;")",IF(K269="Cukup","prosesor tingkat "&amp;C269&amp;" dari 5 cukup, nyamannya mulai tingkat "&amp;Aturan!$D$54,IF(K269="Belum ada data","tingkat prosesor belum diisi",""))))</f>
        <v/>
      </c>
      <c r="S269" s="33" t="str">
        <f aca="false">IF($A269="","",IF(L269="Kurang","grafis tingkat "&amp;D269&amp;" dari 5, di bawah batas minimal (tingkat "&amp;Aturan!$C$55&amp;")",IF(L269="Cukup","grafis tingkat "&amp;D269&amp;" dari 5 cukup, nyamannya mulai tingkat "&amp;Aturan!$D$55,IF(L269="Belum ada data","tingkat grafis belum diisi",""))))</f>
        <v/>
      </c>
      <c r="T269" s="33" t="str">
        <f aca="false">IF($A269="","",IF(M269="Kurang","RAM "&amp;E269&amp;" GB, di bawah batas minimal "&amp;Aturan!$C$56&amp;" GB ("&amp;I269&amp;")",IF(M269="Cukup","RAM "&amp;E269&amp;" GB cukup, nyamannya "&amp;Aturan!$D$56&amp;" GB atau lebih ("&amp;I269&amp;")",IF(M269="Belum ada data","ukuran RAM belum diisi",""))))</f>
        <v/>
      </c>
      <c r="U269" s="33" t="str">
        <f aca="false">IF($A269="","",IF(N269="Kurang","penyimpanan "&amp;F269&amp;" GB, di bawah batas minimal "&amp;Aturan!$C$57&amp;" GB ("&amp;J269&amp;")",IF(N269="Cukup","penyimpanan "&amp;F269&amp;" GB cukup, nyamannya "&amp;Aturan!$D$57&amp;" GB atau lebih ("&amp;J269&amp;")",IF(N269="Belum ada data","ukuran penyimpanan belum diisi",""))))</f>
        <v/>
      </c>
      <c r="V269" s="33" t="str">
        <f aca="false">IF($A269="","",IF(O269="Kurang","layar "&amp;Varian!$AG57&amp;", di bawah batas minimal ("&amp;IFERROR(INDEX(Aturan!$A$63:$A$66,MATCH(Aturan!$C$58,Aturan!$B$63:$B$66,0)),"peringkat "&amp;Aturan!$C$58)&amp;")",IF(O269="Cukup","layar "&amp;Varian!$AG57&amp;" cukup, nyamannya "&amp;IFERROR(INDEX(Aturan!$A$63:$A$66,MATCH(Aturan!$D$58,Aturan!$B$63:$B$66,0)),"peringkat "&amp;Aturan!$D$58),IF(O269="Belum ada data","jenis layar belum diketahui",""))))</f>
        <v/>
      </c>
      <c r="W269" s="33" t="str">
        <f aca="false">IF($A269="","",IF(P269="Kurang","layar "&amp;H269&amp;" Hz, di bawah batas minimal "&amp;Aturan!$C$59&amp;" Hz",IF(P269="Cukup","layar "&amp;H269&amp;" Hz cukup, nyamannya "&amp;Aturan!$D$59&amp;" Hz atau lebih",IF(P269="Belum ada data","refresh rate belum diketahui",""))))</f>
        <v/>
      </c>
      <c r="X269" s="33" t="str">
        <f aca="false">IF($A269="","",IF(K269="Kurang",R269&amp;"; ","")&amp;IF(L269="Kurang",S269&amp;"; ","")&amp;IF(M269="Kurang",T269&amp;"; ","")&amp;IF(N269="Kurang",U269&amp;"; ","")&amp;IF(O269="Kurang",V269&amp;"; ","")&amp;IF(P269="Kurang",W269&amp;"; ","")&amp;IF(K269="Belum ada data",R269&amp;"; ","")&amp;IF(L269="Belum ada data",S269&amp;"; ","")&amp;IF(M269="Belum ada data",T269&amp;"; ","")&amp;IF(N269="Belum ada data",U269&amp;"; ","")&amp;IF(O269="Belum ada data",V269&amp;"; ","")&amp;IF(P269="Belum ada data",W269&amp;"; ","")&amp;IF(K269="Cukup",R269&amp;"; ","")&amp;IF(L269="Cukup",S269&amp;"; ","")&amp;IF(M269="Cukup",T269&amp;"; ","")&amp;IF(N269="Cukup",U269&amp;"; ","")&amp;IF(O269="Cukup",V269&amp;"; ","")&amp;IF(P269="Cukup",W269&amp;"; ",""))</f>
        <v/>
      </c>
      <c r="Y269" s="33" t="str">
        <f aca="false">IF($A269="","",IF(K269="Nyaman","prosesor, ","")&amp;IF(L269="Nyaman","grafis, ","")&amp;IF(M269="Nyaman","RAM, ","")&amp;IF(N269="Nyaman","penyimpanan, ","")&amp;IF(O269="Nyaman","layar, ","")&amp;IF(P269="Nyaman","refresh rate, ",""))</f>
        <v/>
      </c>
      <c r="Z269" s="33" t="str">
        <f aca="false">IF($A269="","",IF(Q269="Tidak dinilai","Belum ada kriteria yang dinilai untuk kebutuhan ini.",IF(Q269="Cocok","Semua kriteria yang dinilai sudah nyaman: "&amp;LEFT(Y269,LEN(Y269)-2)&amp;".",UPPER(LEFT(X269,1))&amp;MID(X269,2,LEN(X269)-3)&amp;"."&amp;IF(Y269="",""," Sudah nyaman: "&amp;LEFT(Y269,LEN(Y269)-2)&amp;"."))))</f>
        <v/>
      </c>
      <c r="AA269" s="33"/>
      <c r="AB269" s="33"/>
      <c r="AC269" s="69"/>
    </row>
    <row r="270" customFormat="false" ht="15" hidden="false" customHeight="true" outlineLevel="0" collapsed="false">
      <c r="A270" s="66" t="str">
        <f aca="false">IF(Varian!$A58="","",Varian!$A58)</f>
        <v/>
      </c>
      <c r="B270" s="66" t="str">
        <f aca="false">IF($A270="","",Aturan!$A$21)</f>
        <v/>
      </c>
      <c r="C270" s="67" t="str">
        <f aca="false">IF($A270="","",IFERROR(IF(ISNUMBER(INDEX(CPU!$J$4:$J$64,MATCH(Varian!$J58,CPU!$A$4:$A$64,0))),INDEX(CPU!$J$4:$J$64,MATCH(Varian!$J58,CPU!$A$4:$A$64,0)),""),""))</f>
        <v/>
      </c>
      <c r="D270" s="67" t="str">
        <f aca="false">IF($A270="","",IFERROR(IF(ISNUMBER(INDEX(GPU!$G$4:$G$64,MATCH(Varian!$K58,GPU!$A$4:$A$64,0))),INDEX(GPU!$G$4:$G$64,MATCH(Varian!$K58,GPU!$A$4:$A$64,0)),""),""))</f>
        <v/>
      </c>
      <c r="E270" s="67" t="str">
        <f aca="false">IF($A270="","",IF(ISNUMBER(Varian!$M58),Varian!$M58,""))</f>
        <v/>
      </c>
      <c r="F270" s="67" t="str">
        <f aca="false">IF($A270="","",IF(ISNUMBER(Varian!$V58),Varian!$V58,""))</f>
        <v/>
      </c>
      <c r="G270" s="67" t="str">
        <f aca="false">IF($A270="","",IFERROR(INDEX(Aturan!$B$63:$B$66,MATCH(Varian!$AG58,Aturan!$A$63:$A$66,0)),""))</f>
        <v/>
      </c>
      <c r="H270" s="67" t="str">
        <f aca="false">IF($A270="","",IF(ISNUMBER(Varian!$AI58),Varian!$AI58,""))</f>
        <v/>
      </c>
      <c r="I270" s="66" t="str">
        <f aca="false">IF($A270="","",IF(Varian!$Q58="disolder","menempel di papan utama, tidak bisa ditambah",IF(OR(Varian!$Q58="slot",Varian!$Q58="setengah_disolder"),IF(Varian!$Q58="setengah_disolder","sebagian menempel, ","")&amp;IF(ISNUMBER(Varian!$U58),IF(AND(ISNUMBER(Varian!$M58),Varian!$U58&gt;Varian!$M58),"bisa dinaikkan lewat slot sampai "&amp;Varian!$U58&amp;" GB","sudah di batas maksimal "&amp;Varian!$U58&amp;" GB"),"ada slot, batas maksimalnya belum diketahui"),"belum diketahui apakah bisa ditambah")))</f>
        <v/>
      </c>
      <c r="J270" s="66" t="str">
        <f aca="false">IF($A270="","",IF(Varian!$Z58="ya","bisa diganti dengan yang lebih besar",IF(Varian!$Z58="tidak","menempel, tidak bisa diganti","belum diketahui apakah bisa diganti")))</f>
        <v/>
      </c>
      <c r="K270" s="68" t="str">
        <f aca="false">IF($A270="","",IF(AND(Aturan!$C$30="",Aturan!$D$30=""),"Tidak dinilai",IF(C270="","Belum ada data",IF(C270&lt;IF(Aturan!$C$30="",0,Aturan!$C$30),"Kurang",IF(C270&gt;=IF(Aturan!$D$30="",Aturan!$C$30,Aturan!$D$30),"Nyaman","Cukup")))))</f>
        <v/>
      </c>
      <c r="L270" s="68" t="str">
        <f aca="false">IF($A270="","",IF(AND(Aturan!$C$31="",Aturan!$D$31=""),"Tidak dinilai",IF(D270="","Belum ada data",IF(D270&lt;IF(Aturan!$C$31="",0,Aturan!$C$31),"Kurang",IF(D270&gt;=IF(Aturan!$D$31="",Aturan!$C$31,Aturan!$D$31),"Nyaman","Cukup")))))</f>
        <v/>
      </c>
      <c r="M270" s="68" t="str">
        <f aca="false">IF($A270="","",IF(AND(Aturan!$C$32="",Aturan!$D$32=""),"Tidak dinilai",IF(E270="","Belum ada data",IF(E270&lt;IF(Aturan!$C$32="",0,Aturan!$C$32),"Kurang",IF(E270&gt;=IF(Aturan!$D$32="",Aturan!$C$32,Aturan!$D$32),"Nyaman","Cukup")))))</f>
        <v/>
      </c>
      <c r="N270" s="68" t="str">
        <f aca="false">IF($A270="","",IF(AND(Aturan!$C$33="",Aturan!$D$33=""),"Tidak dinilai",IF(F270="","Belum ada data",IF(F270&lt;IF(Aturan!$C$33="",0,Aturan!$C$33),"Kurang",IF(F270&gt;=IF(Aturan!$D$33="",Aturan!$C$33,Aturan!$D$33),"Nyaman","Cukup")))))</f>
        <v/>
      </c>
      <c r="O270" s="68" t="str">
        <f aca="false">IF($A270="","",IF(AND(Aturan!$C$34="",Aturan!$D$34=""),"Tidak dinilai",IF(G270="","Belum ada data",IF(G270&lt;IF(Aturan!$C$34="",0,Aturan!$C$34),"Kurang",IF(G270&gt;=IF(Aturan!$D$34="",Aturan!$C$34,Aturan!$D$34),"Nyaman","Cukup")))))</f>
        <v/>
      </c>
      <c r="P270" s="68" t="str">
        <f aca="false">IF($A270="","",IF(AND(Aturan!$C$35="",Aturan!$D$35=""),"Tidak dinilai",IF(H270="","Belum ada data",IF(H270&lt;IF(Aturan!$C$35="",0,Aturan!$C$35),"Kurang",IF(H270&gt;=IF(Aturan!$D$35="",Aturan!$C$35,Aturan!$D$35),"Nyaman","Cukup")))))</f>
        <v/>
      </c>
      <c r="Q270" s="68" t="str">
        <f aca="false">IF($A270="","",IF(COUNTIF(K270:P270,"Tidak dinilai")=6,"Tidak dinilai",IF(COUNTIF(K270:P270,"Kurang")&gt;0,"Kurang cocok",IF(COUNTIF(K270:P270,"Belum ada data")&gt;0,"Data belum lengkap",IF(COUNTIF(K270:P270,"Cukup")&gt;0,"Bisa, dengan catatan","Cocok")))))</f>
        <v/>
      </c>
      <c r="R270" s="66" t="str">
        <f aca="false">IF($A270="","",IF(K270="Kurang","prosesor tingkat "&amp;C270&amp;" dari 5, di bawah batas minimal (tingkat "&amp;Aturan!$C$30&amp;")",IF(K270="Cukup","prosesor tingkat "&amp;C270&amp;" dari 5 cukup, nyamannya mulai tingkat "&amp;Aturan!$D$30,IF(K270="Belum ada data","tingkat prosesor belum diisi",""))))</f>
        <v/>
      </c>
      <c r="S270" s="66" t="str">
        <f aca="false">IF($A270="","",IF(L270="Kurang","grafis tingkat "&amp;D270&amp;" dari 5, di bawah batas minimal (tingkat "&amp;Aturan!$C$31&amp;")",IF(L270="Cukup","grafis tingkat "&amp;D270&amp;" dari 5 cukup, nyamannya mulai tingkat "&amp;Aturan!$D$31,IF(L270="Belum ada data","tingkat grafis belum diisi",""))))</f>
        <v/>
      </c>
      <c r="T270" s="66" t="str">
        <f aca="false">IF($A270="","",IF(M270="Kurang","RAM "&amp;E270&amp;" GB, di bawah batas minimal "&amp;Aturan!$C$32&amp;" GB ("&amp;I270&amp;")",IF(M270="Cukup","RAM "&amp;E270&amp;" GB cukup, nyamannya "&amp;Aturan!$D$32&amp;" GB atau lebih ("&amp;I270&amp;")",IF(M270="Belum ada data","ukuran RAM belum diisi",""))))</f>
        <v/>
      </c>
      <c r="U270" s="66" t="str">
        <f aca="false">IF($A270="","",IF(N270="Kurang","penyimpanan "&amp;F270&amp;" GB, di bawah batas minimal "&amp;Aturan!$C$33&amp;" GB ("&amp;J270&amp;")",IF(N270="Cukup","penyimpanan "&amp;F270&amp;" GB cukup, nyamannya "&amp;Aturan!$D$33&amp;" GB atau lebih ("&amp;J270&amp;")",IF(N270="Belum ada data","ukuran penyimpanan belum diisi",""))))</f>
        <v/>
      </c>
      <c r="V270" s="66" t="str">
        <f aca="false">IF($A270="","",IF(O270="Kurang","layar "&amp;Varian!$AG58&amp;", di bawah batas minimal ("&amp;IFERROR(INDEX(Aturan!$A$63:$A$66,MATCH(Aturan!$C$34,Aturan!$B$63:$B$66,0)),"peringkat "&amp;Aturan!$C$34)&amp;")",IF(O270="Cukup","layar "&amp;Varian!$AG58&amp;" cukup, nyamannya "&amp;IFERROR(INDEX(Aturan!$A$63:$A$66,MATCH(Aturan!$D$34,Aturan!$B$63:$B$66,0)),"peringkat "&amp;Aturan!$D$34),IF(O270="Belum ada data","jenis layar belum diketahui",""))))</f>
        <v/>
      </c>
      <c r="W270" s="66" t="str">
        <f aca="false">IF($A270="","",IF(P270="Kurang","layar "&amp;H270&amp;" Hz, di bawah batas minimal "&amp;Aturan!$C$35&amp;" Hz",IF(P270="Cukup","layar "&amp;H270&amp;" Hz cukup, nyamannya "&amp;Aturan!$D$35&amp;" Hz atau lebih",IF(P270="Belum ada data","refresh rate belum diketahui",""))))</f>
        <v/>
      </c>
      <c r="X270" s="66" t="str">
        <f aca="false">IF($A270="","",IF(K270="Kurang",R270&amp;"; ","")&amp;IF(L270="Kurang",S270&amp;"; ","")&amp;IF(M270="Kurang",T270&amp;"; ","")&amp;IF(N270="Kurang",U270&amp;"; ","")&amp;IF(O270="Kurang",V270&amp;"; ","")&amp;IF(P270="Kurang",W270&amp;"; ","")&amp;IF(K270="Belum ada data",R270&amp;"; ","")&amp;IF(L270="Belum ada data",S270&amp;"; ","")&amp;IF(M270="Belum ada data",T270&amp;"; ","")&amp;IF(N270="Belum ada data",U270&amp;"; ","")&amp;IF(O270="Belum ada data",V270&amp;"; ","")&amp;IF(P270="Belum ada data",W270&amp;"; ","")&amp;IF(K270="Cukup",R270&amp;"; ","")&amp;IF(L270="Cukup",S270&amp;"; ","")&amp;IF(M270="Cukup",T270&amp;"; ","")&amp;IF(N270="Cukup",U270&amp;"; ","")&amp;IF(O270="Cukup",V270&amp;"; ","")&amp;IF(P270="Cukup",W270&amp;"; ",""))</f>
        <v/>
      </c>
      <c r="Y270" s="66" t="str">
        <f aca="false">IF($A270="","",IF(K270="Nyaman","prosesor, ","")&amp;IF(L270="Nyaman","grafis, ","")&amp;IF(M270="Nyaman","RAM, ","")&amp;IF(N270="Nyaman","penyimpanan, ","")&amp;IF(O270="Nyaman","layar, ","")&amp;IF(P270="Nyaman","refresh rate, ",""))</f>
        <v/>
      </c>
      <c r="Z270" s="66" t="str">
        <f aca="false">IF($A270="","",IF(Q270="Tidak dinilai","Belum ada kriteria yang dinilai untuk kebutuhan ini.",IF(Q270="Cocok","Semua kriteria yang dinilai sudah nyaman: "&amp;LEFT(Y270,LEN(Y270)-2)&amp;".",UPPER(LEFT(X270,1))&amp;MID(X270,2,LEN(X270)-3)&amp;"."&amp;IF(Y270="",""," Sudah nyaman: "&amp;LEFT(Y270,LEN(Y270)-2)&amp;"."))))</f>
        <v/>
      </c>
      <c r="AA270" s="66" t="str">
        <f aca="false">IF($A270="","",IF(Varian!$AR58="Windows 10","• "&amp;Aturan!$E$71&amp;CHAR(10),"")&amp;IF(Varian!$BB58="tidak","• "&amp;Aturan!$E$72&amp;CHAR(10),"")&amp;IF(OR(Varian!$AD58="belum terverifikasi",Varian!$AD58="tidak diketahui"),"• "&amp;Aturan!$E$73&amp;CHAR(10),"")&amp;IF(Varian!$AH58="1366x768","• "&amp;Aturan!$E$74&amp;CHAR(10),"")&amp;IF(Varian!$AG58="TN","• "&amp;Aturan!$E$75&amp;CHAR(10),"")&amp;IF(AND(Varian!$Q58="disolder",ISNUMBER(Varian!$M58),Varian!$M58&lt;=8),"• "&amp;Aturan!$E$76&amp;CHAR(10),""))</f>
        <v/>
      </c>
      <c r="AB270" s="66" t="str">
        <f aca="false">IF($A270="","",IF(AA270="","",LEFT(AA270,LEN(AA270)-1)))</f>
        <v/>
      </c>
      <c r="AC270" s="67" t="str">
        <f aca="false">IF($A270="","",IF(AA270="",0,LEN(AA270)-LEN(SUBSTITUTE(AA270,CHAR(10),""))))</f>
        <v/>
      </c>
    </row>
    <row r="271" customFormat="false" ht="15" hidden="false" customHeight="true" outlineLevel="0" collapsed="false">
      <c r="A271" s="33" t="str">
        <f aca="false">IF(Varian!$A58="","",Varian!$A58)</f>
        <v/>
      </c>
      <c r="B271" s="33" t="str">
        <f aca="false">IF($A271="","",Aturan!$A$22)</f>
        <v/>
      </c>
      <c r="C271" s="69" t="str">
        <f aca="false">IF($A271="","",IFERROR(IF(ISNUMBER(INDEX(CPU!$J$4:$J$64,MATCH(Varian!$J58,CPU!$A$4:$A$64,0))),INDEX(CPU!$J$4:$J$64,MATCH(Varian!$J58,CPU!$A$4:$A$64,0)),""),""))</f>
        <v/>
      </c>
      <c r="D271" s="69" t="str">
        <f aca="false">IF($A271="","",IFERROR(IF(ISNUMBER(INDEX(GPU!$G$4:$G$64,MATCH(Varian!$K58,GPU!$A$4:$A$64,0))),INDEX(GPU!$G$4:$G$64,MATCH(Varian!$K58,GPU!$A$4:$A$64,0)),""),""))</f>
        <v/>
      </c>
      <c r="E271" s="69" t="str">
        <f aca="false">IF($A271="","",IF(ISNUMBER(Varian!$M58),Varian!$M58,""))</f>
        <v/>
      </c>
      <c r="F271" s="69" t="str">
        <f aca="false">IF($A271="","",IF(ISNUMBER(Varian!$V58),Varian!$V58,""))</f>
        <v/>
      </c>
      <c r="G271" s="69" t="str">
        <f aca="false">IF($A271="","",IFERROR(INDEX(Aturan!$B$63:$B$66,MATCH(Varian!$AG58,Aturan!$A$63:$A$66,0)),""))</f>
        <v/>
      </c>
      <c r="H271" s="69" t="str">
        <f aca="false">IF($A271="","",IF(ISNUMBER(Varian!$AI58),Varian!$AI58,""))</f>
        <v/>
      </c>
      <c r="I271" s="33" t="str">
        <f aca="false">IF($A271="","",IF(Varian!$Q58="disolder","menempel di papan utama, tidak bisa ditambah",IF(OR(Varian!$Q58="slot",Varian!$Q58="setengah_disolder"),IF(Varian!$Q58="setengah_disolder","sebagian menempel, ","")&amp;IF(ISNUMBER(Varian!$U58),IF(AND(ISNUMBER(Varian!$M58),Varian!$U58&gt;Varian!$M58),"bisa dinaikkan lewat slot sampai "&amp;Varian!$U58&amp;" GB","sudah di batas maksimal "&amp;Varian!$U58&amp;" GB"),"ada slot, batas maksimalnya belum diketahui"),"belum diketahui apakah bisa ditambah")))</f>
        <v/>
      </c>
      <c r="J271" s="33" t="str">
        <f aca="false">IF($A271="","",IF(Varian!$Z58="ya","bisa diganti dengan yang lebih besar",IF(Varian!$Z58="tidak","menempel, tidak bisa diganti","belum diketahui apakah bisa diganti")))</f>
        <v/>
      </c>
      <c r="K271" s="70" t="str">
        <f aca="false">IF($A271="","",IF(AND(Aturan!$C$36="",Aturan!$D$36=""),"Tidak dinilai",IF(C271="","Belum ada data",IF(C271&lt;IF(Aturan!$C$36="",0,Aturan!$C$36),"Kurang",IF(C271&gt;=IF(Aturan!$D$36="",Aturan!$C$36,Aturan!$D$36),"Nyaman","Cukup")))))</f>
        <v/>
      </c>
      <c r="L271" s="70" t="str">
        <f aca="false">IF($A271="","",IF(AND(Aturan!$C$37="",Aturan!$D$37=""),"Tidak dinilai",IF(D271="","Belum ada data",IF(D271&lt;IF(Aturan!$C$37="",0,Aturan!$C$37),"Kurang",IF(D271&gt;=IF(Aturan!$D$37="",Aturan!$C$37,Aturan!$D$37),"Nyaman","Cukup")))))</f>
        <v/>
      </c>
      <c r="M271" s="70" t="str">
        <f aca="false">IF($A271="","",IF(AND(Aturan!$C$38="",Aturan!$D$38=""),"Tidak dinilai",IF(E271="","Belum ada data",IF(E271&lt;IF(Aturan!$C$38="",0,Aturan!$C$38),"Kurang",IF(E271&gt;=IF(Aturan!$D$38="",Aturan!$C$38,Aturan!$D$38),"Nyaman","Cukup")))))</f>
        <v/>
      </c>
      <c r="N271" s="70" t="str">
        <f aca="false">IF($A271="","",IF(AND(Aturan!$C$39="",Aturan!$D$39=""),"Tidak dinilai",IF(F271="","Belum ada data",IF(F271&lt;IF(Aturan!$C$39="",0,Aturan!$C$39),"Kurang",IF(F271&gt;=IF(Aturan!$D$39="",Aturan!$C$39,Aturan!$D$39),"Nyaman","Cukup")))))</f>
        <v/>
      </c>
      <c r="O271" s="70" t="str">
        <f aca="false">IF($A271="","",IF(AND(Aturan!$C$40="",Aturan!$D$40=""),"Tidak dinilai",IF(G271="","Belum ada data",IF(G271&lt;IF(Aturan!$C$40="",0,Aturan!$C$40),"Kurang",IF(G271&gt;=IF(Aturan!$D$40="",Aturan!$C$40,Aturan!$D$40),"Nyaman","Cukup")))))</f>
        <v/>
      </c>
      <c r="P271" s="70" t="str">
        <f aca="false">IF($A271="","",IF(AND(Aturan!$C$41="",Aturan!$D$41=""),"Tidak dinilai",IF(H271="","Belum ada data",IF(H271&lt;IF(Aturan!$C$41="",0,Aturan!$C$41),"Kurang",IF(H271&gt;=IF(Aturan!$D$41="",Aturan!$C$41,Aturan!$D$41),"Nyaman","Cukup")))))</f>
        <v/>
      </c>
      <c r="Q271" s="70" t="str">
        <f aca="false">IF($A271="","",IF(COUNTIF(K271:P271,"Tidak dinilai")=6,"Tidak dinilai",IF(COUNTIF(K271:P271,"Kurang")&gt;0,"Kurang cocok",IF(COUNTIF(K271:P271,"Belum ada data")&gt;0,"Data belum lengkap",IF(COUNTIF(K271:P271,"Cukup")&gt;0,"Bisa, dengan catatan","Cocok")))))</f>
        <v/>
      </c>
      <c r="R271" s="33" t="str">
        <f aca="false">IF($A271="","",IF(K271="Kurang","prosesor tingkat "&amp;C271&amp;" dari 5, di bawah batas minimal (tingkat "&amp;Aturan!$C$36&amp;")",IF(K271="Cukup","prosesor tingkat "&amp;C271&amp;" dari 5 cukup, nyamannya mulai tingkat "&amp;Aturan!$D$36,IF(K271="Belum ada data","tingkat prosesor belum diisi",""))))</f>
        <v/>
      </c>
      <c r="S271" s="33" t="str">
        <f aca="false">IF($A271="","",IF(L271="Kurang","grafis tingkat "&amp;D271&amp;" dari 5, di bawah batas minimal (tingkat "&amp;Aturan!$C$37&amp;")",IF(L271="Cukup","grafis tingkat "&amp;D271&amp;" dari 5 cukup, nyamannya mulai tingkat "&amp;Aturan!$D$37,IF(L271="Belum ada data","tingkat grafis belum diisi",""))))</f>
        <v/>
      </c>
      <c r="T271" s="33" t="str">
        <f aca="false">IF($A271="","",IF(M271="Kurang","RAM "&amp;E271&amp;" GB, di bawah batas minimal "&amp;Aturan!$C$38&amp;" GB ("&amp;I271&amp;")",IF(M271="Cukup","RAM "&amp;E271&amp;" GB cukup, nyamannya "&amp;Aturan!$D$38&amp;" GB atau lebih ("&amp;I271&amp;")",IF(M271="Belum ada data","ukuran RAM belum diisi",""))))</f>
        <v/>
      </c>
      <c r="U271" s="33" t="str">
        <f aca="false">IF($A271="","",IF(N271="Kurang","penyimpanan "&amp;F271&amp;" GB, di bawah batas minimal "&amp;Aturan!$C$39&amp;" GB ("&amp;J271&amp;")",IF(N271="Cukup","penyimpanan "&amp;F271&amp;" GB cukup, nyamannya "&amp;Aturan!$D$39&amp;" GB atau lebih ("&amp;J271&amp;")",IF(N271="Belum ada data","ukuran penyimpanan belum diisi",""))))</f>
        <v/>
      </c>
      <c r="V271" s="33" t="str">
        <f aca="false">IF($A271="","",IF(O271="Kurang","layar "&amp;Varian!$AG58&amp;", di bawah batas minimal ("&amp;IFERROR(INDEX(Aturan!$A$63:$A$66,MATCH(Aturan!$C$40,Aturan!$B$63:$B$66,0)),"peringkat "&amp;Aturan!$C$40)&amp;")",IF(O271="Cukup","layar "&amp;Varian!$AG58&amp;" cukup, nyamannya "&amp;IFERROR(INDEX(Aturan!$A$63:$A$66,MATCH(Aturan!$D$40,Aturan!$B$63:$B$66,0)),"peringkat "&amp;Aturan!$D$40),IF(O271="Belum ada data","jenis layar belum diketahui",""))))</f>
        <v/>
      </c>
      <c r="W271" s="33" t="str">
        <f aca="false">IF($A271="","",IF(P271="Kurang","layar "&amp;H271&amp;" Hz, di bawah batas minimal "&amp;Aturan!$C$41&amp;" Hz",IF(P271="Cukup","layar "&amp;H271&amp;" Hz cukup, nyamannya "&amp;Aturan!$D$41&amp;" Hz atau lebih",IF(P271="Belum ada data","refresh rate belum diketahui",""))))</f>
        <v/>
      </c>
      <c r="X271" s="33" t="str">
        <f aca="false">IF($A271="","",IF(K271="Kurang",R271&amp;"; ","")&amp;IF(L271="Kurang",S271&amp;"; ","")&amp;IF(M271="Kurang",T271&amp;"; ","")&amp;IF(N271="Kurang",U271&amp;"; ","")&amp;IF(O271="Kurang",V271&amp;"; ","")&amp;IF(P271="Kurang",W271&amp;"; ","")&amp;IF(K271="Belum ada data",R271&amp;"; ","")&amp;IF(L271="Belum ada data",S271&amp;"; ","")&amp;IF(M271="Belum ada data",T271&amp;"; ","")&amp;IF(N271="Belum ada data",U271&amp;"; ","")&amp;IF(O271="Belum ada data",V271&amp;"; ","")&amp;IF(P271="Belum ada data",W271&amp;"; ","")&amp;IF(K271="Cukup",R271&amp;"; ","")&amp;IF(L271="Cukup",S271&amp;"; ","")&amp;IF(M271="Cukup",T271&amp;"; ","")&amp;IF(N271="Cukup",U271&amp;"; ","")&amp;IF(O271="Cukup",V271&amp;"; ","")&amp;IF(P271="Cukup",W271&amp;"; ",""))</f>
        <v/>
      </c>
      <c r="Y271" s="33" t="str">
        <f aca="false">IF($A271="","",IF(K271="Nyaman","prosesor, ","")&amp;IF(L271="Nyaman","grafis, ","")&amp;IF(M271="Nyaman","RAM, ","")&amp;IF(N271="Nyaman","penyimpanan, ","")&amp;IF(O271="Nyaman","layar, ","")&amp;IF(P271="Nyaman","refresh rate, ",""))</f>
        <v/>
      </c>
      <c r="Z271" s="33" t="str">
        <f aca="false">IF($A271="","",IF(Q271="Tidak dinilai","Belum ada kriteria yang dinilai untuk kebutuhan ini.",IF(Q271="Cocok","Semua kriteria yang dinilai sudah nyaman: "&amp;LEFT(Y271,LEN(Y271)-2)&amp;".",UPPER(LEFT(X271,1))&amp;MID(X271,2,LEN(X271)-3)&amp;"."&amp;IF(Y271="",""," Sudah nyaman: "&amp;LEFT(Y271,LEN(Y271)-2)&amp;"."))))</f>
        <v/>
      </c>
      <c r="AA271" s="33"/>
      <c r="AB271" s="33"/>
      <c r="AC271" s="69"/>
    </row>
    <row r="272" customFormat="false" ht="15" hidden="false" customHeight="true" outlineLevel="0" collapsed="false">
      <c r="A272" s="33" t="str">
        <f aca="false">IF(Varian!$A58="","",Varian!$A58)</f>
        <v/>
      </c>
      <c r="B272" s="33" t="str">
        <f aca="false">IF($A272="","",Aturan!$A$23)</f>
        <v/>
      </c>
      <c r="C272" s="69" t="str">
        <f aca="false">IF($A272="","",IFERROR(IF(ISNUMBER(INDEX(CPU!$J$4:$J$64,MATCH(Varian!$J58,CPU!$A$4:$A$64,0))),INDEX(CPU!$J$4:$J$64,MATCH(Varian!$J58,CPU!$A$4:$A$64,0)),""),""))</f>
        <v/>
      </c>
      <c r="D272" s="69" t="str">
        <f aca="false">IF($A272="","",IFERROR(IF(ISNUMBER(INDEX(GPU!$G$4:$G$64,MATCH(Varian!$K58,GPU!$A$4:$A$64,0))),INDEX(GPU!$G$4:$G$64,MATCH(Varian!$K58,GPU!$A$4:$A$64,0)),""),""))</f>
        <v/>
      </c>
      <c r="E272" s="69" t="str">
        <f aca="false">IF($A272="","",IF(ISNUMBER(Varian!$M58),Varian!$M58,""))</f>
        <v/>
      </c>
      <c r="F272" s="69" t="str">
        <f aca="false">IF($A272="","",IF(ISNUMBER(Varian!$V58),Varian!$V58,""))</f>
        <v/>
      </c>
      <c r="G272" s="69" t="str">
        <f aca="false">IF($A272="","",IFERROR(INDEX(Aturan!$B$63:$B$66,MATCH(Varian!$AG58,Aturan!$A$63:$A$66,0)),""))</f>
        <v/>
      </c>
      <c r="H272" s="69" t="str">
        <f aca="false">IF($A272="","",IF(ISNUMBER(Varian!$AI58),Varian!$AI58,""))</f>
        <v/>
      </c>
      <c r="I272" s="33" t="str">
        <f aca="false">IF($A272="","",IF(Varian!$Q58="disolder","menempel di papan utama, tidak bisa ditambah",IF(OR(Varian!$Q58="slot",Varian!$Q58="setengah_disolder"),IF(Varian!$Q58="setengah_disolder","sebagian menempel, ","")&amp;IF(ISNUMBER(Varian!$U58),IF(AND(ISNUMBER(Varian!$M58),Varian!$U58&gt;Varian!$M58),"bisa dinaikkan lewat slot sampai "&amp;Varian!$U58&amp;" GB","sudah di batas maksimal "&amp;Varian!$U58&amp;" GB"),"ada slot, batas maksimalnya belum diketahui"),"belum diketahui apakah bisa ditambah")))</f>
        <v/>
      </c>
      <c r="J272" s="33" t="str">
        <f aca="false">IF($A272="","",IF(Varian!$Z58="ya","bisa diganti dengan yang lebih besar",IF(Varian!$Z58="tidak","menempel, tidak bisa diganti","belum diketahui apakah bisa diganti")))</f>
        <v/>
      </c>
      <c r="K272" s="70" t="str">
        <f aca="false">IF($A272="","",IF(AND(Aturan!$C$42="",Aturan!$D$42=""),"Tidak dinilai",IF(C272="","Belum ada data",IF(C272&lt;IF(Aturan!$C$42="",0,Aturan!$C$42),"Kurang",IF(C272&gt;=IF(Aturan!$D$42="",Aturan!$C$42,Aturan!$D$42),"Nyaman","Cukup")))))</f>
        <v/>
      </c>
      <c r="L272" s="70" t="str">
        <f aca="false">IF($A272="","",IF(AND(Aturan!$C$43="",Aturan!$D$43=""),"Tidak dinilai",IF(D272="","Belum ada data",IF(D272&lt;IF(Aturan!$C$43="",0,Aturan!$C$43),"Kurang",IF(D272&gt;=IF(Aturan!$D$43="",Aturan!$C$43,Aturan!$D$43),"Nyaman","Cukup")))))</f>
        <v/>
      </c>
      <c r="M272" s="70" t="str">
        <f aca="false">IF($A272="","",IF(AND(Aturan!$C$44="",Aturan!$D$44=""),"Tidak dinilai",IF(E272="","Belum ada data",IF(E272&lt;IF(Aturan!$C$44="",0,Aturan!$C$44),"Kurang",IF(E272&gt;=IF(Aturan!$D$44="",Aturan!$C$44,Aturan!$D$44),"Nyaman","Cukup")))))</f>
        <v/>
      </c>
      <c r="N272" s="70" t="str">
        <f aca="false">IF($A272="","",IF(AND(Aturan!$C$45="",Aturan!$D$45=""),"Tidak dinilai",IF(F272="","Belum ada data",IF(F272&lt;IF(Aturan!$C$45="",0,Aturan!$C$45),"Kurang",IF(F272&gt;=IF(Aturan!$D$45="",Aturan!$C$45,Aturan!$D$45),"Nyaman","Cukup")))))</f>
        <v/>
      </c>
      <c r="O272" s="70" t="str">
        <f aca="false">IF($A272="","",IF(AND(Aturan!$C$46="",Aturan!$D$46=""),"Tidak dinilai",IF(G272="","Belum ada data",IF(G272&lt;IF(Aturan!$C$46="",0,Aturan!$C$46),"Kurang",IF(G272&gt;=IF(Aturan!$D$46="",Aturan!$C$46,Aturan!$D$46),"Nyaman","Cukup")))))</f>
        <v/>
      </c>
      <c r="P272" s="70" t="str">
        <f aca="false">IF($A272="","",IF(AND(Aturan!$C$47="",Aturan!$D$47=""),"Tidak dinilai",IF(H272="","Belum ada data",IF(H272&lt;IF(Aturan!$C$47="",0,Aturan!$C$47),"Kurang",IF(H272&gt;=IF(Aturan!$D$47="",Aturan!$C$47,Aturan!$D$47),"Nyaman","Cukup")))))</f>
        <v/>
      </c>
      <c r="Q272" s="70" t="str">
        <f aca="false">IF($A272="","",IF(COUNTIF(K272:P272,"Tidak dinilai")=6,"Tidak dinilai",IF(COUNTIF(K272:P272,"Kurang")&gt;0,"Kurang cocok",IF(COUNTIF(K272:P272,"Belum ada data")&gt;0,"Data belum lengkap",IF(COUNTIF(K272:P272,"Cukup")&gt;0,"Bisa, dengan catatan","Cocok")))))</f>
        <v/>
      </c>
      <c r="R272" s="33" t="str">
        <f aca="false">IF($A272="","",IF(K272="Kurang","prosesor tingkat "&amp;C272&amp;" dari 5, di bawah batas minimal (tingkat "&amp;Aturan!$C$42&amp;")",IF(K272="Cukup","prosesor tingkat "&amp;C272&amp;" dari 5 cukup, nyamannya mulai tingkat "&amp;Aturan!$D$42,IF(K272="Belum ada data","tingkat prosesor belum diisi",""))))</f>
        <v/>
      </c>
      <c r="S272" s="33" t="str">
        <f aca="false">IF($A272="","",IF(L272="Kurang","grafis tingkat "&amp;D272&amp;" dari 5, di bawah batas minimal (tingkat "&amp;Aturan!$C$43&amp;")",IF(L272="Cukup","grafis tingkat "&amp;D272&amp;" dari 5 cukup, nyamannya mulai tingkat "&amp;Aturan!$D$43,IF(L272="Belum ada data","tingkat grafis belum diisi",""))))</f>
        <v/>
      </c>
      <c r="T272" s="33" t="str">
        <f aca="false">IF($A272="","",IF(M272="Kurang","RAM "&amp;E272&amp;" GB, di bawah batas minimal "&amp;Aturan!$C$44&amp;" GB ("&amp;I272&amp;")",IF(M272="Cukup","RAM "&amp;E272&amp;" GB cukup, nyamannya "&amp;Aturan!$D$44&amp;" GB atau lebih ("&amp;I272&amp;")",IF(M272="Belum ada data","ukuran RAM belum diisi",""))))</f>
        <v/>
      </c>
      <c r="U272" s="33" t="str">
        <f aca="false">IF($A272="","",IF(N272="Kurang","penyimpanan "&amp;F272&amp;" GB, di bawah batas minimal "&amp;Aturan!$C$45&amp;" GB ("&amp;J272&amp;")",IF(N272="Cukup","penyimpanan "&amp;F272&amp;" GB cukup, nyamannya "&amp;Aturan!$D$45&amp;" GB atau lebih ("&amp;J272&amp;")",IF(N272="Belum ada data","ukuran penyimpanan belum diisi",""))))</f>
        <v/>
      </c>
      <c r="V272" s="33" t="str">
        <f aca="false">IF($A272="","",IF(O272="Kurang","layar "&amp;Varian!$AG58&amp;", di bawah batas minimal ("&amp;IFERROR(INDEX(Aturan!$A$63:$A$66,MATCH(Aturan!$C$46,Aturan!$B$63:$B$66,0)),"peringkat "&amp;Aturan!$C$46)&amp;")",IF(O272="Cukup","layar "&amp;Varian!$AG58&amp;" cukup, nyamannya "&amp;IFERROR(INDEX(Aturan!$A$63:$A$66,MATCH(Aturan!$D$46,Aturan!$B$63:$B$66,0)),"peringkat "&amp;Aturan!$D$46),IF(O272="Belum ada data","jenis layar belum diketahui",""))))</f>
        <v/>
      </c>
      <c r="W272" s="33" t="str">
        <f aca="false">IF($A272="","",IF(P272="Kurang","layar "&amp;H272&amp;" Hz, di bawah batas minimal "&amp;Aturan!$C$47&amp;" Hz",IF(P272="Cukup","layar "&amp;H272&amp;" Hz cukup, nyamannya "&amp;Aturan!$D$47&amp;" Hz atau lebih",IF(P272="Belum ada data","refresh rate belum diketahui",""))))</f>
        <v/>
      </c>
      <c r="X272" s="33" t="str">
        <f aca="false">IF($A272="","",IF(K272="Kurang",R272&amp;"; ","")&amp;IF(L272="Kurang",S272&amp;"; ","")&amp;IF(M272="Kurang",T272&amp;"; ","")&amp;IF(N272="Kurang",U272&amp;"; ","")&amp;IF(O272="Kurang",V272&amp;"; ","")&amp;IF(P272="Kurang",W272&amp;"; ","")&amp;IF(K272="Belum ada data",R272&amp;"; ","")&amp;IF(L272="Belum ada data",S272&amp;"; ","")&amp;IF(M272="Belum ada data",T272&amp;"; ","")&amp;IF(N272="Belum ada data",U272&amp;"; ","")&amp;IF(O272="Belum ada data",V272&amp;"; ","")&amp;IF(P272="Belum ada data",W272&amp;"; ","")&amp;IF(K272="Cukup",R272&amp;"; ","")&amp;IF(L272="Cukup",S272&amp;"; ","")&amp;IF(M272="Cukup",T272&amp;"; ","")&amp;IF(N272="Cukup",U272&amp;"; ","")&amp;IF(O272="Cukup",V272&amp;"; ","")&amp;IF(P272="Cukup",W272&amp;"; ",""))</f>
        <v/>
      </c>
      <c r="Y272" s="33" t="str">
        <f aca="false">IF($A272="","",IF(K272="Nyaman","prosesor, ","")&amp;IF(L272="Nyaman","grafis, ","")&amp;IF(M272="Nyaman","RAM, ","")&amp;IF(N272="Nyaman","penyimpanan, ","")&amp;IF(O272="Nyaman","layar, ","")&amp;IF(P272="Nyaman","refresh rate, ",""))</f>
        <v/>
      </c>
      <c r="Z272" s="33" t="str">
        <f aca="false">IF($A272="","",IF(Q272="Tidak dinilai","Belum ada kriteria yang dinilai untuk kebutuhan ini.",IF(Q272="Cocok","Semua kriteria yang dinilai sudah nyaman: "&amp;LEFT(Y272,LEN(Y272)-2)&amp;".",UPPER(LEFT(X272,1))&amp;MID(X272,2,LEN(X272)-3)&amp;"."&amp;IF(Y272="",""," Sudah nyaman: "&amp;LEFT(Y272,LEN(Y272)-2)&amp;"."))))</f>
        <v/>
      </c>
      <c r="AA272" s="33"/>
      <c r="AB272" s="33"/>
      <c r="AC272" s="69"/>
    </row>
    <row r="273" customFormat="false" ht="15" hidden="false" customHeight="true" outlineLevel="0" collapsed="false">
      <c r="A273" s="33" t="str">
        <f aca="false">IF(Varian!$A58="","",Varian!$A58)</f>
        <v/>
      </c>
      <c r="B273" s="33" t="str">
        <f aca="false">IF($A273="","",Aturan!$A$24)</f>
        <v/>
      </c>
      <c r="C273" s="69" t="str">
        <f aca="false">IF($A273="","",IFERROR(IF(ISNUMBER(INDEX(CPU!$J$4:$J$64,MATCH(Varian!$J58,CPU!$A$4:$A$64,0))),INDEX(CPU!$J$4:$J$64,MATCH(Varian!$J58,CPU!$A$4:$A$64,0)),""),""))</f>
        <v/>
      </c>
      <c r="D273" s="69" t="str">
        <f aca="false">IF($A273="","",IFERROR(IF(ISNUMBER(INDEX(GPU!$G$4:$G$64,MATCH(Varian!$K58,GPU!$A$4:$A$64,0))),INDEX(GPU!$G$4:$G$64,MATCH(Varian!$K58,GPU!$A$4:$A$64,0)),""),""))</f>
        <v/>
      </c>
      <c r="E273" s="69" t="str">
        <f aca="false">IF($A273="","",IF(ISNUMBER(Varian!$M58),Varian!$M58,""))</f>
        <v/>
      </c>
      <c r="F273" s="69" t="str">
        <f aca="false">IF($A273="","",IF(ISNUMBER(Varian!$V58),Varian!$V58,""))</f>
        <v/>
      </c>
      <c r="G273" s="69" t="str">
        <f aca="false">IF($A273="","",IFERROR(INDEX(Aturan!$B$63:$B$66,MATCH(Varian!$AG58,Aturan!$A$63:$A$66,0)),""))</f>
        <v/>
      </c>
      <c r="H273" s="69" t="str">
        <f aca="false">IF($A273="","",IF(ISNUMBER(Varian!$AI58),Varian!$AI58,""))</f>
        <v/>
      </c>
      <c r="I273" s="33" t="str">
        <f aca="false">IF($A273="","",IF(Varian!$Q58="disolder","menempel di papan utama, tidak bisa ditambah",IF(OR(Varian!$Q58="slot",Varian!$Q58="setengah_disolder"),IF(Varian!$Q58="setengah_disolder","sebagian menempel, ","")&amp;IF(ISNUMBER(Varian!$U58),IF(AND(ISNUMBER(Varian!$M58),Varian!$U58&gt;Varian!$M58),"bisa dinaikkan lewat slot sampai "&amp;Varian!$U58&amp;" GB","sudah di batas maksimal "&amp;Varian!$U58&amp;" GB"),"ada slot, batas maksimalnya belum diketahui"),"belum diketahui apakah bisa ditambah")))</f>
        <v/>
      </c>
      <c r="J273" s="33" t="str">
        <f aca="false">IF($A273="","",IF(Varian!$Z58="ya","bisa diganti dengan yang lebih besar",IF(Varian!$Z58="tidak","menempel, tidak bisa diganti","belum diketahui apakah bisa diganti")))</f>
        <v/>
      </c>
      <c r="K273" s="70" t="str">
        <f aca="false">IF($A273="","",IF(AND(Aturan!$C$48="",Aturan!$D$48=""),"Tidak dinilai",IF(C273="","Belum ada data",IF(C273&lt;IF(Aturan!$C$48="",0,Aturan!$C$48),"Kurang",IF(C273&gt;=IF(Aturan!$D$48="",Aturan!$C$48,Aturan!$D$48),"Nyaman","Cukup")))))</f>
        <v/>
      </c>
      <c r="L273" s="70" t="str">
        <f aca="false">IF($A273="","",IF(AND(Aturan!$C$49="",Aturan!$D$49=""),"Tidak dinilai",IF(D273="","Belum ada data",IF(D273&lt;IF(Aturan!$C$49="",0,Aturan!$C$49),"Kurang",IF(D273&gt;=IF(Aturan!$D$49="",Aturan!$C$49,Aturan!$D$49),"Nyaman","Cukup")))))</f>
        <v/>
      </c>
      <c r="M273" s="70" t="str">
        <f aca="false">IF($A273="","",IF(AND(Aturan!$C$50="",Aturan!$D$50=""),"Tidak dinilai",IF(E273="","Belum ada data",IF(E273&lt;IF(Aturan!$C$50="",0,Aturan!$C$50),"Kurang",IF(E273&gt;=IF(Aturan!$D$50="",Aturan!$C$50,Aturan!$D$50),"Nyaman","Cukup")))))</f>
        <v/>
      </c>
      <c r="N273" s="70" t="str">
        <f aca="false">IF($A273="","",IF(AND(Aturan!$C$51="",Aturan!$D$51=""),"Tidak dinilai",IF(F273="","Belum ada data",IF(F273&lt;IF(Aturan!$C$51="",0,Aturan!$C$51),"Kurang",IF(F273&gt;=IF(Aturan!$D$51="",Aturan!$C$51,Aturan!$D$51),"Nyaman","Cukup")))))</f>
        <v/>
      </c>
      <c r="O273" s="70" t="str">
        <f aca="false">IF($A273="","",IF(AND(Aturan!$C$52="",Aturan!$D$52=""),"Tidak dinilai",IF(G273="","Belum ada data",IF(G273&lt;IF(Aturan!$C$52="",0,Aturan!$C$52),"Kurang",IF(G273&gt;=IF(Aturan!$D$52="",Aturan!$C$52,Aturan!$D$52),"Nyaman","Cukup")))))</f>
        <v/>
      </c>
      <c r="P273" s="70" t="str">
        <f aca="false">IF($A273="","",IF(AND(Aturan!$C$53="",Aturan!$D$53=""),"Tidak dinilai",IF(H273="","Belum ada data",IF(H273&lt;IF(Aturan!$C$53="",0,Aturan!$C$53),"Kurang",IF(H273&gt;=IF(Aturan!$D$53="",Aturan!$C$53,Aturan!$D$53),"Nyaman","Cukup")))))</f>
        <v/>
      </c>
      <c r="Q273" s="70" t="str">
        <f aca="false">IF($A273="","",IF(COUNTIF(K273:P273,"Tidak dinilai")=6,"Tidak dinilai",IF(COUNTIF(K273:P273,"Kurang")&gt;0,"Kurang cocok",IF(COUNTIF(K273:P273,"Belum ada data")&gt;0,"Data belum lengkap",IF(COUNTIF(K273:P273,"Cukup")&gt;0,"Bisa, dengan catatan","Cocok")))))</f>
        <v/>
      </c>
      <c r="R273" s="33" t="str">
        <f aca="false">IF($A273="","",IF(K273="Kurang","prosesor tingkat "&amp;C273&amp;" dari 5, di bawah batas minimal (tingkat "&amp;Aturan!$C$48&amp;")",IF(K273="Cukup","prosesor tingkat "&amp;C273&amp;" dari 5 cukup, nyamannya mulai tingkat "&amp;Aturan!$D$48,IF(K273="Belum ada data","tingkat prosesor belum diisi",""))))</f>
        <v/>
      </c>
      <c r="S273" s="33" t="str">
        <f aca="false">IF($A273="","",IF(L273="Kurang","grafis tingkat "&amp;D273&amp;" dari 5, di bawah batas minimal (tingkat "&amp;Aturan!$C$49&amp;")",IF(L273="Cukup","grafis tingkat "&amp;D273&amp;" dari 5 cukup, nyamannya mulai tingkat "&amp;Aturan!$D$49,IF(L273="Belum ada data","tingkat grafis belum diisi",""))))</f>
        <v/>
      </c>
      <c r="T273" s="33" t="str">
        <f aca="false">IF($A273="","",IF(M273="Kurang","RAM "&amp;E273&amp;" GB, di bawah batas minimal "&amp;Aturan!$C$50&amp;" GB ("&amp;I273&amp;")",IF(M273="Cukup","RAM "&amp;E273&amp;" GB cukup, nyamannya "&amp;Aturan!$D$50&amp;" GB atau lebih ("&amp;I273&amp;")",IF(M273="Belum ada data","ukuran RAM belum diisi",""))))</f>
        <v/>
      </c>
      <c r="U273" s="33" t="str">
        <f aca="false">IF($A273="","",IF(N273="Kurang","penyimpanan "&amp;F273&amp;" GB, di bawah batas minimal "&amp;Aturan!$C$51&amp;" GB ("&amp;J273&amp;")",IF(N273="Cukup","penyimpanan "&amp;F273&amp;" GB cukup, nyamannya "&amp;Aturan!$D$51&amp;" GB atau lebih ("&amp;J273&amp;")",IF(N273="Belum ada data","ukuran penyimpanan belum diisi",""))))</f>
        <v/>
      </c>
      <c r="V273" s="33" t="str">
        <f aca="false">IF($A273="","",IF(O273="Kurang","layar "&amp;Varian!$AG58&amp;", di bawah batas minimal ("&amp;IFERROR(INDEX(Aturan!$A$63:$A$66,MATCH(Aturan!$C$52,Aturan!$B$63:$B$66,0)),"peringkat "&amp;Aturan!$C$52)&amp;")",IF(O273="Cukup","layar "&amp;Varian!$AG58&amp;" cukup, nyamannya "&amp;IFERROR(INDEX(Aturan!$A$63:$A$66,MATCH(Aturan!$D$52,Aturan!$B$63:$B$66,0)),"peringkat "&amp;Aturan!$D$52),IF(O273="Belum ada data","jenis layar belum diketahui",""))))</f>
        <v/>
      </c>
      <c r="W273" s="33" t="str">
        <f aca="false">IF($A273="","",IF(P273="Kurang","layar "&amp;H273&amp;" Hz, di bawah batas minimal "&amp;Aturan!$C$53&amp;" Hz",IF(P273="Cukup","layar "&amp;H273&amp;" Hz cukup, nyamannya "&amp;Aturan!$D$53&amp;" Hz atau lebih",IF(P273="Belum ada data","refresh rate belum diketahui",""))))</f>
        <v/>
      </c>
      <c r="X273" s="33" t="str">
        <f aca="false">IF($A273="","",IF(K273="Kurang",R273&amp;"; ","")&amp;IF(L273="Kurang",S273&amp;"; ","")&amp;IF(M273="Kurang",T273&amp;"; ","")&amp;IF(N273="Kurang",U273&amp;"; ","")&amp;IF(O273="Kurang",V273&amp;"; ","")&amp;IF(P273="Kurang",W273&amp;"; ","")&amp;IF(K273="Belum ada data",R273&amp;"; ","")&amp;IF(L273="Belum ada data",S273&amp;"; ","")&amp;IF(M273="Belum ada data",T273&amp;"; ","")&amp;IF(N273="Belum ada data",U273&amp;"; ","")&amp;IF(O273="Belum ada data",V273&amp;"; ","")&amp;IF(P273="Belum ada data",W273&amp;"; ","")&amp;IF(K273="Cukup",R273&amp;"; ","")&amp;IF(L273="Cukup",S273&amp;"; ","")&amp;IF(M273="Cukup",T273&amp;"; ","")&amp;IF(N273="Cukup",U273&amp;"; ","")&amp;IF(O273="Cukup",V273&amp;"; ","")&amp;IF(P273="Cukup",W273&amp;"; ",""))</f>
        <v/>
      </c>
      <c r="Y273" s="33" t="str">
        <f aca="false">IF($A273="","",IF(K273="Nyaman","prosesor, ","")&amp;IF(L273="Nyaman","grafis, ","")&amp;IF(M273="Nyaman","RAM, ","")&amp;IF(N273="Nyaman","penyimpanan, ","")&amp;IF(O273="Nyaman","layar, ","")&amp;IF(P273="Nyaman","refresh rate, ",""))</f>
        <v/>
      </c>
      <c r="Z273" s="33" t="str">
        <f aca="false">IF($A273="","",IF(Q273="Tidak dinilai","Belum ada kriteria yang dinilai untuk kebutuhan ini.",IF(Q273="Cocok","Semua kriteria yang dinilai sudah nyaman: "&amp;LEFT(Y273,LEN(Y273)-2)&amp;".",UPPER(LEFT(X273,1))&amp;MID(X273,2,LEN(X273)-3)&amp;"."&amp;IF(Y273="",""," Sudah nyaman: "&amp;LEFT(Y273,LEN(Y273)-2)&amp;"."))))</f>
        <v/>
      </c>
      <c r="AA273" s="33"/>
      <c r="AB273" s="33"/>
      <c r="AC273" s="69"/>
    </row>
    <row r="274" customFormat="false" ht="15" hidden="false" customHeight="true" outlineLevel="0" collapsed="false">
      <c r="A274" s="33" t="str">
        <f aca="false">IF(Varian!$A58="","",Varian!$A58)</f>
        <v/>
      </c>
      <c r="B274" s="33" t="str">
        <f aca="false">IF($A274="","",Aturan!$A$25)</f>
        <v/>
      </c>
      <c r="C274" s="69" t="str">
        <f aca="false">IF($A274="","",IFERROR(IF(ISNUMBER(INDEX(CPU!$J$4:$J$64,MATCH(Varian!$J58,CPU!$A$4:$A$64,0))),INDEX(CPU!$J$4:$J$64,MATCH(Varian!$J58,CPU!$A$4:$A$64,0)),""),""))</f>
        <v/>
      </c>
      <c r="D274" s="69" t="str">
        <f aca="false">IF($A274="","",IFERROR(IF(ISNUMBER(INDEX(GPU!$G$4:$G$64,MATCH(Varian!$K58,GPU!$A$4:$A$64,0))),INDEX(GPU!$G$4:$G$64,MATCH(Varian!$K58,GPU!$A$4:$A$64,0)),""),""))</f>
        <v/>
      </c>
      <c r="E274" s="69" t="str">
        <f aca="false">IF($A274="","",IF(ISNUMBER(Varian!$M58),Varian!$M58,""))</f>
        <v/>
      </c>
      <c r="F274" s="69" t="str">
        <f aca="false">IF($A274="","",IF(ISNUMBER(Varian!$V58),Varian!$V58,""))</f>
        <v/>
      </c>
      <c r="G274" s="69" t="str">
        <f aca="false">IF($A274="","",IFERROR(INDEX(Aturan!$B$63:$B$66,MATCH(Varian!$AG58,Aturan!$A$63:$A$66,0)),""))</f>
        <v/>
      </c>
      <c r="H274" s="69" t="str">
        <f aca="false">IF($A274="","",IF(ISNUMBER(Varian!$AI58),Varian!$AI58,""))</f>
        <v/>
      </c>
      <c r="I274" s="33" t="str">
        <f aca="false">IF($A274="","",IF(Varian!$Q58="disolder","menempel di papan utama, tidak bisa ditambah",IF(OR(Varian!$Q58="slot",Varian!$Q58="setengah_disolder"),IF(Varian!$Q58="setengah_disolder","sebagian menempel, ","")&amp;IF(ISNUMBER(Varian!$U58),IF(AND(ISNUMBER(Varian!$M58),Varian!$U58&gt;Varian!$M58),"bisa dinaikkan lewat slot sampai "&amp;Varian!$U58&amp;" GB","sudah di batas maksimal "&amp;Varian!$U58&amp;" GB"),"ada slot, batas maksimalnya belum diketahui"),"belum diketahui apakah bisa ditambah")))</f>
        <v/>
      </c>
      <c r="J274" s="33" t="str">
        <f aca="false">IF($A274="","",IF(Varian!$Z58="ya","bisa diganti dengan yang lebih besar",IF(Varian!$Z58="tidak","menempel, tidak bisa diganti","belum diketahui apakah bisa diganti")))</f>
        <v/>
      </c>
      <c r="K274" s="70" t="str">
        <f aca="false">IF($A274="","",IF(AND(Aturan!$C$54="",Aturan!$D$54=""),"Tidak dinilai",IF(C274="","Belum ada data",IF(C274&lt;IF(Aturan!$C$54="",0,Aturan!$C$54),"Kurang",IF(C274&gt;=IF(Aturan!$D$54="",Aturan!$C$54,Aturan!$D$54),"Nyaman","Cukup")))))</f>
        <v/>
      </c>
      <c r="L274" s="70" t="str">
        <f aca="false">IF($A274="","",IF(AND(Aturan!$C$55="",Aturan!$D$55=""),"Tidak dinilai",IF(D274="","Belum ada data",IF(D274&lt;IF(Aturan!$C$55="",0,Aturan!$C$55),"Kurang",IF(D274&gt;=IF(Aturan!$D$55="",Aturan!$C$55,Aturan!$D$55),"Nyaman","Cukup")))))</f>
        <v/>
      </c>
      <c r="M274" s="70" t="str">
        <f aca="false">IF($A274="","",IF(AND(Aturan!$C$56="",Aturan!$D$56=""),"Tidak dinilai",IF(E274="","Belum ada data",IF(E274&lt;IF(Aturan!$C$56="",0,Aturan!$C$56),"Kurang",IF(E274&gt;=IF(Aturan!$D$56="",Aturan!$C$56,Aturan!$D$56),"Nyaman","Cukup")))))</f>
        <v/>
      </c>
      <c r="N274" s="70" t="str">
        <f aca="false">IF($A274="","",IF(AND(Aturan!$C$57="",Aturan!$D$57=""),"Tidak dinilai",IF(F274="","Belum ada data",IF(F274&lt;IF(Aturan!$C$57="",0,Aturan!$C$57),"Kurang",IF(F274&gt;=IF(Aturan!$D$57="",Aturan!$C$57,Aturan!$D$57),"Nyaman","Cukup")))))</f>
        <v/>
      </c>
      <c r="O274" s="70" t="str">
        <f aca="false">IF($A274="","",IF(AND(Aturan!$C$58="",Aturan!$D$58=""),"Tidak dinilai",IF(G274="","Belum ada data",IF(G274&lt;IF(Aturan!$C$58="",0,Aturan!$C$58),"Kurang",IF(G274&gt;=IF(Aturan!$D$58="",Aturan!$C$58,Aturan!$D$58),"Nyaman","Cukup")))))</f>
        <v/>
      </c>
      <c r="P274" s="70" t="str">
        <f aca="false">IF($A274="","",IF(AND(Aturan!$C$59="",Aturan!$D$59=""),"Tidak dinilai",IF(H274="","Belum ada data",IF(H274&lt;IF(Aturan!$C$59="",0,Aturan!$C$59),"Kurang",IF(H274&gt;=IF(Aturan!$D$59="",Aturan!$C$59,Aturan!$D$59),"Nyaman","Cukup")))))</f>
        <v/>
      </c>
      <c r="Q274" s="70" t="str">
        <f aca="false">IF($A274="","",IF(COUNTIF(K274:P274,"Tidak dinilai")=6,"Tidak dinilai",IF(COUNTIF(K274:P274,"Kurang")&gt;0,"Kurang cocok",IF(COUNTIF(K274:P274,"Belum ada data")&gt;0,"Data belum lengkap",IF(COUNTIF(K274:P274,"Cukup")&gt;0,"Bisa, dengan catatan","Cocok")))))</f>
        <v/>
      </c>
      <c r="R274" s="33" t="str">
        <f aca="false">IF($A274="","",IF(K274="Kurang","prosesor tingkat "&amp;C274&amp;" dari 5, di bawah batas minimal (tingkat "&amp;Aturan!$C$54&amp;")",IF(K274="Cukup","prosesor tingkat "&amp;C274&amp;" dari 5 cukup, nyamannya mulai tingkat "&amp;Aturan!$D$54,IF(K274="Belum ada data","tingkat prosesor belum diisi",""))))</f>
        <v/>
      </c>
      <c r="S274" s="33" t="str">
        <f aca="false">IF($A274="","",IF(L274="Kurang","grafis tingkat "&amp;D274&amp;" dari 5, di bawah batas minimal (tingkat "&amp;Aturan!$C$55&amp;")",IF(L274="Cukup","grafis tingkat "&amp;D274&amp;" dari 5 cukup, nyamannya mulai tingkat "&amp;Aturan!$D$55,IF(L274="Belum ada data","tingkat grafis belum diisi",""))))</f>
        <v/>
      </c>
      <c r="T274" s="33" t="str">
        <f aca="false">IF($A274="","",IF(M274="Kurang","RAM "&amp;E274&amp;" GB, di bawah batas minimal "&amp;Aturan!$C$56&amp;" GB ("&amp;I274&amp;")",IF(M274="Cukup","RAM "&amp;E274&amp;" GB cukup, nyamannya "&amp;Aturan!$D$56&amp;" GB atau lebih ("&amp;I274&amp;")",IF(M274="Belum ada data","ukuran RAM belum diisi",""))))</f>
        <v/>
      </c>
      <c r="U274" s="33" t="str">
        <f aca="false">IF($A274="","",IF(N274="Kurang","penyimpanan "&amp;F274&amp;" GB, di bawah batas minimal "&amp;Aturan!$C$57&amp;" GB ("&amp;J274&amp;")",IF(N274="Cukup","penyimpanan "&amp;F274&amp;" GB cukup, nyamannya "&amp;Aturan!$D$57&amp;" GB atau lebih ("&amp;J274&amp;")",IF(N274="Belum ada data","ukuran penyimpanan belum diisi",""))))</f>
        <v/>
      </c>
      <c r="V274" s="33" t="str">
        <f aca="false">IF($A274="","",IF(O274="Kurang","layar "&amp;Varian!$AG58&amp;", di bawah batas minimal ("&amp;IFERROR(INDEX(Aturan!$A$63:$A$66,MATCH(Aturan!$C$58,Aturan!$B$63:$B$66,0)),"peringkat "&amp;Aturan!$C$58)&amp;")",IF(O274="Cukup","layar "&amp;Varian!$AG58&amp;" cukup, nyamannya "&amp;IFERROR(INDEX(Aturan!$A$63:$A$66,MATCH(Aturan!$D$58,Aturan!$B$63:$B$66,0)),"peringkat "&amp;Aturan!$D$58),IF(O274="Belum ada data","jenis layar belum diketahui",""))))</f>
        <v/>
      </c>
      <c r="W274" s="33" t="str">
        <f aca="false">IF($A274="","",IF(P274="Kurang","layar "&amp;H274&amp;" Hz, di bawah batas minimal "&amp;Aturan!$C$59&amp;" Hz",IF(P274="Cukup","layar "&amp;H274&amp;" Hz cukup, nyamannya "&amp;Aturan!$D$59&amp;" Hz atau lebih",IF(P274="Belum ada data","refresh rate belum diketahui",""))))</f>
        <v/>
      </c>
      <c r="X274" s="33" t="str">
        <f aca="false">IF($A274="","",IF(K274="Kurang",R274&amp;"; ","")&amp;IF(L274="Kurang",S274&amp;"; ","")&amp;IF(M274="Kurang",T274&amp;"; ","")&amp;IF(N274="Kurang",U274&amp;"; ","")&amp;IF(O274="Kurang",V274&amp;"; ","")&amp;IF(P274="Kurang",W274&amp;"; ","")&amp;IF(K274="Belum ada data",R274&amp;"; ","")&amp;IF(L274="Belum ada data",S274&amp;"; ","")&amp;IF(M274="Belum ada data",T274&amp;"; ","")&amp;IF(N274="Belum ada data",U274&amp;"; ","")&amp;IF(O274="Belum ada data",V274&amp;"; ","")&amp;IF(P274="Belum ada data",W274&amp;"; ","")&amp;IF(K274="Cukup",R274&amp;"; ","")&amp;IF(L274="Cukup",S274&amp;"; ","")&amp;IF(M274="Cukup",T274&amp;"; ","")&amp;IF(N274="Cukup",U274&amp;"; ","")&amp;IF(O274="Cukup",V274&amp;"; ","")&amp;IF(P274="Cukup",W274&amp;"; ",""))</f>
        <v/>
      </c>
      <c r="Y274" s="33" t="str">
        <f aca="false">IF($A274="","",IF(K274="Nyaman","prosesor, ","")&amp;IF(L274="Nyaman","grafis, ","")&amp;IF(M274="Nyaman","RAM, ","")&amp;IF(N274="Nyaman","penyimpanan, ","")&amp;IF(O274="Nyaman","layar, ","")&amp;IF(P274="Nyaman","refresh rate, ",""))</f>
        <v/>
      </c>
      <c r="Z274" s="33" t="str">
        <f aca="false">IF($A274="","",IF(Q274="Tidak dinilai","Belum ada kriteria yang dinilai untuk kebutuhan ini.",IF(Q274="Cocok","Semua kriteria yang dinilai sudah nyaman: "&amp;LEFT(Y274,LEN(Y274)-2)&amp;".",UPPER(LEFT(X274,1))&amp;MID(X274,2,LEN(X274)-3)&amp;"."&amp;IF(Y274="",""," Sudah nyaman: "&amp;LEFT(Y274,LEN(Y274)-2)&amp;"."))))</f>
        <v/>
      </c>
      <c r="AA274" s="33"/>
      <c r="AB274" s="33"/>
      <c r="AC274" s="69"/>
    </row>
    <row r="275" customFormat="false" ht="15" hidden="false" customHeight="true" outlineLevel="0" collapsed="false">
      <c r="A275" s="66" t="str">
        <f aca="false">IF(Varian!$A59="","",Varian!$A59)</f>
        <v/>
      </c>
      <c r="B275" s="66" t="str">
        <f aca="false">IF($A275="","",Aturan!$A$21)</f>
        <v/>
      </c>
      <c r="C275" s="67" t="str">
        <f aca="false">IF($A275="","",IFERROR(IF(ISNUMBER(INDEX(CPU!$J$4:$J$64,MATCH(Varian!$J59,CPU!$A$4:$A$64,0))),INDEX(CPU!$J$4:$J$64,MATCH(Varian!$J59,CPU!$A$4:$A$64,0)),""),""))</f>
        <v/>
      </c>
      <c r="D275" s="67" t="str">
        <f aca="false">IF($A275="","",IFERROR(IF(ISNUMBER(INDEX(GPU!$G$4:$G$64,MATCH(Varian!$K59,GPU!$A$4:$A$64,0))),INDEX(GPU!$G$4:$G$64,MATCH(Varian!$K59,GPU!$A$4:$A$64,0)),""),""))</f>
        <v/>
      </c>
      <c r="E275" s="67" t="str">
        <f aca="false">IF($A275="","",IF(ISNUMBER(Varian!$M59),Varian!$M59,""))</f>
        <v/>
      </c>
      <c r="F275" s="67" t="str">
        <f aca="false">IF($A275="","",IF(ISNUMBER(Varian!$V59),Varian!$V59,""))</f>
        <v/>
      </c>
      <c r="G275" s="67" t="str">
        <f aca="false">IF($A275="","",IFERROR(INDEX(Aturan!$B$63:$B$66,MATCH(Varian!$AG59,Aturan!$A$63:$A$66,0)),""))</f>
        <v/>
      </c>
      <c r="H275" s="67" t="str">
        <f aca="false">IF($A275="","",IF(ISNUMBER(Varian!$AI59),Varian!$AI59,""))</f>
        <v/>
      </c>
      <c r="I275" s="66" t="str">
        <f aca="false">IF($A275="","",IF(Varian!$Q59="disolder","menempel di papan utama, tidak bisa ditambah",IF(OR(Varian!$Q59="slot",Varian!$Q59="setengah_disolder"),IF(Varian!$Q59="setengah_disolder","sebagian menempel, ","")&amp;IF(ISNUMBER(Varian!$U59),IF(AND(ISNUMBER(Varian!$M59),Varian!$U59&gt;Varian!$M59),"bisa dinaikkan lewat slot sampai "&amp;Varian!$U59&amp;" GB","sudah di batas maksimal "&amp;Varian!$U59&amp;" GB"),"ada slot, batas maksimalnya belum diketahui"),"belum diketahui apakah bisa ditambah")))</f>
        <v/>
      </c>
      <c r="J275" s="66" t="str">
        <f aca="false">IF($A275="","",IF(Varian!$Z59="ya","bisa diganti dengan yang lebih besar",IF(Varian!$Z59="tidak","menempel, tidak bisa diganti","belum diketahui apakah bisa diganti")))</f>
        <v/>
      </c>
      <c r="K275" s="68" t="str">
        <f aca="false">IF($A275="","",IF(AND(Aturan!$C$30="",Aturan!$D$30=""),"Tidak dinilai",IF(C275="","Belum ada data",IF(C275&lt;IF(Aturan!$C$30="",0,Aturan!$C$30),"Kurang",IF(C275&gt;=IF(Aturan!$D$30="",Aturan!$C$30,Aturan!$D$30),"Nyaman","Cukup")))))</f>
        <v/>
      </c>
      <c r="L275" s="68" t="str">
        <f aca="false">IF($A275="","",IF(AND(Aturan!$C$31="",Aturan!$D$31=""),"Tidak dinilai",IF(D275="","Belum ada data",IF(D275&lt;IF(Aturan!$C$31="",0,Aturan!$C$31),"Kurang",IF(D275&gt;=IF(Aturan!$D$31="",Aturan!$C$31,Aturan!$D$31),"Nyaman","Cukup")))))</f>
        <v/>
      </c>
      <c r="M275" s="68" t="str">
        <f aca="false">IF($A275="","",IF(AND(Aturan!$C$32="",Aturan!$D$32=""),"Tidak dinilai",IF(E275="","Belum ada data",IF(E275&lt;IF(Aturan!$C$32="",0,Aturan!$C$32),"Kurang",IF(E275&gt;=IF(Aturan!$D$32="",Aturan!$C$32,Aturan!$D$32),"Nyaman","Cukup")))))</f>
        <v/>
      </c>
      <c r="N275" s="68" t="str">
        <f aca="false">IF($A275="","",IF(AND(Aturan!$C$33="",Aturan!$D$33=""),"Tidak dinilai",IF(F275="","Belum ada data",IF(F275&lt;IF(Aturan!$C$33="",0,Aturan!$C$33),"Kurang",IF(F275&gt;=IF(Aturan!$D$33="",Aturan!$C$33,Aturan!$D$33),"Nyaman","Cukup")))))</f>
        <v/>
      </c>
      <c r="O275" s="68" t="str">
        <f aca="false">IF($A275="","",IF(AND(Aturan!$C$34="",Aturan!$D$34=""),"Tidak dinilai",IF(G275="","Belum ada data",IF(G275&lt;IF(Aturan!$C$34="",0,Aturan!$C$34),"Kurang",IF(G275&gt;=IF(Aturan!$D$34="",Aturan!$C$34,Aturan!$D$34),"Nyaman","Cukup")))))</f>
        <v/>
      </c>
      <c r="P275" s="68" t="str">
        <f aca="false">IF($A275="","",IF(AND(Aturan!$C$35="",Aturan!$D$35=""),"Tidak dinilai",IF(H275="","Belum ada data",IF(H275&lt;IF(Aturan!$C$35="",0,Aturan!$C$35),"Kurang",IF(H275&gt;=IF(Aturan!$D$35="",Aturan!$C$35,Aturan!$D$35),"Nyaman","Cukup")))))</f>
        <v/>
      </c>
      <c r="Q275" s="68" t="str">
        <f aca="false">IF($A275="","",IF(COUNTIF(K275:P275,"Tidak dinilai")=6,"Tidak dinilai",IF(COUNTIF(K275:P275,"Kurang")&gt;0,"Kurang cocok",IF(COUNTIF(K275:P275,"Belum ada data")&gt;0,"Data belum lengkap",IF(COUNTIF(K275:P275,"Cukup")&gt;0,"Bisa, dengan catatan","Cocok")))))</f>
        <v/>
      </c>
      <c r="R275" s="66" t="str">
        <f aca="false">IF($A275="","",IF(K275="Kurang","prosesor tingkat "&amp;C275&amp;" dari 5, di bawah batas minimal (tingkat "&amp;Aturan!$C$30&amp;")",IF(K275="Cukup","prosesor tingkat "&amp;C275&amp;" dari 5 cukup, nyamannya mulai tingkat "&amp;Aturan!$D$30,IF(K275="Belum ada data","tingkat prosesor belum diisi",""))))</f>
        <v/>
      </c>
      <c r="S275" s="66" t="str">
        <f aca="false">IF($A275="","",IF(L275="Kurang","grafis tingkat "&amp;D275&amp;" dari 5, di bawah batas minimal (tingkat "&amp;Aturan!$C$31&amp;")",IF(L275="Cukup","grafis tingkat "&amp;D275&amp;" dari 5 cukup, nyamannya mulai tingkat "&amp;Aturan!$D$31,IF(L275="Belum ada data","tingkat grafis belum diisi",""))))</f>
        <v/>
      </c>
      <c r="T275" s="66" t="str">
        <f aca="false">IF($A275="","",IF(M275="Kurang","RAM "&amp;E275&amp;" GB, di bawah batas minimal "&amp;Aturan!$C$32&amp;" GB ("&amp;I275&amp;")",IF(M275="Cukup","RAM "&amp;E275&amp;" GB cukup, nyamannya "&amp;Aturan!$D$32&amp;" GB atau lebih ("&amp;I275&amp;")",IF(M275="Belum ada data","ukuran RAM belum diisi",""))))</f>
        <v/>
      </c>
      <c r="U275" s="66" t="str">
        <f aca="false">IF($A275="","",IF(N275="Kurang","penyimpanan "&amp;F275&amp;" GB, di bawah batas minimal "&amp;Aturan!$C$33&amp;" GB ("&amp;J275&amp;")",IF(N275="Cukup","penyimpanan "&amp;F275&amp;" GB cukup, nyamannya "&amp;Aturan!$D$33&amp;" GB atau lebih ("&amp;J275&amp;")",IF(N275="Belum ada data","ukuran penyimpanan belum diisi",""))))</f>
        <v/>
      </c>
      <c r="V275" s="66" t="str">
        <f aca="false">IF($A275="","",IF(O275="Kurang","layar "&amp;Varian!$AG59&amp;", di bawah batas minimal ("&amp;IFERROR(INDEX(Aturan!$A$63:$A$66,MATCH(Aturan!$C$34,Aturan!$B$63:$B$66,0)),"peringkat "&amp;Aturan!$C$34)&amp;")",IF(O275="Cukup","layar "&amp;Varian!$AG59&amp;" cukup, nyamannya "&amp;IFERROR(INDEX(Aturan!$A$63:$A$66,MATCH(Aturan!$D$34,Aturan!$B$63:$B$66,0)),"peringkat "&amp;Aturan!$D$34),IF(O275="Belum ada data","jenis layar belum diketahui",""))))</f>
        <v/>
      </c>
      <c r="W275" s="66" t="str">
        <f aca="false">IF($A275="","",IF(P275="Kurang","layar "&amp;H275&amp;" Hz, di bawah batas minimal "&amp;Aturan!$C$35&amp;" Hz",IF(P275="Cukup","layar "&amp;H275&amp;" Hz cukup, nyamannya "&amp;Aturan!$D$35&amp;" Hz atau lebih",IF(P275="Belum ada data","refresh rate belum diketahui",""))))</f>
        <v/>
      </c>
      <c r="X275" s="66" t="str">
        <f aca="false">IF($A275="","",IF(K275="Kurang",R275&amp;"; ","")&amp;IF(L275="Kurang",S275&amp;"; ","")&amp;IF(M275="Kurang",T275&amp;"; ","")&amp;IF(N275="Kurang",U275&amp;"; ","")&amp;IF(O275="Kurang",V275&amp;"; ","")&amp;IF(P275="Kurang",W275&amp;"; ","")&amp;IF(K275="Belum ada data",R275&amp;"; ","")&amp;IF(L275="Belum ada data",S275&amp;"; ","")&amp;IF(M275="Belum ada data",T275&amp;"; ","")&amp;IF(N275="Belum ada data",U275&amp;"; ","")&amp;IF(O275="Belum ada data",V275&amp;"; ","")&amp;IF(P275="Belum ada data",W275&amp;"; ","")&amp;IF(K275="Cukup",R275&amp;"; ","")&amp;IF(L275="Cukup",S275&amp;"; ","")&amp;IF(M275="Cukup",T275&amp;"; ","")&amp;IF(N275="Cukup",U275&amp;"; ","")&amp;IF(O275="Cukup",V275&amp;"; ","")&amp;IF(P275="Cukup",W275&amp;"; ",""))</f>
        <v/>
      </c>
      <c r="Y275" s="66" t="str">
        <f aca="false">IF($A275="","",IF(K275="Nyaman","prosesor, ","")&amp;IF(L275="Nyaman","grafis, ","")&amp;IF(M275="Nyaman","RAM, ","")&amp;IF(N275="Nyaman","penyimpanan, ","")&amp;IF(O275="Nyaman","layar, ","")&amp;IF(P275="Nyaman","refresh rate, ",""))</f>
        <v/>
      </c>
      <c r="Z275" s="66" t="str">
        <f aca="false">IF($A275="","",IF(Q275="Tidak dinilai","Belum ada kriteria yang dinilai untuk kebutuhan ini.",IF(Q275="Cocok","Semua kriteria yang dinilai sudah nyaman: "&amp;LEFT(Y275,LEN(Y275)-2)&amp;".",UPPER(LEFT(X275,1))&amp;MID(X275,2,LEN(X275)-3)&amp;"."&amp;IF(Y275="",""," Sudah nyaman: "&amp;LEFT(Y275,LEN(Y275)-2)&amp;"."))))</f>
        <v/>
      </c>
      <c r="AA275" s="66" t="str">
        <f aca="false">IF($A275="","",IF(Varian!$AR59="Windows 10","• "&amp;Aturan!$E$71&amp;CHAR(10),"")&amp;IF(Varian!$BB59="tidak","• "&amp;Aturan!$E$72&amp;CHAR(10),"")&amp;IF(OR(Varian!$AD59="belum terverifikasi",Varian!$AD59="tidak diketahui"),"• "&amp;Aturan!$E$73&amp;CHAR(10),"")&amp;IF(Varian!$AH59="1366x768","• "&amp;Aturan!$E$74&amp;CHAR(10),"")&amp;IF(Varian!$AG59="TN","• "&amp;Aturan!$E$75&amp;CHAR(10),"")&amp;IF(AND(Varian!$Q59="disolder",ISNUMBER(Varian!$M59),Varian!$M59&lt;=8),"• "&amp;Aturan!$E$76&amp;CHAR(10),""))</f>
        <v/>
      </c>
      <c r="AB275" s="66" t="str">
        <f aca="false">IF($A275="","",IF(AA275="","",LEFT(AA275,LEN(AA275)-1)))</f>
        <v/>
      </c>
      <c r="AC275" s="67" t="str">
        <f aca="false">IF($A275="","",IF(AA275="",0,LEN(AA275)-LEN(SUBSTITUTE(AA275,CHAR(10),""))))</f>
        <v/>
      </c>
    </row>
    <row r="276" customFormat="false" ht="15" hidden="false" customHeight="true" outlineLevel="0" collapsed="false">
      <c r="A276" s="33" t="str">
        <f aca="false">IF(Varian!$A59="","",Varian!$A59)</f>
        <v/>
      </c>
      <c r="B276" s="33" t="str">
        <f aca="false">IF($A276="","",Aturan!$A$22)</f>
        <v/>
      </c>
      <c r="C276" s="69" t="str">
        <f aca="false">IF($A276="","",IFERROR(IF(ISNUMBER(INDEX(CPU!$J$4:$J$64,MATCH(Varian!$J59,CPU!$A$4:$A$64,0))),INDEX(CPU!$J$4:$J$64,MATCH(Varian!$J59,CPU!$A$4:$A$64,0)),""),""))</f>
        <v/>
      </c>
      <c r="D276" s="69" t="str">
        <f aca="false">IF($A276="","",IFERROR(IF(ISNUMBER(INDEX(GPU!$G$4:$G$64,MATCH(Varian!$K59,GPU!$A$4:$A$64,0))),INDEX(GPU!$G$4:$G$64,MATCH(Varian!$K59,GPU!$A$4:$A$64,0)),""),""))</f>
        <v/>
      </c>
      <c r="E276" s="69" t="str">
        <f aca="false">IF($A276="","",IF(ISNUMBER(Varian!$M59),Varian!$M59,""))</f>
        <v/>
      </c>
      <c r="F276" s="69" t="str">
        <f aca="false">IF($A276="","",IF(ISNUMBER(Varian!$V59),Varian!$V59,""))</f>
        <v/>
      </c>
      <c r="G276" s="69" t="str">
        <f aca="false">IF($A276="","",IFERROR(INDEX(Aturan!$B$63:$B$66,MATCH(Varian!$AG59,Aturan!$A$63:$A$66,0)),""))</f>
        <v/>
      </c>
      <c r="H276" s="69" t="str">
        <f aca="false">IF($A276="","",IF(ISNUMBER(Varian!$AI59),Varian!$AI59,""))</f>
        <v/>
      </c>
      <c r="I276" s="33" t="str">
        <f aca="false">IF($A276="","",IF(Varian!$Q59="disolder","menempel di papan utama, tidak bisa ditambah",IF(OR(Varian!$Q59="slot",Varian!$Q59="setengah_disolder"),IF(Varian!$Q59="setengah_disolder","sebagian menempel, ","")&amp;IF(ISNUMBER(Varian!$U59),IF(AND(ISNUMBER(Varian!$M59),Varian!$U59&gt;Varian!$M59),"bisa dinaikkan lewat slot sampai "&amp;Varian!$U59&amp;" GB","sudah di batas maksimal "&amp;Varian!$U59&amp;" GB"),"ada slot, batas maksimalnya belum diketahui"),"belum diketahui apakah bisa ditambah")))</f>
        <v/>
      </c>
      <c r="J276" s="33" t="str">
        <f aca="false">IF($A276="","",IF(Varian!$Z59="ya","bisa diganti dengan yang lebih besar",IF(Varian!$Z59="tidak","menempel, tidak bisa diganti","belum diketahui apakah bisa diganti")))</f>
        <v/>
      </c>
      <c r="K276" s="70" t="str">
        <f aca="false">IF($A276="","",IF(AND(Aturan!$C$36="",Aturan!$D$36=""),"Tidak dinilai",IF(C276="","Belum ada data",IF(C276&lt;IF(Aturan!$C$36="",0,Aturan!$C$36),"Kurang",IF(C276&gt;=IF(Aturan!$D$36="",Aturan!$C$36,Aturan!$D$36),"Nyaman","Cukup")))))</f>
        <v/>
      </c>
      <c r="L276" s="70" t="str">
        <f aca="false">IF($A276="","",IF(AND(Aturan!$C$37="",Aturan!$D$37=""),"Tidak dinilai",IF(D276="","Belum ada data",IF(D276&lt;IF(Aturan!$C$37="",0,Aturan!$C$37),"Kurang",IF(D276&gt;=IF(Aturan!$D$37="",Aturan!$C$37,Aturan!$D$37),"Nyaman","Cukup")))))</f>
        <v/>
      </c>
      <c r="M276" s="70" t="str">
        <f aca="false">IF($A276="","",IF(AND(Aturan!$C$38="",Aturan!$D$38=""),"Tidak dinilai",IF(E276="","Belum ada data",IF(E276&lt;IF(Aturan!$C$38="",0,Aturan!$C$38),"Kurang",IF(E276&gt;=IF(Aturan!$D$38="",Aturan!$C$38,Aturan!$D$38),"Nyaman","Cukup")))))</f>
        <v/>
      </c>
      <c r="N276" s="70" t="str">
        <f aca="false">IF($A276="","",IF(AND(Aturan!$C$39="",Aturan!$D$39=""),"Tidak dinilai",IF(F276="","Belum ada data",IF(F276&lt;IF(Aturan!$C$39="",0,Aturan!$C$39),"Kurang",IF(F276&gt;=IF(Aturan!$D$39="",Aturan!$C$39,Aturan!$D$39),"Nyaman","Cukup")))))</f>
        <v/>
      </c>
      <c r="O276" s="70" t="str">
        <f aca="false">IF($A276="","",IF(AND(Aturan!$C$40="",Aturan!$D$40=""),"Tidak dinilai",IF(G276="","Belum ada data",IF(G276&lt;IF(Aturan!$C$40="",0,Aturan!$C$40),"Kurang",IF(G276&gt;=IF(Aturan!$D$40="",Aturan!$C$40,Aturan!$D$40),"Nyaman","Cukup")))))</f>
        <v/>
      </c>
      <c r="P276" s="70" t="str">
        <f aca="false">IF($A276="","",IF(AND(Aturan!$C$41="",Aturan!$D$41=""),"Tidak dinilai",IF(H276="","Belum ada data",IF(H276&lt;IF(Aturan!$C$41="",0,Aturan!$C$41),"Kurang",IF(H276&gt;=IF(Aturan!$D$41="",Aturan!$C$41,Aturan!$D$41),"Nyaman","Cukup")))))</f>
        <v/>
      </c>
      <c r="Q276" s="70" t="str">
        <f aca="false">IF($A276="","",IF(COUNTIF(K276:P276,"Tidak dinilai")=6,"Tidak dinilai",IF(COUNTIF(K276:P276,"Kurang")&gt;0,"Kurang cocok",IF(COUNTIF(K276:P276,"Belum ada data")&gt;0,"Data belum lengkap",IF(COUNTIF(K276:P276,"Cukup")&gt;0,"Bisa, dengan catatan","Cocok")))))</f>
        <v/>
      </c>
      <c r="R276" s="33" t="str">
        <f aca="false">IF($A276="","",IF(K276="Kurang","prosesor tingkat "&amp;C276&amp;" dari 5, di bawah batas minimal (tingkat "&amp;Aturan!$C$36&amp;")",IF(K276="Cukup","prosesor tingkat "&amp;C276&amp;" dari 5 cukup, nyamannya mulai tingkat "&amp;Aturan!$D$36,IF(K276="Belum ada data","tingkat prosesor belum diisi",""))))</f>
        <v/>
      </c>
      <c r="S276" s="33" t="str">
        <f aca="false">IF($A276="","",IF(L276="Kurang","grafis tingkat "&amp;D276&amp;" dari 5, di bawah batas minimal (tingkat "&amp;Aturan!$C$37&amp;")",IF(L276="Cukup","grafis tingkat "&amp;D276&amp;" dari 5 cukup, nyamannya mulai tingkat "&amp;Aturan!$D$37,IF(L276="Belum ada data","tingkat grafis belum diisi",""))))</f>
        <v/>
      </c>
      <c r="T276" s="33" t="str">
        <f aca="false">IF($A276="","",IF(M276="Kurang","RAM "&amp;E276&amp;" GB, di bawah batas minimal "&amp;Aturan!$C$38&amp;" GB ("&amp;I276&amp;")",IF(M276="Cukup","RAM "&amp;E276&amp;" GB cukup, nyamannya "&amp;Aturan!$D$38&amp;" GB atau lebih ("&amp;I276&amp;")",IF(M276="Belum ada data","ukuran RAM belum diisi",""))))</f>
        <v/>
      </c>
      <c r="U276" s="33" t="str">
        <f aca="false">IF($A276="","",IF(N276="Kurang","penyimpanan "&amp;F276&amp;" GB, di bawah batas minimal "&amp;Aturan!$C$39&amp;" GB ("&amp;J276&amp;")",IF(N276="Cukup","penyimpanan "&amp;F276&amp;" GB cukup, nyamannya "&amp;Aturan!$D$39&amp;" GB atau lebih ("&amp;J276&amp;")",IF(N276="Belum ada data","ukuran penyimpanan belum diisi",""))))</f>
        <v/>
      </c>
      <c r="V276" s="33" t="str">
        <f aca="false">IF($A276="","",IF(O276="Kurang","layar "&amp;Varian!$AG59&amp;", di bawah batas minimal ("&amp;IFERROR(INDEX(Aturan!$A$63:$A$66,MATCH(Aturan!$C$40,Aturan!$B$63:$B$66,0)),"peringkat "&amp;Aturan!$C$40)&amp;")",IF(O276="Cukup","layar "&amp;Varian!$AG59&amp;" cukup, nyamannya "&amp;IFERROR(INDEX(Aturan!$A$63:$A$66,MATCH(Aturan!$D$40,Aturan!$B$63:$B$66,0)),"peringkat "&amp;Aturan!$D$40),IF(O276="Belum ada data","jenis layar belum diketahui",""))))</f>
        <v/>
      </c>
      <c r="W276" s="33" t="str">
        <f aca="false">IF($A276="","",IF(P276="Kurang","layar "&amp;H276&amp;" Hz, di bawah batas minimal "&amp;Aturan!$C$41&amp;" Hz",IF(P276="Cukup","layar "&amp;H276&amp;" Hz cukup, nyamannya "&amp;Aturan!$D$41&amp;" Hz atau lebih",IF(P276="Belum ada data","refresh rate belum diketahui",""))))</f>
        <v/>
      </c>
      <c r="X276" s="33" t="str">
        <f aca="false">IF($A276="","",IF(K276="Kurang",R276&amp;"; ","")&amp;IF(L276="Kurang",S276&amp;"; ","")&amp;IF(M276="Kurang",T276&amp;"; ","")&amp;IF(N276="Kurang",U276&amp;"; ","")&amp;IF(O276="Kurang",V276&amp;"; ","")&amp;IF(P276="Kurang",W276&amp;"; ","")&amp;IF(K276="Belum ada data",R276&amp;"; ","")&amp;IF(L276="Belum ada data",S276&amp;"; ","")&amp;IF(M276="Belum ada data",T276&amp;"; ","")&amp;IF(N276="Belum ada data",U276&amp;"; ","")&amp;IF(O276="Belum ada data",V276&amp;"; ","")&amp;IF(P276="Belum ada data",W276&amp;"; ","")&amp;IF(K276="Cukup",R276&amp;"; ","")&amp;IF(L276="Cukup",S276&amp;"; ","")&amp;IF(M276="Cukup",T276&amp;"; ","")&amp;IF(N276="Cukup",U276&amp;"; ","")&amp;IF(O276="Cukup",V276&amp;"; ","")&amp;IF(P276="Cukup",W276&amp;"; ",""))</f>
        <v/>
      </c>
      <c r="Y276" s="33" t="str">
        <f aca="false">IF($A276="","",IF(K276="Nyaman","prosesor, ","")&amp;IF(L276="Nyaman","grafis, ","")&amp;IF(M276="Nyaman","RAM, ","")&amp;IF(N276="Nyaman","penyimpanan, ","")&amp;IF(O276="Nyaman","layar, ","")&amp;IF(P276="Nyaman","refresh rate, ",""))</f>
        <v/>
      </c>
      <c r="Z276" s="33" t="str">
        <f aca="false">IF($A276="","",IF(Q276="Tidak dinilai","Belum ada kriteria yang dinilai untuk kebutuhan ini.",IF(Q276="Cocok","Semua kriteria yang dinilai sudah nyaman: "&amp;LEFT(Y276,LEN(Y276)-2)&amp;".",UPPER(LEFT(X276,1))&amp;MID(X276,2,LEN(X276)-3)&amp;"."&amp;IF(Y276="",""," Sudah nyaman: "&amp;LEFT(Y276,LEN(Y276)-2)&amp;"."))))</f>
        <v/>
      </c>
      <c r="AA276" s="33"/>
      <c r="AB276" s="33"/>
      <c r="AC276" s="69"/>
    </row>
    <row r="277" customFormat="false" ht="15" hidden="false" customHeight="true" outlineLevel="0" collapsed="false">
      <c r="A277" s="33" t="str">
        <f aca="false">IF(Varian!$A59="","",Varian!$A59)</f>
        <v/>
      </c>
      <c r="B277" s="33" t="str">
        <f aca="false">IF($A277="","",Aturan!$A$23)</f>
        <v/>
      </c>
      <c r="C277" s="69" t="str">
        <f aca="false">IF($A277="","",IFERROR(IF(ISNUMBER(INDEX(CPU!$J$4:$J$64,MATCH(Varian!$J59,CPU!$A$4:$A$64,0))),INDEX(CPU!$J$4:$J$64,MATCH(Varian!$J59,CPU!$A$4:$A$64,0)),""),""))</f>
        <v/>
      </c>
      <c r="D277" s="69" t="str">
        <f aca="false">IF($A277="","",IFERROR(IF(ISNUMBER(INDEX(GPU!$G$4:$G$64,MATCH(Varian!$K59,GPU!$A$4:$A$64,0))),INDEX(GPU!$G$4:$G$64,MATCH(Varian!$K59,GPU!$A$4:$A$64,0)),""),""))</f>
        <v/>
      </c>
      <c r="E277" s="69" t="str">
        <f aca="false">IF($A277="","",IF(ISNUMBER(Varian!$M59),Varian!$M59,""))</f>
        <v/>
      </c>
      <c r="F277" s="69" t="str">
        <f aca="false">IF($A277="","",IF(ISNUMBER(Varian!$V59),Varian!$V59,""))</f>
        <v/>
      </c>
      <c r="G277" s="69" t="str">
        <f aca="false">IF($A277="","",IFERROR(INDEX(Aturan!$B$63:$B$66,MATCH(Varian!$AG59,Aturan!$A$63:$A$66,0)),""))</f>
        <v/>
      </c>
      <c r="H277" s="69" t="str">
        <f aca="false">IF($A277="","",IF(ISNUMBER(Varian!$AI59),Varian!$AI59,""))</f>
        <v/>
      </c>
      <c r="I277" s="33" t="str">
        <f aca="false">IF($A277="","",IF(Varian!$Q59="disolder","menempel di papan utama, tidak bisa ditambah",IF(OR(Varian!$Q59="slot",Varian!$Q59="setengah_disolder"),IF(Varian!$Q59="setengah_disolder","sebagian menempel, ","")&amp;IF(ISNUMBER(Varian!$U59),IF(AND(ISNUMBER(Varian!$M59),Varian!$U59&gt;Varian!$M59),"bisa dinaikkan lewat slot sampai "&amp;Varian!$U59&amp;" GB","sudah di batas maksimal "&amp;Varian!$U59&amp;" GB"),"ada slot, batas maksimalnya belum diketahui"),"belum diketahui apakah bisa ditambah")))</f>
        <v/>
      </c>
      <c r="J277" s="33" t="str">
        <f aca="false">IF($A277="","",IF(Varian!$Z59="ya","bisa diganti dengan yang lebih besar",IF(Varian!$Z59="tidak","menempel, tidak bisa diganti","belum diketahui apakah bisa diganti")))</f>
        <v/>
      </c>
      <c r="K277" s="70" t="str">
        <f aca="false">IF($A277="","",IF(AND(Aturan!$C$42="",Aturan!$D$42=""),"Tidak dinilai",IF(C277="","Belum ada data",IF(C277&lt;IF(Aturan!$C$42="",0,Aturan!$C$42),"Kurang",IF(C277&gt;=IF(Aturan!$D$42="",Aturan!$C$42,Aturan!$D$42),"Nyaman","Cukup")))))</f>
        <v/>
      </c>
      <c r="L277" s="70" t="str">
        <f aca="false">IF($A277="","",IF(AND(Aturan!$C$43="",Aturan!$D$43=""),"Tidak dinilai",IF(D277="","Belum ada data",IF(D277&lt;IF(Aturan!$C$43="",0,Aturan!$C$43),"Kurang",IF(D277&gt;=IF(Aturan!$D$43="",Aturan!$C$43,Aturan!$D$43),"Nyaman","Cukup")))))</f>
        <v/>
      </c>
      <c r="M277" s="70" t="str">
        <f aca="false">IF($A277="","",IF(AND(Aturan!$C$44="",Aturan!$D$44=""),"Tidak dinilai",IF(E277="","Belum ada data",IF(E277&lt;IF(Aturan!$C$44="",0,Aturan!$C$44),"Kurang",IF(E277&gt;=IF(Aturan!$D$44="",Aturan!$C$44,Aturan!$D$44),"Nyaman","Cukup")))))</f>
        <v/>
      </c>
      <c r="N277" s="70" t="str">
        <f aca="false">IF($A277="","",IF(AND(Aturan!$C$45="",Aturan!$D$45=""),"Tidak dinilai",IF(F277="","Belum ada data",IF(F277&lt;IF(Aturan!$C$45="",0,Aturan!$C$45),"Kurang",IF(F277&gt;=IF(Aturan!$D$45="",Aturan!$C$45,Aturan!$D$45),"Nyaman","Cukup")))))</f>
        <v/>
      </c>
      <c r="O277" s="70" t="str">
        <f aca="false">IF($A277="","",IF(AND(Aturan!$C$46="",Aturan!$D$46=""),"Tidak dinilai",IF(G277="","Belum ada data",IF(G277&lt;IF(Aturan!$C$46="",0,Aturan!$C$46),"Kurang",IF(G277&gt;=IF(Aturan!$D$46="",Aturan!$C$46,Aturan!$D$46),"Nyaman","Cukup")))))</f>
        <v/>
      </c>
      <c r="P277" s="70" t="str">
        <f aca="false">IF($A277="","",IF(AND(Aturan!$C$47="",Aturan!$D$47=""),"Tidak dinilai",IF(H277="","Belum ada data",IF(H277&lt;IF(Aturan!$C$47="",0,Aturan!$C$47),"Kurang",IF(H277&gt;=IF(Aturan!$D$47="",Aturan!$C$47,Aturan!$D$47),"Nyaman","Cukup")))))</f>
        <v/>
      </c>
      <c r="Q277" s="70" t="str">
        <f aca="false">IF($A277="","",IF(COUNTIF(K277:P277,"Tidak dinilai")=6,"Tidak dinilai",IF(COUNTIF(K277:P277,"Kurang")&gt;0,"Kurang cocok",IF(COUNTIF(K277:P277,"Belum ada data")&gt;0,"Data belum lengkap",IF(COUNTIF(K277:P277,"Cukup")&gt;0,"Bisa, dengan catatan","Cocok")))))</f>
        <v/>
      </c>
      <c r="R277" s="33" t="str">
        <f aca="false">IF($A277="","",IF(K277="Kurang","prosesor tingkat "&amp;C277&amp;" dari 5, di bawah batas minimal (tingkat "&amp;Aturan!$C$42&amp;")",IF(K277="Cukup","prosesor tingkat "&amp;C277&amp;" dari 5 cukup, nyamannya mulai tingkat "&amp;Aturan!$D$42,IF(K277="Belum ada data","tingkat prosesor belum diisi",""))))</f>
        <v/>
      </c>
      <c r="S277" s="33" t="str">
        <f aca="false">IF($A277="","",IF(L277="Kurang","grafis tingkat "&amp;D277&amp;" dari 5, di bawah batas minimal (tingkat "&amp;Aturan!$C$43&amp;")",IF(L277="Cukup","grafis tingkat "&amp;D277&amp;" dari 5 cukup, nyamannya mulai tingkat "&amp;Aturan!$D$43,IF(L277="Belum ada data","tingkat grafis belum diisi",""))))</f>
        <v/>
      </c>
      <c r="T277" s="33" t="str">
        <f aca="false">IF($A277="","",IF(M277="Kurang","RAM "&amp;E277&amp;" GB, di bawah batas minimal "&amp;Aturan!$C$44&amp;" GB ("&amp;I277&amp;")",IF(M277="Cukup","RAM "&amp;E277&amp;" GB cukup, nyamannya "&amp;Aturan!$D$44&amp;" GB atau lebih ("&amp;I277&amp;")",IF(M277="Belum ada data","ukuran RAM belum diisi",""))))</f>
        <v/>
      </c>
      <c r="U277" s="33" t="str">
        <f aca="false">IF($A277="","",IF(N277="Kurang","penyimpanan "&amp;F277&amp;" GB, di bawah batas minimal "&amp;Aturan!$C$45&amp;" GB ("&amp;J277&amp;")",IF(N277="Cukup","penyimpanan "&amp;F277&amp;" GB cukup, nyamannya "&amp;Aturan!$D$45&amp;" GB atau lebih ("&amp;J277&amp;")",IF(N277="Belum ada data","ukuran penyimpanan belum diisi",""))))</f>
        <v/>
      </c>
      <c r="V277" s="33" t="str">
        <f aca="false">IF($A277="","",IF(O277="Kurang","layar "&amp;Varian!$AG59&amp;", di bawah batas minimal ("&amp;IFERROR(INDEX(Aturan!$A$63:$A$66,MATCH(Aturan!$C$46,Aturan!$B$63:$B$66,0)),"peringkat "&amp;Aturan!$C$46)&amp;")",IF(O277="Cukup","layar "&amp;Varian!$AG59&amp;" cukup, nyamannya "&amp;IFERROR(INDEX(Aturan!$A$63:$A$66,MATCH(Aturan!$D$46,Aturan!$B$63:$B$66,0)),"peringkat "&amp;Aturan!$D$46),IF(O277="Belum ada data","jenis layar belum diketahui",""))))</f>
        <v/>
      </c>
      <c r="W277" s="33" t="str">
        <f aca="false">IF($A277="","",IF(P277="Kurang","layar "&amp;H277&amp;" Hz, di bawah batas minimal "&amp;Aturan!$C$47&amp;" Hz",IF(P277="Cukup","layar "&amp;H277&amp;" Hz cukup, nyamannya "&amp;Aturan!$D$47&amp;" Hz atau lebih",IF(P277="Belum ada data","refresh rate belum diketahui",""))))</f>
        <v/>
      </c>
      <c r="X277" s="33" t="str">
        <f aca="false">IF($A277="","",IF(K277="Kurang",R277&amp;"; ","")&amp;IF(L277="Kurang",S277&amp;"; ","")&amp;IF(M277="Kurang",T277&amp;"; ","")&amp;IF(N277="Kurang",U277&amp;"; ","")&amp;IF(O277="Kurang",V277&amp;"; ","")&amp;IF(P277="Kurang",W277&amp;"; ","")&amp;IF(K277="Belum ada data",R277&amp;"; ","")&amp;IF(L277="Belum ada data",S277&amp;"; ","")&amp;IF(M277="Belum ada data",T277&amp;"; ","")&amp;IF(N277="Belum ada data",U277&amp;"; ","")&amp;IF(O277="Belum ada data",V277&amp;"; ","")&amp;IF(P277="Belum ada data",W277&amp;"; ","")&amp;IF(K277="Cukup",R277&amp;"; ","")&amp;IF(L277="Cukup",S277&amp;"; ","")&amp;IF(M277="Cukup",T277&amp;"; ","")&amp;IF(N277="Cukup",U277&amp;"; ","")&amp;IF(O277="Cukup",V277&amp;"; ","")&amp;IF(P277="Cukup",W277&amp;"; ",""))</f>
        <v/>
      </c>
      <c r="Y277" s="33" t="str">
        <f aca="false">IF($A277="","",IF(K277="Nyaman","prosesor, ","")&amp;IF(L277="Nyaman","grafis, ","")&amp;IF(M277="Nyaman","RAM, ","")&amp;IF(N277="Nyaman","penyimpanan, ","")&amp;IF(O277="Nyaman","layar, ","")&amp;IF(P277="Nyaman","refresh rate, ",""))</f>
        <v/>
      </c>
      <c r="Z277" s="33" t="str">
        <f aca="false">IF($A277="","",IF(Q277="Tidak dinilai","Belum ada kriteria yang dinilai untuk kebutuhan ini.",IF(Q277="Cocok","Semua kriteria yang dinilai sudah nyaman: "&amp;LEFT(Y277,LEN(Y277)-2)&amp;".",UPPER(LEFT(X277,1))&amp;MID(X277,2,LEN(X277)-3)&amp;"."&amp;IF(Y277="",""," Sudah nyaman: "&amp;LEFT(Y277,LEN(Y277)-2)&amp;"."))))</f>
        <v/>
      </c>
      <c r="AA277" s="33"/>
      <c r="AB277" s="33"/>
      <c r="AC277" s="69"/>
    </row>
    <row r="278" customFormat="false" ht="15" hidden="false" customHeight="true" outlineLevel="0" collapsed="false">
      <c r="A278" s="33" t="str">
        <f aca="false">IF(Varian!$A59="","",Varian!$A59)</f>
        <v/>
      </c>
      <c r="B278" s="33" t="str">
        <f aca="false">IF($A278="","",Aturan!$A$24)</f>
        <v/>
      </c>
      <c r="C278" s="69" t="str">
        <f aca="false">IF($A278="","",IFERROR(IF(ISNUMBER(INDEX(CPU!$J$4:$J$64,MATCH(Varian!$J59,CPU!$A$4:$A$64,0))),INDEX(CPU!$J$4:$J$64,MATCH(Varian!$J59,CPU!$A$4:$A$64,0)),""),""))</f>
        <v/>
      </c>
      <c r="D278" s="69" t="str">
        <f aca="false">IF($A278="","",IFERROR(IF(ISNUMBER(INDEX(GPU!$G$4:$G$64,MATCH(Varian!$K59,GPU!$A$4:$A$64,0))),INDEX(GPU!$G$4:$G$64,MATCH(Varian!$K59,GPU!$A$4:$A$64,0)),""),""))</f>
        <v/>
      </c>
      <c r="E278" s="69" t="str">
        <f aca="false">IF($A278="","",IF(ISNUMBER(Varian!$M59),Varian!$M59,""))</f>
        <v/>
      </c>
      <c r="F278" s="69" t="str">
        <f aca="false">IF($A278="","",IF(ISNUMBER(Varian!$V59),Varian!$V59,""))</f>
        <v/>
      </c>
      <c r="G278" s="69" t="str">
        <f aca="false">IF($A278="","",IFERROR(INDEX(Aturan!$B$63:$B$66,MATCH(Varian!$AG59,Aturan!$A$63:$A$66,0)),""))</f>
        <v/>
      </c>
      <c r="H278" s="69" t="str">
        <f aca="false">IF($A278="","",IF(ISNUMBER(Varian!$AI59),Varian!$AI59,""))</f>
        <v/>
      </c>
      <c r="I278" s="33" t="str">
        <f aca="false">IF($A278="","",IF(Varian!$Q59="disolder","menempel di papan utama, tidak bisa ditambah",IF(OR(Varian!$Q59="slot",Varian!$Q59="setengah_disolder"),IF(Varian!$Q59="setengah_disolder","sebagian menempel, ","")&amp;IF(ISNUMBER(Varian!$U59),IF(AND(ISNUMBER(Varian!$M59),Varian!$U59&gt;Varian!$M59),"bisa dinaikkan lewat slot sampai "&amp;Varian!$U59&amp;" GB","sudah di batas maksimal "&amp;Varian!$U59&amp;" GB"),"ada slot, batas maksimalnya belum diketahui"),"belum diketahui apakah bisa ditambah")))</f>
        <v/>
      </c>
      <c r="J278" s="33" t="str">
        <f aca="false">IF($A278="","",IF(Varian!$Z59="ya","bisa diganti dengan yang lebih besar",IF(Varian!$Z59="tidak","menempel, tidak bisa diganti","belum diketahui apakah bisa diganti")))</f>
        <v/>
      </c>
      <c r="K278" s="70" t="str">
        <f aca="false">IF($A278="","",IF(AND(Aturan!$C$48="",Aturan!$D$48=""),"Tidak dinilai",IF(C278="","Belum ada data",IF(C278&lt;IF(Aturan!$C$48="",0,Aturan!$C$48),"Kurang",IF(C278&gt;=IF(Aturan!$D$48="",Aturan!$C$48,Aturan!$D$48),"Nyaman","Cukup")))))</f>
        <v/>
      </c>
      <c r="L278" s="70" t="str">
        <f aca="false">IF($A278="","",IF(AND(Aturan!$C$49="",Aturan!$D$49=""),"Tidak dinilai",IF(D278="","Belum ada data",IF(D278&lt;IF(Aturan!$C$49="",0,Aturan!$C$49),"Kurang",IF(D278&gt;=IF(Aturan!$D$49="",Aturan!$C$49,Aturan!$D$49),"Nyaman","Cukup")))))</f>
        <v/>
      </c>
      <c r="M278" s="70" t="str">
        <f aca="false">IF($A278="","",IF(AND(Aturan!$C$50="",Aturan!$D$50=""),"Tidak dinilai",IF(E278="","Belum ada data",IF(E278&lt;IF(Aturan!$C$50="",0,Aturan!$C$50),"Kurang",IF(E278&gt;=IF(Aturan!$D$50="",Aturan!$C$50,Aturan!$D$50),"Nyaman","Cukup")))))</f>
        <v/>
      </c>
      <c r="N278" s="70" t="str">
        <f aca="false">IF($A278="","",IF(AND(Aturan!$C$51="",Aturan!$D$51=""),"Tidak dinilai",IF(F278="","Belum ada data",IF(F278&lt;IF(Aturan!$C$51="",0,Aturan!$C$51),"Kurang",IF(F278&gt;=IF(Aturan!$D$51="",Aturan!$C$51,Aturan!$D$51),"Nyaman","Cukup")))))</f>
        <v/>
      </c>
      <c r="O278" s="70" t="str">
        <f aca="false">IF($A278="","",IF(AND(Aturan!$C$52="",Aturan!$D$52=""),"Tidak dinilai",IF(G278="","Belum ada data",IF(G278&lt;IF(Aturan!$C$52="",0,Aturan!$C$52),"Kurang",IF(G278&gt;=IF(Aturan!$D$52="",Aturan!$C$52,Aturan!$D$52),"Nyaman","Cukup")))))</f>
        <v/>
      </c>
      <c r="P278" s="70" t="str">
        <f aca="false">IF($A278="","",IF(AND(Aturan!$C$53="",Aturan!$D$53=""),"Tidak dinilai",IF(H278="","Belum ada data",IF(H278&lt;IF(Aturan!$C$53="",0,Aturan!$C$53),"Kurang",IF(H278&gt;=IF(Aturan!$D$53="",Aturan!$C$53,Aturan!$D$53),"Nyaman","Cukup")))))</f>
        <v/>
      </c>
      <c r="Q278" s="70" t="str">
        <f aca="false">IF($A278="","",IF(COUNTIF(K278:P278,"Tidak dinilai")=6,"Tidak dinilai",IF(COUNTIF(K278:P278,"Kurang")&gt;0,"Kurang cocok",IF(COUNTIF(K278:P278,"Belum ada data")&gt;0,"Data belum lengkap",IF(COUNTIF(K278:P278,"Cukup")&gt;0,"Bisa, dengan catatan","Cocok")))))</f>
        <v/>
      </c>
      <c r="R278" s="33" t="str">
        <f aca="false">IF($A278="","",IF(K278="Kurang","prosesor tingkat "&amp;C278&amp;" dari 5, di bawah batas minimal (tingkat "&amp;Aturan!$C$48&amp;")",IF(K278="Cukup","prosesor tingkat "&amp;C278&amp;" dari 5 cukup, nyamannya mulai tingkat "&amp;Aturan!$D$48,IF(K278="Belum ada data","tingkat prosesor belum diisi",""))))</f>
        <v/>
      </c>
      <c r="S278" s="33" t="str">
        <f aca="false">IF($A278="","",IF(L278="Kurang","grafis tingkat "&amp;D278&amp;" dari 5, di bawah batas minimal (tingkat "&amp;Aturan!$C$49&amp;")",IF(L278="Cukup","grafis tingkat "&amp;D278&amp;" dari 5 cukup, nyamannya mulai tingkat "&amp;Aturan!$D$49,IF(L278="Belum ada data","tingkat grafis belum diisi",""))))</f>
        <v/>
      </c>
      <c r="T278" s="33" t="str">
        <f aca="false">IF($A278="","",IF(M278="Kurang","RAM "&amp;E278&amp;" GB, di bawah batas minimal "&amp;Aturan!$C$50&amp;" GB ("&amp;I278&amp;")",IF(M278="Cukup","RAM "&amp;E278&amp;" GB cukup, nyamannya "&amp;Aturan!$D$50&amp;" GB atau lebih ("&amp;I278&amp;")",IF(M278="Belum ada data","ukuran RAM belum diisi",""))))</f>
        <v/>
      </c>
      <c r="U278" s="33" t="str">
        <f aca="false">IF($A278="","",IF(N278="Kurang","penyimpanan "&amp;F278&amp;" GB, di bawah batas minimal "&amp;Aturan!$C$51&amp;" GB ("&amp;J278&amp;")",IF(N278="Cukup","penyimpanan "&amp;F278&amp;" GB cukup, nyamannya "&amp;Aturan!$D$51&amp;" GB atau lebih ("&amp;J278&amp;")",IF(N278="Belum ada data","ukuran penyimpanan belum diisi",""))))</f>
        <v/>
      </c>
      <c r="V278" s="33" t="str">
        <f aca="false">IF($A278="","",IF(O278="Kurang","layar "&amp;Varian!$AG59&amp;", di bawah batas minimal ("&amp;IFERROR(INDEX(Aturan!$A$63:$A$66,MATCH(Aturan!$C$52,Aturan!$B$63:$B$66,0)),"peringkat "&amp;Aturan!$C$52)&amp;")",IF(O278="Cukup","layar "&amp;Varian!$AG59&amp;" cukup, nyamannya "&amp;IFERROR(INDEX(Aturan!$A$63:$A$66,MATCH(Aturan!$D$52,Aturan!$B$63:$B$66,0)),"peringkat "&amp;Aturan!$D$52),IF(O278="Belum ada data","jenis layar belum diketahui",""))))</f>
        <v/>
      </c>
      <c r="W278" s="33" t="str">
        <f aca="false">IF($A278="","",IF(P278="Kurang","layar "&amp;H278&amp;" Hz, di bawah batas minimal "&amp;Aturan!$C$53&amp;" Hz",IF(P278="Cukup","layar "&amp;H278&amp;" Hz cukup, nyamannya "&amp;Aturan!$D$53&amp;" Hz atau lebih",IF(P278="Belum ada data","refresh rate belum diketahui",""))))</f>
        <v/>
      </c>
      <c r="X278" s="33" t="str">
        <f aca="false">IF($A278="","",IF(K278="Kurang",R278&amp;"; ","")&amp;IF(L278="Kurang",S278&amp;"; ","")&amp;IF(M278="Kurang",T278&amp;"; ","")&amp;IF(N278="Kurang",U278&amp;"; ","")&amp;IF(O278="Kurang",V278&amp;"; ","")&amp;IF(P278="Kurang",W278&amp;"; ","")&amp;IF(K278="Belum ada data",R278&amp;"; ","")&amp;IF(L278="Belum ada data",S278&amp;"; ","")&amp;IF(M278="Belum ada data",T278&amp;"; ","")&amp;IF(N278="Belum ada data",U278&amp;"; ","")&amp;IF(O278="Belum ada data",V278&amp;"; ","")&amp;IF(P278="Belum ada data",W278&amp;"; ","")&amp;IF(K278="Cukup",R278&amp;"; ","")&amp;IF(L278="Cukup",S278&amp;"; ","")&amp;IF(M278="Cukup",T278&amp;"; ","")&amp;IF(N278="Cukup",U278&amp;"; ","")&amp;IF(O278="Cukup",V278&amp;"; ","")&amp;IF(P278="Cukup",W278&amp;"; ",""))</f>
        <v/>
      </c>
      <c r="Y278" s="33" t="str">
        <f aca="false">IF($A278="","",IF(K278="Nyaman","prosesor, ","")&amp;IF(L278="Nyaman","grafis, ","")&amp;IF(M278="Nyaman","RAM, ","")&amp;IF(N278="Nyaman","penyimpanan, ","")&amp;IF(O278="Nyaman","layar, ","")&amp;IF(P278="Nyaman","refresh rate, ",""))</f>
        <v/>
      </c>
      <c r="Z278" s="33" t="str">
        <f aca="false">IF($A278="","",IF(Q278="Tidak dinilai","Belum ada kriteria yang dinilai untuk kebutuhan ini.",IF(Q278="Cocok","Semua kriteria yang dinilai sudah nyaman: "&amp;LEFT(Y278,LEN(Y278)-2)&amp;".",UPPER(LEFT(X278,1))&amp;MID(X278,2,LEN(X278)-3)&amp;"."&amp;IF(Y278="",""," Sudah nyaman: "&amp;LEFT(Y278,LEN(Y278)-2)&amp;"."))))</f>
        <v/>
      </c>
      <c r="AA278" s="33"/>
      <c r="AB278" s="33"/>
      <c r="AC278" s="69"/>
    </row>
    <row r="279" customFormat="false" ht="15" hidden="false" customHeight="true" outlineLevel="0" collapsed="false">
      <c r="A279" s="33" t="str">
        <f aca="false">IF(Varian!$A59="","",Varian!$A59)</f>
        <v/>
      </c>
      <c r="B279" s="33" t="str">
        <f aca="false">IF($A279="","",Aturan!$A$25)</f>
        <v/>
      </c>
      <c r="C279" s="69" t="str">
        <f aca="false">IF($A279="","",IFERROR(IF(ISNUMBER(INDEX(CPU!$J$4:$J$64,MATCH(Varian!$J59,CPU!$A$4:$A$64,0))),INDEX(CPU!$J$4:$J$64,MATCH(Varian!$J59,CPU!$A$4:$A$64,0)),""),""))</f>
        <v/>
      </c>
      <c r="D279" s="69" t="str">
        <f aca="false">IF($A279="","",IFERROR(IF(ISNUMBER(INDEX(GPU!$G$4:$G$64,MATCH(Varian!$K59,GPU!$A$4:$A$64,0))),INDEX(GPU!$G$4:$G$64,MATCH(Varian!$K59,GPU!$A$4:$A$64,0)),""),""))</f>
        <v/>
      </c>
      <c r="E279" s="69" t="str">
        <f aca="false">IF($A279="","",IF(ISNUMBER(Varian!$M59),Varian!$M59,""))</f>
        <v/>
      </c>
      <c r="F279" s="69" t="str">
        <f aca="false">IF($A279="","",IF(ISNUMBER(Varian!$V59),Varian!$V59,""))</f>
        <v/>
      </c>
      <c r="G279" s="69" t="str">
        <f aca="false">IF($A279="","",IFERROR(INDEX(Aturan!$B$63:$B$66,MATCH(Varian!$AG59,Aturan!$A$63:$A$66,0)),""))</f>
        <v/>
      </c>
      <c r="H279" s="69" t="str">
        <f aca="false">IF($A279="","",IF(ISNUMBER(Varian!$AI59),Varian!$AI59,""))</f>
        <v/>
      </c>
      <c r="I279" s="33" t="str">
        <f aca="false">IF($A279="","",IF(Varian!$Q59="disolder","menempel di papan utama, tidak bisa ditambah",IF(OR(Varian!$Q59="slot",Varian!$Q59="setengah_disolder"),IF(Varian!$Q59="setengah_disolder","sebagian menempel, ","")&amp;IF(ISNUMBER(Varian!$U59),IF(AND(ISNUMBER(Varian!$M59),Varian!$U59&gt;Varian!$M59),"bisa dinaikkan lewat slot sampai "&amp;Varian!$U59&amp;" GB","sudah di batas maksimal "&amp;Varian!$U59&amp;" GB"),"ada slot, batas maksimalnya belum diketahui"),"belum diketahui apakah bisa ditambah")))</f>
        <v/>
      </c>
      <c r="J279" s="33" t="str">
        <f aca="false">IF($A279="","",IF(Varian!$Z59="ya","bisa diganti dengan yang lebih besar",IF(Varian!$Z59="tidak","menempel, tidak bisa diganti","belum diketahui apakah bisa diganti")))</f>
        <v/>
      </c>
      <c r="K279" s="70" t="str">
        <f aca="false">IF($A279="","",IF(AND(Aturan!$C$54="",Aturan!$D$54=""),"Tidak dinilai",IF(C279="","Belum ada data",IF(C279&lt;IF(Aturan!$C$54="",0,Aturan!$C$54),"Kurang",IF(C279&gt;=IF(Aturan!$D$54="",Aturan!$C$54,Aturan!$D$54),"Nyaman","Cukup")))))</f>
        <v/>
      </c>
      <c r="L279" s="70" t="str">
        <f aca="false">IF($A279="","",IF(AND(Aturan!$C$55="",Aturan!$D$55=""),"Tidak dinilai",IF(D279="","Belum ada data",IF(D279&lt;IF(Aturan!$C$55="",0,Aturan!$C$55),"Kurang",IF(D279&gt;=IF(Aturan!$D$55="",Aturan!$C$55,Aturan!$D$55),"Nyaman","Cukup")))))</f>
        <v/>
      </c>
      <c r="M279" s="70" t="str">
        <f aca="false">IF($A279="","",IF(AND(Aturan!$C$56="",Aturan!$D$56=""),"Tidak dinilai",IF(E279="","Belum ada data",IF(E279&lt;IF(Aturan!$C$56="",0,Aturan!$C$56),"Kurang",IF(E279&gt;=IF(Aturan!$D$56="",Aturan!$C$56,Aturan!$D$56),"Nyaman","Cukup")))))</f>
        <v/>
      </c>
      <c r="N279" s="70" t="str">
        <f aca="false">IF($A279="","",IF(AND(Aturan!$C$57="",Aturan!$D$57=""),"Tidak dinilai",IF(F279="","Belum ada data",IF(F279&lt;IF(Aturan!$C$57="",0,Aturan!$C$57),"Kurang",IF(F279&gt;=IF(Aturan!$D$57="",Aturan!$C$57,Aturan!$D$57),"Nyaman","Cukup")))))</f>
        <v/>
      </c>
      <c r="O279" s="70" t="str">
        <f aca="false">IF($A279="","",IF(AND(Aturan!$C$58="",Aturan!$D$58=""),"Tidak dinilai",IF(G279="","Belum ada data",IF(G279&lt;IF(Aturan!$C$58="",0,Aturan!$C$58),"Kurang",IF(G279&gt;=IF(Aturan!$D$58="",Aturan!$C$58,Aturan!$D$58),"Nyaman","Cukup")))))</f>
        <v/>
      </c>
      <c r="P279" s="70" t="str">
        <f aca="false">IF($A279="","",IF(AND(Aturan!$C$59="",Aturan!$D$59=""),"Tidak dinilai",IF(H279="","Belum ada data",IF(H279&lt;IF(Aturan!$C$59="",0,Aturan!$C$59),"Kurang",IF(H279&gt;=IF(Aturan!$D$59="",Aturan!$C$59,Aturan!$D$59),"Nyaman","Cukup")))))</f>
        <v/>
      </c>
      <c r="Q279" s="70" t="str">
        <f aca="false">IF($A279="","",IF(COUNTIF(K279:P279,"Tidak dinilai")=6,"Tidak dinilai",IF(COUNTIF(K279:P279,"Kurang")&gt;0,"Kurang cocok",IF(COUNTIF(K279:P279,"Belum ada data")&gt;0,"Data belum lengkap",IF(COUNTIF(K279:P279,"Cukup")&gt;0,"Bisa, dengan catatan","Cocok")))))</f>
        <v/>
      </c>
      <c r="R279" s="33" t="str">
        <f aca="false">IF($A279="","",IF(K279="Kurang","prosesor tingkat "&amp;C279&amp;" dari 5, di bawah batas minimal (tingkat "&amp;Aturan!$C$54&amp;")",IF(K279="Cukup","prosesor tingkat "&amp;C279&amp;" dari 5 cukup, nyamannya mulai tingkat "&amp;Aturan!$D$54,IF(K279="Belum ada data","tingkat prosesor belum diisi",""))))</f>
        <v/>
      </c>
      <c r="S279" s="33" t="str">
        <f aca="false">IF($A279="","",IF(L279="Kurang","grafis tingkat "&amp;D279&amp;" dari 5, di bawah batas minimal (tingkat "&amp;Aturan!$C$55&amp;")",IF(L279="Cukup","grafis tingkat "&amp;D279&amp;" dari 5 cukup, nyamannya mulai tingkat "&amp;Aturan!$D$55,IF(L279="Belum ada data","tingkat grafis belum diisi",""))))</f>
        <v/>
      </c>
      <c r="T279" s="33" t="str">
        <f aca="false">IF($A279="","",IF(M279="Kurang","RAM "&amp;E279&amp;" GB, di bawah batas minimal "&amp;Aturan!$C$56&amp;" GB ("&amp;I279&amp;")",IF(M279="Cukup","RAM "&amp;E279&amp;" GB cukup, nyamannya "&amp;Aturan!$D$56&amp;" GB atau lebih ("&amp;I279&amp;")",IF(M279="Belum ada data","ukuran RAM belum diisi",""))))</f>
        <v/>
      </c>
      <c r="U279" s="33" t="str">
        <f aca="false">IF($A279="","",IF(N279="Kurang","penyimpanan "&amp;F279&amp;" GB, di bawah batas minimal "&amp;Aturan!$C$57&amp;" GB ("&amp;J279&amp;")",IF(N279="Cukup","penyimpanan "&amp;F279&amp;" GB cukup, nyamannya "&amp;Aturan!$D$57&amp;" GB atau lebih ("&amp;J279&amp;")",IF(N279="Belum ada data","ukuran penyimpanan belum diisi",""))))</f>
        <v/>
      </c>
      <c r="V279" s="33" t="str">
        <f aca="false">IF($A279="","",IF(O279="Kurang","layar "&amp;Varian!$AG59&amp;", di bawah batas minimal ("&amp;IFERROR(INDEX(Aturan!$A$63:$A$66,MATCH(Aturan!$C$58,Aturan!$B$63:$B$66,0)),"peringkat "&amp;Aturan!$C$58)&amp;")",IF(O279="Cukup","layar "&amp;Varian!$AG59&amp;" cukup, nyamannya "&amp;IFERROR(INDEX(Aturan!$A$63:$A$66,MATCH(Aturan!$D$58,Aturan!$B$63:$B$66,0)),"peringkat "&amp;Aturan!$D$58),IF(O279="Belum ada data","jenis layar belum diketahui",""))))</f>
        <v/>
      </c>
      <c r="W279" s="33" t="str">
        <f aca="false">IF($A279="","",IF(P279="Kurang","layar "&amp;H279&amp;" Hz, di bawah batas minimal "&amp;Aturan!$C$59&amp;" Hz",IF(P279="Cukup","layar "&amp;H279&amp;" Hz cukup, nyamannya "&amp;Aturan!$D$59&amp;" Hz atau lebih",IF(P279="Belum ada data","refresh rate belum diketahui",""))))</f>
        <v/>
      </c>
      <c r="X279" s="33" t="str">
        <f aca="false">IF($A279="","",IF(K279="Kurang",R279&amp;"; ","")&amp;IF(L279="Kurang",S279&amp;"; ","")&amp;IF(M279="Kurang",T279&amp;"; ","")&amp;IF(N279="Kurang",U279&amp;"; ","")&amp;IF(O279="Kurang",V279&amp;"; ","")&amp;IF(P279="Kurang",W279&amp;"; ","")&amp;IF(K279="Belum ada data",R279&amp;"; ","")&amp;IF(L279="Belum ada data",S279&amp;"; ","")&amp;IF(M279="Belum ada data",T279&amp;"; ","")&amp;IF(N279="Belum ada data",U279&amp;"; ","")&amp;IF(O279="Belum ada data",V279&amp;"; ","")&amp;IF(P279="Belum ada data",W279&amp;"; ","")&amp;IF(K279="Cukup",R279&amp;"; ","")&amp;IF(L279="Cukup",S279&amp;"; ","")&amp;IF(M279="Cukup",T279&amp;"; ","")&amp;IF(N279="Cukup",U279&amp;"; ","")&amp;IF(O279="Cukup",V279&amp;"; ","")&amp;IF(P279="Cukup",W279&amp;"; ",""))</f>
        <v/>
      </c>
      <c r="Y279" s="33" t="str">
        <f aca="false">IF($A279="","",IF(K279="Nyaman","prosesor, ","")&amp;IF(L279="Nyaman","grafis, ","")&amp;IF(M279="Nyaman","RAM, ","")&amp;IF(N279="Nyaman","penyimpanan, ","")&amp;IF(O279="Nyaman","layar, ","")&amp;IF(P279="Nyaman","refresh rate, ",""))</f>
        <v/>
      </c>
      <c r="Z279" s="33" t="str">
        <f aca="false">IF($A279="","",IF(Q279="Tidak dinilai","Belum ada kriteria yang dinilai untuk kebutuhan ini.",IF(Q279="Cocok","Semua kriteria yang dinilai sudah nyaman: "&amp;LEFT(Y279,LEN(Y279)-2)&amp;".",UPPER(LEFT(X279,1))&amp;MID(X279,2,LEN(X279)-3)&amp;"."&amp;IF(Y279="",""," Sudah nyaman: "&amp;LEFT(Y279,LEN(Y279)-2)&amp;"."))))</f>
        <v/>
      </c>
      <c r="AA279" s="33"/>
      <c r="AB279" s="33"/>
      <c r="AC279" s="69"/>
    </row>
    <row r="280" customFormat="false" ht="15" hidden="false" customHeight="true" outlineLevel="0" collapsed="false">
      <c r="A280" s="66" t="str">
        <f aca="false">IF(Varian!$A60="","",Varian!$A60)</f>
        <v/>
      </c>
      <c r="B280" s="66" t="str">
        <f aca="false">IF($A280="","",Aturan!$A$21)</f>
        <v/>
      </c>
      <c r="C280" s="67" t="str">
        <f aca="false">IF($A280="","",IFERROR(IF(ISNUMBER(INDEX(CPU!$J$4:$J$64,MATCH(Varian!$J60,CPU!$A$4:$A$64,0))),INDEX(CPU!$J$4:$J$64,MATCH(Varian!$J60,CPU!$A$4:$A$64,0)),""),""))</f>
        <v/>
      </c>
      <c r="D280" s="67" t="str">
        <f aca="false">IF($A280="","",IFERROR(IF(ISNUMBER(INDEX(GPU!$G$4:$G$64,MATCH(Varian!$K60,GPU!$A$4:$A$64,0))),INDEX(GPU!$G$4:$G$64,MATCH(Varian!$K60,GPU!$A$4:$A$64,0)),""),""))</f>
        <v/>
      </c>
      <c r="E280" s="67" t="str">
        <f aca="false">IF($A280="","",IF(ISNUMBER(Varian!$M60),Varian!$M60,""))</f>
        <v/>
      </c>
      <c r="F280" s="67" t="str">
        <f aca="false">IF($A280="","",IF(ISNUMBER(Varian!$V60),Varian!$V60,""))</f>
        <v/>
      </c>
      <c r="G280" s="67" t="str">
        <f aca="false">IF($A280="","",IFERROR(INDEX(Aturan!$B$63:$B$66,MATCH(Varian!$AG60,Aturan!$A$63:$A$66,0)),""))</f>
        <v/>
      </c>
      <c r="H280" s="67" t="str">
        <f aca="false">IF($A280="","",IF(ISNUMBER(Varian!$AI60),Varian!$AI60,""))</f>
        <v/>
      </c>
      <c r="I280" s="66" t="str">
        <f aca="false">IF($A280="","",IF(Varian!$Q60="disolder","menempel di papan utama, tidak bisa ditambah",IF(OR(Varian!$Q60="slot",Varian!$Q60="setengah_disolder"),IF(Varian!$Q60="setengah_disolder","sebagian menempel, ","")&amp;IF(ISNUMBER(Varian!$U60),IF(AND(ISNUMBER(Varian!$M60),Varian!$U60&gt;Varian!$M60),"bisa dinaikkan lewat slot sampai "&amp;Varian!$U60&amp;" GB","sudah di batas maksimal "&amp;Varian!$U60&amp;" GB"),"ada slot, batas maksimalnya belum diketahui"),"belum diketahui apakah bisa ditambah")))</f>
        <v/>
      </c>
      <c r="J280" s="66" t="str">
        <f aca="false">IF($A280="","",IF(Varian!$Z60="ya","bisa diganti dengan yang lebih besar",IF(Varian!$Z60="tidak","menempel, tidak bisa diganti","belum diketahui apakah bisa diganti")))</f>
        <v/>
      </c>
      <c r="K280" s="68" t="str">
        <f aca="false">IF($A280="","",IF(AND(Aturan!$C$30="",Aturan!$D$30=""),"Tidak dinilai",IF(C280="","Belum ada data",IF(C280&lt;IF(Aturan!$C$30="",0,Aturan!$C$30),"Kurang",IF(C280&gt;=IF(Aturan!$D$30="",Aturan!$C$30,Aturan!$D$30),"Nyaman","Cukup")))))</f>
        <v/>
      </c>
      <c r="L280" s="68" t="str">
        <f aca="false">IF($A280="","",IF(AND(Aturan!$C$31="",Aturan!$D$31=""),"Tidak dinilai",IF(D280="","Belum ada data",IF(D280&lt;IF(Aturan!$C$31="",0,Aturan!$C$31),"Kurang",IF(D280&gt;=IF(Aturan!$D$31="",Aturan!$C$31,Aturan!$D$31),"Nyaman","Cukup")))))</f>
        <v/>
      </c>
      <c r="M280" s="68" t="str">
        <f aca="false">IF($A280="","",IF(AND(Aturan!$C$32="",Aturan!$D$32=""),"Tidak dinilai",IF(E280="","Belum ada data",IF(E280&lt;IF(Aturan!$C$32="",0,Aturan!$C$32),"Kurang",IF(E280&gt;=IF(Aturan!$D$32="",Aturan!$C$32,Aturan!$D$32),"Nyaman","Cukup")))))</f>
        <v/>
      </c>
      <c r="N280" s="68" t="str">
        <f aca="false">IF($A280="","",IF(AND(Aturan!$C$33="",Aturan!$D$33=""),"Tidak dinilai",IF(F280="","Belum ada data",IF(F280&lt;IF(Aturan!$C$33="",0,Aturan!$C$33),"Kurang",IF(F280&gt;=IF(Aturan!$D$33="",Aturan!$C$33,Aturan!$D$33),"Nyaman","Cukup")))))</f>
        <v/>
      </c>
      <c r="O280" s="68" t="str">
        <f aca="false">IF($A280="","",IF(AND(Aturan!$C$34="",Aturan!$D$34=""),"Tidak dinilai",IF(G280="","Belum ada data",IF(G280&lt;IF(Aturan!$C$34="",0,Aturan!$C$34),"Kurang",IF(G280&gt;=IF(Aturan!$D$34="",Aturan!$C$34,Aturan!$D$34),"Nyaman","Cukup")))))</f>
        <v/>
      </c>
      <c r="P280" s="68" t="str">
        <f aca="false">IF($A280="","",IF(AND(Aturan!$C$35="",Aturan!$D$35=""),"Tidak dinilai",IF(H280="","Belum ada data",IF(H280&lt;IF(Aturan!$C$35="",0,Aturan!$C$35),"Kurang",IF(H280&gt;=IF(Aturan!$D$35="",Aturan!$C$35,Aturan!$D$35),"Nyaman","Cukup")))))</f>
        <v/>
      </c>
      <c r="Q280" s="68" t="str">
        <f aca="false">IF($A280="","",IF(COUNTIF(K280:P280,"Tidak dinilai")=6,"Tidak dinilai",IF(COUNTIF(K280:P280,"Kurang")&gt;0,"Kurang cocok",IF(COUNTIF(K280:P280,"Belum ada data")&gt;0,"Data belum lengkap",IF(COUNTIF(K280:P280,"Cukup")&gt;0,"Bisa, dengan catatan","Cocok")))))</f>
        <v/>
      </c>
      <c r="R280" s="66" t="str">
        <f aca="false">IF($A280="","",IF(K280="Kurang","prosesor tingkat "&amp;C280&amp;" dari 5, di bawah batas minimal (tingkat "&amp;Aturan!$C$30&amp;")",IF(K280="Cukup","prosesor tingkat "&amp;C280&amp;" dari 5 cukup, nyamannya mulai tingkat "&amp;Aturan!$D$30,IF(K280="Belum ada data","tingkat prosesor belum diisi",""))))</f>
        <v/>
      </c>
      <c r="S280" s="66" t="str">
        <f aca="false">IF($A280="","",IF(L280="Kurang","grafis tingkat "&amp;D280&amp;" dari 5, di bawah batas minimal (tingkat "&amp;Aturan!$C$31&amp;")",IF(L280="Cukup","grafis tingkat "&amp;D280&amp;" dari 5 cukup, nyamannya mulai tingkat "&amp;Aturan!$D$31,IF(L280="Belum ada data","tingkat grafis belum diisi",""))))</f>
        <v/>
      </c>
      <c r="T280" s="66" t="str">
        <f aca="false">IF($A280="","",IF(M280="Kurang","RAM "&amp;E280&amp;" GB, di bawah batas minimal "&amp;Aturan!$C$32&amp;" GB ("&amp;I280&amp;")",IF(M280="Cukup","RAM "&amp;E280&amp;" GB cukup, nyamannya "&amp;Aturan!$D$32&amp;" GB atau lebih ("&amp;I280&amp;")",IF(M280="Belum ada data","ukuran RAM belum diisi",""))))</f>
        <v/>
      </c>
      <c r="U280" s="66" t="str">
        <f aca="false">IF($A280="","",IF(N280="Kurang","penyimpanan "&amp;F280&amp;" GB, di bawah batas minimal "&amp;Aturan!$C$33&amp;" GB ("&amp;J280&amp;")",IF(N280="Cukup","penyimpanan "&amp;F280&amp;" GB cukup, nyamannya "&amp;Aturan!$D$33&amp;" GB atau lebih ("&amp;J280&amp;")",IF(N280="Belum ada data","ukuran penyimpanan belum diisi",""))))</f>
        <v/>
      </c>
      <c r="V280" s="66" t="str">
        <f aca="false">IF($A280="","",IF(O280="Kurang","layar "&amp;Varian!$AG60&amp;", di bawah batas minimal ("&amp;IFERROR(INDEX(Aturan!$A$63:$A$66,MATCH(Aturan!$C$34,Aturan!$B$63:$B$66,0)),"peringkat "&amp;Aturan!$C$34)&amp;")",IF(O280="Cukup","layar "&amp;Varian!$AG60&amp;" cukup, nyamannya "&amp;IFERROR(INDEX(Aturan!$A$63:$A$66,MATCH(Aturan!$D$34,Aturan!$B$63:$B$66,0)),"peringkat "&amp;Aturan!$D$34),IF(O280="Belum ada data","jenis layar belum diketahui",""))))</f>
        <v/>
      </c>
      <c r="W280" s="66" t="str">
        <f aca="false">IF($A280="","",IF(P280="Kurang","layar "&amp;H280&amp;" Hz, di bawah batas minimal "&amp;Aturan!$C$35&amp;" Hz",IF(P280="Cukup","layar "&amp;H280&amp;" Hz cukup, nyamannya "&amp;Aturan!$D$35&amp;" Hz atau lebih",IF(P280="Belum ada data","refresh rate belum diketahui",""))))</f>
        <v/>
      </c>
      <c r="X280" s="66" t="str">
        <f aca="false">IF($A280="","",IF(K280="Kurang",R280&amp;"; ","")&amp;IF(L280="Kurang",S280&amp;"; ","")&amp;IF(M280="Kurang",T280&amp;"; ","")&amp;IF(N280="Kurang",U280&amp;"; ","")&amp;IF(O280="Kurang",V280&amp;"; ","")&amp;IF(P280="Kurang",W280&amp;"; ","")&amp;IF(K280="Belum ada data",R280&amp;"; ","")&amp;IF(L280="Belum ada data",S280&amp;"; ","")&amp;IF(M280="Belum ada data",T280&amp;"; ","")&amp;IF(N280="Belum ada data",U280&amp;"; ","")&amp;IF(O280="Belum ada data",V280&amp;"; ","")&amp;IF(P280="Belum ada data",W280&amp;"; ","")&amp;IF(K280="Cukup",R280&amp;"; ","")&amp;IF(L280="Cukup",S280&amp;"; ","")&amp;IF(M280="Cukup",T280&amp;"; ","")&amp;IF(N280="Cukup",U280&amp;"; ","")&amp;IF(O280="Cukup",V280&amp;"; ","")&amp;IF(P280="Cukup",W280&amp;"; ",""))</f>
        <v/>
      </c>
      <c r="Y280" s="66" t="str">
        <f aca="false">IF($A280="","",IF(K280="Nyaman","prosesor, ","")&amp;IF(L280="Nyaman","grafis, ","")&amp;IF(M280="Nyaman","RAM, ","")&amp;IF(N280="Nyaman","penyimpanan, ","")&amp;IF(O280="Nyaman","layar, ","")&amp;IF(P280="Nyaman","refresh rate, ",""))</f>
        <v/>
      </c>
      <c r="Z280" s="66" t="str">
        <f aca="false">IF($A280="","",IF(Q280="Tidak dinilai","Belum ada kriteria yang dinilai untuk kebutuhan ini.",IF(Q280="Cocok","Semua kriteria yang dinilai sudah nyaman: "&amp;LEFT(Y280,LEN(Y280)-2)&amp;".",UPPER(LEFT(X280,1))&amp;MID(X280,2,LEN(X280)-3)&amp;"."&amp;IF(Y280="",""," Sudah nyaman: "&amp;LEFT(Y280,LEN(Y280)-2)&amp;"."))))</f>
        <v/>
      </c>
      <c r="AA280" s="66" t="str">
        <f aca="false">IF($A280="","",IF(Varian!$AR60="Windows 10","• "&amp;Aturan!$E$71&amp;CHAR(10),"")&amp;IF(Varian!$BB60="tidak","• "&amp;Aturan!$E$72&amp;CHAR(10),"")&amp;IF(OR(Varian!$AD60="belum terverifikasi",Varian!$AD60="tidak diketahui"),"• "&amp;Aturan!$E$73&amp;CHAR(10),"")&amp;IF(Varian!$AH60="1366x768","• "&amp;Aturan!$E$74&amp;CHAR(10),"")&amp;IF(Varian!$AG60="TN","• "&amp;Aturan!$E$75&amp;CHAR(10),"")&amp;IF(AND(Varian!$Q60="disolder",ISNUMBER(Varian!$M60),Varian!$M60&lt;=8),"• "&amp;Aturan!$E$76&amp;CHAR(10),""))</f>
        <v/>
      </c>
      <c r="AB280" s="66" t="str">
        <f aca="false">IF($A280="","",IF(AA280="","",LEFT(AA280,LEN(AA280)-1)))</f>
        <v/>
      </c>
      <c r="AC280" s="67" t="str">
        <f aca="false">IF($A280="","",IF(AA280="",0,LEN(AA280)-LEN(SUBSTITUTE(AA280,CHAR(10),""))))</f>
        <v/>
      </c>
    </row>
    <row r="281" customFormat="false" ht="15" hidden="false" customHeight="true" outlineLevel="0" collapsed="false">
      <c r="A281" s="33" t="str">
        <f aca="false">IF(Varian!$A60="","",Varian!$A60)</f>
        <v/>
      </c>
      <c r="B281" s="33" t="str">
        <f aca="false">IF($A281="","",Aturan!$A$22)</f>
        <v/>
      </c>
      <c r="C281" s="69" t="str">
        <f aca="false">IF($A281="","",IFERROR(IF(ISNUMBER(INDEX(CPU!$J$4:$J$64,MATCH(Varian!$J60,CPU!$A$4:$A$64,0))),INDEX(CPU!$J$4:$J$64,MATCH(Varian!$J60,CPU!$A$4:$A$64,0)),""),""))</f>
        <v/>
      </c>
      <c r="D281" s="69" t="str">
        <f aca="false">IF($A281="","",IFERROR(IF(ISNUMBER(INDEX(GPU!$G$4:$G$64,MATCH(Varian!$K60,GPU!$A$4:$A$64,0))),INDEX(GPU!$G$4:$G$64,MATCH(Varian!$K60,GPU!$A$4:$A$64,0)),""),""))</f>
        <v/>
      </c>
      <c r="E281" s="69" t="str">
        <f aca="false">IF($A281="","",IF(ISNUMBER(Varian!$M60),Varian!$M60,""))</f>
        <v/>
      </c>
      <c r="F281" s="69" t="str">
        <f aca="false">IF($A281="","",IF(ISNUMBER(Varian!$V60),Varian!$V60,""))</f>
        <v/>
      </c>
      <c r="G281" s="69" t="str">
        <f aca="false">IF($A281="","",IFERROR(INDEX(Aturan!$B$63:$B$66,MATCH(Varian!$AG60,Aturan!$A$63:$A$66,0)),""))</f>
        <v/>
      </c>
      <c r="H281" s="69" t="str">
        <f aca="false">IF($A281="","",IF(ISNUMBER(Varian!$AI60),Varian!$AI60,""))</f>
        <v/>
      </c>
      <c r="I281" s="33" t="str">
        <f aca="false">IF($A281="","",IF(Varian!$Q60="disolder","menempel di papan utama, tidak bisa ditambah",IF(OR(Varian!$Q60="slot",Varian!$Q60="setengah_disolder"),IF(Varian!$Q60="setengah_disolder","sebagian menempel, ","")&amp;IF(ISNUMBER(Varian!$U60),IF(AND(ISNUMBER(Varian!$M60),Varian!$U60&gt;Varian!$M60),"bisa dinaikkan lewat slot sampai "&amp;Varian!$U60&amp;" GB","sudah di batas maksimal "&amp;Varian!$U60&amp;" GB"),"ada slot, batas maksimalnya belum diketahui"),"belum diketahui apakah bisa ditambah")))</f>
        <v/>
      </c>
      <c r="J281" s="33" t="str">
        <f aca="false">IF($A281="","",IF(Varian!$Z60="ya","bisa diganti dengan yang lebih besar",IF(Varian!$Z60="tidak","menempel, tidak bisa diganti","belum diketahui apakah bisa diganti")))</f>
        <v/>
      </c>
      <c r="K281" s="70" t="str">
        <f aca="false">IF($A281="","",IF(AND(Aturan!$C$36="",Aturan!$D$36=""),"Tidak dinilai",IF(C281="","Belum ada data",IF(C281&lt;IF(Aturan!$C$36="",0,Aturan!$C$36),"Kurang",IF(C281&gt;=IF(Aturan!$D$36="",Aturan!$C$36,Aturan!$D$36),"Nyaman","Cukup")))))</f>
        <v/>
      </c>
      <c r="L281" s="70" t="str">
        <f aca="false">IF($A281="","",IF(AND(Aturan!$C$37="",Aturan!$D$37=""),"Tidak dinilai",IF(D281="","Belum ada data",IF(D281&lt;IF(Aturan!$C$37="",0,Aturan!$C$37),"Kurang",IF(D281&gt;=IF(Aturan!$D$37="",Aturan!$C$37,Aturan!$D$37),"Nyaman","Cukup")))))</f>
        <v/>
      </c>
      <c r="M281" s="70" t="str">
        <f aca="false">IF($A281="","",IF(AND(Aturan!$C$38="",Aturan!$D$38=""),"Tidak dinilai",IF(E281="","Belum ada data",IF(E281&lt;IF(Aturan!$C$38="",0,Aturan!$C$38),"Kurang",IF(E281&gt;=IF(Aturan!$D$38="",Aturan!$C$38,Aturan!$D$38),"Nyaman","Cukup")))))</f>
        <v/>
      </c>
      <c r="N281" s="70" t="str">
        <f aca="false">IF($A281="","",IF(AND(Aturan!$C$39="",Aturan!$D$39=""),"Tidak dinilai",IF(F281="","Belum ada data",IF(F281&lt;IF(Aturan!$C$39="",0,Aturan!$C$39),"Kurang",IF(F281&gt;=IF(Aturan!$D$39="",Aturan!$C$39,Aturan!$D$39),"Nyaman","Cukup")))))</f>
        <v/>
      </c>
      <c r="O281" s="70" t="str">
        <f aca="false">IF($A281="","",IF(AND(Aturan!$C$40="",Aturan!$D$40=""),"Tidak dinilai",IF(G281="","Belum ada data",IF(G281&lt;IF(Aturan!$C$40="",0,Aturan!$C$40),"Kurang",IF(G281&gt;=IF(Aturan!$D$40="",Aturan!$C$40,Aturan!$D$40),"Nyaman","Cukup")))))</f>
        <v/>
      </c>
      <c r="P281" s="70" t="str">
        <f aca="false">IF($A281="","",IF(AND(Aturan!$C$41="",Aturan!$D$41=""),"Tidak dinilai",IF(H281="","Belum ada data",IF(H281&lt;IF(Aturan!$C$41="",0,Aturan!$C$41),"Kurang",IF(H281&gt;=IF(Aturan!$D$41="",Aturan!$C$41,Aturan!$D$41),"Nyaman","Cukup")))))</f>
        <v/>
      </c>
      <c r="Q281" s="70" t="str">
        <f aca="false">IF($A281="","",IF(COUNTIF(K281:P281,"Tidak dinilai")=6,"Tidak dinilai",IF(COUNTIF(K281:P281,"Kurang")&gt;0,"Kurang cocok",IF(COUNTIF(K281:P281,"Belum ada data")&gt;0,"Data belum lengkap",IF(COUNTIF(K281:P281,"Cukup")&gt;0,"Bisa, dengan catatan","Cocok")))))</f>
        <v/>
      </c>
      <c r="R281" s="33" t="str">
        <f aca="false">IF($A281="","",IF(K281="Kurang","prosesor tingkat "&amp;C281&amp;" dari 5, di bawah batas minimal (tingkat "&amp;Aturan!$C$36&amp;")",IF(K281="Cukup","prosesor tingkat "&amp;C281&amp;" dari 5 cukup, nyamannya mulai tingkat "&amp;Aturan!$D$36,IF(K281="Belum ada data","tingkat prosesor belum diisi",""))))</f>
        <v/>
      </c>
      <c r="S281" s="33" t="str">
        <f aca="false">IF($A281="","",IF(L281="Kurang","grafis tingkat "&amp;D281&amp;" dari 5, di bawah batas minimal (tingkat "&amp;Aturan!$C$37&amp;")",IF(L281="Cukup","grafis tingkat "&amp;D281&amp;" dari 5 cukup, nyamannya mulai tingkat "&amp;Aturan!$D$37,IF(L281="Belum ada data","tingkat grafis belum diisi",""))))</f>
        <v/>
      </c>
      <c r="T281" s="33" t="str">
        <f aca="false">IF($A281="","",IF(M281="Kurang","RAM "&amp;E281&amp;" GB, di bawah batas minimal "&amp;Aturan!$C$38&amp;" GB ("&amp;I281&amp;")",IF(M281="Cukup","RAM "&amp;E281&amp;" GB cukup, nyamannya "&amp;Aturan!$D$38&amp;" GB atau lebih ("&amp;I281&amp;")",IF(M281="Belum ada data","ukuran RAM belum diisi",""))))</f>
        <v/>
      </c>
      <c r="U281" s="33" t="str">
        <f aca="false">IF($A281="","",IF(N281="Kurang","penyimpanan "&amp;F281&amp;" GB, di bawah batas minimal "&amp;Aturan!$C$39&amp;" GB ("&amp;J281&amp;")",IF(N281="Cukup","penyimpanan "&amp;F281&amp;" GB cukup, nyamannya "&amp;Aturan!$D$39&amp;" GB atau lebih ("&amp;J281&amp;")",IF(N281="Belum ada data","ukuran penyimpanan belum diisi",""))))</f>
        <v/>
      </c>
      <c r="V281" s="33" t="str">
        <f aca="false">IF($A281="","",IF(O281="Kurang","layar "&amp;Varian!$AG60&amp;", di bawah batas minimal ("&amp;IFERROR(INDEX(Aturan!$A$63:$A$66,MATCH(Aturan!$C$40,Aturan!$B$63:$B$66,0)),"peringkat "&amp;Aturan!$C$40)&amp;")",IF(O281="Cukup","layar "&amp;Varian!$AG60&amp;" cukup, nyamannya "&amp;IFERROR(INDEX(Aturan!$A$63:$A$66,MATCH(Aturan!$D$40,Aturan!$B$63:$B$66,0)),"peringkat "&amp;Aturan!$D$40),IF(O281="Belum ada data","jenis layar belum diketahui",""))))</f>
        <v/>
      </c>
      <c r="W281" s="33" t="str">
        <f aca="false">IF($A281="","",IF(P281="Kurang","layar "&amp;H281&amp;" Hz, di bawah batas minimal "&amp;Aturan!$C$41&amp;" Hz",IF(P281="Cukup","layar "&amp;H281&amp;" Hz cukup, nyamannya "&amp;Aturan!$D$41&amp;" Hz atau lebih",IF(P281="Belum ada data","refresh rate belum diketahui",""))))</f>
        <v/>
      </c>
      <c r="X281" s="33" t="str">
        <f aca="false">IF($A281="","",IF(K281="Kurang",R281&amp;"; ","")&amp;IF(L281="Kurang",S281&amp;"; ","")&amp;IF(M281="Kurang",T281&amp;"; ","")&amp;IF(N281="Kurang",U281&amp;"; ","")&amp;IF(O281="Kurang",V281&amp;"; ","")&amp;IF(P281="Kurang",W281&amp;"; ","")&amp;IF(K281="Belum ada data",R281&amp;"; ","")&amp;IF(L281="Belum ada data",S281&amp;"; ","")&amp;IF(M281="Belum ada data",T281&amp;"; ","")&amp;IF(N281="Belum ada data",U281&amp;"; ","")&amp;IF(O281="Belum ada data",V281&amp;"; ","")&amp;IF(P281="Belum ada data",W281&amp;"; ","")&amp;IF(K281="Cukup",R281&amp;"; ","")&amp;IF(L281="Cukup",S281&amp;"; ","")&amp;IF(M281="Cukup",T281&amp;"; ","")&amp;IF(N281="Cukup",U281&amp;"; ","")&amp;IF(O281="Cukup",V281&amp;"; ","")&amp;IF(P281="Cukup",W281&amp;"; ",""))</f>
        <v/>
      </c>
      <c r="Y281" s="33" t="str">
        <f aca="false">IF($A281="","",IF(K281="Nyaman","prosesor, ","")&amp;IF(L281="Nyaman","grafis, ","")&amp;IF(M281="Nyaman","RAM, ","")&amp;IF(N281="Nyaman","penyimpanan, ","")&amp;IF(O281="Nyaman","layar, ","")&amp;IF(P281="Nyaman","refresh rate, ",""))</f>
        <v/>
      </c>
      <c r="Z281" s="33" t="str">
        <f aca="false">IF($A281="","",IF(Q281="Tidak dinilai","Belum ada kriteria yang dinilai untuk kebutuhan ini.",IF(Q281="Cocok","Semua kriteria yang dinilai sudah nyaman: "&amp;LEFT(Y281,LEN(Y281)-2)&amp;".",UPPER(LEFT(X281,1))&amp;MID(X281,2,LEN(X281)-3)&amp;"."&amp;IF(Y281="",""," Sudah nyaman: "&amp;LEFT(Y281,LEN(Y281)-2)&amp;"."))))</f>
        <v/>
      </c>
      <c r="AA281" s="33"/>
      <c r="AB281" s="33"/>
      <c r="AC281" s="69"/>
    </row>
    <row r="282" customFormat="false" ht="15" hidden="false" customHeight="true" outlineLevel="0" collapsed="false">
      <c r="A282" s="33" t="str">
        <f aca="false">IF(Varian!$A60="","",Varian!$A60)</f>
        <v/>
      </c>
      <c r="B282" s="33" t="str">
        <f aca="false">IF($A282="","",Aturan!$A$23)</f>
        <v/>
      </c>
      <c r="C282" s="69" t="str">
        <f aca="false">IF($A282="","",IFERROR(IF(ISNUMBER(INDEX(CPU!$J$4:$J$64,MATCH(Varian!$J60,CPU!$A$4:$A$64,0))),INDEX(CPU!$J$4:$J$64,MATCH(Varian!$J60,CPU!$A$4:$A$64,0)),""),""))</f>
        <v/>
      </c>
      <c r="D282" s="69" t="str">
        <f aca="false">IF($A282="","",IFERROR(IF(ISNUMBER(INDEX(GPU!$G$4:$G$64,MATCH(Varian!$K60,GPU!$A$4:$A$64,0))),INDEX(GPU!$G$4:$G$64,MATCH(Varian!$K60,GPU!$A$4:$A$64,0)),""),""))</f>
        <v/>
      </c>
      <c r="E282" s="69" t="str">
        <f aca="false">IF($A282="","",IF(ISNUMBER(Varian!$M60),Varian!$M60,""))</f>
        <v/>
      </c>
      <c r="F282" s="69" t="str">
        <f aca="false">IF($A282="","",IF(ISNUMBER(Varian!$V60),Varian!$V60,""))</f>
        <v/>
      </c>
      <c r="G282" s="69" t="str">
        <f aca="false">IF($A282="","",IFERROR(INDEX(Aturan!$B$63:$B$66,MATCH(Varian!$AG60,Aturan!$A$63:$A$66,0)),""))</f>
        <v/>
      </c>
      <c r="H282" s="69" t="str">
        <f aca="false">IF($A282="","",IF(ISNUMBER(Varian!$AI60),Varian!$AI60,""))</f>
        <v/>
      </c>
      <c r="I282" s="33" t="str">
        <f aca="false">IF($A282="","",IF(Varian!$Q60="disolder","menempel di papan utama, tidak bisa ditambah",IF(OR(Varian!$Q60="slot",Varian!$Q60="setengah_disolder"),IF(Varian!$Q60="setengah_disolder","sebagian menempel, ","")&amp;IF(ISNUMBER(Varian!$U60),IF(AND(ISNUMBER(Varian!$M60),Varian!$U60&gt;Varian!$M60),"bisa dinaikkan lewat slot sampai "&amp;Varian!$U60&amp;" GB","sudah di batas maksimal "&amp;Varian!$U60&amp;" GB"),"ada slot, batas maksimalnya belum diketahui"),"belum diketahui apakah bisa ditambah")))</f>
        <v/>
      </c>
      <c r="J282" s="33" t="str">
        <f aca="false">IF($A282="","",IF(Varian!$Z60="ya","bisa diganti dengan yang lebih besar",IF(Varian!$Z60="tidak","menempel, tidak bisa diganti","belum diketahui apakah bisa diganti")))</f>
        <v/>
      </c>
      <c r="K282" s="70" t="str">
        <f aca="false">IF($A282="","",IF(AND(Aturan!$C$42="",Aturan!$D$42=""),"Tidak dinilai",IF(C282="","Belum ada data",IF(C282&lt;IF(Aturan!$C$42="",0,Aturan!$C$42),"Kurang",IF(C282&gt;=IF(Aturan!$D$42="",Aturan!$C$42,Aturan!$D$42),"Nyaman","Cukup")))))</f>
        <v/>
      </c>
      <c r="L282" s="70" t="str">
        <f aca="false">IF($A282="","",IF(AND(Aturan!$C$43="",Aturan!$D$43=""),"Tidak dinilai",IF(D282="","Belum ada data",IF(D282&lt;IF(Aturan!$C$43="",0,Aturan!$C$43),"Kurang",IF(D282&gt;=IF(Aturan!$D$43="",Aturan!$C$43,Aturan!$D$43),"Nyaman","Cukup")))))</f>
        <v/>
      </c>
      <c r="M282" s="70" t="str">
        <f aca="false">IF($A282="","",IF(AND(Aturan!$C$44="",Aturan!$D$44=""),"Tidak dinilai",IF(E282="","Belum ada data",IF(E282&lt;IF(Aturan!$C$44="",0,Aturan!$C$44),"Kurang",IF(E282&gt;=IF(Aturan!$D$44="",Aturan!$C$44,Aturan!$D$44),"Nyaman","Cukup")))))</f>
        <v/>
      </c>
      <c r="N282" s="70" t="str">
        <f aca="false">IF($A282="","",IF(AND(Aturan!$C$45="",Aturan!$D$45=""),"Tidak dinilai",IF(F282="","Belum ada data",IF(F282&lt;IF(Aturan!$C$45="",0,Aturan!$C$45),"Kurang",IF(F282&gt;=IF(Aturan!$D$45="",Aturan!$C$45,Aturan!$D$45),"Nyaman","Cukup")))))</f>
        <v/>
      </c>
      <c r="O282" s="70" t="str">
        <f aca="false">IF($A282="","",IF(AND(Aturan!$C$46="",Aturan!$D$46=""),"Tidak dinilai",IF(G282="","Belum ada data",IF(G282&lt;IF(Aturan!$C$46="",0,Aturan!$C$46),"Kurang",IF(G282&gt;=IF(Aturan!$D$46="",Aturan!$C$46,Aturan!$D$46),"Nyaman","Cukup")))))</f>
        <v/>
      </c>
      <c r="P282" s="70" t="str">
        <f aca="false">IF($A282="","",IF(AND(Aturan!$C$47="",Aturan!$D$47=""),"Tidak dinilai",IF(H282="","Belum ada data",IF(H282&lt;IF(Aturan!$C$47="",0,Aturan!$C$47),"Kurang",IF(H282&gt;=IF(Aturan!$D$47="",Aturan!$C$47,Aturan!$D$47),"Nyaman","Cukup")))))</f>
        <v/>
      </c>
      <c r="Q282" s="70" t="str">
        <f aca="false">IF($A282="","",IF(COUNTIF(K282:P282,"Tidak dinilai")=6,"Tidak dinilai",IF(COUNTIF(K282:P282,"Kurang")&gt;0,"Kurang cocok",IF(COUNTIF(K282:P282,"Belum ada data")&gt;0,"Data belum lengkap",IF(COUNTIF(K282:P282,"Cukup")&gt;0,"Bisa, dengan catatan","Cocok")))))</f>
        <v/>
      </c>
      <c r="R282" s="33" t="str">
        <f aca="false">IF($A282="","",IF(K282="Kurang","prosesor tingkat "&amp;C282&amp;" dari 5, di bawah batas minimal (tingkat "&amp;Aturan!$C$42&amp;")",IF(K282="Cukup","prosesor tingkat "&amp;C282&amp;" dari 5 cukup, nyamannya mulai tingkat "&amp;Aturan!$D$42,IF(K282="Belum ada data","tingkat prosesor belum diisi",""))))</f>
        <v/>
      </c>
      <c r="S282" s="33" t="str">
        <f aca="false">IF($A282="","",IF(L282="Kurang","grafis tingkat "&amp;D282&amp;" dari 5, di bawah batas minimal (tingkat "&amp;Aturan!$C$43&amp;")",IF(L282="Cukup","grafis tingkat "&amp;D282&amp;" dari 5 cukup, nyamannya mulai tingkat "&amp;Aturan!$D$43,IF(L282="Belum ada data","tingkat grafis belum diisi",""))))</f>
        <v/>
      </c>
      <c r="T282" s="33" t="str">
        <f aca="false">IF($A282="","",IF(M282="Kurang","RAM "&amp;E282&amp;" GB, di bawah batas minimal "&amp;Aturan!$C$44&amp;" GB ("&amp;I282&amp;")",IF(M282="Cukup","RAM "&amp;E282&amp;" GB cukup, nyamannya "&amp;Aturan!$D$44&amp;" GB atau lebih ("&amp;I282&amp;")",IF(M282="Belum ada data","ukuran RAM belum diisi",""))))</f>
        <v/>
      </c>
      <c r="U282" s="33" t="str">
        <f aca="false">IF($A282="","",IF(N282="Kurang","penyimpanan "&amp;F282&amp;" GB, di bawah batas minimal "&amp;Aturan!$C$45&amp;" GB ("&amp;J282&amp;")",IF(N282="Cukup","penyimpanan "&amp;F282&amp;" GB cukup, nyamannya "&amp;Aturan!$D$45&amp;" GB atau lebih ("&amp;J282&amp;")",IF(N282="Belum ada data","ukuran penyimpanan belum diisi",""))))</f>
        <v/>
      </c>
      <c r="V282" s="33" t="str">
        <f aca="false">IF($A282="","",IF(O282="Kurang","layar "&amp;Varian!$AG60&amp;", di bawah batas minimal ("&amp;IFERROR(INDEX(Aturan!$A$63:$A$66,MATCH(Aturan!$C$46,Aturan!$B$63:$B$66,0)),"peringkat "&amp;Aturan!$C$46)&amp;")",IF(O282="Cukup","layar "&amp;Varian!$AG60&amp;" cukup, nyamannya "&amp;IFERROR(INDEX(Aturan!$A$63:$A$66,MATCH(Aturan!$D$46,Aturan!$B$63:$B$66,0)),"peringkat "&amp;Aturan!$D$46),IF(O282="Belum ada data","jenis layar belum diketahui",""))))</f>
        <v/>
      </c>
      <c r="W282" s="33" t="str">
        <f aca="false">IF($A282="","",IF(P282="Kurang","layar "&amp;H282&amp;" Hz, di bawah batas minimal "&amp;Aturan!$C$47&amp;" Hz",IF(P282="Cukup","layar "&amp;H282&amp;" Hz cukup, nyamannya "&amp;Aturan!$D$47&amp;" Hz atau lebih",IF(P282="Belum ada data","refresh rate belum diketahui",""))))</f>
        <v/>
      </c>
      <c r="X282" s="33" t="str">
        <f aca="false">IF($A282="","",IF(K282="Kurang",R282&amp;"; ","")&amp;IF(L282="Kurang",S282&amp;"; ","")&amp;IF(M282="Kurang",T282&amp;"; ","")&amp;IF(N282="Kurang",U282&amp;"; ","")&amp;IF(O282="Kurang",V282&amp;"; ","")&amp;IF(P282="Kurang",W282&amp;"; ","")&amp;IF(K282="Belum ada data",R282&amp;"; ","")&amp;IF(L282="Belum ada data",S282&amp;"; ","")&amp;IF(M282="Belum ada data",T282&amp;"; ","")&amp;IF(N282="Belum ada data",U282&amp;"; ","")&amp;IF(O282="Belum ada data",V282&amp;"; ","")&amp;IF(P282="Belum ada data",W282&amp;"; ","")&amp;IF(K282="Cukup",R282&amp;"; ","")&amp;IF(L282="Cukup",S282&amp;"; ","")&amp;IF(M282="Cukup",T282&amp;"; ","")&amp;IF(N282="Cukup",U282&amp;"; ","")&amp;IF(O282="Cukup",V282&amp;"; ","")&amp;IF(P282="Cukup",W282&amp;"; ",""))</f>
        <v/>
      </c>
      <c r="Y282" s="33" t="str">
        <f aca="false">IF($A282="","",IF(K282="Nyaman","prosesor, ","")&amp;IF(L282="Nyaman","grafis, ","")&amp;IF(M282="Nyaman","RAM, ","")&amp;IF(N282="Nyaman","penyimpanan, ","")&amp;IF(O282="Nyaman","layar, ","")&amp;IF(P282="Nyaman","refresh rate, ",""))</f>
        <v/>
      </c>
      <c r="Z282" s="33" t="str">
        <f aca="false">IF($A282="","",IF(Q282="Tidak dinilai","Belum ada kriteria yang dinilai untuk kebutuhan ini.",IF(Q282="Cocok","Semua kriteria yang dinilai sudah nyaman: "&amp;LEFT(Y282,LEN(Y282)-2)&amp;".",UPPER(LEFT(X282,1))&amp;MID(X282,2,LEN(X282)-3)&amp;"."&amp;IF(Y282="",""," Sudah nyaman: "&amp;LEFT(Y282,LEN(Y282)-2)&amp;"."))))</f>
        <v/>
      </c>
      <c r="AA282" s="33"/>
      <c r="AB282" s="33"/>
      <c r="AC282" s="69"/>
    </row>
    <row r="283" customFormat="false" ht="15" hidden="false" customHeight="true" outlineLevel="0" collapsed="false">
      <c r="A283" s="33" t="str">
        <f aca="false">IF(Varian!$A60="","",Varian!$A60)</f>
        <v/>
      </c>
      <c r="B283" s="33" t="str">
        <f aca="false">IF($A283="","",Aturan!$A$24)</f>
        <v/>
      </c>
      <c r="C283" s="69" t="str">
        <f aca="false">IF($A283="","",IFERROR(IF(ISNUMBER(INDEX(CPU!$J$4:$J$64,MATCH(Varian!$J60,CPU!$A$4:$A$64,0))),INDEX(CPU!$J$4:$J$64,MATCH(Varian!$J60,CPU!$A$4:$A$64,0)),""),""))</f>
        <v/>
      </c>
      <c r="D283" s="69" t="str">
        <f aca="false">IF($A283="","",IFERROR(IF(ISNUMBER(INDEX(GPU!$G$4:$G$64,MATCH(Varian!$K60,GPU!$A$4:$A$64,0))),INDEX(GPU!$G$4:$G$64,MATCH(Varian!$K60,GPU!$A$4:$A$64,0)),""),""))</f>
        <v/>
      </c>
      <c r="E283" s="69" t="str">
        <f aca="false">IF($A283="","",IF(ISNUMBER(Varian!$M60),Varian!$M60,""))</f>
        <v/>
      </c>
      <c r="F283" s="69" t="str">
        <f aca="false">IF($A283="","",IF(ISNUMBER(Varian!$V60),Varian!$V60,""))</f>
        <v/>
      </c>
      <c r="G283" s="69" t="str">
        <f aca="false">IF($A283="","",IFERROR(INDEX(Aturan!$B$63:$B$66,MATCH(Varian!$AG60,Aturan!$A$63:$A$66,0)),""))</f>
        <v/>
      </c>
      <c r="H283" s="69" t="str">
        <f aca="false">IF($A283="","",IF(ISNUMBER(Varian!$AI60),Varian!$AI60,""))</f>
        <v/>
      </c>
      <c r="I283" s="33" t="str">
        <f aca="false">IF($A283="","",IF(Varian!$Q60="disolder","menempel di papan utama, tidak bisa ditambah",IF(OR(Varian!$Q60="slot",Varian!$Q60="setengah_disolder"),IF(Varian!$Q60="setengah_disolder","sebagian menempel, ","")&amp;IF(ISNUMBER(Varian!$U60),IF(AND(ISNUMBER(Varian!$M60),Varian!$U60&gt;Varian!$M60),"bisa dinaikkan lewat slot sampai "&amp;Varian!$U60&amp;" GB","sudah di batas maksimal "&amp;Varian!$U60&amp;" GB"),"ada slot, batas maksimalnya belum diketahui"),"belum diketahui apakah bisa ditambah")))</f>
        <v/>
      </c>
      <c r="J283" s="33" t="str">
        <f aca="false">IF($A283="","",IF(Varian!$Z60="ya","bisa diganti dengan yang lebih besar",IF(Varian!$Z60="tidak","menempel, tidak bisa diganti","belum diketahui apakah bisa diganti")))</f>
        <v/>
      </c>
      <c r="K283" s="70" t="str">
        <f aca="false">IF($A283="","",IF(AND(Aturan!$C$48="",Aturan!$D$48=""),"Tidak dinilai",IF(C283="","Belum ada data",IF(C283&lt;IF(Aturan!$C$48="",0,Aturan!$C$48),"Kurang",IF(C283&gt;=IF(Aturan!$D$48="",Aturan!$C$48,Aturan!$D$48),"Nyaman","Cukup")))))</f>
        <v/>
      </c>
      <c r="L283" s="70" t="str">
        <f aca="false">IF($A283="","",IF(AND(Aturan!$C$49="",Aturan!$D$49=""),"Tidak dinilai",IF(D283="","Belum ada data",IF(D283&lt;IF(Aturan!$C$49="",0,Aturan!$C$49),"Kurang",IF(D283&gt;=IF(Aturan!$D$49="",Aturan!$C$49,Aturan!$D$49),"Nyaman","Cukup")))))</f>
        <v/>
      </c>
      <c r="M283" s="70" t="str">
        <f aca="false">IF($A283="","",IF(AND(Aturan!$C$50="",Aturan!$D$50=""),"Tidak dinilai",IF(E283="","Belum ada data",IF(E283&lt;IF(Aturan!$C$50="",0,Aturan!$C$50),"Kurang",IF(E283&gt;=IF(Aturan!$D$50="",Aturan!$C$50,Aturan!$D$50),"Nyaman","Cukup")))))</f>
        <v/>
      </c>
      <c r="N283" s="70" t="str">
        <f aca="false">IF($A283="","",IF(AND(Aturan!$C$51="",Aturan!$D$51=""),"Tidak dinilai",IF(F283="","Belum ada data",IF(F283&lt;IF(Aturan!$C$51="",0,Aturan!$C$51),"Kurang",IF(F283&gt;=IF(Aturan!$D$51="",Aturan!$C$51,Aturan!$D$51),"Nyaman","Cukup")))))</f>
        <v/>
      </c>
      <c r="O283" s="70" t="str">
        <f aca="false">IF($A283="","",IF(AND(Aturan!$C$52="",Aturan!$D$52=""),"Tidak dinilai",IF(G283="","Belum ada data",IF(G283&lt;IF(Aturan!$C$52="",0,Aturan!$C$52),"Kurang",IF(G283&gt;=IF(Aturan!$D$52="",Aturan!$C$52,Aturan!$D$52),"Nyaman","Cukup")))))</f>
        <v/>
      </c>
      <c r="P283" s="70" t="str">
        <f aca="false">IF($A283="","",IF(AND(Aturan!$C$53="",Aturan!$D$53=""),"Tidak dinilai",IF(H283="","Belum ada data",IF(H283&lt;IF(Aturan!$C$53="",0,Aturan!$C$53),"Kurang",IF(H283&gt;=IF(Aturan!$D$53="",Aturan!$C$53,Aturan!$D$53),"Nyaman","Cukup")))))</f>
        <v/>
      </c>
      <c r="Q283" s="70" t="str">
        <f aca="false">IF($A283="","",IF(COUNTIF(K283:P283,"Tidak dinilai")=6,"Tidak dinilai",IF(COUNTIF(K283:P283,"Kurang")&gt;0,"Kurang cocok",IF(COUNTIF(K283:P283,"Belum ada data")&gt;0,"Data belum lengkap",IF(COUNTIF(K283:P283,"Cukup")&gt;0,"Bisa, dengan catatan","Cocok")))))</f>
        <v/>
      </c>
      <c r="R283" s="33" t="str">
        <f aca="false">IF($A283="","",IF(K283="Kurang","prosesor tingkat "&amp;C283&amp;" dari 5, di bawah batas minimal (tingkat "&amp;Aturan!$C$48&amp;")",IF(K283="Cukup","prosesor tingkat "&amp;C283&amp;" dari 5 cukup, nyamannya mulai tingkat "&amp;Aturan!$D$48,IF(K283="Belum ada data","tingkat prosesor belum diisi",""))))</f>
        <v/>
      </c>
      <c r="S283" s="33" t="str">
        <f aca="false">IF($A283="","",IF(L283="Kurang","grafis tingkat "&amp;D283&amp;" dari 5, di bawah batas minimal (tingkat "&amp;Aturan!$C$49&amp;")",IF(L283="Cukup","grafis tingkat "&amp;D283&amp;" dari 5 cukup, nyamannya mulai tingkat "&amp;Aturan!$D$49,IF(L283="Belum ada data","tingkat grafis belum diisi",""))))</f>
        <v/>
      </c>
      <c r="T283" s="33" t="str">
        <f aca="false">IF($A283="","",IF(M283="Kurang","RAM "&amp;E283&amp;" GB, di bawah batas minimal "&amp;Aturan!$C$50&amp;" GB ("&amp;I283&amp;")",IF(M283="Cukup","RAM "&amp;E283&amp;" GB cukup, nyamannya "&amp;Aturan!$D$50&amp;" GB atau lebih ("&amp;I283&amp;")",IF(M283="Belum ada data","ukuran RAM belum diisi",""))))</f>
        <v/>
      </c>
      <c r="U283" s="33" t="str">
        <f aca="false">IF($A283="","",IF(N283="Kurang","penyimpanan "&amp;F283&amp;" GB, di bawah batas minimal "&amp;Aturan!$C$51&amp;" GB ("&amp;J283&amp;")",IF(N283="Cukup","penyimpanan "&amp;F283&amp;" GB cukup, nyamannya "&amp;Aturan!$D$51&amp;" GB atau lebih ("&amp;J283&amp;")",IF(N283="Belum ada data","ukuran penyimpanan belum diisi",""))))</f>
        <v/>
      </c>
      <c r="V283" s="33" t="str">
        <f aca="false">IF($A283="","",IF(O283="Kurang","layar "&amp;Varian!$AG60&amp;", di bawah batas minimal ("&amp;IFERROR(INDEX(Aturan!$A$63:$A$66,MATCH(Aturan!$C$52,Aturan!$B$63:$B$66,0)),"peringkat "&amp;Aturan!$C$52)&amp;")",IF(O283="Cukup","layar "&amp;Varian!$AG60&amp;" cukup, nyamannya "&amp;IFERROR(INDEX(Aturan!$A$63:$A$66,MATCH(Aturan!$D$52,Aturan!$B$63:$B$66,0)),"peringkat "&amp;Aturan!$D$52),IF(O283="Belum ada data","jenis layar belum diketahui",""))))</f>
        <v/>
      </c>
      <c r="W283" s="33" t="str">
        <f aca="false">IF($A283="","",IF(P283="Kurang","layar "&amp;H283&amp;" Hz, di bawah batas minimal "&amp;Aturan!$C$53&amp;" Hz",IF(P283="Cukup","layar "&amp;H283&amp;" Hz cukup, nyamannya "&amp;Aturan!$D$53&amp;" Hz atau lebih",IF(P283="Belum ada data","refresh rate belum diketahui",""))))</f>
        <v/>
      </c>
      <c r="X283" s="33" t="str">
        <f aca="false">IF($A283="","",IF(K283="Kurang",R283&amp;"; ","")&amp;IF(L283="Kurang",S283&amp;"; ","")&amp;IF(M283="Kurang",T283&amp;"; ","")&amp;IF(N283="Kurang",U283&amp;"; ","")&amp;IF(O283="Kurang",V283&amp;"; ","")&amp;IF(P283="Kurang",W283&amp;"; ","")&amp;IF(K283="Belum ada data",R283&amp;"; ","")&amp;IF(L283="Belum ada data",S283&amp;"; ","")&amp;IF(M283="Belum ada data",T283&amp;"; ","")&amp;IF(N283="Belum ada data",U283&amp;"; ","")&amp;IF(O283="Belum ada data",V283&amp;"; ","")&amp;IF(P283="Belum ada data",W283&amp;"; ","")&amp;IF(K283="Cukup",R283&amp;"; ","")&amp;IF(L283="Cukup",S283&amp;"; ","")&amp;IF(M283="Cukup",T283&amp;"; ","")&amp;IF(N283="Cukup",U283&amp;"; ","")&amp;IF(O283="Cukup",V283&amp;"; ","")&amp;IF(P283="Cukup",W283&amp;"; ",""))</f>
        <v/>
      </c>
      <c r="Y283" s="33" t="str">
        <f aca="false">IF($A283="","",IF(K283="Nyaman","prosesor, ","")&amp;IF(L283="Nyaman","grafis, ","")&amp;IF(M283="Nyaman","RAM, ","")&amp;IF(N283="Nyaman","penyimpanan, ","")&amp;IF(O283="Nyaman","layar, ","")&amp;IF(P283="Nyaman","refresh rate, ",""))</f>
        <v/>
      </c>
      <c r="Z283" s="33" t="str">
        <f aca="false">IF($A283="","",IF(Q283="Tidak dinilai","Belum ada kriteria yang dinilai untuk kebutuhan ini.",IF(Q283="Cocok","Semua kriteria yang dinilai sudah nyaman: "&amp;LEFT(Y283,LEN(Y283)-2)&amp;".",UPPER(LEFT(X283,1))&amp;MID(X283,2,LEN(X283)-3)&amp;"."&amp;IF(Y283="",""," Sudah nyaman: "&amp;LEFT(Y283,LEN(Y283)-2)&amp;"."))))</f>
        <v/>
      </c>
      <c r="AA283" s="33"/>
      <c r="AB283" s="33"/>
      <c r="AC283" s="69"/>
    </row>
    <row r="284" customFormat="false" ht="15" hidden="false" customHeight="true" outlineLevel="0" collapsed="false">
      <c r="A284" s="33" t="str">
        <f aca="false">IF(Varian!$A60="","",Varian!$A60)</f>
        <v/>
      </c>
      <c r="B284" s="33" t="str">
        <f aca="false">IF($A284="","",Aturan!$A$25)</f>
        <v/>
      </c>
      <c r="C284" s="69" t="str">
        <f aca="false">IF($A284="","",IFERROR(IF(ISNUMBER(INDEX(CPU!$J$4:$J$64,MATCH(Varian!$J60,CPU!$A$4:$A$64,0))),INDEX(CPU!$J$4:$J$64,MATCH(Varian!$J60,CPU!$A$4:$A$64,0)),""),""))</f>
        <v/>
      </c>
      <c r="D284" s="69" t="str">
        <f aca="false">IF($A284="","",IFERROR(IF(ISNUMBER(INDEX(GPU!$G$4:$G$64,MATCH(Varian!$K60,GPU!$A$4:$A$64,0))),INDEX(GPU!$G$4:$G$64,MATCH(Varian!$K60,GPU!$A$4:$A$64,0)),""),""))</f>
        <v/>
      </c>
      <c r="E284" s="69" t="str">
        <f aca="false">IF($A284="","",IF(ISNUMBER(Varian!$M60),Varian!$M60,""))</f>
        <v/>
      </c>
      <c r="F284" s="69" t="str">
        <f aca="false">IF($A284="","",IF(ISNUMBER(Varian!$V60),Varian!$V60,""))</f>
        <v/>
      </c>
      <c r="G284" s="69" t="str">
        <f aca="false">IF($A284="","",IFERROR(INDEX(Aturan!$B$63:$B$66,MATCH(Varian!$AG60,Aturan!$A$63:$A$66,0)),""))</f>
        <v/>
      </c>
      <c r="H284" s="69" t="str">
        <f aca="false">IF($A284="","",IF(ISNUMBER(Varian!$AI60),Varian!$AI60,""))</f>
        <v/>
      </c>
      <c r="I284" s="33" t="str">
        <f aca="false">IF($A284="","",IF(Varian!$Q60="disolder","menempel di papan utama, tidak bisa ditambah",IF(OR(Varian!$Q60="slot",Varian!$Q60="setengah_disolder"),IF(Varian!$Q60="setengah_disolder","sebagian menempel, ","")&amp;IF(ISNUMBER(Varian!$U60),IF(AND(ISNUMBER(Varian!$M60),Varian!$U60&gt;Varian!$M60),"bisa dinaikkan lewat slot sampai "&amp;Varian!$U60&amp;" GB","sudah di batas maksimal "&amp;Varian!$U60&amp;" GB"),"ada slot, batas maksimalnya belum diketahui"),"belum diketahui apakah bisa ditambah")))</f>
        <v/>
      </c>
      <c r="J284" s="33" t="str">
        <f aca="false">IF($A284="","",IF(Varian!$Z60="ya","bisa diganti dengan yang lebih besar",IF(Varian!$Z60="tidak","menempel, tidak bisa diganti","belum diketahui apakah bisa diganti")))</f>
        <v/>
      </c>
      <c r="K284" s="70" t="str">
        <f aca="false">IF($A284="","",IF(AND(Aturan!$C$54="",Aturan!$D$54=""),"Tidak dinilai",IF(C284="","Belum ada data",IF(C284&lt;IF(Aturan!$C$54="",0,Aturan!$C$54),"Kurang",IF(C284&gt;=IF(Aturan!$D$54="",Aturan!$C$54,Aturan!$D$54),"Nyaman","Cukup")))))</f>
        <v/>
      </c>
      <c r="L284" s="70" t="str">
        <f aca="false">IF($A284="","",IF(AND(Aturan!$C$55="",Aturan!$D$55=""),"Tidak dinilai",IF(D284="","Belum ada data",IF(D284&lt;IF(Aturan!$C$55="",0,Aturan!$C$55),"Kurang",IF(D284&gt;=IF(Aturan!$D$55="",Aturan!$C$55,Aturan!$D$55),"Nyaman","Cukup")))))</f>
        <v/>
      </c>
      <c r="M284" s="70" t="str">
        <f aca="false">IF($A284="","",IF(AND(Aturan!$C$56="",Aturan!$D$56=""),"Tidak dinilai",IF(E284="","Belum ada data",IF(E284&lt;IF(Aturan!$C$56="",0,Aturan!$C$56),"Kurang",IF(E284&gt;=IF(Aturan!$D$56="",Aturan!$C$56,Aturan!$D$56),"Nyaman","Cukup")))))</f>
        <v/>
      </c>
      <c r="N284" s="70" t="str">
        <f aca="false">IF($A284="","",IF(AND(Aturan!$C$57="",Aturan!$D$57=""),"Tidak dinilai",IF(F284="","Belum ada data",IF(F284&lt;IF(Aturan!$C$57="",0,Aturan!$C$57),"Kurang",IF(F284&gt;=IF(Aturan!$D$57="",Aturan!$C$57,Aturan!$D$57),"Nyaman","Cukup")))))</f>
        <v/>
      </c>
      <c r="O284" s="70" t="str">
        <f aca="false">IF($A284="","",IF(AND(Aturan!$C$58="",Aturan!$D$58=""),"Tidak dinilai",IF(G284="","Belum ada data",IF(G284&lt;IF(Aturan!$C$58="",0,Aturan!$C$58),"Kurang",IF(G284&gt;=IF(Aturan!$D$58="",Aturan!$C$58,Aturan!$D$58),"Nyaman","Cukup")))))</f>
        <v/>
      </c>
      <c r="P284" s="70" t="str">
        <f aca="false">IF($A284="","",IF(AND(Aturan!$C$59="",Aturan!$D$59=""),"Tidak dinilai",IF(H284="","Belum ada data",IF(H284&lt;IF(Aturan!$C$59="",0,Aturan!$C$59),"Kurang",IF(H284&gt;=IF(Aturan!$D$59="",Aturan!$C$59,Aturan!$D$59),"Nyaman","Cukup")))))</f>
        <v/>
      </c>
      <c r="Q284" s="70" t="str">
        <f aca="false">IF($A284="","",IF(COUNTIF(K284:P284,"Tidak dinilai")=6,"Tidak dinilai",IF(COUNTIF(K284:P284,"Kurang")&gt;0,"Kurang cocok",IF(COUNTIF(K284:P284,"Belum ada data")&gt;0,"Data belum lengkap",IF(COUNTIF(K284:P284,"Cukup")&gt;0,"Bisa, dengan catatan","Cocok")))))</f>
        <v/>
      </c>
      <c r="R284" s="33" t="str">
        <f aca="false">IF($A284="","",IF(K284="Kurang","prosesor tingkat "&amp;C284&amp;" dari 5, di bawah batas minimal (tingkat "&amp;Aturan!$C$54&amp;")",IF(K284="Cukup","prosesor tingkat "&amp;C284&amp;" dari 5 cukup, nyamannya mulai tingkat "&amp;Aturan!$D$54,IF(K284="Belum ada data","tingkat prosesor belum diisi",""))))</f>
        <v/>
      </c>
      <c r="S284" s="33" t="str">
        <f aca="false">IF($A284="","",IF(L284="Kurang","grafis tingkat "&amp;D284&amp;" dari 5, di bawah batas minimal (tingkat "&amp;Aturan!$C$55&amp;")",IF(L284="Cukup","grafis tingkat "&amp;D284&amp;" dari 5 cukup, nyamannya mulai tingkat "&amp;Aturan!$D$55,IF(L284="Belum ada data","tingkat grafis belum diisi",""))))</f>
        <v/>
      </c>
      <c r="T284" s="33" t="str">
        <f aca="false">IF($A284="","",IF(M284="Kurang","RAM "&amp;E284&amp;" GB, di bawah batas minimal "&amp;Aturan!$C$56&amp;" GB ("&amp;I284&amp;")",IF(M284="Cukup","RAM "&amp;E284&amp;" GB cukup, nyamannya "&amp;Aturan!$D$56&amp;" GB atau lebih ("&amp;I284&amp;")",IF(M284="Belum ada data","ukuran RAM belum diisi",""))))</f>
        <v/>
      </c>
      <c r="U284" s="33" t="str">
        <f aca="false">IF($A284="","",IF(N284="Kurang","penyimpanan "&amp;F284&amp;" GB, di bawah batas minimal "&amp;Aturan!$C$57&amp;" GB ("&amp;J284&amp;")",IF(N284="Cukup","penyimpanan "&amp;F284&amp;" GB cukup, nyamannya "&amp;Aturan!$D$57&amp;" GB atau lebih ("&amp;J284&amp;")",IF(N284="Belum ada data","ukuran penyimpanan belum diisi",""))))</f>
        <v/>
      </c>
      <c r="V284" s="33" t="str">
        <f aca="false">IF($A284="","",IF(O284="Kurang","layar "&amp;Varian!$AG60&amp;", di bawah batas minimal ("&amp;IFERROR(INDEX(Aturan!$A$63:$A$66,MATCH(Aturan!$C$58,Aturan!$B$63:$B$66,0)),"peringkat "&amp;Aturan!$C$58)&amp;")",IF(O284="Cukup","layar "&amp;Varian!$AG60&amp;" cukup, nyamannya "&amp;IFERROR(INDEX(Aturan!$A$63:$A$66,MATCH(Aturan!$D$58,Aturan!$B$63:$B$66,0)),"peringkat "&amp;Aturan!$D$58),IF(O284="Belum ada data","jenis layar belum diketahui",""))))</f>
        <v/>
      </c>
      <c r="W284" s="33" t="str">
        <f aca="false">IF($A284="","",IF(P284="Kurang","layar "&amp;H284&amp;" Hz, di bawah batas minimal "&amp;Aturan!$C$59&amp;" Hz",IF(P284="Cukup","layar "&amp;H284&amp;" Hz cukup, nyamannya "&amp;Aturan!$D$59&amp;" Hz atau lebih",IF(P284="Belum ada data","refresh rate belum diketahui",""))))</f>
        <v/>
      </c>
      <c r="X284" s="33" t="str">
        <f aca="false">IF($A284="","",IF(K284="Kurang",R284&amp;"; ","")&amp;IF(L284="Kurang",S284&amp;"; ","")&amp;IF(M284="Kurang",T284&amp;"; ","")&amp;IF(N284="Kurang",U284&amp;"; ","")&amp;IF(O284="Kurang",V284&amp;"; ","")&amp;IF(P284="Kurang",W284&amp;"; ","")&amp;IF(K284="Belum ada data",R284&amp;"; ","")&amp;IF(L284="Belum ada data",S284&amp;"; ","")&amp;IF(M284="Belum ada data",T284&amp;"; ","")&amp;IF(N284="Belum ada data",U284&amp;"; ","")&amp;IF(O284="Belum ada data",V284&amp;"; ","")&amp;IF(P284="Belum ada data",W284&amp;"; ","")&amp;IF(K284="Cukup",R284&amp;"; ","")&amp;IF(L284="Cukup",S284&amp;"; ","")&amp;IF(M284="Cukup",T284&amp;"; ","")&amp;IF(N284="Cukup",U284&amp;"; ","")&amp;IF(O284="Cukup",V284&amp;"; ","")&amp;IF(P284="Cukup",W284&amp;"; ",""))</f>
        <v/>
      </c>
      <c r="Y284" s="33" t="str">
        <f aca="false">IF($A284="","",IF(K284="Nyaman","prosesor, ","")&amp;IF(L284="Nyaman","grafis, ","")&amp;IF(M284="Nyaman","RAM, ","")&amp;IF(N284="Nyaman","penyimpanan, ","")&amp;IF(O284="Nyaman","layar, ","")&amp;IF(P284="Nyaman","refresh rate, ",""))</f>
        <v/>
      </c>
      <c r="Z284" s="33" t="str">
        <f aca="false">IF($A284="","",IF(Q284="Tidak dinilai","Belum ada kriteria yang dinilai untuk kebutuhan ini.",IF(Q284="Cocok","Semua kriteria yang dinilai sudah nyaman: "&amp;LEFT(Y284,LEN(Y284)-2)&amp;".",UPPER(LEFT(X284,1))&amp;MID(X284,2,LEN(X284)-3)&amp;"."&amp;IF(Y284="",""," Sudah nyaman: "&amp;LEFT(Y284,LEN(Y284)-2)&amp;"."))))</f>
        <v/>
      </c>
      <c r="AA284" s="33"/>
      <c r="AB284" s="33"/>
      <c r="AC284" s="69"/>
    </row>
    <row r="285" customFormat="false" ht="15" hidden="false" customHeight="true" outlineLevel="0" collapsed="false">
      <c r="A285" s="66" t="str">
        <f aca="false">IF(Varian!$A61="","",Varian!$A61)</f>
        <v/>
      </c>
      <c r="B285" s="66" t="str">
        <f aca="false">IF($A285="","",Aturan!$A$21)</f>
        <v/>
      </c>
      <c r="C285" s="67" t="str">
        <f aca="false">IF($A285="","",IFERROR(IF(ISNUMBER(INDEX(CPU!$J$4:$J$64,MATCH(Varian!$J61,CPU!$A$4:$A$64,0))),INDEX(CPU!$J$4:$J$64,MATCH(Varian!$J61,CPU!$A$4:$A$64,0)),""),""))</f>
        <v/>
      </c>
      <c r="D285" s="67" t="str">
        <f aca="false">IF($A285="","",IFERROR(IF(ISNUMBER(INDEX(GPU!$G$4:$G$64,MATCH(Varian!$K61,GPU!$A$4:$A$64,0))),INDEX(GPU!$G$4:$G$64,MATCH(Varian!$K61,GPU!$A$4:$A$64,0)),""),""))</f>
        <v/>
      </c>
      <c r="E285" s="67" t="str">
        <f aca="false">IF($A285="","",IF(ISNUMBER(Varian!$M61),Varian!$M61,""))</f>
        <v/>
      </c>
      <c r="F285" s="67" t="str">
        <f aca="false">IF($A285="","",IF(ISNUMBER(Varian!$V61),Varian!$V61,""))</f>
        <v/>
      </c>
      <c r="G285" s="67" t="str">
        <f aca="false">IF($A285="","",IFERROR(INDEX(Aturan!$B$63:$B$66,MATCH(Varian!$AG61,Aturan!$A$63:$A$66,0)),""))</f>
        <v/>
      </c>
      <c r="H285" s="67" t="str">
        <f aca="false">IF($A285="","",IF(ISNUMBER(Varian!$AI61),Varian!$AI61,""))</f>
        <v/>
      </c>
      <c r="I285" s="66" t="str">
        <f aca="false">IF($A285="","",IF(Varian!$Q61="disolder","menempel di papan utama, tidak bisa ditambah",IF(OR(Varian!$Q61="slot",Varian!$Q61="setengah_disolder"),IF(Varian!$Q61="setengah_disolder","sebagian menempel, ","")&amp;IF(ISNUMBER(Varian!$U61),IF(AND(ISNUMBER(Varian!$M61),Varian!$U61&gt;Varian!$M61),"bisa dinaikkan lewat slot sampai "&amp;Varian!$U61&amp;" GB","sudah di batas maksimal "&amp;Varian!$U61&amp;" GB"),"ada slot, batas maksimalnya belum diketahui"),"belum diketahui apakah bisa ditambah")))</f>
        <v/>
      </c>
      <c r="J285" s="66" t="str">
        <f aca="false">IF($A285="","",IF(Varian!$Z61="ya","bisa diganti dengan yang lebih besar",IF(Varian!$Z61="tidak","menempel, tidak bisa diganti","belum diketahui apakah bisa diganti")))</f>
        <v/>
      </c>
      <c r="K285" s="68" t="str">
        <f aca="false">IF($A285="","",IF(AND(Aturan!$C$30="",Aturan!$D$30=""),"Tidak dinilai",IF(C285="","Belum ada data",IF(C285&lt;IF(Aturan!$C$30="",0,Aturan!$C$30),"Kurang",IF(C285&gt;=IF(Aturan!$D$30="",Aturan!$C$30,Aturan!$D$30),"Nyaman","Cukup")))))</f>
        <v/>
      </c>
      <c r="L285" s="68" t="str">
        <f aca="false">IF($A285="","",IF(AND(Aturan!$C$31="",Aturan!$D$31=""),"Tidak dinilai",IF(D285="","Belum ada data",IF(D285&lt;IF(Aturan!$C$31="",0,Aturan!$C$31),"Kurang",IF(D285&gt;=IF(Aturan!$D$31="",Aturan!$C$31,Aturan!$D$31),"Nyaman","Cukup")))))</f>
        <v/>
      </c>
      <c r="M285" s="68" t="str">
        <f aca="false">IF($A285="","",IF(AND(Aturan!$C$32="",Aturan!$D$32=""),"Tidak dinilai",IF(E285="","Belum ada data",IF(E285&lt;IF(Aturan!$C$32="",0,Aturan!$C$32),"Kurang",IF(E285&gt;=IF(Aturan!$D$32="",Aturan!$C$32,Aturan!$D$32),"Nyaman","Cukup")))))</f>
        <v/>
      </c>
      <c r="N285" s="68" t="str">
        <f aca="false">IF($A285="","",IF(AND(Aturan!$C$33="",Aturan!$D$33=""),"Tidak dinilai",IF(F285="","Belum ada data",IF(F285&lt;IF(Aturan!$C$33="",0,Aturan!$C$33),"Kurang",IF(F285&gt;=IF(Aturan!$D$33="",Aturan!$C$33,Aturan!$D$33),"Nyaman","Cukup")))))</f>
        <v/>
      </c>
      <c r="O285" s="68" t="str">
        <f aca="false">IF($A285="","",IF(AND(Aturan!$C$34="",Aturan!$D$34=""),"Tidak dinilai",IF(G285="","Belum ada data",IF(G285&lt;IF(Aturan!$C$34="",0,Aturan!$C$34),"Kurang",IF(G285&gt;=IF(Aturan!$D$34="",Aturan!$C$34,Aturan!$D$34),"Nyaman","Cukup")))))</f>
        <v/>
      </c>
      <c r="P285" s="68" t="str">
        <f aca="false">IF($A285="","",IF(AND(Aturan!$C$35="",Aturan!$D$35=""),"Tidak dinilai",IF(H285="","Belum ada data",IF(H285&lt;IF(Aturan!$C$35="",0,Aturan!$C$35),"Kurang",IF(H285&gt;=IF(Aturan!$D$35="",Aturan!$C$35,Aturan!$D$35),"Nyaman","Cukup")))))</f>
        <v/>
      </c>
      <c r="Q285" s="68" t="str">
        <f aca="false">IF($A285="","",IF(COUNTIF(K285:P285,"Tidak dinilai")=6,"Tidak dinilai",IF(COUNTIF(K285:P285,"Kurang")&gt;0,"Kurang cocok",IF(COUNTIF(K285:P285,"Belum ada data")&gt;0,"Data belum lengkap",IF(COUNTIF(K285:P285,"Cukup")&gt;0,"Bisa, dengan catatan","Cocok")))))</f>
        <v/>
      </c>
      <c r="R285" s="66" t="str">
        <f aca="false">IF($A285="","",IF(K285="Kurang","prosesor tingkat "&amp;C285&amp;" dari 5, di bawah batas minimal (tingkat "&amp;Aturan!$C$30&amp;")",IF(K285="Cukup","prosesor tingkat "&amp;C285&amp;" dari 5 cukup, nyamannya mulai tingkat "&amp;Aturan!$D$30,IF(K285="Belum ada data","tingkat prosesor belum diisi",""))))</f>
        <v/>
      </c>
      <c r="S285" s="66" t="str">
        <f aca="false">IF($A285="","",IF(L285="Kurang","grafis tingkat "&amp;D285&amp;" dari 5, di bawah batas minimal (tingkat "&amp;Aturan!$C$31&amp;")",IF(L285="Cukup","grafis tingkat "&amp;D285&amp;" dari 5 cukup, nyamannya mulai tingkat "&amp;Aturan!$D$31,IF(L285="Belum ada data","tingkat grafis belum diisi",""))))</f>
        <v/>
      </c>
      <c r="T285" s="66" t="str">
        <f aca="false">IF($A285="","",IF(M285="Kurang","RAM "&amp;E285&amp;" GB, di bawah batas minimal "&amp;Aturan!$C$32&amp;" GB ("&amp;I285&amp;")",IF(M285="Cukup","RAM "&amp;E285&amp;" GB cukup, nyamannya "&amp;Aturan!$D$32&amp;" GB atau lebih ("&amp;I285&amp;")",IF(M285="Belum ada data","ukuran RAM belum diisi",""))))</f>
        <v/>
      </c>
      <c r="U285" s="66" t="str">
        <f aca="false">IF($A285="","",IF(N285="Kurang","penyimpanan "&amp;F285&amp;" GB, di bawah batas minimal "&amp;Aturan!$C$33&amp;" GB ("&amp;J285&amp;")",IF(N285="Cukup","penyimpanan "&amp;F285&amp;" GB cukup, nyamannya "&amp;Aturan!$D$33&amp;" GB atau lebih ("&amp;J285&amp;")",IF(N285="Belum ada data","ukuran penyimpanan belum diisi",""))))</f>
        <v/>
      </c>
      <c r="V285" s="66" t="str">
        <f aca="false">IF($A285="","",IF(O285="Kurang","layar "&amp;Varian!$AG61&amp;", di bawah batas minimal ("&amp;IFERROR(INDEX(Aturan!$A$63:$A$66,MATCH(Aturan!$C$34,Aturan!$B$63:$B$66,0)),"peringkat "&amp;Aturan!$C$34)&amp;")",IF(O285="Cukup","layar "&amp;Varian!$AG61&amp;" cukup, nyamannya "&amp;IFERROR(INDEX(Aturan!$A$63:$A$66,MATCH(Aturan!$D$34,Aturan!$B$63:$B$66,0)),"peringkat "&amp;Aturan!$D$34),IF(O285="Belum ada data","jenis layar belum diketahui",""))))</f>
        <v/>
      </c>
      <c r="W285" s="66" t="str">
        <f aca="false">IF($A285="","",IF(P285="Kurang","layar "&amp;H285&amp;" Hz, di bawah batas minimal "&amp;Aturan!$C$35&amp;" Hz",IF(P285="Cukup","layar "&amp;H285&amp;" Hz cukup, nyamannya "&amp;Aturan!$D$35&amp;" Hz atau lebih",IF(P285="Belum ada data","refresh rate belum diketahui",""))))</f>
        <v/>
      </c>
      <c r="X285" s="66" t="str">
        <f aca="false">IF($A285="","",IF(K285="Kurang",R285&amp;"; ","")&amp;IF(L285="Kurang",S285&amp;"; ","")&amp;IF(M285="Kurang",T285&amp;"; ","")&amp;IF(N285="Kurang",U285&amp;"; ","")&amp;IF(O285="Kurang",V285&amp;"; ","")&amp;IF(P285="Kurang",W285&amp;"; ","")&amp;IF(K285="Belum ada data",R285&amp;"; ","")&amp;IF(L285="Belum ada data",S285&amp;"; ","")&amp;IF(M285="Belum ada data",T285&amp;"; ","")&amp;IF(N285="Belum ada data",U285&amp;"; ","")&amp;IF(O285="Belum ada data",V285&amp;"; ","")&amp;IF(P285="Belum ada data",W285&amp;"; ","")&amp;IF(K285="Cukup",R285&amp;"; ","")&amp;IF(L285="Cukup",S285&amp;"; ","")&amp;IF(M285="Cukup",T285&amp;"; ","")&amp;IF(N285="Cukup",U285&amp;"; ","")&amp;IF(O285="Cukup",V285&amp;"; ","")&amp;IF(P285="Cukup",W285&amp;"; ",""))</f>
        <v/>
      </c>
      <c r="Y285" s="66" t="str">
        <f aca="false">IF($A285="","",IF(K285="Nyaman","prosesor, ","")&amp;IF(L285="Nyaman","grafis, ","")&amp;IF(M285="Nyaman","RAM, ","")&amp;IF(N285="Nyaman","penyimpanan, ","")&amp;IF(O285="Nyaman","layar, ","")&amp;IF(P285="Nyaman","refresh rate, ",""))</f>
        <v/>
      </c>
      <c r="Z285" s="66" t="str">
        <f aca="false">IF($A285="","",IF(Q285="Tidak dinilai","Belum ada kriteria yang dinilai untuk kebutuhan ini.",IF(Q285="Cocok","Semua kriteria yang dinilai sudah nyaman: "&amp;LEFT(Y285,LEN(Y285)-2)&amp;".",UPPER(LEFT(X285,1))&amp;MID(X285,2,LEN(X285)-3)&amp;"."&amp;IF(Y285="",""," Sudah nyaman: "&amp;LEFT(Y285,LEN(Y285)-2)&amp;"."))))</f>
        <v/>
      </c>
      <c r="AA285" s="66" t="str">
        <f aca="false">IF($A285="","",IF(Varian!$AR61="Windows 10","• "&amp;Aturan!$E$71&amp;CHAR(10),"")&amp;IF(Varian!$BB61="tidak","• "&amp;Aturan!$E$72&amp;CHAR(10),"")&amp;IF(OR(Varian!$AD61="belum terverifikasi",Varian!$AD61="tidak diketahui"),"• "&amp;Aturan!$E$73&amp;CHAR(10),"")&amp;IF(Varian!$AH61="1366x768","• "&amp;Aturan!$E$74&amp;CHAR(10),"")&amp;IF(Varian!$AG61="TN","• "&amp;Aturan!$E$75&amp;CHAR(10),"")&amp;IF(AND(Varian!$Q61="disolder",ISNUMBER(Varian!$M61),Varian!$M61&lt;=8),"• "&amp;Aturan!$E$76&amp;CHAR(10),""))</f>
        <v/>
      </c>
      <c r="AB285" s="66" t="str">
        <f aca="false">IF($A285="","",IF(AA285="","",LEFT(AA285,LEN(AA285)-1)))</f>
        <v/>
      </c>
      <c r="AC285" s="67" t="str">
        <f aca="false">IF($A285="","",IF(AA285="",0,LEN(AA285)-LEN(SUBSTITUTE(AA285,CHAR(10),""))))</f>
        <v/>
      </c>
    </row>
    <row r="286" customFormat="false" ht="15" hidden="false" customHeight="true" outlineLevel="0" collapsed="false">
      <c r="A286" s="33" t="str">
        <f aca="false">IF(Varian!$A61="","",Varian!$A61)</f>
        <v/>
      </c>
      <c r="B286" s="33" t="str">
        <f aca="false">IF($A286="","",Aturan!$A$22)</f>
        <v/>
      </c>
      <c r="C286" s="69" t="str">
        <f aca="false">IF($A286="","",IFERROR(IF(ISNUMBER(INDEX(CPU!$J$4:$J$64,MATCH(Varian!$J61,CPU!$A$4:$A$64,0))),INDEX(CPU!$J$4:$J$64,MATCH(Varian!$J61,CPU!$A$4:$A$64,0)),""),""))</f>
        <v/>
      </c>
      <c r="D286" s="69" t="str">
        <f aca="false">IF($A286="","",IFERROR(IF(ISNUMBER(INDEX(GPU!$G$4:$G$64,MATCH(Varian!$K61,GPU!$A$4:$A$64,0))),INDEX(GPU!$G$4:$G$64,MATCH(Varian!$K61,GPU!$A$4:$A$64,0)),""),""))</f>
        <v/>
      </c>
      <c r="E286" s="69" t="str">
        <f aca="false">IF($A286="","",IF(ISNUMBER(Varian!$M61),Varian!$M61,""))</f>
        <v/>
      </c>
      <c r="F286" s="69" t="str">
        <f aca="false">IF($A286="","",IF(ISNUMBER(Varian!$V61),Varian!$V61,""))</f>
        <v/>
      </c>
      <c r="G286" s="69" t="str">
        <f aca="false">IF($A286="","",IFERROR(INDEX(Aturan!$B$63:$B$66,MATCH(Varian!$AG61,Aturan!$A$63:$A$66,0)),""))</f>
        <v/>
      </c>
      <c r="H286" s="69" t="str">
        <f aca="false">IF($A286="","",IF(ISNUMBER(Varian!$AI61),Varian!$AI61,""))</f>
        <v/>
      </c>
      <c r="I286" s="33" t="str">
        <f aca="false">IF($A286="","",IF(Varian!$Q61="disolder","menempel di papan utama, tidak bisa ditambah",IF(OR(Varian!$Q61="slot",Varian!$Q61="setengah_disolder"),IF(Varian!$Q61="setengah_disolder","sebagian menempel, ","")&amp;IF(ISNUMBER(Varian!$U61),IF(AND(ISNUMBER(Varian!$M61),Varian!$U61&gt;Varian!$M61),"bisa dinaikkan lewat slot sampai "&amp;Varian!$U61&amp;" GB","sudah di batas maksimal "&amp;Varian!$U61&amp;" GB"),"ada slot, batas maksimalnya belum diketahui"),"belum diketahui apakah bisa ditambah")))</f>
        <v/>
      </c>
      <c r="J286" s="33" t="str">
        <f aca="false">IF($A286="","",IF(Varian!$Z61="ya","bisa diganti dengan yang lebih besar",IF(Varian!$Z61="tidak","menempel, tidak bisa diganti","belum diketahui apakah bisa diganti")))</f>
        <v/>
      </c>
      <c r="K286" s="70" t="str">
        <f aca="false">IF($A286="","",IF(AND(Aturan!$C$36="",Aturan!$D$36=""),"Tidak dinilai",IF(C286="","Belum ada data",IF(C286&lt;IF(Aturan!$C$36="",0,Aturan!$C$36),"Kurang",IF(C286&gt;=IF(Aturan!$D$36="",Aturan!$C$36,Aturan!$D$36),"Nyaman","Cukup")))))</f>
        <v/>
      </c>
      <c r="L286" s="70" t="str">
        <f aca="false">IF($A286="","",IF(AND(Aturan!$C$37="",Aturan!$D$37=""),"Tidak dinilai",IF(D286="","Belum ada data",IF(D286&lt;IF(Aturan!$C$37="",0,Aturan!$C$37),"Kurang",IF(D286&gt;=IF(Aturan!$D$37="",Aturan!$C$37,Aturan!$D$37),"Nyaman","Cukup")))))</f>
        <v/>
      </c>
      <c r="M286" s="70" t="str">
        <f aca="false">IF($A286="","",IF(AND(Aturan!$C$38="",Aturan!$D$38=""),"Tidak dinilai",IF(E286="","Belum ada data",IF(E286&lt;IF(Aturan!$C$38="",0,Aturan!$C$38),"Kurang",IF(E286&gt;=IF(Aturan!$D$38="",Aturan!$C$38,Aturan!$D$38),"Nyaman","Cukup")))))</f>
        <v/>
      </c>
      <c r="N286" s="70" t="str">
        <f aca="false">IF($A286="","",IF(AND(Aturan!$C$39="",Aturan!$D$39=""),"Tidak dinilai",IF(F286="","Belum ada data",IF(F286&lt;IF(Aturan!$C$39="",0,Aturan!$C$39),"Kurang",IF(F286&gt;=IF(Aturan!$D$39="",Aturan!$C$39,Aturan!$D$39),"Nyaman","Cukup")))))</f>
        <v/>
      </c>
      <c r="O286" s="70" t="str">
        <f aca="false">IF($A286="","",IF(AND(Aturan!$C$40="",Aturan!$D$40=""),"Tidak dinilai",IF(G286="","Belum ada data",IF(G286&lt;IF(Aturan!$C$40="",0,Aturan!$C$40),"Kurang",IF(G286&gt;=IF(Aturan!$D$40="",Aturan!$C$40,Aturan!$D$40),"Nyaman","Cukup")))))</f>
        <v/>
      </c>
      <c r="P286" s="70" t="str">
        <f aca="false">IF($A286="","",IF(AND(Aturan!$C$41="",Aturan!$D$41=""),"Tidak dinilai",IF(H286="","Belum ada data",IF(H286&lt;IF(Aturan!$C$41="",0,Aturan!$C$41),"Kurang",IF(H286&gt;=IF(Aturan!$D$41="",Aturan!$C$41,Aturan!$D$41),"Nyaman","Cukup")))))</f>
        <v/>
      </c>
      <c r="Q286" s="70" t="str">
        <f aca="false">IF($A286="","",IF(COUNTIF(K286:P286,"Tidak dinilai")=6,"Tidak dinilai",IF(COUNTIF(K286:P286,"Kurang")&gt;0,"Kurang cocok",IF(COUNTIF(K286:P286,"Belum ada data")&gt;0,"Data belum lengkap",IF(COUNTIF(K286:P286,"Cukup")&gt;0,"Bisa, dengan catatan","Cocok")))))</f>
        <v/>
      </c>
      <c r="R286" s="33" t="str">
        <f aca="false">IF($A286="","",IF(K286="Kurang","prosesor tingkat "&amp;C286&amp;" dari 5, di bawah batas minimal (tingkat "&amp;Aturan!$C$36&amp;")",IF(K286="Cukup","prosesor tingkat "&amp;C286&amp;" dari 5 cukup, nyamannya mulai tingkat "&amp;Aturan!$D$36,IF(K286="Belum ada data","tingkat prosesor belum diisi",""))))</f>
        <v/>
      </c>
      <c r="S286" s="33" t="str">
        <f aca="false">IF($A286="","",IF(L286="Kurang","grafis tingkat "&amp;D286&amp;" dari 5, di bawah batas minimal (tingkat "&amp;Aturan!$C$37&amp;")",IF(L286="Cukup","grafis tingkat "&amp;D286&amp;" dari 5 cukup, nyamannya mulai tingkat "&amp;Aturan!$D$37,IF(L286="Belum ada data","tingkat grafis belum diisi",""))))</f>
        <v/>
      </c>
      <c r="T286" s="33" t="str">
        <f aca="false">IF($A286="","",IF(M286="Kurang","RAM "&amp;E286&amp;" GB, di bawah batas minimal "&amp;Aturan!$C$38&amp;" GB ("&amp;I286&amp;")",IF(M286="Cukup","RAM "&amp;E286&amp;" GB cukup, nyamannya "&amp;Aturan!$D$38&amp;" GB atau lebih ("&amp;I286&amp;")",IF(M286="Belum ada data","ukuran RAM belum diisi",""))))</f>
        <v/>
      </c>
      <c r="U286" s="33" t="str">
        <f aca="false">IF($A286="","",IF(N286="Kurang","penyimpanan "&amp;F286&amp;" GB, di bawah batas minimal "&amp;Aturan!$C$39&amp;" GB ("&amp;J286&amp;")",IF(N286="Cukup","penyimpanan "&amp;F286&amp;" GB cukup, nyamannya "&amp;Aturan!$D$39&amp;" GB atau lebih ("&amp;J286&amp;")",IF(N286="Belum ada data","ukuran penyimpanan belum diisi",""))))</f>
        <v/>
      </c>
      <c r="V286" s="33" t="str">
        <f aca="false">IF($A286="","",IF(O286="Kurang","layar "&amp;Varian!$AG61&amp;", di bawah batas minimal ("&amp;IFERROR(INDEX(Aturan!$A$63:$A$66,MATCH(Aturan!$C$40,Aturan!$B$63:$B$66,0)),"peringkat "&amp;Aturan!$C$40)&amp;")",IF(O286="Cukup","layar "&amp;Varian!$AG61&amp;" cukup, nyamannya "&amp;IFERROR(INDEX(Aturan!$A$63:$A$66,MATCH(Aturan!$D$40,Aturan!$B$63:$B$66,0)),"peringkat "&amp;Aturan!$D$40),IF(O286="Belum ada data","jenis layar belum diketahui",""))))</f>
        <v/>
      </c>
      <c r="W286" s="33" t="str">
        <f aca="false">IF($A286="","",IF(P286="Kurang","layar "&amp;H286&amp;" Hz, di bawah batas minimal "&amp;Aturan!$C$41&amp;" Hz",IF(P286="Cukup","layar "&amp;H286&amp;" Hz cukup, nyamannya "&amp;Aturan!$D$41&amp;" Hz atau lebih",IF(P286="Belum ada data","refresh rate belum diketahui",""))))</f>
        <v/>
      </c>
      <c r="X286" s="33" t="str">
        <f aca="false">IF($A286="","",IF(K286="Kurang",R286&amp;"; ","")&amp;IF(L286="Kurang",S286&amp;"; ","")&amp;IF(M286="Kurang",T286&amp;"; ","")&amp;IF(N286="Kurang",U286&amp;"; ","")&amp;IF(O286="Kurang",V286&amp;"; ","")&amp;IF(P286="Kurang",W286&amp;"; ","")&amp;IF(K286="Belum ada data",R286&amp;"; ","")&amp;IF(L286="Belum ada data",S286&amp;"; ","")&amp;IF(M286="Belum ada data",T286&amp;"; ","")&amp;IF(N286="Belum ada data",U286&amp;"; ","")&amp;IF(O286="Belum ada data",V286&amp;"; ","")&amp;IF(P286="Belum ada data",W286&amp;"; ","")&amp;IF(K286="Cukup",R286&amp;"; ","")&amp;IF(L286="Cukup",S286&amp;"; ","")&amp;IF(M286="Cukup",T286&amp;"; ","")&amp;IF(N286="Cukup",U286&amp;"; ","")&amp;IF(O286="Cukup",V286&amp;"; ","")&amp;IF(P286="Cukup",W286&amp;"; ",""))</f>
        <v/>
      </c>
      <c r="Y286" s="33" t="str">
        <f aca="false">IF($A286="","",IF(K286="Nyaman","prosesor, ","")&amp;IF(L286="Nyaman","grafis, ","")&amp;IF(M286="Nyaman","RAM, ","")&amp;IF(N286="Nyaman","penyimpanan, ","")&amp;IF(O286="Nyaman","layar, ","")&amp;IF(P286="Nyaman","refresh rate, ",""))</f>
        <v/>
      </c>
      <c r="Z286" s="33" t="str">
        <f aca="false">IF($A286="","",IF(Q286="Tidak dinilai","Belum ada kriteria yang dinilai untuk kebutuhan ini.",IF(Q286="Cocok","Semua kriteria yang dinilai sudah nyaman: "&amp;LEFT(Y286,LEN(Y286)-2)&amp;".",UPPER(LEFT(X286,1))&amp;MID(X286,2,LEN(X286)-3)&amp;"."&amp;IF(Y286="",""," Sudah nyaman: "&amp;LEFT(Y286,LEN(Y286)-2)&amp;"."))))</f>
        <v/>
      </c>
      <c r="AA286" s="33"/>
      <c r="AB286" s="33"/>
      <c r="AC286" s="69"/>
    </row>
    <row r="287" customFormat="false" ht="15" hidden="false" customHeight="true" outlineLevel="0" collapsed="false">
      <c r="A287" s="33" t="str">
        <f aca="false">IF(Varian!$A61="","",Varian!$A61)</f>
        <v/>
      </c>
      <c r="B287" s="33" t="str">
        <f aca="false">IF($A287="","",Aturan!$A$23)</f>
        <v/>
      </c>
      <c r="C287" s="69" t="str">
        <f aca="false">IF($A287="","",IFERROR(IF(ISNUMBER(INDEX(CPU!$J$4:$J$64,MATCH(Varian!$J61,CPU!$A$4:$A$64,0))),INDEX(CPU!$J$4:$J$64,MATCH(Varian!$J61,CPU!$A$4:$A$64,0)),""),""))</f>
        <v/>
      </c>
      <c r="D287" s="69" t="str">
        <f aca="false">IF($A287="","",IFERROR(IF(ISNUMBER(INDEX(GPU!$G$4:$G$64,MATCH(Varian!$K61,GPU!$A$4:$A$64,0))),INDEX(GPU!$G$4:$G$64,MATCH(Varian!$K61,GPU!$A$4:$A$64,0)),""),""))</f>
        <v/>
      </c>
      <c r="E287" s="69" t="str">
        <f aca="false">IF($A287="","",IF(ISNUMBER(Varian!$M61),Varian!$M61,""))</f>
        <v/>
      </c>
      <c r="F287" s="69" t="str">
        <f aca="false">IF($A287="","",IF(ISNUMBER(Varian!$V61),Varian!$V61,""))</f>
        <v/>
      </c>
      <c r="G287" s="69" t="str">
        <f aca="false">IF($A287="","",IFERROR(INDEX(Aturan!$B$63:$B$66,MATCH(Varian!$AG61,Aturan!$A$63:$A$66,0)),""))</f>
        <v/>
      </c>
      <c r="H287" s="69" t="str">
        <f aca="false">IF($A287="","",IF(ISNUMBER(Varian!$AI61),Varian!$AI61,""))</f>
        <v/>
      </c>
      <c r="I287" s="33" t="str">
        <f aca="false">IF($A287="","",IF(Varian!$Q61="disolder","menempel di papan utama, tidak bisa ditambah",IF(OR(Varian!$Q61="slot",Varian!$Q61="setengah_disolder"),IF(Varian!$Q61="setengah_disolder","sebagian menempel, ","")&amp;IF(ISNUMBER(Varian!$U61),IF(AND(ISNUMBER(Varian!$M61),Varian!$U61&gt;Varian!$M61),"bisa dinaikkan lewat slot sampai "&amp;Varian!$U61&amp;" GB","sudah di batas maksimal "&amp;Varian!$U61&amp;" GB"),"ada slot, batas maksimalnya belum diketahui"),"belum diketahui apakah bisa ditambah")))</f>
        <v/>
      </c>
      <c r="J287" s="33" t="str">
        <f aca="false">IF($A287="","",IF(Varian!$Z61="ya","bisa diganti dengan yang lebih besar",IF(Varian!$Z61="tidak","menempel, tidak bisa diganti","belum diketahui apakah bisa diganti")))</f>
        <v/>
      </c>
      <c r="K287" s="70" t="str">
        <f aca="false">IF($A287="","",IF(AND(Aturan!$C$42="",Aturan!$D$42=""),"Tidak dinilai",IF(C287="","Belum ada data",IF(C287&lt;IF(Aturan!$C$42="",0,Aturan!$C$42),"Kurang",IF(C287&gt;=IF(Aturan!$D$42="",Aturan!$C$42,Aturan!$D$42),"Nyaman","Cukup")))))</f>
        <v/>
      </c>
      <c r="L287" s="70" t="str">
        <f aca="false">IF($A287="","",IF(AND(Aturan!$C$43="",Aturan!$D$43=""),"Tidak dinilai",IF(D287="","Belum ada data",IF(D287&lt;IF(Aturan!$C$43="",0,Aturan!$C$43),"Kurang",IF(D287&gt;=IF(Aturan!$D$43="",Aturan!$C$43,Aturan!$D$43),"Nyaman","Cukup")))))</f>
        <v/>
      </c>
      <c r="M287" s="70" t="str">
        <f aca="false">IF($A287="","",IF(AND(Aturan!$C$44="",Aturan!$D$44=""),"Tidak dinilai",IF(E287="","Belum ada data",IF(E287&lt;IF(Aturan!$C$44="",0,Aturan!$C$44),"Kurang",IF(E287&gt;=IF(Aturan!$D$44="",Aturan!$C$44,Aturan!$D$44),"Nyaman","Cukup")))))</f>
        <v/>
      </c>
      <c r="N287" s="70" t="str">
        <f aca="false">IF($A287="","",IF(AND(Aturan!$C$45="",Aturan!$D$45=""),"Tidak dinilai",IF(F287="","Belum ada data",IF(F287&lt;IF(Aturan!$C$45="",0,Aturan!$C$45),"Kurang",IF(F287&gt;=IF(Aturan!$D$45="",Aturan!$C$45,Aturan!$D$45),"Nyaman","Cukup")))))</f>
        <v/>
      </c>
      <c r="O287" s="70" t="str">
        <f aca="false">IF($A287="","",IF(AND(Aturan!$C$46="",Aturan!$D$46=""),"Tidak dinilai",IF(G287="","Belum ada data",IF(G287&lt;IF(Aturan!$C$46="",0,Aturan!$C$46),"Kurang",IF(G287&gt;=IF(Aturan!$D$46="",Aturan!$C$46,Aturan!$D$46),"Nyaman","Cukup")))))</f>
        <v/>
      </c>
      <c r="P287" s="70" t="str">
        <f aca="false">IF($A287="","",IF(AND(Aturan!$C$47="",Aturan!$D$47=""),"Tidak dinilai",IF(H287="","Belum ada data",IF(H287&lt;IF(Aturan!$C$47="",0,Aturan!$C$47),"Kurang",IF(H287&gt;=IF(Aturan!$D$47="",Aturan!$C$47,Aturan!$D$47),"Nyaman","Cukup")))))</f>
        <v/>
      </c>
      <c r="Q287" s="70" t="str">
        <f aca="false">IF($A287="","",IF(COUNTIF(K287:P287,"Tidak dinilai")=6,"Tidak dinilai",IF(COUNTIF(K287:P287,"Kurang")&gt;0,"Kurang cocok",IF(COUNTIF(K287:P287,"Belum ada data")&gt;0,"Data belum lengkap",IF(COUNTIF(K287:P287,"Cukup")&gt;0,"Bisa, dengan catatan","Cocok")))))</f>
        <v/>
      </c>
      <c r="R287" s="33" t="str">
        <f aca="false">IF($A287="","",IF(K287="Kurang","prosesor tingkat "&amp;C287&amp;" dari 5, di bawah batas minimal (tingkat "&amp;Aturan!$C$42&amp;")",IF(K287="Cukup","prosesor tingkat "&amp;C287&amp;" dari 5 cukup, nyamannya mulai tingkat "&amp;Aturan!$D$42,IF(K287="Belum ada data","tingkat prosesor belum diisi",""))))</f>
        <v/>
      </c>
      <c r="S287" s="33" t="str">
        <f aca="false">IF($A287="","",IF(L287="Kurang","grafis tingkat "&amp;D287&amp;" dari 5, di bawah batas minimal (tingkat "&amp;Aturan!$C$43&amp;")",IF(L287="Cukup","grafis tingkat "&amp;D287&amp;" dari 5 cukup, nyamannya mulai tingkat "&amp;Aturan!$D$43,IF(L287="Belum ada data","tingkat grafis belum diisi",""))))</f>
        <v/>
      </c>
      <c r="T287" s="33" t="str">
        <f aca="false">IF($A287="","",IF(M287="Kurang","RAM "&amp;E287&amp;" GB, di bawah batas minimal "&amp;Aturan!$C$44&amp;" GB ("&amp;I287&amp;")",IF(M287="Cukup","RAM "&amp;E287&amp;" GB cukup, nyamannya "&amp;Aturan!$D$44&amp;" GB atau lebih ("&amp;I287&amp;")",IF(M287="Belum ada data","ukuran RAM belum diisi",""))))</f>
        <v/>
      </c>
      <c r="U287" s="33" t="str">
        <f aca="false">IF($A287="","",IF(N287="Kurang","penyimpanan "&amp;F287&amp;" GB, di bawah batas minimal "&amp;Aturan!$C$45&amp;" GB ("&amp;J287&amp;")",IF(N287="Cukup","penyimpanan "&amp;F287&amp;" GB cukup, nyamannya "&amp;Aturan!$D$45&amp;" GB atau lebih ("&amp;J287&amp;")",IF(N287="Belum ada data","ukuran penyimpanan belum diisi",""))))</f>
        <v/>
      </c>
      <c r="V287" s="33" t="str">
        <f aca="false">IF($A287="","",IF(O287="Kurang","layar "&amp;Varian!$AG61&amp;", di bawah batas minimal ("&amp;IFERROR(INDEX(Aturan!$A$63:$A$66,MATCH(Aturan!$C$46,Aturan!$B$63:$B$66,0)),"peringkat "&amp;Aturan!$C$46)&amp;")",IF(O287="Cukup","layar "&amp;Varian!$AG61&amp;" cukup, nyamannya "&amp;IFERROR(INDEX(Aturan!$A$63:$A$66,MATCH(Aturan!$D$46,Aturan!$B$63:$B$66,0)),"peringkat "&amp;Aturan!$D$46),IF(O287="Belum ada data","jenis layar belum diketahui",""))))</f>
        <v/>
      </c>
      <c r="W287" s="33" t="str">
        <f aca="false">IF($A287="","",IF(P287="Kurang","layar "&amp;H287&amp;" Hz, di bawah batas minimal "&amp;Aturan!$C$47&amp;" Hz",IF(P287="Cukup","layar "&amp;H287&amp;" Hz cukup, nyamannya "&amp;Aturan!$D$47&amp;" Hz atau lebih",IF(P287="Belum ada data","refresh rate belum diketahui",""))))</f>
        <v/>
      </c>
      <c r="X287" s="33" t="str">
        <f aca="false">IF($A287="","",IF(K287="Kurang",R287&amp;"; ","")&amp;IF(L287="Kurang",S287&amp;"; ","")&amp;IF(M287="Kurang",T287&amp;"; ","")&amp;IF(N287="Kurang",U287&amp;"; ","")&amp;IF(O287="Kurang",V287&amp;"; ","")&amp;IF(P287="Kurang",W287&amp;"; ","")&amp;IF(K287="Belum ada data",R287&amp;"; ","")&amp;IF(L287="Belum ada data",S287&amp;"; ","")&amp;IF(M287="Belum ada data",T287&amp;"; ","")&amp;IF(N287="Belum ada data",U287&amp;"; ","")&amp;IF(O287="Belum ada data",V287&amp;"; ","")&amp;IF(P287="Belum ada data",W287&amp;"; ","")&amp;IF(K287="Cukup",R287&amp;"; ","")&amp;IF(L287="Cukup",S287&amp;"; ","")&amp;IF(M287="Cukup",T287&amp;"; ","")&amp;IF(N287="Cukup",U287&amp;"; ","")&amp;IF(O287="Cukup",V287&amp;"; ","")&amp;IF(P287="Cukup",W287&amp;"; ",""))</f>
        <v/>
      </c>
      <c r="Y287" s="33" t="str">
        <f aca="false">IF($A287="","",IF(K287="Nyaman","prosesor, ","")&amp;IF(L287="Nyaman","grafis, ","")&amp;IF(M287="Nyaman","RAM, ","")&amp;IF(N287="Nyaman","penyimpanan, ","")&amp;IF(O287="Nyaman","layar, ","")&amp;IF(P287="Nyaman","refresh rate, ",""))</f>
        <v/>
      </c>
      <c r="Z287" s="33" t="str">
        <f aca="false">IF($A287="","",IF(Q287="Tidak dinilai","Belum ada kriteria yang dinilai untuk kebutuhan ini.",IF(Q287="Cocok","Semua kriteria yang dinilai sudah nyaman: "&amp;LEFT(Y287,LEN(Y287)-2)&amp;".",UPPER(LEFT(X287,1))&amp;MID(X287,2,LEN(X287)-3)&amp;"."&amp;IF(Y287="",""," Sudah nyaman: "&amp;LEFT(Y287,LEN(Y287)-2)&amp;"."))))</f>
        <v/>
      </c>
      <c r="AA287" s="33"/>
      <c r="AB287" s="33"/>
      <c r="AC287" s="69"/>
    </row>
    <row r="288" customFormat="false" ht="15" hidden="false" customHeight="true" outlineLevel="0" collapsed="false">
      <c r="A288" s="33" t="str">
        <f aca="false">IF(Varian!$A61="","",Varian!$A61)</f>
        <v/>
      </c>
      <c r="B288" s="33" t="str">
        <f aca="false">IF($A288="","",Aturan!$A$24)</f>
        <v/>
      </c>
      <c r="C288" s="69" t="str">
        <f aca="false">IF($A288="","",IFERROR(IF(ISNUMBER(INDEX(CPU!$J$4:$J$64,MATCH(Varian!$J61,CPU!$A$4:$A$64,0))),INDEX(CPU!$J$4:$J$64,MATCH(Varian!$J61,CPU!$A$4:$A$64,0)),""),""))</f>
        <v/>
      </c>
      <c r="D288" s="69" t="str">
        <f aca="false">IF($A288="","",IFERROR(IF(ISNUMBER(INDEX(GPU!$G$4:$G$64,MATCH(Varian!$K61,GPU!$A$4:$A$64,0))),INDEX(GPU!$G$4:$G$64,MATCH(Varian!$K61,GPU!$A$4:$A$64,0)),""),""))</f>
        <v/>
      </c>
      <c r="E288" s="69" t="str">
        <f aca="false">IF($A288="","",IF(ISNUMBER(Varian!$M61),Varian!$M61,""))</f>
        <v/>
      </c>
      <c r="F288" s="69" t="str">
        <f aca="false">IF($A288="","",IF(ISNUMBER(Varian!$V61),Varian!$V61,""))</f>
        <v/>
      </c>
      <c r="G288" s="69" t="str">
        <f aca="false">IF($A288="","",IFERROR(INDEX(Aturan!$B$63:$B$66,MATCH(Varian!$AG61,Aturan!$A$63:$A$66,0)),""))</f>
        <v/>
      </c>
      <c r="H288" s="69" t="str">
        <f aca="false">IF($A288="","",IF(ISNUMBER(Varian!$AI61),Varian!$AI61,""))</f>
        <v/>
      </c>
      <c r="I288" s="33" t="str">
        <f aca="false">IF($A288="","",IF(Varian!$Q61="disolder","menempel di papan utama, tidak bisa ditambah",IF(OR(Varian!$Q61="slot",Varian!$Q61="setengah_disolder"),IF(Varian!$Q61="setengah_disolder","sebagian menempel, ","")&amp;IF(ISNUMBER(Varian!$U61),IF(AND(ISNUMBER(Varian!$M61),Varian!$U61&gt;Varian!$M61),"bisa dinaikkan lewat slot sampai "&amp;Varian!$U61&amp;" GB","sudah di batas maksimal "&amp;Varian!$U61&amp;" GB"),"ada slot, batas maksimalnya belum diketahui"),"belum diketahui apakah bisa ditambah")))</f>
        <v/>
      </c>
      <c r="J288" s="33" t="str">
        <f aca="false">IF($A288="","",IF(Varian!$Z61="ya","bisa diganti dengan yang lebih besar",IF(Varian!$Z61="tidak","menempel, tidak bisa diganti","belum diketahui apakah bisa diganti")))</f>
        <v/>
      </c>
      <c r="K288" s="70" t="str">
        <f aca="false">IF($A288="","",IF(AND(Aturan!$C$48="",Aturan!$D$48=""),"Tidak dinilai",IF(C288="","Belum ada data",IF(C288&lt;IF(Aturan!$C$48="",0,Aturan!$C$48),"Kurang",IF(C288&gt;=IF(Aturan!$D$48="",Aturan!$C$48,Aturan!$D$48),"Nyaman","Cukup")))))</f>
        <v/>
      </c>
      <c r="L288" s="70" t="str">
        <f aca="false">IF($A288="","",IF(AND(Aturan!$C$49="",Aturan!$D$49=""),"Tidak dinilai",IF(D288="","Belum ada data",IF(D288&lt;IF(Aturan!$C$49="",0,Aturan!$C$49),"Kurang",IF(D288&gt;=IF(Aturan!$D$49="",Aturan!$C$49,Aturan!$D$49),"Nyaman","Cukup")))))</f>
        <v/>
      </c>
      <c r="M288" s="70" t="str">
        <f aca="false">IF($A288="","",IF(AND(Aturan!$C$50="",Aturan!$D$50=""),"Tidak dinilai",IF(E288="","Belum ada data",IF(E288&lt;IF(Aturan!$C$50="",0,Aturan!$C$50),"Kurang",IF(E288&gt;=IF(Aturan!$D$50="",Aturan!$C$50,Aturan!$D$50),"Nyaman","Cukup")))))</f>
        <v/>
      </c>
      <c r="N288" s="70" t="str">
        <f aca="false">IF($A288="","",IF(AND(Aturan!$C$51="",Aturan!$D$51=""),"Tidak dinilai",IF(F288="","Belum ada data",IF(F288&lt;IF(Aturan!$C$51="",0,Aturan!$C$51),"Kurang",IF(F288&gt;=IF(Aturan!$D$51="",Aturan!$C$51,Aturan!$D$51),"Nyaman","Cukup")))))</f>
        <v/>
      </c>
      <c r="O288" s="70" t="str">
        <f aca="false">IF($A288="","",IF(AND(Aturan!$C$52="",Aturan!$D$52=""),"Tidak dinilai",IF(G288="","Belum ada data",IF(G288&lt;IF(Aturan!$C$52="",0,Aturan!$C$52),"Kurang",IF(G288&gt;=IF(Aturan!$D$52="",Aturan!$C$52,Aturan!$D$52),"Nyaman","Cukup")))))</f>
        <v/>
      </c>
      <c r="P288" s="70" t="str">
        <f aca="false">IF($A288="","",IF(AND(Aturan!$C$53="",Aturan!$D$53=""),"Tidak dinilai",IF(H288="","Belum ada data",IF(H288&lt;IF(Aturan!$C$53="",0,Aturan!$C$53),"Kurang",IF(H288&gt;=IF(Aturan!$D$53="",Aturan!$C$53,Aturan!$D$53),"Nyaman","Cukup")))))</f>
        <v/>
      </c>
      <c r="Q288" s="70" t="str">
        <f aca="false">IF($A288="","",IF(COUNTIF(K288:P288,"Tidak dinilai")=6,"Tidak dinilai",IF(COUNTIF(K288:P288,"Kurang")&gt;0,"Kurang cocok",IF(COUNTIF(K288:P288,"Belum ada data")&gt;0,"Data belum lengkap",IF(COUNTIF(K288:P288,"Cukup")&gt;0,"Bisa, dengan catatan","Cocok")))))</f>
        <v/>
      </c>
      <c r="R288" s="33" t="str">
        <f aca="false">IF($A288="","",IF(K288="Kurang","prosesor tingkat "&amp;C288&amp;" dari 5, di bawah batas minimal (tingkat "&amp;Aturan!$C$48&amp;")",IF(K288="Cukup","prosesor tingkat "&amp;C288&amp;" dari 5 cukup, nyamannya mulai tingkat "&amp;Aturan!$D$48,IF(K288="Belum ada data","tingkat prosesor belum diisi",""))))</f>
        <v/>
      </c>
      <c r="S288" s="33" t="str">
        <f aca="false">IF($A288="","",IF(L288="Kurang","grafis tingkat "&amp;D288&amp;" dari 5, di bawah batas minimal (tingkat "&amp;Aturan!$C$49&amp;")",IF(L288="Cukup","grafis tingkat "&amp;D288&amp;" dari 5 cukup, nyamannya mulai tingkat "&amp;Aturan!$D$49,IF(L288="Belum ada data","tingkat grafis belum diisi",""))))</f>
        <v/>
      </c>
      <c r="T288" s="33" t="str">
        <f aca="false">IF($A288="","",IF(M288="Kurang","RAM "&amp;E288&amp;" GB, di bawah batas minimal "&amp;Aturan!$C$50&amp;" GB ("&amp;I288&amp;")",IF(M288="Cukup","RAM "&amp;E288&amp;" GB cukup, nyamannya "&amp;Aturan!$D$50&amp;" GB atau lebih ("&amp;I288&amp;")",IF(M288="Belum ada data","ukuran RAM belum diisi",""))))</f>
        <v/>
      </c>
      <c r="U288" s="33" t="str">
        <f aca="false">IF($A288="","",IF(N288="Kurang","penyimpanan "&amp;F288&amp;" GB, di bawah batas minimal "&amp;Aturan!$C$51&amp;" GB ("&amp;J288&amp;")",IF(N288="Cukup","penyimpanan "&amp;F288&amp;" GB cukup, nyamannya "&amp;Aturan!$D$51&amp;" GB atau lebih ("&amp;J288&amp;")",IF(N288="Belum ada data","ukuran penyimpanan belum diisi",""))))</f>
        <v/>
      </c>
      <c r="V288" s="33" t="str">
        <f aca="false">IF($A288="","",IF(O288="Kurang","layar "&amp;Varian!$AG61&amp;", di bawah batas minimal ("&amp;IFERROR(INDEX(Aturan!$A$63:$A$66,MATCH(Aturan!$C$52,Aturan!$B$63:$B$66,0)),"peringkat "&amp;Aturan!$C$52)&amp;")",IF(O288="Cukup","layar "&amp;Varian!$AG61&amp;" cukup, nyamannya "&amp;IFERROR(INDEX(Aturan!$A$63:$A$66,MATCH(Aturan!$D$52,Aturan!$B$63:$B$66,0)),"peringkat "&amp;Aturan!$D$52),IF(O288="Belum ada data","jenis layar belum diketahui",""))))</f>
        <v/>
      </c>
      <c r="W288" s="33" t="str">
        <f aca="false">IF($A288="","",IF(P288="Kurang","layar "&amp;H288&amp;" Hz, di bawah batas minimal "&amp;Aturan!$C$53&amp;" Hz",IF(P288="Cukup","layar "&amp;H288&amp;" Hz cukup, nyamannya "&amp;Aturan!$D$53&amp;" Hz atau lebih",IF(P288="Belum ada data","refresh rate belum diketahui",""))))</f>
        <v/>
      </c>
      <c r="X288" s="33" t="str">
        <f aca="false">IF($A288="","",IF(K288="Kurang",R288&amp;"; ","")&amp;IF(L288="Kurang",S288&amp;"; ","")&amp;IF(M288="Kurang",T288&amp;"; ","")&amp;IF(N288="Kurang",U288&amp;"; ","")&amp;IF(O288="Kurang",V288&amp;"; ","")&amp;IF(P288="Kurang",W288&amp;"; ","")&amp;IF(K288="Belum ada data",R288&amp;"; ","")&amp;IF(L288="Belum ada data",S288&amp;"; ","")&amp;IF(M288="Belum ada data",T288&amp;"; ","")&amp;IF(N288="Belum ada data",U288&amp;"; ","")&amp;IF(O288="Belum ada data",V288&amp;"; ","")&amp;IF(P288="Belum ada data",W288&amp;"; ","")&amp;IF(K288="Cukup",R288&amp;"; ","")&amp;IF(L288="Cukup",S288&amp;"; ","")&amp;IF(M288="Cukup",T288&amp;"; ","")&amp;IF(N288="Cukup",U288&amp;"; ","")&amp;IF(O288="Cukup",V288&amp;"; ","")&amp;IF(P288="Cukup",W288&amp;"; ",""))</f>
        <v/>
      </c>
      <c r="Y288" s="33" t="str">
        <f aca="false">IF($A288="","",IF(K288="Nyaman","prosesor, ","")&amp;IF(L288="Nyaman","grafis, ","")&amp;IF(M288="Nyaman","RAM, ","")&amp;IF(N288="Nyaman","penyimpanan, ","")&amp;IF(O288="Nyaman","layar, ","")&amp;IF(P288="Nyaman","refresh rate, ",""))</f>
        <v/>
      </c>
      <c r="Z288" s="33" t="str">
        <f aca="false">IF($A288="","",IF(Q288="Tidak dinilai","Belum ada kriteria yang dinilai untuk kebutuhan ini.",IF(Q288="Cocok","Semua kriteria yang dinilai sudah nyaman: "&amp;LEFT(Y288,LEN(Y288)-2)&amp;".",UPPER(LEFT(X288,1))&amp;MID(X288,2,LEN(X288)-3)&amp;"."&amp;IF(Y288="",""," Sudah nyaman: "&amp;LEFT(Y288,LEN(Y288)-2)&amp;"."))))</f>
        <v/>
      </c>
      <c r="AA288" s="33"/>
      <c r="AB288" s="33"/>
      <c r="AC288" s="69"/>
    </row>
    <row r="289" customFormat="false" ht="15" hidden="false" customHeight="true" outlineLevel="0" collapsed="false">
      <c r="A289" s="33" t="str">
        <f aca="false">IF(Varian!$A61="","",Varian!$A61)</f>
        <v/>
      </c>
      <c r="B289" s="33" t="str">
        <f aca="false">IF($A289="","",Aturan!$A$25)</f>
        <v/>
      </c>
      <c r="C289" s="69" t="str">
        <f aca="false">IF($A289="","",IFERROR(IF(ISNUMBER(INDEX(CPU!$J$4:$J$64,MATCH(Varian!$J61,CPU!$A$4:$A$64,0))),INDEX(CPU!$J$4:$J$64,MATCH(Varian!$J61,CPU!$A$4:$A$64,0)),""),""))</f>
        <v/>
      </c>
      <c r="D289" s="69" t="str">
        <f aca="false">IF($A289="","",IFERROR(IF(ISNUMBER(INDEX(GPU!$G$4:$G$64,MATCH(Varian!$K61,GPU!$A$4:$A$64,0))),INDEX(GPU!$G$4:$G$64,MATCH(Varian!$K61,GPU!$A$4:$A$64,0)),""),""))</f>
        <v/>
      </c>
      <c r="E289" s="69" t="str">
        <f aca="false">IF($A289="","",IF(ISNUMBER(Varian!$M61),Varian!$M61,""))</f>
        <v/>
      </c>
      <c r="F289" s="69" t="str">
        <f aca="false">IF($A289="","",IF(ISNUMBER(Varian!$V61),Varian!$V61,""))</f>
        <v/>
      </c>
      <c r="G289" s="69" t="str">
        <f aca="false">IF($A289="","",IFERROR(INDEX(Aturan!$B$63:$B$66,MATCH(Varian!$AG61,Aturan!$A$63:$A$66,0)),""))</f>
        <v/>
      </c>
      <c r="H289" s="69" t="str">
        <f aca="false">IF($A289="","",IF(ISNUMBER(Varian!$AI61),Varian!$AI61,""))</f>
        <v/>
      </c>
      <c r="I289" s="33" t="str">
        <f aca="false">IF($A289="","",IF(Varian!$Q61="disolder","menempel di papan utama, tidak bisa ditambah",IF(OR(Varian!$Q61="slot",Varian!$Q61="setengah_disolder"),IF(Varian!$Q61="setengah_disolder","sebagian menempel, ","")&amp;IF(ISNUMBER(Varian!$U61),IF(AND(ISNUMBER(Varian!$M61),Varian!$U61&gt;Varian!$M61),"bisa dinaikkan lewat slot sampai "&amp;Varian!$U61&amp;" GB","sudah di batas maksimal "&amp;Varian!$U61&amp;" GB"),"ada slot, batas maksimalnya belum diketahui"),"belum diketahui apakah bisa ditambah")))</f>
        <v/>
      </c>
      <c r="J289" s="33" t="str">
        <f aca="false">IF($A289="","",IF(Varian!$Z61="ya","bisa diganti dengan yang lebih besar",IF(Varian!$Z61="tidak","menempel, tidak bisa diganti","belum diketahui apakah bisa diganti")))</f>
        <v/>
      </c>
      <c r="K289" s="70" t="str">
        <f aca="false">IF($A289="","",IF(AND(Aturan!$C$54="",Aturan!$D$54=""),"Tidak dinilai",IF(C289="","Belum ada data",IF(C289&lt;IF(Aturan!$C$54="",0,Aturan!$C$54),"Kurang",IF(C289&gt;=IF(Aturan!$D$54="",Aturan!$C$54,Aturan!$D$54),"Nyaman","Cukup")))))</f>
        <v/>
      </c>
      <c r="L289" s="70" t="str">
        <f aca="false">IF($A289="","",IF(AND(Aturan!$C$55="",Aturan!$D$55=""),"Tidak dinilai",IF(D289="","Belum ada data",IF(D289&lt;IF(Aturan!$C$55="",0,Aturan!$C$55),"Kurang",IF(D289&gt;=IF(Aturan!$D$55="",Aturan!$C$55,Aturan!$D$55),"Nyaman","Cukup")))))</f>
        <v/>
      </c>
      <c r="M289" s="70" t="str">
        <f aca="false">IF($A289="","",IF(AND(Aturan!$C$56="",Aturan!$D$56=""),"Tidak dinilai",IF(E289="","Belum ada data",IF(E289&lt;IF(Aturan!$C$56="",0,Aturan!$C$56),"Kurang",IF(E289&gt;=IF(Aturan!$D$56="",Aturan!$C$56,Aturan!$D$56),"Nyaman","Cukup")))))</f>
        <v/>
      </c>
      <c r="N289" s="70" t="str">
        <f aca="false">IF($A289="","",IF(AND(Aturan!$C$57="",Aturan!$D$57=""),"Tidak dinilai",IF(F289="","Belum ada data",IF(F289&lt;IF(Aturan!$C$57="",0,Aturan!$C$57),"Kurang",IF(F289&gt;=IF(Aturan!$D$57="",Aturan!$C$57,Aturan!$D$57),"Nyaman","Cukup")))))</f>
        <v/>
      </c>
      <c r="O289" s="70" t="str">
        <f aca="false">IF($A289="","",IF(AND(Aturan!$C$58="",Aturan!$D$58=""),"Tidak dinilai",IF(G289="","Belum ada data",IF(G289&lt;IF(Aturan!$C$58="",0,Aturan!$C$58),"Kurang",IF(G289&gt;=IF(Aturan!$D$58="",Aturan!$C$58,Aturan!$D$58),"Nyaman","Cukup")))))</f>
        <v/>
      </c>
      <c r="P289" s="70" t="str">
        <f aca="false">IF($A289="","",IF(AND(Aturan!$C$59="",Aturan!$D$59=""),"Tidak dinilai",IF(H289="","Belum ada data",IF(H289&lt;IF(Aturan!$C$59="",0,Aturan!$C$59),"Kurang",IF(H289&gt;=IF(Aturan!$D$59="",Aturan!$C$59,Aturan!$D$59),"Nyaman","Cukup")))))</f>
        <v/>
      </c>
      <c r="Q289" s="70" t="str">
        <f aca="false">IF($A289="","",IF(COUNTIF(K289:P289,"Tidak dinilai")=6,"Tidak dinilai",IF(COUNTIF(K289:P289,"Kurang")&gt;0,"Kurang cocok",IF(COUNTIF(K289:P289,"Belum ada data")&gt;0,"Data belum lengkap",IF(COUNTIF(K289:P289,"Cukup")&gt;0,"Bisa, dengan catatan","Cocok")))))</f>
        <v/>
      </c>
      <c r="R289" s="33" t="str">
        <f aca="false">IF($A289="","",IF(K289="Kurang","prosesor tingkat "&amp;C289&amp;" dari 5, di bawah batas minimal (tingkat "&amp;Aturan!$C$54&amp;")",IF(K289="Cukup","prosesor tingkat "&amp;C289&amp;" dari 5 cukup, nyamannya mulai tingkat "&amp;Aturan!$D$54,IF(K289="Belum ada data","tingkat prosesor belum diisi",""))))</f>
        <v/>
      </c>
      <c r="S289" s="33" t="str">
        <f aca="false">IF($A289="","",IF(L289="Kurang","grafis tingkat "&amp;D289&amp;" dari 5, di bawah batas minimal (tingkat "&amp;Aturan!$C$55&amp;")",IF(L289="Cukup","grafis tingkat "&amp;D289&amp;" dari 5 cukup, nyamannya mulai tingkat "&amp;Aturan!$D$55,IF(L289="Belum ada data","tingkat grafis belum diisi",""))))</f>
        <v/>
      </c>
      <c r="T289" s="33" t="str">
        <f aca="false">IF($A289="","",IF(M289="Kurang","RAM "&amp;E289&amp;" GB, di bawah batas minimal "&amp;Aturan!$C$56&amp;" GB ("&amp;I289&amp;")",IF(M289="Cukup","RAM "&amp;E289&amp;" GB cukup, nyamannya "&amp;Aturan!$D$56&amp;" GB atau lebih ("&amp;I289&amp;")",IF(M289="Belum ada data","ukuran RAM belum diisi",""))))</f>
        <v/>
      </c>
      <c r="U289" s="33" t="str">
        <f aca="false">IF($A289="","",IF(N289="Kurang","penyimpanan "&amp;F289&amp;" GB, di bawah batas minimal "&amp;Aturan!$C$57&amp;" GB ("&amp;J289&amp;")",IF(N289="Cukup","penyimpanan "&amp;F289&amp;" GB cukup, nyamannya "&amp;Aturan!$D$57&amp;" GB atau lebih ("&amp;J289&amp;")",IF(N289="Belum ada data","ukuran penyimpanan belum diisi",""))))</f>
        <v/>
      </c>
      <c r="V289" s="33" t="str">
        <f aca="false">IF($A289="","",IF(O289="Kurang","layar "&amp;Varian!$AG61&amp;", di bawah batas minimal ("&amp;IFERROR(INDEX(Aturan!$A$63:$A$66,MATCH(Aturan!$C$58,Aturan!$B$63:$B$66,0)),"peringkat "&amp;Aturan!$C$58)&amp;")",IF(O289="Cukup","layar "&amp;Varian!$AG61&amp;" cukup, nyamannya "&amp;IFERROR(INDEX(Aturan!$A$63:$A$66,MATCH(Aturan!$D$58,Aturan!$B$63:$B$66,0)),"peringkat "&amp;Aturan!$D$58),IF(O289="Belum ada data","jenis layar belum diketahui",""))))</f>
        <v/>
      </c>
      <c r="W289" s="33" t="str">
        <f aca="false">IF($A289="","",IF(P289="Kurang","layar "&amp;H289&amp;" Hz, di bawah batas minimal "&amp;Aturan!$C$59&amp;" Hz",IF(P289="Cukup","layar "&amp;H289&amp;" Hz cukup, nyamannya "&amp;Aturan!$D$59&amp;" Hz atau lebih",IF(P289="Belum ada data","refresh rate belum diketahui",""))))</f>
        <v/>
      </c>
      <c r="X289" s="33" t="str">
        <f aca="false">IF($A289="","",IF(K289="Kurang",R289&amp;"; ","")&amp;IF(L289="Kurang",S289&amp;"; ","")&amp;IF(M289="Kurang",T289&amp;"; ","")&amp;IF(N289="Kurang",U289&amp;"; ","")&amp;IF(O289="Kurang",V289&amp;"; ","")&amp;IF(P289="Kurang",W289&amp;"; ","")&amp;IF(K289="Belum ada data",R289&amp;"; ","")&amp;IF(L289="Belum ada data",S289&amp;"; ","")&amp;IF(M289="Belum ada data",T289&amp;"; ","")&amp;IF(N289="Belum ada data",U289&amp;"; ","")&amp;IF(O289="Belum ada data",V289&amp;"; ","")&amp;IF(P289="Belum ada data",W289&amp;"; ","")&amp;IF(K289="Cukup",R289&amp;"; ","")&amp;IF(L289="Cukup",S289&amp;"; ","")&amp;IF(M289="Cukup",T289&amp;"; ","")&amp;IF(N289="Cukup",U289&amp;"; ","")&amp;IF(O289="Cukup",V289&amp;"; ","")&amp;IF(P289="Cukup",W289&amp;"; ",""))</f>
        <v/>
      </c>
      <c r="Y289" s="33" t="str">
        <f aca="false">IF($A289="","",IF(K289="Nyaman","prosesor, ","")&amp;IF(L289="Nyaman","grafis, ","")&amp;IF(M289="Nyaman","RAM, ","")&amp;IF(N289="Nyaman","penyimpanan, ","")&amp;IF(O289="Nyaman","layar, ","")&amp;IF(P289="Nyaman","refresh rate, ",""))</f>
        <v/>
      </c>
      <c r="Z289" s="33" t="str">
        <f aca="false">IF($A289="","",IF(Q289="Tidak dinilai","Belum ada kriteria yang dinilai untuk kebutuhan ini.",IF(Q289="Cocok","Semua kriteria yang dinilai sudah nyaman: "&amp;LEFT(Y289,LEN(Y289)-2)&amp;".",UPPER(LEFT(X289,1))&amp;MID(X289,2,LEN(X289)-3)&amp;"."&amp;IF(Y289="",""," Sudah nyaman: "&amp;LEFT(Y289,LEN(Y289)-2)&amp;"."))))</f>
        <v/>
      </c>
      <c r="AA289" s="33"/>
      <c r="AB289" s="33"/>
      <c r="AC289" s="69"/>
    </row>
    <row r="290" customFormat="false" ht="15" hidden="false" customHeight="true" outlineLevel="0" collapsed="false">
      <c r="A290" s="66" t="str">
        <f aca="false">IF(Varian!$A62="","",Varian!$A62)</f>
        <v/>
      </c>
      <c r="B290" s="66" t="str">
        <f aca="false">IF($A290="","",Aturan!$A$21)</f>
        <v/>
      </c>
      <c r="C290" s="67" t="str">
        <f aca="false">IF($A290="","",IFERROR(IF(ISNUMBER(INDEX(CPU!$J$4:$J$64,MATCH(Varian!$J62,CPU!$A$4:$A$64,0))),INDEX(CPU!$J$4:$J$64,MATCH(Varian!$J62,CPU!$A$4:$A$64,0)),""),""))</f>
        <v/>
      </c>
      <c r="D290" s="67" t="str">
        <f aca="false">IF($A290="","",IFERROR(IF(ISNUMBER(INDEX(GPU!$G$4:$G$64,MATCH(Varian!$K62,GPU!$A$4:$A$64,0))),INDEX(GPU!$G$4:$G$64,MATCH(Varian!$K62,GPU!$A$4:$A$64,0)),""),""))</f>
        <v/>
      </c>
      <c r="E290" s="67" t="str">
        <f aca="false">IF($A290="","",IF(ISNUMBER(Varian!$M62),Varian!$M62,""))</f>
        <v/>
      </c>
      <c r="F290" s="67" t="str">
        <f aca="false">IF($A290="","",IF(ISNUMBER(Varian!$V62),Varian!$V62,""))</f>
        <v/>
      </c>
      <c r="G290" s="67" t="str">
        <f aca="false">IF($A290="","",IFERROR(INDEX(Aturan!$B$63:$B$66,MATCH(Varian!$AG62,Aturan!$A$63:$A$66,0)),""))</f>
        <v/>
      </c>
      <c r="H290" s="67" t="str">
        <f aca="false">IF($A290="","",IF(ISNUMBER(Varian!$AI62),Varian!$AI62,""))</f>
        <v/>
      </c>
      <c r="I290" s="66" t="str">
        <f aca="false">IF($A290="","",IF(Varian!$Q62="disolder","menempel di papan utama, tidak bisa ditambah",IF(OR(Varian!$Q62="slot",Varian!$Q62="setengah_disolder"),IF(Varian!$Q62="setengah_disolder","sebagian menempel, ","")&amp;IF(ISNUMBER(Varian!$U62),IF(AND(ISNUMBER(Varian!$M62),Varian!$U62&gt;Varian!$M62),"bisa dinaikkan lewat slot sampai "&amp;Varian!$U62&amp;" GB","sudah di batas maksimal "&amp;Varian!$U62&amp;" GB"),"ada slot, batas maksimalnya belum diketahui"),"belum diketahui apakah bisa ditambah")))</f>
        <v/>
      </c>
      <c r="J290" s="66" t="str">
        <f aca="false">IF($A290="","",IF(Varian!$Z62="ya","bisa diganti dengan yang lebih besar",IF(Varian!$Z62="tidak","menempel, tidak bisa diganti","belum diketahui apakah bisa diganti")))</f>
        <v/>
      </c>
      <c r="K290" s="68" t="str">
        <f aca="false">IF($A290="","",IF(AND(Aturan!$C$30="",Aturan!$D$30=""),"Tidak dinilai",IF(C290="","Belum ada data",IF(C290&lt;IF(Aturan!$C$30="",0,Aturan!$C$30),"Kurang",IF(C290&gt;=IF(Aturan!$D$30="",Aturan!$C$30,Aturan!$D$30),"Nyaman","Cukup")))))</f>
        <v/>
      </c>
      <c r="L290" s="68" t="str">
        <f aca="false">IF($A290="","",IF(AND(Aturan!$C$31="",Aturan!$D$31=""),"Tidak dinilai",IF(D290="","Belum ada data",IF(D290&lt;IF(Aturan!$C$31="",0,Aturan!$C$31),"Kurang",IF(D290&gt;=IF(Aturan!$D$31="",Aturan!$C$31,Aturan!$D$31),"Nyaman","Cukup")))))</f>
        <v/>
      </c>
      <c r="M290" s="68" t="str">
        <f aca="false">IF($A290="","",IF(AND(Aturan!$C$32="",Aturan!$D$32=""),"Tidak dinilai",IF(E290="","Belum ada data",IF(E290&lt;IF(Aturan!$C$32="",0,Aturan!$C$32),"Kurang",IF(E290&gt;=IF(Aturan!$D$32="",Aturan!$C$32,Aturan!$D$32),"Nyaman","Cukup")))))</f>
        <v/>
      </c>
      <c r="N290" s="68" t="str">
        <f aca="false">IF($A290="","",IF(AND(Aturan!$C$33="",Aturan!$D$33=""),"Tidak dinilai",IF(F290="","Belum ada data",IF(F290&lt;IF(Aturan!$C$33="",0,Aturan!$C$33),"Kurang",IF(F290&gt;=IF(Aturan!$D$33="",Aturan!$C$33,Aturan!$D$33),"Nyaman","Cukup")))))</f>
        <v/>
      </c>
      <c r="O290" s="68" t="str">
        <f aca="false">IF($A290="","",IF(AND(Aturan!$C$34="",Aturan!$D$34=""),"Tidak dinilai",IF(G290="","Belum ada data",IF(G290&lt;IF(Aturan!$C$34="",0,Aturan!$C$34),"Kurang",IF(G290&gt;=IF(Aturan!$D$34="",Aturan!$C$34,Aturan!$D$34),"Nyaman","Cukup")))))</f>
        <v/>
      </c>
      <c r="P290" s="68" t="str">
        <f aca="false">IF($A290="","",IF(AND(Aturan!$C$35="",Aturan!$D$35=""),"Tidak dinilai",IF(H290="","Belum ada data",IF(H290&lt;IF(Aturan!$C$35="",0,Aturan!$C$35),"Kurang",IF(H290&gt;=IF(Aturan!$D$35="",Aturan!$C$35,Aturan!$D$35),"Nyaman","Cukup")))))</f>
        <v/>
      </c>
      <c r="Q290" s="68" t="str">
        <f aca="false">IF($A290="","",IF(COUNTIF(K290:P290,"Tidak dinilai")=6,"Tidak dinilai",IF(COUNTIF(K290:P290,"Kurang")&gt;0,"Kurang cocok",IF(COUNTIF(K290:P290,"Belum ada data")&gt;0,"Data belum lengkap",IF(COUNTIF(K290:P290,"Cukup")&gt;0,"Bisa, dengan catatan","Cocok")))))</f>
        <v/>
      </c>
      <c r="R290" s="66" t="str">
        <f aca="false">IF($A290="","",IF(K290="Kurang","prosesor tingkat "&amp;C290&amp;" dari 5, di bawah batas minimal (tingkat "&amp;Aturan!$C$30&amp;")",IF(K290="Cukup","prosesor tingkat "&amp;C290&amp;" dari 5 cukup, nyamannya mulai tingkat "&amp;Aturan!$D$30,IF(K290="Belum ada data","tingkat prosesor belum diisi",""))))</f>
        <v/>
      </c>
      <c r="S290" s="66" t="str">
        <f aca="false">IF($A290="","",IF(L290="Kurang","grafis tingkat "&amp;D290&amp;" dari 5, di bawah batas minimal (tingkat "&amp;Aturan!$C$31&amp;")",IF(L290="Cukup","grafis tingkat "&amp;D290&amp;" dari 5 cukup, nyamannya mulai tingkat "&amp;Aturan!$D$31,IF(L290="Belum ada data","tingkat grafis belum diisi",""))))</f>
        <v/>
      </c>
      <c r="T290" s="66" t="str">
        <f aca="false">IF($A290="","",IF(M290="Kurang","RAM "&amp;E290&amp;" GB, di bawah batas minimal "&amp;Aturan!$C$32&amp;" GB ("&amp;I290&amp;")",IF(M290="Cukup","RAM "&amp;E290&amp;" GB cukup, nyamannya "&amp;Aturan!$D$32&amp;" GB atau lebih ("&amp;I290&amp;")",IF(M290="Belum ada data","ukuran RAM belum diisi",""))))</f>
        <v/>
      </c>
      <c r="U290" s="66" t="str">
        <f aca="false">IF($A290="","",IF(N290="Kurang","penyimpanan "&amp;F290&amp;" GB, di bawah batas minimal "&amp;Aturan!$C$33&amp;" GB ("&amp;J290&amp;")",IF(N290="Cukup","penyimpanan "&amp;F290&amp;" GB cukup, nyamannya "&amp;Aturan!$D$33&amp;" GB atau lebih ("&amp;J290&amp;")",IF(N290="Belum ada data","ukuran penyimpanan belum diisi",""))))</f>
        <v/>
      </c>
      <c r="V290" s="66" t="str">
        <f aca="false">IF($A290="","",IF(O290="Kurang","layar "&amp;Varian!$AG62&amp;", di bawah batas minimal ("&amp;IFERROR(INDEX(Aturan!$A$63:$A$66,MATCH(Aturan!$C$34,Aturan!$B$63:$B$66,0)),"peringkat "&amp;Aturan!$C$34)&amp;")",IF(O290="Cukup","layar "&amp;Varian!$AG62&amp;" cukup, nyamannya "&amp;IFERROR(INDEX(Aturan!$A$63:$A$66,MATCH(Aturan!$D$34,Aturan!$B$63:$B$66,0)),"peringkat "&amp;Aturan!$D$34),IF(O290="Belum ada data","jenis layar belum diketahui",""))))</f>
        <v/>
      </c>
      <c r="W290" s="66" t="str">
        <f aca="false">IF($A290="","",IF(P290="Kurang","layar "&amp;H290&amp;" Hz, di bawah batas minimal "&amp;Aturan!$C$35&amp;" Hz",IF(P290="Cukup","layar "&amp;H290&amp;" Hz cukup, nyamannya "&amp;Aturan!$D$35&amp;" Hz atau lebih",IF(P290="Belum ada data","refresh rate belum diketahui",""))))</f>
        <v/>
      </c>
      <c r="X290" s="66" t="str">
        <f aca="false">IF($A290="","",IF(K290="Kurang",R290&amp;"; ","")&amp;IF(L290="Kurang",S290&amp;"; ","")&amp;IF(M290="Kurang",T290&amp;"; ","")&amp;IF(N290="Kurang",U290&amp;"; ","")&amp;IF(O290="Kurang",V290&amp;"; ","")&amp;IF(P290="Kurang",W290&amp;"; ","")&amp;IF(K290="Belum ada data",R290&amp;"; ","")&amp;IF(L290="Belum ada data",S290&amp;"; ","")&amp;IF(M290="Belum ada data",T290&amp;"; ","")&amp;IF(N290="Belum ada data",U290&amp;"; ","")&amp;IF(O290="Belum ada data",V290&amp;"; ","")&amp;IF(P290="Belum ada data",W290&amp;"; ","")&amp;IF(K290="Cukup",R290&amp;"; ","")&amp;IF(L290="Cukup",S290&amp;"; ","")&amp;IF(M290="Cukup",T290&amp;"; ","")&amp;IF(N290="Cukup",U290&amp;"; ","")&amp;IF(O290="Cukup",V290&amp;"; ","")&amp;IF(P290="Cukup",W290&amp;"; ",""))</f>
        <v/>
      </c>
      <c r="Y290" s="66" t="str">
        <f aca="false">IF($A290="","",IF(K290="Nyaman","prosesor, ","")&amp;IF(L290="Nyaman","grafis, ","")&amp;IF(M290="Nyaman","RAM, ","")&amp;IF(N290="Nyaman","penyimpanan, ","")&amp;IF(O290="Nyaman","layar, ","")&amp;IF(P290="Nyaman","refresh rate, ",""))</f>
        <v/>
      </c>
      <c r="Z290" s="66" t="str">
        <f aca="false">IF($A290="","",IF(Q290="Tidak dinilai","Belum ada kriteria yang dinilai untuk kebutuhan ini.",IF(Q290="Cocok","Semua kriteria yang dinilai sudah nyaman: "&amp;LEFT(Y290,LEN(Y290)-2)&amp;".",UPPER(LEFT(X290,1))&amp;MID(X290,2,LEN(X290)-3)&amp;"."&amp;IF(Y290="",""," Sudah nyaman: "&amp;LEFT(Y290,LEN(Y290)-2)&amp;"."))))</f>
        <v/>
      </c>
      <c r="AA290" s="66" t="str">
        <f aca="false">IF($A290="","",IF(Varian!$AR62="Windows 10","• "&amp;Aturan!$E$71&amp;CHAR(10),"")&amp;IF(Varian!$BB62="tidak","• "&amp;Aturan!$E$72&amp;CHAR(10),"")&amp;IF(OR(Varian!$AD62="belum terverifikasi",Varian!$AD62="tidak diketahui"),"• "&amp;Aturan!$E$73&amp;CHAR(10),"")&amp;IF(Varian!$AH62="1366x768","• "&amp;Aturan!$E$74&amp;CHAR(10),"")&amp;IF(Varian!$AG62="TN","• "&amp;Aturan!$E$75&amp;CHAR(10),"")&amp;IF(AND(Varian!$Q62="disolder",ISNUMBER(Varian!$M62),Varian!$M62&lt;=8),"• "&amp;Aturan!$E$76&amp;CHAR(10),""))</f>
        <v/>
      </c>
      <c r="AB290" s="66" t="str">
        <f aca="false">IF($A290="","",IF(AA290="","",LEFT(AA290,LEN(AA290)-1)))</f>
        <v/>
      </c>
      <c r="AC290" s="67" t="str">
        <f aca="false">IF($A290="","",IF(AA290="",0,LEN(AA290)-LEN(SUBSTITUTE(AA290,CHAR(10),""))))</f>
        <v/>
      </c>
    </row>
    <row r="291" customFormat="false" ht="15" hidden="false" customHeight="true" outlineLevel="0" collapsed="false">
      <c r="A291" s="33" t="str">
        <f aca="false">IF(Varian!$A62="","",Varian!$A62)</f>
        <v/>
      </c>
      <c r="B291" s="33" t="str">
        <f aca="false">IF($A291="","",Aturan!$A$22)</f>
        <v/>
      </c>
      <c r="C291" s="69" t="str">
        <f aca="false">IF($A291="","",IFERROR(IF(ISNUMBER(INDEX(CPU!$J$4:$J$64,MATCH(Varian!$J62,CPU!$A$4:$A$64,0))),INDEX(CPU!$J$4:$J$64,MATCH(Varian!$J62,CPU!$A$4:$A$64,0)),""),""))</f>
        <v/>
      </c>
      <c r="D291" s="69" t="str">
        <f aca="false">IF($A291="","",IFERROR(IF(ISNUMBER(INDEX(GPU!$G$4:$G$64,MATCH(Varian!$K62,GPU!$A$4:$A$64,0))),INDEX(GPU!$G$4:$G$64,MATCH(Varian!$K62,GPU!$A$4:$A$64,0)),""),""))</f>
        <v/>
      </c>
      <c r="E291" s="69" t="str">
        <f aca="false">IF($A291="","",IF(ISNUMBER(Varian!$M62),Varian!$M62,""))</f>
        <v/>
      </c>
      <c r="F291" s="69" t="str">
        <f aca="false">IF($A291="","",IF(ISNUMBER(Varian!$V62),Varian!$V62,""))</f>
        <v/>
      </c>
      <c r="G291" s="69" t="str">
        <f aca="false">IF($A291="","",IFERROR(INDEX(Aturan!$B$63:$B$66,MATCH(Varian!$AG62,Aturan!$A$63:$A$66,0)),""))</f>
        <v/>
      </c>
      <c r="H291" s="69" t="str">
        <f aca="false">IF($A291="","",IF(ISNUMBER(Varian!$AI62),Varian!$AI62,""))</f>
        <v/>
      </c>
      <c r="I291" s="33" t="str">
        <f aca="false">IF($A291="","",IF(Varian!$Q62="disolder","menempel di papan utama, tidak bisa ditambah",IF(OR(Varian!$Q62="slot",Varian!$Q62="setengah_disolder"),IF(Varian!$Q62="setengah_disolder","sebagian menempel, ","")&amp;IF(ISNUMBER(Varian!$U62),IF(AND(ISNUMBER(Varian!$M62),Varian!$U62&gt;Varian!$M62),"bisa dinaikkan lewat slot sampai "&amp;Varian!$U62&amp;" GB","sudah di batas maksimal "&amp;Varian!$U62&amp;" GB"),"ada slot, batas maksimalnya belum diketahui"),"belum diketahui apakah bisa ditambah")))</f>
        <v/>
      </c>
      <c r="J291" s="33" t="str">
        <f aca="false">IF($A291="","",IF(Varian!$Z62="ya","bisa diganti dengan yang lebih besar",IF(Varian!$Z62="tidak","menempel, tidak bisa diganti","belum diketahui apakah bisa diganti")))</f>
        <v/>
      </c>
      <c r="K291" s="70" t="str">
        <f aca="false">IF($A291="","",IF(AND(Aturan!$C$36="",Aturan!$D$36=""),"Tidak dinilai",IF(C291="","Belum ada data",IF(C291&lt;IF(Aturan!$C$36="",0,Aturan!$C$36),"Kurang",IF(C291&gt;=IF(Aturan!$D$36="",Aturan!$C$36,Aturan!$D$36),"Nyaman","Cukup")))))</f>
        <v/>
      </c>
      <c r="L291" s="70" t="str">
        <f aca="false">IF($A291="","",IF(AND(Aturan!$C$37="",Aturan!$D$37=""),"Tidak dinilai",IF(D291="","Belum ada data",IF(D291&lt;IF(Aturan!$C$37="",0,Aturan!$C$37),"Kurang",IF(D291&gt;=IF(Aturan!$D$37="",Aturan!$C$37,Aturan!$D$37),"Nyaman","Cukup")))))</f>
        <v/>
      </c>
      <c r="M291" s="70" t="str">
        <f aca="false">IF($A291="","",IF(AND(Aturan!$C$38="",Aturan!$D$38=""),"Tidak dinilai",IF(E291="","Belum ada data",IF(E291&lt;IF(Aturan!$C$38="",0,Aturan!$C$38),"Kurang",IF(E291&gt;=IF(Aturan!$D$38="",Aturan!$C$38,Aturan!$D$38),"Nyaman","Cukup")))))</f>
        <v/>
      </c>
      <c r="N291" s="70" t="str">
        <f aca="false">IF($A291="","",IF(AND(Aturan!$C$39="",Aturan!$D$39=""),"Tidak dinilai",IF(F291="","Belum ada data",IF(F291&lt;IF(Aturan!$C$39="",0,Aturan!$C$39),"Kurang",IF(F291&gt;=IF(Aturan!$D$39="",Aturan!$C$39,Aturan!$D$39),"Nyaman","Cukup")))))</f>
        <v/>
      </c>
      <c r="O291" s="70" t="str">
        <f aca="false">IF($A291="","",IF(AND(Aturan!$C$40="",Aturan!$D$40=""),"Tidak dinilai",IF(G291="","Belum ada data",IF(G291&lt;IF(Aturan!$C$40="",0,Aturan!$C$40),"Kurang",IF(G291&gt;=IF(Aturan!$D$40="",Aturan!$C$40,Aturan!$D$40),"Nyaman","Cukup")))))</f>
        <v/>
      </c>
      <c r="P291" s="70" t="str">
        <f aca="false">IF($A291="","",IF(AND(Aturan!$C$41="",Aturan!$D$41=""),"Tidak dinilai",IF(H291="","Belum ada data",IF(H291&lt;IF(Aturan!$C$41="",0,Aturan!$C$41),"Kurang",IF(H291&gt;=IF(Aturan!$D$41="",Aturan!$C$41,Aturan!$D$41),"Nyaman","Cukup")))))</f>
        <v/>
      </c>
      <c r="Q291" s="70" t="str">
        <f aca="false">IF($A291="","",IF(COUNTIF(K291:P291,"Tidak dinilai")=6,"Tidak dinilai",IF(COUNTIF(K291:P291,"Kurang")&gt;0,"Kurang cocok",IF(COUNTIF(K291:P291,"Belum ada data")&gt;0,"Data belum lengkap",IF(COUNTIF(K291:P291,"Cukup")&gt;0,"Bisa, dengan catatan","Cocok")))))</f>
        <v/>
      </c>
      <c r="R291" s="33" t="str">
        <f aca="false">IF($A291="","",IF(K291="Kurang","prosesor tingkat "&amp;C291&amp;" dari 5, di bawah batas minimal (tingkat "&amp;Aturan!$C$36&amp;")",IF(K291="Cukup","prosesor tingkat "&amp;C291&amp;" dari 5 cukup, nyamannya mulai tingkat "&amp;Aturan!$D$36,IF(K291="Belum ada data","tingkat prosesor belum diisi",""))))</f>
        <v/>
      </c>
      <c r="S291" s="33" t="str">
        <f aca="false">IF($A291="","",IF(L291="Kurang","grafis tingkat "&amp;D291&amp;" dari 5, di bawah batas minimal (tingkat "&amp;Aturan!$C$37&amp;")",IF(L291="Cukup","grafis tingkat "&amp;D291&amp;" dari 5 cukup, nyamannya mulai tingkat "&amp;Aturan!$D$37,IF(L291="Belum ada data","tingkat grafis belum diisi",""))))</f>
        <v/>
      </c>
      <c r="T291" s="33" t="str">
        <f aca="false">IF($A291="","",IF(M291="Kurang","RAM "&amp;E291&amp;" GB, di bawah batas minimal "&amp;Aturan!$C$38&amp;" GB ("&amp;I291&amp;")",IF(M291="Cukup","RAM "&amp;E291&amp;" GB cukup, nyamannya "&amp;Aturan!$D$38&amp;" GB atau lebih ("&amp;I291&amp;")",IF(M291="Belum ada data","ukuran RAM belum diisi",""))))</f>
        <v/>
      </c>
      <c r="U291" s="33" t="str">
        <f aca="false">IF($A291="","",IF(N291="Kurang","penyimpanan "&amp;F291&amp;" GB, di bawah batas minimal "&amp;Aturan!$C$39&amp;" GB ("&amp;J291&amp;")",IF(N291="Cukup","penyimpanan "&amp;F291&amp;" GB cukup, nyamannya "&amp;Aturan!$D$39&amp;" GB atau lebih ("&amp;J291&amp;")",IF(N291="Belum ada data","ukuran penyimpanan belum diisi",""))))</f>
        <v/>
      </c>
      <c r="V291" s="33" t="str">
        <f aca="false">IF($A291="","",IF(O291="Kurang","layar "&amp;Varian!$AG62&amp;", di bawah batas minimal ("&amp;IFERROR(INDEX(Aturan!$A$63:$A$66,MATCH(Aturan!$C$40,Aturan!$B$63:$B$66,0)),"peringkat "&amp;Aturan!$C$40)&amp;")",IF(O291="Cukup","layar "&amp;Varian!$AG62&amp;" cukup, nyamannya "&amp;IFERROR(INDEX(Aturan!$A$63:$A$66,MATCH(Aturan!$D$40,Aturan!$B$63:$B$66,0)),"peringkat "&amp;Aturan!$D$40),IF(O291="Belum ada data","jenis layar belum diketahui",""))))</f>
        <v/>
      </c>
      <c r="W291" s="33" t="str">
        <f aca="false">IF($A291="","",IF(P291="Kurang","layar "&amp;H291&amp;" Hz, di bawah batas minimal "&amp;Aturan!$C$41&amp;" Hz",IF(P291="Cukup","layar "&amp;H291&amp;" Hz cukup, nyamannya "&amp;Aturan!$D$41&amp;" Hz atau lebih",IF(P291="Belum ada data","refresh rate belum diketahui",""))))</f>
        <v/>
      </c>
      <c r="X291" s="33" t="str">
        <f aca="false">IF($A291="","",IF(K291="Kurang",R291&amp;"; ","")&amp;IF(L291="Kurang",S291&amp;"; ","")&amp;IF(M291="Kurang",T291&amp;"; ","")&amp;IF(N291="Kurang",U291&amp;"; ","")&amp;IF(O291="Kurang",V291&amp;"; ","")&amp;IF(P291="Kurang",W291&amp;"; ","")&amp;IF(K291="Belum ada data",R291&amp;"; ","")&amp;IF(L291="Belum ada data",S291&amp;"; ","")&amp;IF(M291="Belum ada data",T291&amp;"; ","")&amp;IF(N291="Belum ada data",U291&amp;"; ","")&amp;IF(O291="Belum ada data",V291&amp;"; ","")&amp;IF(P291="Belum ada data",W291&amp;"; ","")&amp;IF(K291="Cukup",R291&amp;"; ","")&amp;IF(L291="Cukup",S291&amp;"; ","")&amp;IF(M291="Cukup",T291&amp;"; ","")&amp;IF(N291="Cukup",U291&amp;"; ","")&amp;IF(O291="Cukup",V291&amp;"; ","")&amp;IF(P291="Cukup",W291&amp;"; ",""))</f>
        <v/>
      </c>
      <c r="Y291" s="33" t="str">
        <f aca="false">IF($A291="","",IF(K291="Nyaman","prosesor, ","")&amp;IF(L291="Nyaman","grafis, ","")&amp;IF(M291="Nyaman","RAM, ","")&amp;IF(N291="Nyaman","penyimpanan, ","")&amp;IF(O291="Nyaman","layar, ","")&amp;IF(P291="Nyaman","refresh rate, ",""))</f>
        <v/>
      </c>
      <c r="Z291" s="33" t="str">
        <f aca="false">IF($A291="","",IF(Q291="Tidak dinilai","Belum ada kriteria yang dinilai untuk kebutuhan ini.",IF(Q291="Cocok","Semua kriteria yang dinilai sudah nyaman: "&amp;LEFT(Y291,LEN(Y291)-2)&amp;".",UPPER(LEFT(X291,1))&amp;MID(X291,2,LEN(X291)-3)&amp;"."&amp;IF(Y291="",""," Sudah nyaman: "&amp;LEFT(Y291,LEN(Y291)-2)&amp;"."))))</f>
        <v/>
      </c>
      <c r="AA291" s="33"/>
      <c r="AB291" s="33"/>
      <c r="AC291" s="69"/>
    </row>
    <row r="292" customFormat="false" ht="15" hidden="false" customHeight="true" outlineLevel="0" collapsed="false">
      <c r="A292" s="33" t="str">
        <f aca="false">IF(Varian!$A62="","",Varian!$A62)</f>
        <v/>
      </c>
      <c r="B292" s="33" t="str">
        <f aca="false">IF($A292="","",Aturan!$A$23)</f>
        <v/>
      </c>
      <c r="C292" s="69" t="str">
        <f aca="false">IF($A292="","",IFERROR(IF(ISNUMBER(INDEX(CPU!$J$4:$J$64,MATCH(Varian!$J62,CPU!$A$4:$A$64,0))),INDEX(CPU!$J$4:$J$64,MATCH(Varian!$J62,CPU!$A$4:$A$64,0)),""),""))</f>
        <v/>
      </c>
      <c r="D292" s="69" t="str">
        <f aca="false">IF($A292="","",IFERROR(IF(ISNUMBER(INDEX(GPU!$G$4:$G$64,MATCH(Varian!$K62,GPU!$A$4:$A$64,0))),INDEX(GPU!$G$4:$G$64,MATCH(Varian!$K62,GPU!$A$4:$A$64,0)),""),""))</f>
        <v/>
      </c>
      <c r="E292" s="69" t="str">
        <f aca="false">IF($A292="","",IF(ISNUMBER(Varian!$M62),Varian!$M62,""))</f>
        <v/>
      </c>
      <c r="F292" s="69" t="str">
        <f aca="false">IF($A292="","",IF(ISNUMBER(Varian!$V62),Varian!$V62,""))</f>
        <v/>
      </c>
      <c r="G292" s="69" t="str">
        <f aca="false">IF($A292="","",IFERROR(INDEX(Aturan!$B$63:$B$66,MATCH(Varian!$AG62,Aturan!$A$63:$A$66,0)),""))</f>
        <v/>
      </c>
      <c r="H292" s="69" t="str">
        <f aca="false">IF($A292="","",IF(ISNUMBER(Varian!$AI62),Varian!$AI62,""))</f>
        <v/>
      </c>
      <c r="I292" s="33" t="str">
        <f aca="false">IF($A292="","",IF(Varian!$Q62="disolder","menempel di papan utama, tidak bisa ditambah",IF(OR(Varian!$Q62="slot",Varian!$Q62="setengah_disolder"),IF(Varian!$Q62="setengah_disolder","sebagian menempel, ","")&amp;IF(ISNUMBER(Varian!$U62),IF(AND(ISNUMBER(Varian!$M62),Varian!$U62&gt;Varian!$M62),"bisa dinaikkan lewat slot sampai "&amp;Varian!$U62&amp;" GB","sudah di batas maksimal "&amp;Varian!$U62&amp;" GB"),"ada slot, batas maksimalnya belum diketahui"),"belum diketahui apakah bisa ditambah")))</f>
        <v/>
      </c>
      <c r="J292" s="33" t="str">
        <f aca="false">IF($A292="","",IF(Varian!$Z62="ya","bisa diganti dengan yang lebih besar",IF(Varian!$Z62="tidak","menempel, tidak bisa diganti","belum diketahui apakah bisa diganti")))</f>
        <v/>
      </c>
      <c r="K292" s="70" t="str">
        <f aca="false">IF($A292="","",IF(AND(Aturan!$C$42="",Aturan!$D$42=""),"Tidak dinilai",IF(C292="","Belum ada data",IF(C292&lt;IF(Aturan!$C$42="",0,Aturan!$C$42),"Kurang",IF(C292&gt;=IF(Aturan!$D$42="",Aturan!$C$42,Aturan!$D$42),"Nyaman","Cukup")))))</f>
        <v/>
      </c>
      <c r="L292" s="70" t="str">
        <f aca="false">IF($A292="","",IF(AND(Aturan!$C$43="",Aturan!$D$43=""),"Tidak dinilai",IF(D292="","Belum ada data",IF(D292&lt;IF(Aturan!$C$43="",0,Aturan!$C$43),"Kurang",IF(D292&gt;=IF(Aturan!$D$43="",Aturan!$C$43,Aturan!$D$43),"Nyaman","Cukup")))))</f>
        <v/>
      </c>
      <c r="M292" s="70" t="str">
        <f aca="false">IF($A292="","",IF(AND(Aturan!$C$44="",Aturan!$D$44=""),"Tidak dinilai",IF(E292="","Belum ada data",IF(E292&lt;IF(Aturan!$C$44="",0,Aturan!$C$44),"Kurang",IF(E292&gt;=IF(Aturan!$D$44="",Aturan!$C$44,Aturan!$D$44),"Nyaman","Cukup")))))</f>
        <v/>
      </c>
      <c r="N292" s="70" t="str">
        <f aca="false">IF($A292="","",IF(AND(Aturan!$C$45="",Aturan!$D$45=""),"Tidak dinilai",IF(F292="","Belum ada data",IF(F292&lt;IF(Aturan!$C$45="",0,Aturan!$C$45),"Kurang",IF(F292&gt;=IF(Aturan!$D$45="",Aturan!$C$45,Aturan!$D$45),"Nyaman","Cukup")))))</f>
        <v/>
      </c>
      <c r="O292" s="70" t="str">
        <f aca="false">IF($A292="","",IF(AND(Aturan!$C$46="",Aturan!$D$46=""),"Tidak dinilai",IF(G292="","Belum ada data",IF(G292&lt;IF(Aturan!$C$46="",0,Aturan!$C$46),"Kurang",IF(G292&gt;=IF(Aturan!$D$46="",Aturan!$C$46,Aturan!$D$46),"Nyaman","Cukup")))))</f>
        <v/>
      </c>
      <c r="P292" s="70" t="str">
        <f aca="false">IF($A292="","",IF(AND(Aturan!$C$47="",Aturan!$D$47=""),"Tidak dinilai",IF(H292="","Belum ada data",IF(H292&lt;IF(Aturan!$C$47="",0,Aturan!$C$47),"Kurang",IF(H292&gt;=IF(Aturan!$D$47="",Aturan!$C$47,Aturan!$D$47),"Nyaman","Cukup")))))</f>
        <v/>
      </c>
      <c r="Q292" s="70" t="str">
        <f aca="false">IF($A292="","",IF(COUNTIF(K292:P292,"Tidak dinilai")=6,"Tidak dinilai",IF(COUNTIF(K292:P292,"Kurang")&gt;0,"Kurang cocok",IF(COUNTIF(K292:P292,"Belum ada data")&gt;0,"Data belum lengkap",IF(COUNTIF(K292:P292,"Cukup")&gt;0,"Bisa, dengan catatan","Cocok")))))</f>
        <v/>
      </c>
      <c r="R292" s="33" t="str">
        <f aca="false">IF($A292="","",IF(K292="Kurang","prosesor tingkat "&amp;C292&amp;" dari 5, di bawah batas minimal (tingkat "&amp;Aturan!$C$42&amp;")",IF(K292="Cukup","prosesor tingkat "&amp;C292&amp;" dari 5 cukup, nyamannya mulai tingkat "&amp;Aturan!$D$42,IF(K292="Belum ada data","tingkat prosesor belum diisi",""))))</f>
        <v/>
      </c>
      <c r="S292" s="33" t="str">
        <f aca="false">IF($A292="","",IF(L292="Kurang","grafis tingkat "&amp;D292&amp;" dari 5, di bawah batas minimal (tingkat "&amp;Aturan!$C$43&amp;")",IF(L292="Cukup","grafis tingkat "&amp;D292&amp;" dari 5 cukup, nyamannya mulai tingkat "&amp;Aturan!$D$43,IF(L292="Belum ada data","tingkat grafis belum diisi",""))))</f>
        <v/>
      </c>
      <c r="T292" s="33" t="str">
        <f aca="false">IF($A292="","",IF(M292="Kurang","RAM "&amp;E292&amp;" GB, di bawah batas minimal "&amp;Aturan!$C$44&amp;" GB ("&amp;I292&amp;")",IF(M292="Cukup","RAM "&amp;E292&amp;" GB cukup, nyamannya "&amp;Aturan!$D$44&amp;" GB atau lebih ("&amp;I292&amp;")",IF(M292="Belum ada data","ukuran RAM belum diisi",""))))</f>
        <v/>
      </c>
      <c r="U292" s="33" t="str">
        <f aca="false">IF($A292="","",IF(N292="Kurang","penyimpanan "&amp;F292&amp;" GB, di bawah batas minimal "&amp;Aturan!$C$45&amp;" GB ("&amp;J292&amp;")",IF(N292="Cukup","penyimpanan "&amp;F292&amp;" GB cukup, nyamannya "&amp;Aturan!$D$45&amp;" GB atau lebih ("&amp;J292&amp;")",IF(N292="Belum ada data","ukuran penyimpanan belum diisi",""))))</f>
        <v/>
      </c>
      <c r="V292" s="33" t="str">
        <f aca="false">IF($A292="","",IF(O292="Kurang","layar "&amp;Varian!$AG62&amp;", di bawah batas minimal ("&amp;IFERROR(INDEX(Aturan!$A$63:$A$66,MATCH(Aturan!$C$46,Aturan!$B$63:$B$66,0)),"peringkat "&amp;Aturan!$C$46)&amp;")",IF(O292="Cukup","layar "&amp;Varian!$AG62&amp;" cukup, nyamannya "&amp;IFERROR(INDEX(Aturan!$A$63:$A$66,MATCH(Aturan!$D$46,Aturan!$B$63:$B$66,0)),"peringkat "&amp;Aturan!$D$46),IF(O292="Belum ada data","jenis layar belum diketahui",""))))</f>
        <v/>
      </c>
      <c r="W292" s="33" t="str">
        <f aca="false">IF($A292="","",IF(P292="Kurang","layar "&amp;H292&amp;" Hz, di bawah batas minimal "&amp;Aturan!$C$47&amp;" Hz",IF(P292="Cukup","layar "&amp;H292&amp;" Hz cukup, nyamannya "&amp;Aturan!$D$47&amp;" Hz atau lebih",IF(P292="Belum ada data","refresh rate belum diketahui",""))))</f>
        <v/>
      </c>
      <c r="X292" s="33" t="str">
        <f aca="false">IF($A292="","",IF(K292="Kurang",R292&amp;"; ","")&amp;IF(L292="Kurang",S292&amp;"; ","")&amp;IF(M292="Kurang",T292&amp;"; ","")&amp;IF(N292="Kurang",U292&amp;"; ","")&amp;IF(O292="Kurang",V292&amp;"; ","")&amp;IF(P292="Kurang",W292&amp;"; ","")&amp;IF(K292="Belum ada data",R292&amp;"; ","")&amp;IF(L292="Belum ada data",S292&amp;"; ","")&amp;IF(M292="Belum ada data",T292&amp;"; ","")&amp;IF(N292="Belum ada data",U292&amp;"; ","")&amp;IF(O292="Belum ada data",V292&amp;"; ","")&amp;IF(P292="Belum ada data",W292&amp;"; ","")&amp;IF(K292="Cukup",R292&amp;"; ","")&amp;IF(L292="Cukup",S292&amp;"; ","")&amp;IF(M292="Cukup",T292&amp;"; ","")&amp;IF(N292="Cukup",U292&amp;"; ","")&amp;IF(O292="Cukup",V292&amp;"; ","")&amp;IF(P292="Cukup",W292&amp;"; ",""))</f>
        <v/>
      </c>
      <c r="Y292" s="33" t="str">
        <f aca="false">IF($A292="","",IF(K292="Nyaman","prosesor, ","")&amp;IF(L292="Nyaman","grafis, ","")&amp;IF(M292="Nyaman","RAM, ","")&amp;IF(N292="Nyaman","penyimpanan, ","")&amp;IF(O292="Nyaman","layar, ","")&amp;IF(P292="Nyaman","refresh rate, ",""))</f>
        <v/>
      </c>
      <c r="Z292" s="33" t="str">
        <f aca="false">IF($A292="","",IF(Q292="Tidak dinilai","Belum ada kriteria yang dinilai untuk kebutuhan ini.",IF(Q292="Cocok","Semua kriteria yang dinilai sudah nyaman: "&amp;LEFT(Y292,LEN(Y292)-2)&amp;".",UPPER(LEFT(X292,1))&amp;MID(X292,2,LEN(X292)-3)&amp;"."&amp;IF(Y292="",""," Sudah nyaman: "&amp;LEFT(Y292,LEN(Y292)-2)&amp;"."))))</f>
        <v/>
      </c>
      <c r="AA292" s="33"/>
      <c r="AB292" s="33"/>
      <c r="AC292" s="69"/>
    </row>
    <row r="293" customFormat="false" ht="15" hidden="false" customHeight="true" outlineLevel="0" collapsed="false">
      <c r="A293" s="33" t="str">
        <f aca="false">IF(Varian!$A62="","",Varian!$A62)</f>
        <v/>
      </c>
      <c r="B293" s="33" t="str">
        <f aca="false">IF($A293="","",Aturan!$A$24)</f>
        <v/>
      </c>
      <c r="C293" s="69" t="str">
        <f aca="false">IF($A293="","",IFERROR(IF(ISNUMBER(INDEX(CPU!$J$4:$J$64,MATCH(Varian!$J62,CPU!$A$4:$A$64,0))),INDEX(CPU!$J$4:$J$64,MATCH(Varian!$J62,CPU!$A$4:$A$64,0)),""),""))</f>
        <v/>
      </c>
      <c r="D293" s="69" t="str">
        <f aca="false">IF($A293="","",IFERROR(IF(ISNUMBER(INDEX(GPU!$G$4:$G$64,MATCH(Varian!$K62,GPU!$A$4:$A$64,0))),INDEX(GPU!$G$4:$G$64,MATCH(Varian!$K62,GPU!$A$4:$A$64,0)),""),""))</f>
        <v/>
      </c>
      <c r="E293" s="69" t="str">
        <f aca="false">IF($A293="","",IF(ISNUMBER(Varian!$M62),Varian!$M62,""))</f>
        <v/>
      </c>
      <c r="F293" s="69" t="str">
        <f aca="false">IF($A293="","",IF(ISNUMBER(Varian!$V62),Varian!$V62,""))</f>
        <v/>
      </c>
      <c r="G293" s="69" t="str">
        <f aca="false">IF($A293="","",IFERROR(INDEX(Aturan!$B$63:$B$66,MATCH(Varian!$AG62,Aturan!$A$63:$A$66,0)),""))</f>
        <v/>
      </c>
      <c r="H293" s="69" t="str">
        <f aca="false">IF($A293="","",IF(ISNUMBER(Varian!$AI62),Varian!$AI62,""))</f>
        <v/>
      </c>
      <c r="I293" s="33" t="str">
        <f aca="false">IF($A293="","",IF(Varian!$Q62="disolder","menempel di papan utama, tidak bisa ditambah",IF(OR(Varian!$Q62="slot",Varian!$Q62="setengah_disolder"),IF(Varian!$Q62="setengah_disolder","sebagian menempel, ","")&amp;IF(ISNUMBER(Varian!$U62),IF(AND(ISNUMBER(Varian!$M62),Varian!$U62&gt;Varian!$M62),"bisa dinaikkan lewat slot sampai "&amp;Varian!$U62&amp;" GB","sudah di batas maksimal "&amp;Varian!$U62&amp;" GB"),"ada slot, batas maksimalnya belum diketahui"),"belum diketahui apakah bisa ditambah")))</f>
        <v/>
      </c>
      <c r="J293" s="33" t="str">
        <f aca="false">IF($A293="","",IF(Varian!$Z62="ya","bisa diganti dengan yang lebih besar",IF(Varian!$Z62="tidak","menempel, tidak bisa diganti","belum diketahui apakah bisa diganti")))</f>
        <v/>
      </c>
      <c r="K293" s="70" t="str">
        <f aca="false">IF($A293="","",IF(AND(Aturan!$C$48="",Aturan!$D$48=""),"Tidak dinilai",IF(C293="","Belum ada data",IF(C293&lt;IF(Aturan!$C$48="",0,Aturan!$C$48),"Kurang",IF(C293&gt;=IF(Aturan!$D$48="",Aturan!$C$48,Aturan!$D$48),"Nyaman","Cukup")))))</f>
        <v/>
      </c>
      <c r="L293" s="70" t="str">
        <f aca="false">IF($A293="","",IF(AND(Aturan!$C$49="",Aturan!$D$49=""),"Tidak dinilai",IF(D293="","Belum ada data",IF(D293&lt;IF(Aturan!$C$49="",0,Aturan!$C$49),"Kurang",IF(D293&gt;=IF(Aturan!$D$49="",Aturan!$C$49,Aturan!$D$49),"Nyaman","Cukup")))))</f>
        <v/>
      </c>
      <c r="M293" s="70" t="str">
        <f aca="false">IF($A293="","",IF(AND(Aturan!$C$50="",Aturan!$D$50=""),"Tidak dinilai",IF(E293="","Belum ada data",IF(E293&lt;IF(Aturan!$C$50="",0,Aturan!$C$50),"Kurang",IF(E293&gt;=IF(Aturan!$D$50="",Aturan!$C$50,Aturan!$D$50),"Nyaman","Cukup")))))</f>
        <v/>
      </c>
      <c r="N293" s="70" t="str">
        <f aca="false">IF($A293="","",IF(AND(Aturan!$C$51="",Aturan!$D$51=""),"Tidak dinilai",IF(F293="","Belum ada data",IF(F293&lt;IF(Aturan!$C$51="",0,Aturan!$C$51),"Kurang",IF(F293&gt;=IF(Aturan!$D$51="",Aturan!$C$51,Aturan!$D$51),"Nyaman","Cukup")))))</f>
        <v/>
      </c>
      <c r="O293" s="70" t="str">
        <f aca="false">IF($A293="","",IF(AND(Aturan!$C$52="",Aturan!$D$52=""),"Tidak dinilai",IF(G293="","Belum ada data",IF(G293&lt;IF(Aturan!$C$52="",0,Aturan!$C$52),"Kurang",IF(G293&gt;=IF(Aturan!$D$52="",Aturan!$C$52,Aturan!$D$52),"Nyaman","Cukup")))))</f>
        <v/>
      </c>
      <c r="P293" s="70" t="str">
        <f aca="false">IF($A293="","",IF(AND(Aturan!$C$53="",Aturan!$D$53=""),"Tidak dinilai",IF(H293="","Belum ada data",IF(H293&lt;IF(Aturan!$C$53="",0,Aturan!$C$53),"Kurang",IF(H293&gt;=IF(Aturan!$D$53="",Aturan!$C$53,Aturan!$D$53),"Nyaman","Cukup")))))</f>
        <v/>
      </c>
      <c r="Q293" s="70" t="str">
        <f aca="false">IF($A293="","",IF(COUNTIF(K293:P293,"Tidak dinilai")=6,"Tidak dinilai",IF(COUNTIF(K293:P293,"Kurang")&gt;0,"Kurang cocok",IF(COUNTIF(K293:P293,"Belum ada data")&gt;0,"Data belum lengkap",IF(COUNTIF(K293:P293,"Cukup")&gt;0,"Bisa, dengan catatan","Cocok")))))</f>
        <v/>
      </c>
      <c r="R293" s="33" t="str">
        <f aca="false">IF($A293="","",IF(K293="Kurang","prosesor tingkat "&amp;C293&amp;" dari 5, di bawah batas minimal (tingkat "&amp;Aturan!$C$48&amp;")",IF(K293="Cukup","prosesor tingkat "&amp;C293&amp;" dari 5 cukup, nyamannya mulai tingkat "&amp;Aturan!$D$48,IF(K293="Belum ada data","tingkat prosesor belum diisi",""))))</f>
        <v/>
      </c>
      <c r="S293" s="33" t="str">
        <f aca="false">IF($A293="","",IF(L293="Kurang","grafis tingkat "&amp;D293&amp;" dari 5, di bawah batas minimal (tingkat "&amp;Aturan!$C$49&amp;")",IF(L293="Cukup","grafis tingkat "&amp;D293&amp;" dari 5 cukup, nyamannya mulai tingkat "&amp;Aturan!$D$49,IF(L293="Belum ada data","tingkat grafis belum diisi",""))))</f>
        <v/>
      </c>
      <c r="T293" s="33" t="str">
        <f aca="false">IF($A293="","",IF(M293="Kurang","RAM "&amp;E293&amp;" GB, di bawah batas minimal "&amp;Aturan!$C$50&amp;" GB ("&amp;I293&amp;")",IF(M293="Cukup","RAM "&amp;E293&amp;" GB cukup, nyamannya "&amp;Aturan!$D$50&amp;" GB atau lebih ("&amp;I293&amp;")",IF(M293="Belum ada data","ukuran RAM belum diisi",""))))</f>
        <v/>
      </c>
      <c r="U293" s="33" t="str">
        <f aca="false">IF($A293="","",IF(N293="Kurang","penyimpanan "&amp;F293&amp;" GB, di bawah batas minimal "&amp;Aturan!$C$51&amp;" GB ("&amp;J293&amp;")",IF(N293="Cukup","penyimpanan "&amp;F293&amp;" GB cukup, nyamannya "&amp;Aturan!$D$51&amp;" GB atau lebih ("&amp;J293&amp;")",IF(N293="Belum ada data","ukuran penyimpanan belum diisi",""))))</f>
        <v/>
      </c>
      <c r="V293" s="33" t="str">
        <f aca="false">IF($A293="","",IF(O293="Kurang","layar "&amp;Varian!$AG62&amp;", di bawah batas minimal ("&amp;IFERROR(INDEX(Aturan!$A$63:$A$66,MATCH(Aturan!$C$52,Aturan!$B$63:$B$66,0)),"peringkat "&amp;Aturan!$C$52)&amp;")",IF(O293="Cukup","layar "&amp;Varian!$AG62&amp;" cukup, nyamannya "&amp;IFERROR(INDEX(Aturan!$A$63:$A$66,MATCH(Aturan!$D$52,Aturan!$B$63:$B$66,0)),"peringkat "&amp;Aturan!$D$52),IF(O293="Belum ada data","jenis layar belum diketahui",""))))</f>
        <v/>
      </c>
      <c r="W293" s="33" t="str">
        <f aca="false">IF($A293="","",IF(P293="Kurang","layar "&amp;H293&amp;" Hz, di bawah batas minimal "&amp;Aturan!$C$53&amp;" Hz",IF(P293="Cukup","layar "&amp;H293&amp;" Hz cukup, nyamannya "&amp;Aturan!$D$53&amp;" Hz atau lebih",IF(P293="Belum ada data","refresh rate belum diketahui",""))))</f>
        <v/>
      </c>
      <c r="X293" s="33" t="str">
        <f aca="false">IF($A293="","",IF(K293="Kurang",R293&amp;"; ","")&amp;IF(L293="Kurang",S293&amp;"; ","")&amp;IF(M293="Kurang",T293&amp;"; ","")&amp;IF(N293="Kurang",U293&amp;"; ","")&amp;IF(O293="Kurang",V293&amp;"; ","")&amp;IF(P293="Kurang",W293&amp;"; ","")&amp;IF(K293="Belum ada data",R293&amp;"; ","")&amp;IF(L293="Belum ada data",S293&amp;"; ","")&amp;IF(M293="Belum ada data",T293&amp;"; ","")&amp;IF(N293="Belum ada data",U293&amp;"; ","")&amp;IF(O293="Belum ada data",V293&amp;"; ","")&amp;IF(P293="Belum ada data",W293&amp;"; ","")&amp;IF(K293="Cukup",R293&amp;"; ","")&amp;IF(L293="Cukup",S293&amp;"; ","")&amp;IF(M293="Cukup",T293&amp;"; ","")&amp;IF(N293="Cukup",U293&amp;"; ","")&amp;IF(O293="Cukup",V293&amp;"; ","")&amp;IF(P293="Cukup",W293&amp;"; ",""))</f>
        <v/>
      </c>
      <c r="Y293" s="33" t="str">
        <f aca="false">IF($A293="","",IF(K293="Nyaman","prosesor, ","")&amp;IF(L293="Nyaman","grafis, ","")&amp;IF(M293="Nyaman","RAM, ","")&amp;IF(N293="Nyaman","penyimpanan, ","")&amp;IF(O293="Nyaman","layar, ","")&amp;IF(P293="Nyaman","refresh rate, ",""))</f>
        <v/>
      </c>
      <c r="Z293" s="33" t="str">
        <f aca="false">IF($A293="","",IF(Q293="Tidak dinilai","Belum ada kriteria yang dinilai untuk kebutuhan ini.",IF(Q293="Cocok","Semua kriteria yang dinilai sudah nyaman: "&amp;LEFT(Y293,LEN(Y293)-2)&amp;".",UPPER(LEFT(X293,1))&amp;MID(X293,2,LEN(X293)-3)&amp;"."&amp;IF(Y293="",""," Sudah nyaman: "&amp;LEFT(Y293,LEN(Y293)-2)&amp;"."))))</f>
        <v/>
      </c>
      <c r="AA293" s="33"/>
      <c r="AB293" s="33"/>
      <c r="AC293" s="69"/>
    </row>
    <row r="294" customFormat="false" ht="15" hidden="false" customHeight="true" outlineLevel="0" collapsed="false">
      <c r="A294" s="33" t="str">
        <f aca="false">IF(Varian!$A62="","",Varian!$A62)</f>
        <v/>
      </c>
      <c r="B294" s="33" t="str">
        <f aca="false">IF($A294="","",Aturan!$A$25)</f>
        <v/>
      </c>
      <c r="C294" s="69" t="str">
        <f aca="false">IF($A294="","",IFERROR(IF(ISNUMBER(INDEX(CPU!$J$4:$J$64,MATCH(Varian!$J62,CPU!$A$4:$A$64,0))),INDEX(CPU!$J$4:$J$64,MATCH(Varian!$J62,CPU!$A$4:$A$64,0)),""),""))</f>
        <v/>
      </c>
      <c r="D294" s="69" t="str">
        <f aca="false">IF($A294="","",IFERROR(IF(ISNUMBER(INDEX(GPU!$G$4:$G$64,MATCH(Varian!$K62,GPU!$A$4:$A$64,0))),INDEX(GPU!$G$4:$G$64,MATCH(Varian!$K62,GPU!$A$4:$A$64,0)),""),""))</f>
        <v/>
      </c>
      <c r="E294" s="69" t="str">
        <f aca="false">IF($A294="","",IF(ISNUMBER(Varian!$M62),Varian!$M62,""))</f>
        <v/>
      </c>
      <c r="F294" s="69" t="str">
        <f aca="false">IF($A294="","",IF(ISNUMBER(Varian!$V62),Varian!$V62,""))</f>
        <v/>
      </c>
      <c r="G294" s="69" t="str">
        <f aca="false">IF($A294="","",IFERROR(INDEX(Aturan!$B$63:$B$66,MATCH(Varian!$AG62,Aturan!$A$63:$A$66,0)),""))</f>
        <v/>
      </c>
      <c r="H294" s="69" t="str">
        <f aca="false">IF($A294="","",IF(ISNUMBER(Varian!$AI62),Varian!$AI62,""))</f>
        <v/>
      </c>
      <c r="I294" s="33" t="str">
        <f aca="false">IF($A294="","",IF(Varian!$Q62="disolder","menempel di papan utama, tidak bisa ditambah",IF(OR(Varian!$Q62="slot",Varian!$Q62="setengah_disolder"),IF(Varian!$Q62="setengah_disolder","sebagian menempel, ","")&amp;IF(ISNUMBER(Varian!$U62),IF(AND(ISNUMBER(Varian!$M62),Varian!$U62&gt;Varian!$M62),"bisa dinaikkan lewat slot sampai "&amp;Varian!$U62&amp;" GB","sudah di batas maksimal "&amp;Varian!$U62&amp;" GB"),"ada slot, batas maksimalnya belum diketahui"),"belum diketahui apakah bisa ditambah")))</f>
        <v/>
      </c>
      <c r="J294" s="33" t="str">
        <f aca="false">IF($A294="","",IF(Varian!$Z62="ya","bisa diganti dengan yang lebih besar",IF(Varian!$Z62="tidak","menempel, tidak bisa diganti","belum diketahui apakah bisa diganti")))</f>
        <v/>
      </c>
      <c r="K294" s="70" t="str">
        <f aca="false">IF($A294="","",IF(AND(Aturan!$C$54="",Aturan!$D$54=""),"Tidak dinilai",IF(C294="","Belum ada data",IF(C294&lt;IF(Aturan!$C$54="",0,Aturan!$C$54),"Kurang",IF(C294&gt;=IF(Aturan!$D$54="",Aturan!$C$54,Aturan!$D$54),"Nyaman","Cukup")))))</f>
        <v/>
      </c>
      <c r="L294" s="70" t="str">
        <f aca="false">IF($A294="","",IF(AND(Aturan!$C$55="",Aturan!$D$55=""),"Tidak dinilai",IF(D294="","Belum ada data",IF(D294&lt;IF(Aturan!$C$55="",0,Aturan!$C$55),"Kurang",IF(D294&gt;=IF(Aturan!$D$55="",Aturan!$C$55,Aturan!$D$55),"Nyaman","Cukup")))))</f>
        <v/>
      </c>
      <c r="M294" s="70" t="str">
        <f aca="false">IF($A294="","",IF(AND(Aturan!$C$56="",Aturan!$D$56=""),"Tidak dinilai",IF(E294="","Belum ada data",IF(E294&lt;IF(Aturan!$C$56="",0,Aturan!$C$56),"Kurang",IF(E294&gt;=IF(Aturan!$D$56="",Aturan!$C$56,Aturan!$D$56),"Nyaman","Cukup")))))</f>
        <v/>
      </c>
      <c r="N294" s="70" t="str">
        <f aca="false">IF($A294="","",IF(AND(Aturan!$C$57="",Aturan!$D$57=""),"Tidak dinilai",IF(F294="","Belum ada data",IF(F294&lt;IF(Aturan!$C$57="",0,Aturan!$C$57),"Kurang",IF(F294&gt;=IF(Aturan!$D$57="",Aturan!$C$57,Aturan!$D$57),"Nyaman","Cukup")))))</f>
        <v/>
      </c>
      <c r="O294" s="70" t="str">
        <f aca="false">IF($A294="","",IF(AND(Aturan!$C$58="",Aturan!$D$58=""),"Tidak dinilai",IF(G294="","Belum ada data",IF(G294&lt;IF(Aturan!$C$58="",0,Aturan!$C$58),"Kurang",IF(G294&gt;=IF(Aturan!$D$58="",Aturan!$C$58,Aturan!$D$58),"Nyaman","Cukup")))))</f>
        <v/>
      </c>
      <c r="P294" s="70" t="str">
        <f aca="false">IF($A294="","",IF(AND(Aturan!$C$59="",Aturan!$D$59=""),"Tidak dinilai",IF(H294="","Belum ada data",IF(H294&lt;IF(Aturan!$C$59="",0,Aturan!$C$59),"Kurang",IF(H294&gt;=IF(Aturan!$D$59="",Aturan!$C$59,Aturan!$D$59),"Nyaman","Cukup")))))</f>
        <v/>
      </c>
      <c r="Q294" s="70" t="str">
        <f aca="false">IF($A294="","",IF(COUNTIF(K294:P294,"Tidak dinilai")=6,"Tidak dinilai",IF(COUNTIF(K294:P294,"Kurang")&gt;0,"Kurang cocok",IF(COUNTIF(K294:P294,"Belum ada data")&gt;0,"Data belum lengkap",IF(COUNTIF(K294:P294,"Cukup")&gt;0,"Bisa, dengan catatan","Cocok")))))</f>
        <v/>
      </c>
      <c r="R294" s="33" t="str">
        <f aca="false">IF($A294="","",IF(K294="Kurang","prosesor tingkat "&amp;C294&amp;" dari 5, di bawah batas minimal (tingkat "&amp;Aturan!$C$54&amp;")",IF(K294="Cukup","prosesor tingkat "&amp;C294&amp;" dari 5 cukup, nyamannya mulai tingkat "&amp;Aturan!$D$54,IF(K294="Belum ada data","tingkat prosesor belum diisi",""))))</f>
        <v/>
      </c>
      <c r="S294" s="33" t="str">
        <f aca="false">IF($A294="","",IF(L294="Kurang","grafis tingkat "&amp;D294&amp;" dari 5, di bawah batas minimal (tingkat "&amp;Aturan!$C$55&amp;")",IF(L294="Cukup","grafis tingkat "&amp;D294&amp;" dari 5 cukup, nyamannya mulai tingkat "&amp;Aturan!$D$55,IF(L294="Belum ada data","tingkat grafis belum diisi",""))))</f>
        <v/>
      </c>
      <c r="T294" s="33" t="str">
        <f aca="false">IF($A294="","",IF(M294="Kurang","RAM "&amp;E294&amp;" GB, di bawah batas minimal "&amp;Aturan!$C$56&amp;" GB ("&amp;I294&amp;")",IF(M294="Cukup","RAM "&amp;E294&amp;" GB cukup, nyamannya "&amp;Aturan!$D$56&amp;" GB atau lebih ("&amp;I294&amp;")",IF(M294="Belum ada data","ukuran RAM belum diisi",""))))</f>
        <v/>
      </c>
      <c r="U294" s="33" t="str">
        <f aca="false">IF($A294="","",IF(N294="Kurang","penyimpanan "&amp;F294&amp;" GB, di bawah batas minimal "&amp;Aturan!$C$57&amp;" GB ("&amp;J294&amp;")",IF(N294="Cukup","penyimpanan "&amp;F294&amp;" GB cukup, nyamannya "&amp;Aturan!$D$57&amp;" GB atau lebih ("&amp;J294&amp;")",IF(N294="Belum ada data","ukuran penyimpanan belum diisi",""))))</f>
        <v/>
      </c>
      <c r="V294" s="33" t="str">
        <f aca="false">IF($A294="","",IF(O294="Kurang","layar "&amp;Varian!$AG62&amp;", di bawah batas minimal ("&amp;IFERROR(INDEX(Aturan!$A$63:$A$66,MATCH(Aturan!$C$58,Aturan!$B$63:$B$66,0)),"peringkat "&amp;Aturan!$C$58)&amp;")",IF(O294="Cukup","layar "&amp;Varian!$AG62&amp;" cukup, nyamannya "&amp;IFERROR(INDEX(Aturan!$A$63:$A$66,MATCH(Aturan!$D$58,Aturan!$B$63:$B$66,0)),"peringkat "&amp;Aturan!$D$58),IF(O294="Belum ada data","jenis layar belum diketahui",""))))</f>
        <v/>
      </c>
      <c r="W294" s="33" t="str">
        <f aca="false">IF($A294="","",IF(P294="Kurang","layar "&amp;H294&amp;" Hz, di bawah batas minimal "&amp;Aturan!$C$59&amp;" Hz",IF(P294="Cukup","layar "&amp;H294&amp;" Hz cukup, nyamannya "&amp;Aturan!$D$59&amp;" Hz atau lebih",IF(P294="Belum ada data","refresh rate belum diketahui",""))))</f>
        <v/>
      </c>
      <c r="X294" s="33" t="str">
        <f aca="false">IF($A294="","",IF(K294="Kurang",R294&amp;"; ","")&amp;IF(L294="Kurang",S294&amp;"; ","")&amp;IF(M294="Kurang",T294&amp;"; ","")&amp;IF(N294="Kurang",U294&amp;"; ","")&amp;IF(O294="Kurang",V294&amp;"; ","")&amp;IF(P294="Kurang",W294&amp;"; ","")&amp;IF(K294="Belum ada data",R294&amp;"; ","")&amp;IF(L294="Belum ada data",S294&amp;"; ","")&amp;IF(M294="Belum ada data",T294&amp;"; ","")&amp;IF(N294="Belum ada data",U294&amp;"; ","")&amp;IF(O294="Belum ada data",V294&amp;"; ","")&amp;IF(P294="Belum ada data",W294&amp;"; ","")&amp;IF(K294="Cukup",R294&amp;"; ","")&amp;IF(L294="Cukup",S294&amp;"; ","")&amp;IF(M294="Cukup",T294&amp;"; ","")&amp;IF(N294="Cukup",U294&amp;"; ","")&amp;IF(O294="Cukup",V294&amp;"; ","")&amp;IF(P294="Cukup",W294&amp;"; ",""))</f>
        <v/>
      </c>
      <c r="Y294" s="33" t="str">
        <f aca="false">IF($A294="","",IF(K294="Nyaman","prosesor, ","")&amp;IF(L294="Nyaman","grafis, ","")&amp;IF(M294="Nyaman","RAM, ","")&amp;IF(N294="Nyaman","penyimpanan, ","")&amp;IF(O294="Nyaman","layar, ","")&amp;IF(P294="Nyaman","refresh rate, ",""))</f>
        <v/>
      </c>
      <c r="Z294" s="33" t="str">
        <f aca="false">IF($A294="","",IF(Q294="Tidak dinilai","Belum ada kriteria yang dinilai untuk kebutuhan ini.",IF(Q294="Cocok","Semua kriteria yang dinilai sudah nyaman: "&amp;LEFT(Y294,LEN(Y294)-2)&amp;".",UPPER(LEFT(X294,1))&amp;MID(X294,2,LEN(X294)-3)&amp;"."&amp;IF(Y294="",""," Sudah nyaman: "&amp;LEFT(Y294,LEN(Y294)-2)&amp;"."))))</f>
        <v/>
      </c>
      <c r="AA294" s="33"/>
      <c r="AB294" s="33"/>
      <c r="AC294" s="69"/>
    </row>
    <row r="295" customFormat="false" ht="15" hidden="false" customHeight="true" outlineLevel="0" collapsed="false">
      <c r="A295" s="66" t="str">
        <f aca="false">IF(Varian!$A63="","",Varian!$A63)</f>
        <v/>
      </c>
      <c r="B295" s="66" t="str">
        <f aca="false">IF($A295="","",Aturan!$A$21)</f>
        <v/>
      </c>
      <c r="C295" s="67" t="str">
        <f aca="false">IF($A295="","",IFERROR(IF(ISNUMBER(INDEX(CPU!$J$4:$J$64,MATCH(Varian!$J63,CPU!$A$4:$A$64,0))),INDEX(CPU!$J$4:$J$64,MATCH(Varian!$J63,CPU!$A$4:$A$64,0)),""),""))</f>
        <v/>
      </c>
      <c r="D295" s="67" t="str">
        <f aca="false">IF($A295="","",IFERROR(IF(ISNUMBER(INDEX(GPU!$G$4:$G$64,MATCH(Varian!$K63,GPU!$A$4:$A$64,0))),INDEX(GPU!$G$4:$G$64,MATCH(Varian!$K63,GPU!$A$4:$A$64,0)),""),""))</f>
        <v/>
      </c>
      <c r="E295" s="67" t="str">
        <f aca="false">IF($A295="","",IF(ISNUMBER(Varian!$M63),Varian!$M63,""))</f>
        <v/>
      </c>
      <c r="F295" s="67" t="str">
        <f aca="false">IF($A295="","",IF(ISNUMBER(Varian!$V63),Varian!$V63,""))</f>
        <v/>
      </c>
      <c r="G295" s="67" t="str">
        <f aca="false">IF($A295="","",IFERROR(INDEX(Aturan!$B$63:$B$66,MATCH(Varian!$AG63,Aturan!$A$63:$A$66,0)),""))</f>
        <v/>
      </c>
      <c r="H295" s="67" t="str">
        <f aca="false">IF($A295="","",IF(ISNUMBER(Varian!$AI63),Varian!$AI63,""))</f>
        <v/>
      </c>
      <c r="I295" s="66" t="str">
        <f aca="false">IF($A295="","",IF(Varian!$Q63="disolder","menempel di papan utama, tidak bisa ditambah",IF(OR(Varian!$Q63="slot",Varian!$Q63="setengah_disolder"),IF(Varian!$Q63="setengah_disolder","sebagian menempel, ","")&amp;IF(ISNUMBER(Varian!$U63),IF(AND(ISNUMBER(Varian!$M63),Varian!$U63&gt;Varian!$M63),"bisa dinaikkan lewat slot sampai "&amp;Varian!$U63&amp;" GB","sudah di batas maksimal "&amp;Varian!$U63&amp;" GB"),"ada slot, batas maksimalnya belum diketahui"),"belum diketahui apakah bisa ditambah")))</f>
        <v/>
      </c>
      <c r="J295" s="66" t="str">
        <f aca="false">IF($A295="","",IF(Varian!$Z63="ya","bisa diganti dengan yang lebih besar",IF(Varian!$Z63="tidak","menempel, tidak bisa diganti","belum diketahui apakah bisa diganti")))</f>
        <v/>
      </c>
      <c r="K295" s="68" t="str">
        <f aca="false">IF($A295="","",IF(AND(Aturan!$C$30="",Aturan!$D$30=""),"Tidak dinilai",IF(C295="","Belum ada data",IF(C295&lt;IF(Aturan!$C$30="",0,Aturan!$C$30),"Kurang",IF(C295&gt;=IF(Aturan!$D$30="",Aturan!$C$30,Aturan!$D$30),"Nyaman","Cukup")))))</f>
        <v/>
      </c>
      <c r="L295" s="68" t="str">
        <f aca="false">IF($A295="","",IF(AND(Aturan!$C$31="",Aturan!$D$31=""),"Tidak dinilai",IF(D295="","Belum ada data",IF(D295&lt;IF(Aturan!$C$31="",0,Aturan!$C$31),"Kurang",IF(D295&gt;=IF(Aturan!$D$31="",Aturan!$C$31,Aturan!$D$31),"Nyaman","Cukup")))))</f>
        <v/>
      </c>
      <c r="M295" s="68" t="str">
        <f aca="false">IF($A295="","",IF(AND(Aturan!$C$32="",Aturan!$D$32=""),"Tidak dinilai",IF(E295="","Belum ada data",IF(E295&lt;IF(Aturan!$C$32="",0,Aturan!$C$32),"Kurang",IF(E295&gt;=IF(Aturan!$D$32="",Aturan!$C$32,Aturan!$D$32),"Nyaman","Cukup")))))</f>
        <v/>
      </c>
      <c r="N295" s="68" t="str">
        <f aca="false">IF($A295="","",IF(AND(Aturan!$C$33="",Aturan!$D$33=""),"Tidak dinilai",IF(F295="","Belum ada data",IF(F295&lt;IF(Aturan!$C$33="",0,Aturan!$C$33),"Kurang",IF(F295&gt;=IF(Aturan!$D$33="",Aturan!$C$33,Aturan!$D$33),"Nyaman","Cukup")))))</f>
        <v/>
      </c>
      <c r="O295" s="68" t="str">
        <f aca="false">IF($A295="","",IF(AND(Aturan!$C$34="",Aturan!$D$34=""),"Tidak dinilai",IF(G295="","Belum ada data",IF(G295&lt;IF(Aturan!$C$34="",0,Aturan!$C$34),"Kurang",IF(G295&gt;=IF(Aturan!$D$34="",Aturan!$C$34,Aturan!$D$34),"Nyaman","Cukup")))))</f>
        <v/>
      </c>
      <c r="P295" s="68" t="str">
        <f aca="false">IF($A295="","",IF(AND(Aturan!$C$35="",Aturan!$D$35=""),"Tidak dinilai",IF(H295="","Belum ada data",IF(H295&lt;IF(Aturan!$C$35="",0,Aturan!$C$35),"Kurang",IF(H295&gt;=IF(Aturan!$D$35="",Aturan!$C$35,Aturan!$D$35),"Nyaman","Cukup")))))</f>
        <v/>
      </c>
      <c r="Q295" s="68" t="str">
        <f aca="false">IF($A295="","",IF(COUNTIF(K295:P295,"Tidak dinilai")=6,"Tidak dinilai",IF(COUNTIF(K295:P295,"Kurang")&gt;0,"Kurang cocok",IF(COUNTIF(K295:P295,"Belum ada data")&gt;0,"Data belum lengkap",IF(COUNTIF(K295:P295,"Cukup")&gt;0,"Bisa, dengan catatan","Cocok")))))</f>
        <v/>
      </c>
      <c r="R295" s="66" t="str">
        <f aca="false">IF($A295="","",IF(K295="Kurang","prosesor tingkat "&amp;C295&amp;" dari 5, di bawah batas minimal (tingkat "&amp;Aturan!$C$30&amp;")",IF(K295="Cukup","prosesor tingkat "&amp;C295&amp;" dari 5 cukup, nyamannya mulai tingkat "&amp;Aturan!$D$30,IF(K295="Belum ada data","tingkat prosesor belum diisi",""))))</f>
        <v/>
      </c>
      <c r="S295" s="66" t="str">
        <f aca="false">IF($A295="","",IF(L295="Kurang","grafis tingkat "&amp;D295&amp;" dari 5, di bawah batas minimal (tingkat "&amp;Aturan!$C$31&amp;")",IF(L295="Cukup","grafis tingkat "&amp;D295&amp;" dari 5 cukup, nyamannya mulai tingkat "&amp;Aturan!$D$31,IF(L295="Belum ada data","tingkat grafis belum diisi",""))))</f>
        <v/>
      </c>
      <c r="T295" s="66" t="str">
        <f aca="false">IF($A295="","",IF(M295="Kurang","RAM "&amp;E295&amp;" GB, di bawah batas minimal "&amp;Aturan!$C$32&amp;" GB ("&amp;I295&amp;")",IF(M295="Cukup","RAM "&amp;E295&amp;" GB cukup, nyamannya "&amp;Aturan!$D$32&amp;" GB atau lebih ("&amp;I295&amp;")",IF(M295="Belum ada data","ukuran RAM belum diisi",""))))</f>
        <v/>
      </c>
      <c r="U295" s="66" t="str">
        <f aca="false">IF($A295="","",IF(N295="Kurang","penyimpanan "&amp;F295&amp;" GB, di bawah batas minimal "&amp;Aturan!$C$33&amp;" GB ("&amp;J295&amp;")",IF(N295="Cukup","penyimpanan "&amp;F295&amp;" GB cukup, nyamannya "&amp;Aturan!$D$33&amp;" GB atau lebih ("&amp;J295&amp;")",IF(N295="Belum ada data","ukuran penyimpanan belum diisi",""))))</f>
        <v/>
      </c>
      <c r="V295" s="66" t="str">
        <f aca="false">IF($A295="","",IF(O295="Kurang","layar "&amp;Varian!$AG63&amp;", di bawah batas minimal ("&amp;IFERROR(INDEX(Aturan!$A$63:$A$66,MATCH(Aturan!$C$34,Aturan!$B$63:$B$66,0)),"peringkat "&amp;Aturan!$C$34)&amp;")",IF(O295="Cukup","layar "&amp;Varian!$AG63&amp;" cukup, nyamannya "&amp;IFERROR(INDEX(Aturan!$A$63:$A$66,MATCH(Aturan!$D$34,Aturan!$B$63:$B$66,0)),"peringkat "&amp;Aturan!$D$34),IF(O295="Belum ada data","jenis layar belum diketahui",""))))</f>
        <v/>
      </c>
      <c r="W295" s="66" t="str">
        <f aca="false">IF($A295="","",IF(P295="Kurang","layar "&amp;H295&amp;" Hz, di bawah batas minimal "&amp;Aturan!$C$35&amp;" Hz",IF(P295="Cukup","layar "&amp;H295&amp;" Hz cukup, nyamannya "&amp;Aturan!$D$35&amp;" Hz atau lebih",IF(P295="Belum ada data","refresh rate belum diketahui",""))))</f>
        <v/>
      </c>
      <c r="X295" s="66" t="str">
        <f aca="false">IF($A295="","",IF(K295="Kurang",R295&amp;"; ","")&amp;IF(L295="Kurang",S295&amp;"; ","")&amp;IF(M295="Kurang",T295&amp;"; ","")&amp;IF(N295="Kurang",U295&amp;"; ","")&amp;IF(O295="Kurang",V295&amp;"; ","")&amp;IF(P295="Kurang",W295&amp;"; ","")&amp;IF(K295="Belum ada data",R295&amp;"; ","")&amp;IF(L295="Belum ada data",S295&amp;"; ","")&amp;IF(M295="Belum ada data",T295&amp;"; ","")&amp;IF(N295="Belum ada data",U295&amp;"; ","")&amp;IF(O295="Belum ada data",V295&amp;"; ","")&amp;IF(P295="Belum ada data",W295&amp;"; ","")&amp;IF(K295="Cukup",R295&amp;"; ","")&amp;IF(L295="Cukup",S295&amp;"; ","")&amp;IF(M295="Cukup",T295&amp;"; ","")&amp;IF(N295="Cukup",U295&amp;"; ","")&amp;IF(O295="Cukup",V295&amp;"; ","")&amp;IF(P295="Cukup",W295&amp;"; ",""))</f>
        <v/>
      </c>
      <c r="Y295" s="66" t="str">
        <f aca="false">IF($A295="","",IF(K295="Nyaman","prosesor, ","")&amp;IF(L295="Nyaman","grafis, ","")&amp;IF(M295="Nyaman","RAM, ","")&amp;IF(N295="Nyaman","penyimpanan, ","")&amp;IF(O295="Nyaman","layar, ","")&amp;IF(P295="Nyaman","refresh rate, ",""))</f>
        <v/>
      </c>
      <c r="Z295" s="66" t="str">
        <f aca="false">IF($A295="","",IF(Q295="Tidak dinilai","Belum ada kriteria yang dinilai untuk kebutuhan ini.",IF(Q295="Cocok","Semua kriteria yang dinilai sudah nyaman: "&amp;LEFT(Y295,LEN(Y295)-2)&amp;".",UPPER(LEFT(X295,1))&amp;MID(X295,2,LEN(X295)-3)&amp;"."&amp;IF(Y295="",""," Sudah nyaman: "&amp;LEFT(Y295,LEN(Y295)-2)&amp;"."))))</f>
        <v/>
      </c>
      <c r="AA295" s="66" t="str">
        <f aca="false">IF($A295="","",IF(Varian!$AR63="Windows 10","• "&amp;Aturan!$E$71&amp;CHAR(10),"")&amp;IF(Varian!$BB63="tidak","• "&amp;Aturan!$E$72&amp;CHAR(10),"")&amp;IF(OR(Varian!$AD63="belum terverifikasi",Varian!$AD63="tidak diketahui"),"• "&amp;Aturan!$E$73&amp;CHAR(10),"")&amp;IF(Varian!$AH63="1366x768","• "&amp;Aturan!$E$74&amp;CHAR(10),"")&amp;IF(Varian!$AG63="TN","• "&amp;Aturan!$E$75&amp;CHAR(10),"")&amp;IF(AND(Varian!$Q63="disolder",ISNUMBER(Varian!$M63),Varian!$M63&lt;=8),"• "&amp;Aturan!$E$76&amp;CHAR(10),""))</f>
        <v/>
      </c>
      <c r="AB295" s="66" t="str">
        <f aca="false">IF($A295="","",IF(AA295="","",LEFT(AA295,LEN(AA295)-1)))</f>
        <v/>
      </c>
      <c r="AC295" s="67" t="str">
        <f aca="false">IF($A295="","",IF(AA295="",0,LEN(AA295)-LEN(SUBSTITUTE(AA295,CHAR(10),""))))</f>
        <v/>
      </c>
    </row>
    <row r="296" customFormat="false" ht="15" hidden="false" customHeight="true" outlineLevel="0" collapsed="false">
      <c r="A296" s="33" t="str">
        <f aca="false">IF(Varian!$A63="","",Varian!$A63)</f>
        <v/>
      </c>
      <c r="B296" s="33" t="str">
        <f aca="false">IF($A296="","",Aturan!$A$22)</f>
        <v/>
      </c>
      <c r="C296" s="69" t="str">
        <f aca="false">IF($A296="","",IFERROR(IF(ISNUMBER(INDEX(CPU!$J$4:$J$64,MATCH(Varian!$J63,CPU!$A$4:$A$64,0))),INDEX(CPU!$J$4:$J$64,MATCH(Varian!$J63,CPU!$A$4:$A$64,0)),""),""))</f>
        <v/>
      </c>
      <c r="D296" s="69" t="str">
        <f aca="false">IF($A296="","",IFERROR(IF(ISNUMBER(INDEX(GPU!$G$4:$G$64,MATCH(Varian!$K63,GPU!$A$4:$A$64,0))),INDEX(GPU!$G$4:$G$64,MATCH(Varian!$K63,GPU!$A$4:$A$64,0)),""),""))</f>
        <v/>
      </c>
      <c r="E296" s="69" t="str">
        <f aca="false">IF($A296="","",IF(ISNUMBER(Varian!$M63),Varian!$M63,""))</f>
        <v/>
      </c>
      <c r="F296" s="69" t="str">
        <f aca="false">IF($A296="","",IF(ISNUMBER(Varian!$V63),Varian!$V63,""))</f>
        <v/>
      </c>
      <c r="G296" s="69" t="str">
        <f aca="false">IF($A296="","",IFERROR(INDEX(Aturan!$B$63:$B$66,MATCH(Varian!$AG63,Aturan!$A$63:$A$66,0)),""))</f>
        <v/>
      </c>
      <c r="H296" s="69" t="str">
        <f aca="false">IF($A296="","",IF(ISNUMBER(Varian!$AI63),Varian!$AI63,""))</f>
        <v/>
      </c>
      <c r="I296" s="33" t="str">
        <f aca="false">IF($A296="","",IF(Varian!$Q63="disolder","menempel di papan utama, tidak bisa ditambah",IF(OR(Varian!$Q63="slot",Varian!$Q63="setengah_disolder"),IF(Varian!$Q63="setengah_disolder","sebagian menempel, ","")&amp;IF(ISNUMBER(Varian!$U63),IF(AND(ISNUMBER(Varian!$M63),Varian!$U63&gt;Varian!$M63),"bisa dinaikkan lewat slot sampai "&amp;Varian!$U63&amp;" GB","sudah di batas maksimal "&amp;Varian!$U63&amp;" GB"),"ada slot, batas maksimalnya belum diketahui"),"belum diketahui apakah bisa ditambah")))</f>
        <v/>
      </c>
      <c r="J296" s="33" t="str">
        <f aca="false">IF($A296="","",IF(Varian!$Z63="ya","bisa diganti dengan yang lebih besar",IF(Varian!$Z63="tidak","menempel, tidak bisa diganti","belum diketahui apakah bisa diganti")))</f>
        <v/>
      </c>
      <c r="K296" s="70" t="str">
        <f aca="false">IF($A296="","",IF(AND(Aturan!$C$36="",Aturan!$D$36=""),"Tidak dinilai",IF(C296="","Belum ada data",IF(C296&lt;IF(Aturan!$C$36="",0,Aturan!$C$36),"Kurang",IF(C296&gt;=IF(Aturan!$D$36="",Aturan!$C$36,Aturan!$D$36),"Nyaman","Cukup")))))</f>
        <v/>
      </c>
      <c r="L296" s="70" t="str">
        <f aca="false">IF($A296="","",IF(AND(Aturan!$C$37="",Aturan!$D$37=""),"Tidak dinilai",IF(D296="","Belum ada data",IF(D296&lt;IF(Aturan!$C$37="",0,Aturan!$C$37),"Kurang",IF(D296&gt;=IF(Aturan!$D$37="",Aturan!$C$37,Aturan!$D$37),"Nyaman","Cukup")))))</f>
        <v/>
      </c>
      <c r="M296" s="70" t="str">
        <f aca="false">IF($A296="","",IF(AND(Aturan!$C$38="",Aturan!$D$38=""),"Tidak dinilai",IF(E296="","Belum ada data",IF(E296&lt;IF(Aturan!$C$38="",0,Aturan!$C$38),"Kurang",IF(E296&gt;=IF(Aturan!$D$38="",Aturan!$C$38,Aturan!$D$38),"Nyaman","Cukup")))))</f>
        <v/>
      </c>
      <c r="N296" s="70" t="str">
        <f aca="false">IF($A296="","",IF(AND(Aturan!$C$39="",Aturan!$D$39=""),"Tidak dinilai",IF(F296="","Belum ada data",IF(F296&lt;IF(Aturan!$C$39="",0,Aturan!$C$39),"Kurang",IF(F296&gt;=IF(Aturan!$D$39="",Aturan!$C$39,Aturan!$D$39),"Nyaman","Cukup")))))</f>
        <v/>
      </c>
      <c r="O296" s="70" t="str">
        <f aca="false">IF($A296="","",IF(AND(Aturan!$C$40="",Aturan!$D$40=""),"Tidak dinilai",IF(G296="","Belum ada data",IF(G296&lt;IF(Aturan!$C$40="",0,Aturan!$C$40),"Kurang",IF(G296&gt;=IF(Aturan!$D$40="",Aturan!$C$40,Aturan!$D$40),"Nyaman","Cukup")))))</f>
        <v/>
      </c>
      <c r="P296" s="70" t="str">
        <f aca="false">IF($A296="","",IF(AND(Aturan!$C$41="",Aturan!$D$41=""),"Tidak dinilai",IF(H296="","Belum ada data",IF(H296&lt;IF(Aturan!$C$41="",0,Aturan!$C$41),"Kurang",IF(H296&gt;=IF(Aturan!$D$41="",Aturan!$C$41,Aturan!$D$41),"Nyaman","Cukup")))))</f>
        <v/>
      </c>
      <c r="Q296" s="70" t="str">
        <f aca="false">IF($A296="","",IF(COUNTIF(K296:P296,"Tidak dinilai")=6,"Tidak dinilai",IF(COUNTIF(K296:P296,"Kurang")&gt;0,"Kurang cocok",IF(COUNTIF(K296:P296,"Belum ada data")&gt;0,"Data belum lengkap",IF(COUNTIF(K296:P296,"Cukup")&gt;0,"Bisa, dengan catatan","Cocok")))))</f>
        <v/>
      </c>
      <c r="R296" s="33" t="str">
        <f aca="false">IF($A296="","",IF(K296="Kurang","prosesor tingkat "&amp;C296&amp;" dari 5, di bawah batas minimal (tingkat "&amp;Aturan!$C$36&amp;")",IF(K296="Cukup","prosesor tingkat "&amp;C296&amp;" dari 5 cukup, nyamannya mulai tingkat "&amp;Aturan!$D$36,IF(K296="Belum ada data","tingkat prosesor belum diisi",""))))</f>
        <v/>
      </c>
      <c r="S296" s="33" t="str">
        <f aca="false">IF($A296="","",IF(L296="Kurang","grafis tingkat "&amp;D296&amp;" dari 5, di bawah batas minimal (tingkat "&amp;Aturan!$C$37&amp;")",IF(L296="Cukup","grafis tingkat "&amp;D296&amp;" dari 5 cukup, nyamannya mulai tingkat "&amp;Aturan!$D$37,IF(L296="Belum ada data","tingkat grafis belum diisi",""))))</f>
        <v/>
      </c>
      <c r="T296" s="33" t="str">
        <f aca="false">IF($A296="","",IF(M296="Kurang","RAM "&amp;E296&amp;" GB, di bawah batas minimal "&amp;Aturan!$C$38&amp;" GB ("&amp;I296&amp;")",IF(M296="Cukup","RAM "&amp;E296&amp;" GB cukup, nyamannya "&amp;Aturan!$D$38&amp;" GB atau lebih ("&amp;I296&amp;")",IF(M296="Belum ada data","ukuran RAM belum diisi",""))))</f>
        <v/>
      </c>
      <c r="U296" s="33" t="str">
        <f aca="false">IF($A296="","",IF(N296="Kurang","penyimpanan "&amp;F296&amp;" GB, di bawah batas minimal "&amp;Aturan!$C$39&amp;" GB ("&amp;J296&amp;")",IF(N296="Cukup","penyimpanan "&amp;F296&amp;" GB cukup, nyamannya "&amp;Aturan!$D$39&amp;" GB atau lebih ("&amp;J296&amp;")",IF(N296="Belum ada data","ukuran penyimpanan belum diisi",""))))</f>
        <v/>
      </c>
      <c r="V296" s="33" t="str">
        <f aca="false">IF($A296="","",IF(O296="Kurang","layar "&amp;Varian!$AG63&amp;", di bawah batas minimal ("&amp;IFERROR(INDEX(Aturan!$A$63:$A$66,MATCH(Aturan!$C$40,Aturan!$B$63:$B$66,0)),"peringkat "&amp;Aturan!$C$40)&amp;")",IF(O296="Cukup","layar "&amp;Varian!$AG63&amp;" cukup, nyamannya "&amp;IFERROR(INDEX(Aturan!$A$63:$A$66,MATCH(Aturan!$D$40,Aturan!$B$63:$B$66,0)),"peringkat "&amp;Aturan!$D$40),IF(O296="Belum ada data","jenis layar belum diketahui",""))))</f>
        <v/>
      </c>
      <c r="W296" s="33" t="str">
        <f aca="false">IF($A296="","",IF(P296="Kurang","layar "&amp;H296&amp;" Hz, di bawah batas minimal "&amp;Aturan!$C$41&amp;" Hz",IF(P296="Cukup","layar "&amp;H296&amp;" Hz cukup, nyamannya "&amp;Aturan!$D$41&amp;" Hz atau lebih",IF(P296="Belum ada data","refresh rate belum diketahui",""))))</f>
        <v/>
      </c>
      <c r="X296" s="33" t="str">
        <f aca="false">IF($A296="","",IF(K296="Kurang",R296&amp;"; ","")&amp;IF(L296="Kurang",S296&amp;"; ","")&amp;IF(M296="Kurang",T296&amp;"; ","")&amp;IF(N296="Kurang",U296&amp;"; ","")&amp;IF(O296="Kurang",V296&amp;"; ","")&amp;IF(P296="Kurang",W296&amp;"; ","")&amp;IF(K296="Belum ada data",R296&amp;"; ","")&amp;IF(L296="Belum ada data",S296&amp;"; ","")&amp;IF(M296="Belum ada data",T296&amp;"; ","")&amp;IF(N296="Belum ada data",U296&amp;"; ","")&amp;IF(O296="Belum ada data",V296&amp;"; ","")&amp;IF(P296="Belum ada data",W296&amp;"; ","")&amp;IF(K296="Cukup",R296&amp;"; ","")&amp;IF(L296="Cukup",S296&amp;"; ","")&amp;IF(M296="Cukup",T296&amp;"; ","")&amp;IF(N296="Cukup",U296&amp;"; ","")&amp;IF(O296="Cukup",V296&amp;"; ","")&amp;IF(P296="Cukup",W296&amp;"; ",""))</f>
        <v/>
      </c>
      <c r="Y296" s="33" t="str">
        <f aca="false">IF($A296="","",IF(K296="Nyaman","prosesor, ","")&amp;IF(L296="Nyaman","grafis, ","")&amp;IF(M296="Nyaman","RAM, ","")&amp;IF(N296="Nyaman","penyimpanan, ","")&amp;IF(O296="Nyaman","layar, ","")&amp;IF(P296="Nyaman","refresh rate, ",""))</f>
        <v/>
      </c>
      <c r="Z296" s="33" t="str">
        <f aca="false">IF($A296="","",IF(Q296="Tidak dinilai","Belum ada kriteria yang dinilai untuk kebutuhan ini.",IF(Q296="Cocok","Semua kriteria yang dinilai sudah nyaman: "&amp;LEFT(Y296,LEN(Y296)-2)&amp;".",UPPER(LEFT(X296,1))&amp;MID(X296,2,LEN(X296)-3)&amp;"."&amp;IF(Y296="",""," Sudah nyaman: "&amp;LEFT(Y296,LEN(Y296)-2)&amp;"."))))</f>
        <v/>
      </c>
      <c r="AA296" s="33"/>
      <c r="AB296" s="33"/>
      <c r="AC296" s="69"/>
    </row>
    <row r="297" customFormat="false" ht="15" hidden="false" customHeight="true" outlineLevel="0" collapsed="false">
      <c r="A297" s="33" t="str">
        <f aca="false">IF(Varian!$A63="","",Varian!$A63)</f>
        <v/>
      </c>
      <c r="B297" s="33" t="str">
        <f aca="false">IF($A297="","",Aturan!$A$23)</f>
        <v/>
      </c>
      <c r="C297" s="69" t="str">
        <f aca="false">IF($A297="","",IFERROR(IF(ISNUMBER(INDEX(CPU!$J$4:$J$64,MATCH(Varian!$J63,CPU!$A$4:$A$64,0))),INDEX(CPU!$J$4:$J$64,MATCH(Varian!$J63,CPU!$A$4:$A$64,0)),""),""))</f>
        <v/>
      </c>
      <c r="D297" s="69" t="str">
        <f aca="false">IF($A297="","",IFERROR(IF(ISNUMBER(INDEX(GPU!$G$4:$G$64,MATCH(Varian!$K63,GPU!$A$4:$A$64,0))),INDEX(GPU!$G$4:$G$64,MATCH(Varian!$K63,GPU!$A$4:$A$64,0)),""),""))</f>
        <v/>
      </c>
      <c r="E297" s="69" t="str">
        <f aca="false">IF($A297="","",IF(ISNUMBER(Varian!$M63),Varian!$M63,""))</f>
        <v/>
      </c>
      <c r="F297" s="69" t="str">
        <f aca="false">IF($A297="","",IF(ISNUMBER(Varian!$V63),Varian!$V63,""))</f>
        <v/>
      </c>
      <c r="G297" s="69" t="str">
        <f aca="false">IF($A297="","",IFERROR(INDEX(Aturan!$B$63:$B$66,MATCH(Varian!$AG63,Aturan!$A$63:$A$66,0)),""))</f>
        <v/>
      </c>
      <c r="H297" s="69" t="str">
        <f aca="false">IF($A297="","",IF(ISNUMBER(Varian!$AI63),Varian!$AI63,""))</f>
        <v/>
      </c>
      <c r="I297" s="33" t="str">
        <f aca="false">IF($A297="","",IF(Varian!$Q63="disolder","menempel di papan utama, tidak bisa ditambah",IF(OR(Varian!$Q63="slot",Varian!$Q63="setengah_disolder"),IF(Varian!$Q63="setengah_disolder","sebagian menempel, ","")&amp;IF(ISNUMBER(Varian!$U63),IF(AND(ISNUMBER(Varian!$M63),Varian!$U63&gt;Varian!$M63),"bisa dinaikkan lewat slot sampai "&amp;Varian!$U63&amp;" GB","sudah di batas maksimal "&amp;Varian!$U63&amp;" GB"),"ada slot, batas maksimalnya belum diketahui"),"belum diketahui apakah bisa ditambah")))</f>
        <v/>
      </c>
      <c r="J297" s="33" t="str">
        <f aca="false">IF($A297="","",IF(Varian!$Z63="ya","bisa diganti dengan yang lebih besar",IF(Varian!$Z63="tidak","menempel, tidak bisa diganti","belum diketahui apakah bisa diganti")))</f>
        <v/>
      </c>
      <c r="K297" s="70" t="str">
        <f aca="false">IF($A297="","",IF(AND(Aturan!$C$42="",Aturan!$D$42=""),"Tidak dinilai",IF(C297="","Belum ada data",IF(C297&lt;IF(Aturan!$C$42="",0,Aturan!$C$42),"Kurang",IF(C297&gt;=IF(Aturan!$D$42="",Aturan!$C$42,Aturan!$D$42),"Nyaman","Cukup")))))</f>
        <v/>
      </c>
      <c r="L297" s="70" t="str">
        <f aca="false">IF($A297="","",IF(AND(Aturan!$C$43="",Aturan!$D$43=""),"Tidak dinilai",IF(D297="","Belum ada data",IF(D297&lt;IF(Aturan!$C$43="",0,Aturan!$C$43),"Kurang",IF(D297&gt;=IF(Aturan!$D$43="",Aturan!$C$43,Aturan!$D$43),"Nyaman","Cukup")))))</f>
        <v/>
      </c>
      <c r="M297" s="70" t="str">
        <f aca="false">IF($A297="","",IF(AND(Aturan!$C$44="",Aturan!$D$44=""),"Tidak dinilai",IF(E297="","Belum ada data",IF(E297&lt;IF(Aturan!$C$44="",0,Aturan!$C$44),"Kurang",IF(E297&gt;=IF(Aturan!$D$44="",Aturan!$C$44,Aturan!$D$44),"Nyaman","Cukup")))))</f>
        <v/>
      </c>
      <c r="N297" s="70" t="str">
        <f aca="false">IF($A297="","",IF(AND(Aturan!$C$45="",Aturan!$D$45=""),"Tidak dinilai",IF(F297="","Belum ada data",IF(F297&lt;IF(Aturan!$C$45="",0,Aturan!$C$45),"Kurang",IF(F297&gt;=IF(Aturan!$D$45="",Aturan!$C$45,Aturan!$D$45),"Nyaman","Cukup")))))</f>
        <v/>
      </c>
      <c r="O297" s="70" t="str">
        <f aca="false">IF($A297="","",IF(AND(Aturan!$C$46="",Aturan!$D$46=""),"Tidak dinilai",IF(G297="","Belum ada data",IF(G297&lt;IF(Aturan!$C$46="",0,Aturan!$C$46),"Kurang",IF(G297&gt;=IF(Aturan!$D$46="",Aturan!$C$46,Aturan!$D$46),"Nyaman","Cukup")))))</f>
        <v/>
      </c>
      <c r="P297" s="70" t="str">
        <f aca="false">IF($A297="","",IF(AND(Aturan!$C$47="",Aturan!$D$47=""),"Tidak dinilai",IF(H297="","Belum ada data",IF(H297&lt;IF(Aturan!$C$47="",0,Aturan!$C$47),"Kurang",IF(H297&gt;=IF(Aturan!$D$47="",Aturan!$C$47,Aturan!$D$47),"Nyaman","Cukup")))))</f>
        <v/>
      </c>
      <c r="Q297" s="70" t="str">
        <f aca="false">IF($A297="","",IF(COUNTIF(K297:P297,"Tidak dinilai")=6,"Tidak dinilai",IF(COUNTIF(K297:P297,"Kurang")&gt;0,"Kurang cocok",IF(COUNTIF(K297:P297,"Belum ada data")&gt;0,"Data belum lengkap",IF(COUNTIF(K297:P297,"Cukup")&gt;0,"Bisa, dengan catatan","Cocok")))))</f>
        <v/>
      </c>
      <c r="R297" s="33" t="str">
        <f aca="false">IF($A297="","",IF(K297="Kurang","prosesor tingkat "&amp;C297&amp;" dari 5, di bawah batas minimal (tingkat "&amp;Aturan!$C$42&amp;")",IF(K297="Cukup","prosesor tingkat "&amp;C297&amp;" dari 5 cukup, nyamannya mulai tingkat "&amp;Aturan!$D$42,IF(K297="Belum ada data","tingkat prosesor belum diisi",""))))</f>
        <v/>
      </c>
      <c r="S297" s="33" t="str">
        <f aca="false">IF($A297="","",IF(L297="Kurang","grafis tingkat "&amp;D297&amp;" dari 5, di bawah batas minimal (tingkat "&amp;Aturan!$C$43&amp;")",IF(L297="Cukup","grafis tingkat "&amp;D297&amp;" dari 5 cukup, nyamannya mulai tingkat "&amp;Aturan!$D$43,IF(L297="Belum ada data","tingkat grafis belum diisi",""))))</f>
        <v/>
      </c>
      <c r="T297" s="33" t="str">
        <f aca="false">IF($A297="","",IF(M297="Kurang","RAM "&amp;E297&amp;" GB, di bawah batas minimal "&amp;Aturan!$C$44&amp;" GB ("&amp;I297&amp;")",IF(M297="Cukup","RAM "&amp;E297&amp;" GB cukup, nyamannya "&amp;Aturan!$D$44&amp;" GB atau lebih ("&amp;I297&amp;")",IF(M297="Belum ada data","ukuran RAM belum diisi",""))))</f>
        <v/>
      </c>
      <c r="U297" s="33" t="str">
        <f aca="false">IF($A297="","",IF(N297="Kurang","penyimpanan "&amp;F297&amp;" GB, di bawah batas minimal "&amp;Aturan!$C$45&amp;" GB ("&amp;J297&amp;")",IF(N297="Cukup","penyimpanan "&amp;F297&amp;" GB cukup, nyamannya "&amp;Aturan!$D$45&amp;" GB atau lebih ("&amp;J297&amp;")",IF(N297="Belum ada data","ukuran penyimpanan belum diisi",""))))</f>
        <v/>
      </c>
      <c r="V297" s="33" t="str">
        <f aca="false">IF($A297="","",IF(O297="Kurang","layar "&amp;Varian!$AG63&amp;", di bawah batas minimal ("&amp;IFERROR(INDEX(Aturan!$A$63:$A$66,MATCH(Aturan!$C$46,Aturan!$B$63:$B$66,0)),"peringkat "&amp;Aturan!$C$46)&amp;")",IF(O297="Cukup","layar "&amp;Varian!$AG63&amp;" cukup, nyamannya "&amp;IFERROR(INDEX(Aturan!$A$63:$A$66,MATCH(Aturan!$D$46,Aturan!$B$63:$B$66,0)),"peringkat "&amp;Aturan!$D$46),IF(O297="Belum ada data","jenis layar belum diketahui",""))))</f>
        <v/>
      </c>
      <c r="W297" s="33" t="str">
        <f aca="false">IF($A297="","",IF(P297="Kurang","layar "&amp;H297&amp;" Hz, di bawah batas minimal "&amp;Aturan!$C$47&amp;" Hz",IF(P297="Cukup","layar "&amp;H297&amp;" Hz cukup, nyamannya "&amp;Aturan!$D$47&amp;" Hz atau lebih",IF(P297="Belum ada data","refresh rate belum diketahui",""))))</f>
        <v/>
      </c>
      <c r="X297" s="33" t="str">
        <f aca="false">IF($A297="","",IF(K297="Kurang",R297&amp;"; ","")&amp;IF(L297="Kurang",S297&amp;"; ","")&amp;IF(M297="Kurang",T297&amp;"; ","")&amp;IF(N297="Kurang",U297&amp;"; ","")&amp;IF(O297="Kurang",V297&amp;"; ","")&amp;IF(P297="Kurang",W297&amp;"; ","")&amp;IF(K297="Belum ada data",R297&amp;"; ","")&amp;IF(L297="Belum ada data",S297&amp;"; ","")&amp;IF(M297="Belum ada data",T297&amp;"; ","")&amp;IF(N297="Belum ada data",U297&amp;"; ","")&amp;IF(O297="Belum ada data",V297&amp;"; ","")&amp;IF(P297="Belum ada data",W297&amp;"; ","")&amp;IF(K297="Cukup",R297&amp;"; ","")&amp;IF(L297="Cukup",S297&amp;"; ","")&amp;IF(M297="Cukup",T297&amp;"; ","")&amp;IF(N297="Cukup",U297&amp;"; ","")&amp;IF(O297="Cukup",V297&amp;"; ","")&amp;IF(P297="Cukup",W297&amp;"; ",""))</f>
        <v/>
      </c>
      <c r="Y297" s="33" t="str">
        <f aca="false">IF($A297="","",IF(K297="Nyaman","prosesor, ","")&amp;IF(L297="Nyaman","grafis, ","")&amp;IF(M297="Nyaman","RAM, ","")&amp;IF(N297="Nyaman","penyimpanan, ","")&amp;IF(O297="Nyaman","layar, ","")&amp;IF(P297="Nyaman","refresh rate, ",""))</f>
        <v/>
      </c>
      <c r="Z297" s="33" t="str">
        <f aca="false">IF($A297="","",IF(Q297="Tidak dinilai","Belum ada kriteria yang dinilai untuk kebutuhan ini.",IF(Q297="Cocok","Semua kriteria yang dinilai sudah nyaman: "&amp;LEFT(Y297,LEN(Y297)-2)&amp;".",UPPER(LEFT(X297,1))&amp;MID(X297,2,LEN(X297)-3)&amp;"."&amp;IF(Y297="",""," Sudah nyaman: "&amp;LEFT(Y297,LEN(Y297)-2)&amp;"."))))</f>
        <v/>
      </c>
      <c r="AA297" s="33"/>
      <c r="AB297" s="33"/>
      <c r="AC297" s="69"/>
    </row>
    <row r="298" customFormat="false" ht="15" hidden="false" customHeight="true" outlineLevel="0" collapsed="false">
      <c r="A298" s="33" t="str">
        <f aca="false">IF(Varian!$A63="","",Varian!$A63)</f>
        <v/>
      </c>
      <c r="B298" s="33" t="str">
        <f aca="false">IF($A298="","",Aturan!$A$24)</f>
        <v/>
      </c>
      <c r="C298" s="69" t="str">
        <f aca="false">IF($A298="","",IFERROR(IF(ISNUMBER(INDEX(CPU!$J$4:$J$64,MATCH(Varian!$J63,CPU!$A$4:$A$64,0))),INDEX(CPU!$J$4:$J$64,MATCH(Varian!$J63,CPU!$A$4:$A$64,0)),""),""))</f>
        <v/>
      </c>
      <c r="D298" s="69" t="str">
        <f aca="false">IF($A298="","",IFERROR(IF(ISNUMBER(INDEX(GPU!$G$4:$G$64,MATCH(Varian!$K63,GPU!$A$4:$A$64,0))),INDEX(GPU!$G$4:$G$64,MATCH(Varian!$K63,GPU!$A$4:$A$64,0)),""),""))</f>
        <v/>
      </c>
      <c r="E298" s="69" t="str">
        <f aca="false">IF($A298="","",IF(ISNUMBER(Varian!$M63),Varian!$M63,""))</f>
        <v/>
      </c>
      <c r="F298" s="69" t="str">
        <f aca="false">IF($A298="","",IF(ISNUMBER(Varian!$V63),Varian!$V63,""))</f>
        <v/>
      </c>
      <c r="G298" s="69" t="str">
        <f aca="false">IF($A298="","",IFERROR(INDEX(Aturan!$B$63:$B$66,MATCH(Varian!$AG63,Aturan!$A$63:$A$66,0)),""))</f>
        <v/>
      </c>
      <c r="H298" s="69" t="str">
        <f aca="false">IF($A298="","",IF(ISNUMBER(Varian!$AI63),Varian!$AI63,""))</f>
        <v/>
      </c>
      <c r="I298" s="33" t="str">
        <f aca="false">IF($A298="","",IF(Varian!$Q63="disolder","menempel di papan utama, tidak bisa ditambah",IF(OR(Varian!$Q63="slot",Varian!$Q63="setengah_disolder"),IF(Varian!$Q63="setengah_disolder","sebagian menempel, ","")&amp;IF(ISNUMBER(Varian!$U63),IF(AND(ISNUMBER(Varian!$M63),Varian!$U63&gt;Varian!$M63),"bisa dinaikkan lewat slot sampai "&amp;Varian!$U63&amp;" GB","sudah di batas maksimal "&amp;Varian!$U63&amp;" GB"),"ada slot, batas maksimalnya belum diketahui"),"belum diketahui apakah bisa ditambah")))</f>
        <v/>
      </c>
      <c r="J298" s="33" t="str">
        <f aca="false">IF($A298="","",IF(Varian!$Z63="ya","bisa diganti dengan yang lebih besar",IF(Varian!$Z63="tidak","menempel, tidak bisa diganti","belum diketahui apakah bisa diganti")))</f>
        <v/>
      </c>
      <c r="K298" s="70" t="str">
        <f aca="false">IF($A298="","",IF(AND(Aturan!$C$48="",Aturan!$D$48=""),"Tidak dinilai",IF(C298="","Belum ada data",IF(C298&lt;IF(Aturan!$C$48="",0,Aturan!$C$48),"Kurang",IF(C298&gt;=IF(Aturan!$D$48="",Aturan!$C$48,Aturan!$D$48),"Nyaman","Cukup")))))</f>
        <v/>
      </c>
      <c r="L298" s="70" t="str">
        <f aca="false">IF($A298="","",IF(AND(Aturan!$C$49="",Aturan!$D$49=""),"Tidak dinilai",IF(D298="","Belum ada data",IF(D298&lt;IF(Aturan!$C$49="",0,Aturan!$C$49),"Kurang",IF(D298&gt;=IF(Aturan!$D$49="",Aturan!$C$49,Aturan!$D$49),"Nyaman","Cukup")))))</f>
        <v/>
      </c>
      <c r="M298" s="70" t="str">
        <f aca="false">IF($A298="","",IF(AND(Aturan!$C$50="",Aturan!$D$50=""),"Tidak dinilai",IF(E298="","Belum ada data",IF(E298&lt;IF(Aturan!$C$50="",0,Aturan!$C$50),"Kurang",IF(E298&gt;=IF(Aturan!$D$50="",Aturan!$C$50,Aturan!$D$50),"Nyaman","Cukup")))))</f>
        <v/>
      </c>
      <c r="N298" s="70" t="str">
        <f aca="false">IF($A298="","",IF(AND(Aturan!$C$51="",Aturan!$D$51=""),"Tidak dinilai",IF(F298="","Belum ada data",IF(F298&lt;IF(Aturan!$C$51="",0,Aturan!$C$51),"Kurang",IF(F298&gt;=IF(Aturan!$D$51="",Aturan!$C$51,Aturan!$D$51),"Nyaman","Cukup")))))</f>
        <v/>
      </c>
      <c r="O298" s="70" t="str">
        <f aca="false">IF($A298="","",IF(AND(Aturan!$C$52="",Aturan!$D$52=""),"Tidak dinilai",IF(G298="","Belum ada data",IF(G298&lt;IF(Aturan!$C$52="",0,Aturan!$C$52),"Kurang",IF(G298&gt;=IF(Aturan!$D$52="",Aturan!$C$52,Aturan!$D$52),"Nyaman","Cukup")))))</f>
        <v/>
      </c>
      <c r="P298" s="70" t="str">
        <f aca="false">IF($A298="","",IF(AND(Aturan!$C$53="",Aturan!$D$53=""),"Tidak dinilai",IF(H298="","Belum ada data",IF(H298&lt;IF(Aturan!$C$53="",0,Aturan!$C$53),"Kurang",IF(H298&gt;=IF(Aturan!$D$53="",Aturan!$C$53,Aturan!$D$53),"Nyaman","Cukup")))))</f>
        <v/>
      </c>
      <c r="Q298" s="70" t="str">
        <f aca="false">IF($A298="","",IF(COUNTIF(K298:P298,"Tidak dinilai")=6,"Tidak dinilai",IF(COUNTIF(K298:P298,"Kurang")&gt;0,"Kurang cocok",IF(COUNTIF(K298:P298,"Belum ada data")&gt;0,"Data belum lengkap",IF(COUNTIF(K298:P298,"Cukup")&gt;0,"Bisa, dengan catatan","Cocok")))))</f>
        <v/>
      </c>
      <c r="R298" s="33" t="str">
        <f aca="false">IF($A298="","",IF(K298="Kurang","prosesor tingkat "&amp;C298&amp;" dari 5, di bawah batas minimal (tingkat "&amp;Aturan!$C$48&amp;")",IF(K298="Cukup","prosesor tingkat "&amp;C298&amp;" dari 5 cukup, nyamannya mulai tingkat "&amp;Aturan!$D$48,IF(K298="Belum ada data","tingkat prosesor belum diisi",""))))</f>
        <v/>
      </c>
      <c r="S298" s="33" t="str">
        <f aca="false">IF($A298="","",IF(L298="Kurang","grafis tingkat "&amp;D298&amp;" dari 5, di bawah batas minimal (tingkat "&amp;Aturan!$C$49&amp;")",IF(L298="Cukup","grafis tingkat "&amp;D298&amp;" dari 5 cukup, nyamannya mulai tingkat "&amp;Aturan!$D$49,IF(L298="Belum ada data","tingkat grafis belum diisi",""))))</f>
        <v/>
      </c>
      <c r="T298" s="33" t="str">
        <f aca="false">IF($A298="","",IF(M298="Kurang","RAM "&amp;E298&amp;" GB, di bawah batas minimal "&amp;Aturan!$C$50&amp;" GB ("&amp;I298&amp;")",IF(M298="Cukup","RAM "&amp;E298&amp;" GB cukup, nyamannya "&amp;Aturan!$D$50&amp;" GB atau lebih ("&amp;I298&amp;")",IF(M298="Belum ada data","ukuran RAM belum diisi",""))))</f>
        <v/>
      </c>
      <c r="U298" s="33" t="str">
        <f aca="false">IF($A298="","",IF(N298="Kurang","penyimpanan "&amp;F298&amp;" GB, di bawah batas minimal "&amp;Aturan!$C$51&amp;" GB ("&amp;J298&amp;")",IF(N298="Cukup","penyimpanan "&amp;F298&amp;" GB cukup, nyamannya "&amp;Aturan!$D$51&amp;" GB atau lebih ("&amp;J298&amp;")",IF(N298="Belum ada data","ukuran penyimpanan belum diisi",""))))</f>
        <v/>
      </c>
      <c r="V298" s="33" t="str">
        <f aca="false">IF($A298="","",IF(O298="Kurang","layar "&amp;Varian!$AG63&amp;", di bawah batas minimal ("&amp;IFERROR(INDEX(Aturan!$A$63:$A$66,MATCH(Aturan!$C$52,Aturan!$B$63:$B$66,0)),"peringkat "&amp;Aturan!$C$52)&amp;")",IF(O298="Cukup","layar "&amp;Varian!$AG63&amp;" cukup, nyamannya "&amp;IFERROR(INDEX(Aturan!$A$63:$A$66,MATCH(Aturan!$D$52,Aturan!$B$63:$B$66,0)),"peringkat "&amp;Aturan!$D$52),IF(O298="Belum ada data","jenis layar belum diketahui",""))))</f>
        <v/>
      </c>
      <c r="W298" s="33" t="str">
        <f aca="false">IF($A298="","",IF(P298="Kurang","layar "&amp;H298&amp;" Hz, di bawah batas minimal "&amp;Aturan!$C$53&amp;" Hz",IF(P298="Cukup","layar "&amp;H298&amp;" Hz cukup, nyamannya "&amp;Aturan!$D$53&amp;" Hz atau lebih",IF(P298="Belum ada data","refresh rate belum diketahui",""))))</f>
        <v/>
      </c>
      <c r="X298" s="33" t="str">
        <f aca="false">IF($A298="","",IF(K298="Kurang",R298&amp;"; ","")&amp;IF(L298="Kurang",S298&amp;"; ","")&amp;IF(M298="Kurang",T298&amp;"; ","")&amp;IF(N298="Kurang",U298&amp;"; ","")&amp;IF(O298="Kurang",V298&amp;"; ","")&amp;IF(P298="Kurang",W298&amp;"; ","")&amp;IF(K298="Belum ada data",R298&amp;"; ","")&amp;IF(L298="Belum ada data",S298&amp;"; ","")&amp;IF(M298="Belum ada data",T298&amp;"; ","")&amp;IF(N298="Belum ada data",U298&amp;"; ","")&amp;IF(O298="Belum ada data",V298&amp;"; ","")&amp;IF(P298="Belum ada data",W298&amp;"; ","")&amp;IF(K298="Cukup",R298&amp;"; ","")&amp;IF(L298="Cukup",S298&amp;"; ","")&amp;IF(M298="Cukup",T298&amp;"; ","")&amp;IF(N298="Cukup",U298&amp;"; ","")&amp;IF(O298="Cukup",V298&amp;"; ","")&amp;IF(P298="Cukup",W298&amp;"; ",""))</f>
        <v/>
      </c>
      <c r="Y298" s="33" t="str">
        <f aca="false">IF($A298="","",IF(K298="Nyaman","prosesor, ","")&amp;IF(L298="Nyaman","grafis, ","")&amp;IF(M298="Nyaman","RAM, ","")&amp;IF(N298="Nyaman","penyimpanan, ","")&amp;IF(O298="Nyaman","layar, ","")&amp;IF(P298="Nyaman","refresh rate, ",""))</f>
        <v/>
      </c>
      <c r="Z298" s="33" t="str">
        <f aca="false">IF($A298="","",IF(Q298="Tidak dinilai","Belum ada kriteria yang dinilai untuk kebutuhan ini.",IF(Q298="Cocok","Semua kriteria yang dinilai sudah nyaman: "&amp;LEFT(Y298,LEN(Y298)-2)&amp;".",UPPER(LEFT(X298,1))&amp;MID(X298,2,LEN(X298)-3)&amp;"."&amp;IF(Y298="",""," Sudah nyaman: "&amp;LEFT(Y298,LEN(Y298)-2)&amp;"."))))</f>
        <v/>
      </c>
      <c r="AA298" s="33"/>
      <c r="AB298" s="33"/>
      <c r="AC298" s="69"/>
    </row>
    <row r="299" customFormat="false" ht="15" hidden="false" customHeight="true" outlineLevel="0" collapsed="false">
      <c r="A299" s="33" t="str">
        <f aca="false">IF(Varian!$A63="","",Varian!$A63)</f>
        <v/>
      </c>
      <c r="B299" s="33" t="str">
        <f aca="false">IF($A299="","",Aturan!$A$25)</f>
        <v/>
      </c>
      <c r="C299" s="69" t="str">
        <f aca="false">IF($A299="","",IFERROR(IF(ISNUMBER(INDEX(CPU!$J$4:$J$64,MATCH(Varian!$J63,CPU!$A$4:$A$64,0))),INDEX(CPU!$J$4:$J$64,MATCH(Varian!$J63,CPU!$A$4:$A$64,0)),""),""))</f>
        <v/>
      </c>
      <c r="D299" s="69" t="str">
        <f aca="false">IF($A299="","",IFERROR(IF(ISNUMBER(INDEX(GPU!$G$4:$G$64,MATCH(Varian!$K63,GPU!$A$4:$A$64,0))),INDEX(GPU!$G$4:$G$64,MATCH(Varian!$K63,GPU!$A$4:$A$64,0)),""),""))</f>
        <v/>
      </c>
      <c r="E299" s="69" t="str">
        <f aca="false">IF($A299="","",IF(ISNUMBER(Varian!$M63),Varian!$M63,""))</f>
        <v/>
      </c>
      <c r="F299" s="69" t="str">
        <f aca="false">IF($A299="","",IF(ISNUMBER(Varian!$V63),Varian!$V63,""))</f>
        <v/>
      </c>
      <c r="G299" s="69" t="str">
        <f aca="false">IF($A299="","",IFERROR(INDEX(Aturan!$B$63:$B$66,MATCH(Varian!$AG63,Aturan!$A$63:$A$66,0)),""))</f>
        <v/>
      </c>
      <c r="H299" s="69" t="str">
        <f aca="false">IF($A299="","",IF(ISNUMBER(Varian!$AI63),Varian!$AI63,""))</f>
        <v/>
      </c>
      <c r="I299" s="33" t="str">
        <f aca="false">IF($A299="","",IF(Varian!$Q63="disolder","menempel di papan utama, tidak bisa ditambah",IF(OR(Varian!$Q63="slot",Varian!$Q63="setengah_disolder"),IF(Varian!$Q63="setengah_disolder","sebagian menempel, ","")&amp;IF(ISNUMBER(Varian!$U63),IF(AND(ISNUMBER(Varian!$M63),Varian!$U63&gt;Varian!$M63),"bisa dinaikkan lewat slot sampai "&amp;Varian!$U63&amp;" GB","sudah di batas maksimal "&amp;Varian!$U63&amp;" GB"),"ada slot, batas maksimalnya belum diketahui"),"belum diketahui apakah bisa ditambah")))</f>
        <v/>
      </c>
      <c r="J299" s="33" t="str">
        <f aca="false">IF($A299="","",IF(Varian!$Z63="ya","bisa diganti dengan yang lebih besar",IF(Varian!$Z63="tidak","menempel, tidak bisa diganti","belum diketahui apakah bisa diganti")))</f>
        <v/>
      </c>
      <c r="K299" s="70" t="str">
        <f aca="false">IF($A299="","",IF(AND(Aturan!$C$54="",Aturan!$D$54=""),"Tidak dinilai",IF(C299="","Belum ada data",IF(C299&lt;IF(Aturan!$C$54="",0,Aturan!$C$54),"Kurang",IF(C299&gt;=IF(Aturan!$D$54="",Aturan!$C$54,Aturan!$D$54),"Nyaman","Cukup")))))</f>
        <v/>
      </c>
      <c r="L299" s="70" t="str">
        <f aca="false">IF($A299="","",IF(AND(Aturan!$C$55="",Aturan!$D$55=""),"Tidak dinilai",IF(D299="","Belum ada data",IF(D299&lt;IF(Aturan!$C$55="",0,Aturan!$C$55),"Kurang",IF(D299&gt;=IF(Aturan!$D$55="",Aturan!$C$55,Aturan!$D$55),"Nyaman","Cukup")))))</f>
        <v/>
      </c>
      <c r="M299" s="70" t="str">
        <f aca="false">IF($A299="","",IF(AND(Aturan!$C$56="",Aturan!$D$56=""),"Tidak dinilai",IF(E299="","Belum ada data",IF(E299&lt;IF(Aturan!$C$56="",0,Aturan!$C$56),"Kurang",IF(E299&gt;=IF(Aturan!$D$56="",Aturan!$C$56,Aturan!$D$56),"Nyaman","Cukup")))))</f>
        <v/>
      </c>
      <c r="N299" s="70" t="str">
        <f aca="false">IF($A299="","",IF(AND(Aturan!$C$57="",Aturan!$D$57=""),"Tidak dinilai",IF(F299="","Belum ada data",IF(F299&lt;IF(Aturan!$C$57="",0,Aturan!$C$57),"Kurang",IF(F299&gt;=IF(Aturan!$D$57="",Aturan!$C$57,Aturan!$D$57),"Nyaman","Cukup")))))</f>
        <v/>
      </c>
      <c r="O299" s="70" t="str">
        <f aca="false">IF($A299="","",IF(AND(Aturan!$C$58="",Aturan!$D$58=""),"Tidak dinilai",IF(G299="","Belum ada data",IF(G299&lt;IF(Aturan!$C$58="",0,Aturan!$C$58),"Kurang",IF(G299&gt;=IF(Aturan!$D$58="",Aturan!$C$58,Aturan!$D$58),"Nyaman","Cukup")))))</f>
        <v/>
      </c>
      <c r="P299" s="70" t="str">
        <f aca="false">IF($A299="","",IF(AND(Aturan!$C$59="",Aturan!$D$59=""),"Tidak dinilai",IF(H299="","Belum ada data",IF(H299&lt;IF(Aturan!$C$59="",0,Aturan!$C$59),"Kurang",IF(H299&gt;=IF(Aturan!$D$59="",Aturan!$C$59,Aturan!$D$59),"Nyaman","Cukup")))))</f>
        <v/>
      </c>
      <c r="Q299" s="70" t="str">
        <f aca="false">IF($A299="","",IF(COUNTIF(K299:P299,"Tidak dinilai")=6,"Tidak dinilai",IF(COUNTIF(K299:P299,"Kurang")&gt;0,"Kurang cocok",IF(COUNTIF(K299:P299,"Belum ada data")&gt;0,"Data belum lengkap",IF(COUNTIF(K299:P299,"Cukup")&gt;0,"Bisa, dengan catatan","Cocok")))))</f>
        <v/>
      </c>
      <c r="R299" s="33" t="str">
        <f aca="false">IF($A299="","",IF(K299="Kurang","prosesor tingkat "&amp;C299&amp;" dari 5, di bawah batas minimal (tingkat "&amp;Aturan!$C$54&amp;")",IF(K299="Cukup","prosesor tingkat "&amp;C299&amp;" dari 5 cukup, nyamannya mulai tingkat "&amp;Aturan!$D$54,IF(K299="Belum ada data","tingkat prosesor belum diisi",""))))</f>
        <v/>
      </c>
      <c r="S299" s="33" t="str">
        <f aca="false">IF($A299="","",IF(L299="Kurang","grafis tingkat "&amp;D299&amp;" dari 5, di bawah batas minimal (tingkat "&amp;Aturan!$C$55&amp;")",IF(L299="Cukup","grafis tingkat "&amp;D299&amp;" dari 5 cukup, nyamannya mulai tingkat "&amp;Aturan!$D$55,IF(L299="Belum ada data","tingkat grafis belum diisi",""))))</f>
        <v/>
      </c>
      <c r="T299" s="33" t="str">
        <f aca="false">IF($A299="","",IF(M299="Kurang","RAM "&amp;E299&amp;" GB, di bawah batas minimal "&amp;Aturan!$C$56&amp;" GB ("&amp;I299&amp;")",IF(M299="Cukup","RAM "&amp;E299&amp;" GB cukup, nyamannya "&amp;Aturan!$D$56&amp;" GB atau lebih ("&amp;I299&amp;")",IF(M299="Belum ada data","ukuran RAM belum diisi",""))))</f>
        <v/>
      </c>
      <c r="U299" s="33" t="str">
        <f aca="false">IF($A299="","",IF(N299="Kurang","penyimpanan "&amp;F299&amp;" GB, di bawah batas minimal "&amp;Aturan!$C$57&amp;" GB ("&amp;J299&amp;")",IF(N299="Cukup","penyimpanan "&amp;F299&amp;" GB cukup, nyamannya "&amp;Aturan!$D$57&amp;" GB atau lebih ("&amp;J299&amp;")",IF(N299="Belum ada data","ukuran penyimpanan belum diisi",""))))</f>
        <v/>
      </c>
      <c r="V299" s="33" t="str">
        <f aca="false">IF($A299="","",IF(O299="Kurang","layar "&amp;Varian!$AG63&amp;", di bawah batas minimal ("&amp;IFERROR(INDEX(Aturan!$A$63:$A$66,MATCH(Aturan!$C$58,Aturan!$B$63:$B$66,0)),"peringkat "&amp;Aturan!$C$58)&amp;")",IF(O299="Cukup","layar "&amp;Varian!$AG63&amp;" cukup, nyamannya "&amp;IFERROR(INDEX(Aturan!$A$63:$A$66,MATCH(Aturan!$D$58,Aturan!$B$63:$B$66,0)),"peringkat "&amp;Aturan!$D$58),IF(O299="Belum ada data","jenis layar belum diketahui",""))))</f>
        <v/>
      </c>
      <c r="W299" s="33" t="str">
        <f aca="false">IF($A299="","",IF(P299="Kurang","layar "&amp;H299&amp;" Hz, di bawah batas minimal "&amp;Aturan!$C$59&amp;" Hz",IF(P299="Cukup","layar "&amp;H299&amp;" Hz cukup, nyamannya "&amp;Aturan!$D$59&amp;" Hz atau lebih",IF(P299="Belum ada data","refresh rate belum diketahui",""))))</f>
        <v/>
      </c>
      <c r="X299" s="33" t="str">
        <f aca="false">IF($A299="","",IF(K299="Kurang",R299&amp;"; ","")&amp;IF(L299="Kurang",S299&amp;"; ","")&amp;IF(M299="Kurang",T299&amp;"; ","")&amp;IF(N299="Kurang",U299&amp;"; ","")&amp;IF(O299="Kurang",V299&amp;"; ","")&amp;IF(P299="Kurang",W299&amp;"; ","")&amp;IF(K299="Belum ada data",R299&amp;"; ","")&amp;IF(L299="Belum ada data",S299&amp;"; ","")&amp;IF(M299="Belum ada data",T299&amp;"; ","")&amp;IF(N299="Belum ada data",U299&amp;"; ","")&amp;IF(O299="Belum ada data",V299&amp;"; ","")&amp;IF(P299="Belum ada data",W299&amp;"; ","")&amp;IF(K299="Cukup",R299&amp;"; ","")&amp;IF(L299="Cukup",S299&amp;"; ","")&amp;IF(M299="Cukup",T299&amp;"; ","")&amp;IF(N299="Cukup",U299&amp;"; ","")&amp;IF(O299="Cukup",V299&amp;"; ","")&amp;IF(P299="Cukup",W299&amp;"; ",""))</f>
        <v/>
      </c>
      <c r="Y299" s="33" t="str">
        <f aca="false">IF($A299="","",IF(K299="Nyaman","prosesor, ","")&amp;IF(L299="Nyaman","grafis, ","")&amp;IF(M299="Nyaman","RAM, ","")&amp;IF(N299="Nyaman","penyimpanan, ","")&amp;IF(O299="Nyaman","layar, ","")&amp;IF(P299="Nyaman","refresh rate, ",""))</f>
        <v/>
      </c>
      <c r="Z299" s="33" t="str">
        <f aca="false">IF($A299="","",IF(Q299="Tidak dinilai","Belum ada kriteria yang dinilai untuk kebutuhan ini.",IF(Q299="Cocok","Semua kriteria yang dinilai sudah nyaman: "&amp;LEFT(Y299,LEN(Y299)-2)&amp;".",UPPER(LEFT(X299,1))&amp;MID(X299,2,LEN(X299)-3)&amp;"."&amp;IF(Y299="",""," Sudah nyaman: "&amp;LEFT(Y299,LEN(Y299)-2)&amp;"."))))</f>
        <v/>
      </c>
      <c r="AA299" s="33"/>
      <c r="AB299" s="33"/>
      <c r="AC299" s="69"/>
    </row>
    <row r="300" customFormat="false" ht="15" hidden="false" customHeight="true" outlineLevel="0" collapsed="false">
      <c r="A300" s="66" t="str">
        <f aca="false">IF(Varian!$A64="","",Varian!$A64)</f>
        <v/>
      </c>
      <c r="B300" s="66" t="str">
        <f aca="false">IF($A300="","",Aturan!$A$21)</f>
        <v/>
      </c>
      <c r="C300" s="67" t="str">
        <f aca="false">IF($A300="","",IFERROR(IF(ISNUMBER(INDEX(CPU!$J$4:$J$64,MATCH(Varian!$J64,CPU!$A$4:$A$64,0))),INDEX(CPU!$J$4:$J$64,MATCH(Varian!$J64,CPU!$A$4:$A$64,0)),""),""))</f>
        <v/>
      </c>
      <c r="D300" s="67" t="str">
        <f aca="false">IF($A300="","",IFERROR(IF(ISNUMBER(INDEX(GPU!$G$4:$G$64,MATCH(Varian!$K64,GPU!$A$4:$A$64,0))),INDEX(GPU!$G$4:$G$64,MATCH(Varian!$K64,GPU!$A$4:$A$64,0)),""),""))</f>
        <v/>
      </c>
      <c r="E300" s="67" t="str">
        <f aca="false">IF($A300="","",IF(ISNUMBER(Varian!$M64),Varian!$M64,""))</f>
        <v/>
      </c>
      <c r="F300" s="67" t="str">
        <f aca="false">IF($A300="","",IF(ISNUMBER(Varian!$V64),Varian!$V64,""))</f>
        <v/>
      </c>
      <c r="G300" s="67" t="str">
        <f aca="false">IF($A300="","",IFERROR(INDEX(Aturan!$B$63:$B$66,MATCH(Varian!$AG64,Aturan!$A$63:$A$66,0)),""))</f>
        <v/>
      </c>
      <c r="H300" s="67" t="str">
        <f aca="false">IF($A300="","",IF(ISNUMBER(Varian!$AI64),Varian!$AI64,""))</f>
        <v/>
      </c>
      <c r="I300" s="66" t="str">
        <f aca="false">IF($A300="","",IF(Varian!$Q64="disolder","menempel di papan utama, tidak bisa ditambah",IF(OR(Varian!$Q64="slot",Varian!$Q64="setengah_disolder"),IF(Varian!$Q64="setengah_disolder","sebagian menempel, ","")&amp;IF(ISNUMBER(Varian!$U64),IF(AND(ISNUMBER(Varian!$M64),Varian!$U64&gt;Varian!$M64),"bisa dinaikkan lewat slot sampai "&amp;Varian!$U64&amp;" GB","sudah di batas maksimal "&amp;Varian!$U64&amp;" GB"),"ada slot, batas maksimalnya belum diketahui"),"belum diketahui apakah bisa ditambah")))</f>
        <v/>
      </c>
      <c r="J300" s="66" t="str">
        <f aca="false">IF($A300="","",IF(Varian!$Z64="ya","bisa diganti dengan yang lebih besar",IF(Varian!$Z64="tidak","menempel, tidak bisa diganti","belum diketahui apakah bisa diganti")))</f>
        <v/>
      </c>
      <c r="K300" s="68" t="str">
        <f aca="false">IF($A300="","",IF(AND(Aturan!$C$30="",Aturan!$D$30=""),"Tidak dinilai",IF(C300="","Belum ada data",IF(C300&lt;IF(Aturan!$C$30="",0,Aturan!$C$30),"Kurang",IF(C300&gt;=IF(Aturan!$D$30="",Aturan!$C$30,Aturan!$D$30),"Nyaman","Cukup")))))</f>
        <v/>
      </c>
      <c r="L300" s="68" t="str">
        <f aca="false">IF($A300="","",IF(AND(Aturan!$C$31="",Aturan!$D$31=""),"Tidak dinilai",IF(D300="","Belum ada data",IF(D300&lt;IF(Aturan!$C$31="",0,Aturan!$C$31),"Kurang",IF(D300&gt;=IF(Aturan!$D$31="",Aturan!$C$31,Aturan!$D$31),"Nyaman","Cukup")))))</f>
        <v/>
      </c>
      <c r="M300" s="68" t="str">
        <f aca="false">IF($A300="","",IF(AND(Aturan!$C$32="",Aturan!$D$32=""),"Tidak dinilai",IF(E300="","Belum ada data",IF(E300&lt;IF(Aturan!$C$32="",0,Aturan!$C$32),"Kurang",IF(E300&gt;=IF(Aturan!$D$32="",Aturan!$C$32,Aturan!$D$32),"Nyaman","Cukup")))))</f>
        <v/>
      </c>
      <c r="N300" s="68" t="str">
        <f aca="false">IF($A300="","",IF(AND(Aturan!$C$33="",Aturan!$D$33=""),"Tidak dinilai",IF(F300="","Belum ada data",IF(F300&lt;IF(Aturan!$C$33="",0,Aturan!$C$33),"Kurang",IF(F300&gt;=IF(Aturan!$D$33="",Aturan!$C$33,Aturan!$D$33),"Nyaman","Cukup")))))</f>
        <v/>
      </c>
      <c r="O300" s="68" t="str">
        <f aca="false">IF($A300="","",IF(AND(Aturan!$C$34="",Aturan!$D$34=""),"Tidak dinilai",IF(G300="","Belum ada data",IF(G300&lt;IF(Aturan!$C$34="",0,Aturan!$C$34),"Kurang",IF(G300&gt;=IF(Aturan!$D$34="",Aturan!$C$34,Aturan!$D$34),"Nyaman","Cukup")))))</f>
        <v/>
      </c>
      <c r="P300" s="68" t="str">
        <f aca="false">IF($A300="","",IF(AND(Aturan!$C$35="",Aturan!$D$35=""),"Tidak dinilai",IF(H300="","Belum ada data",IF(H300&lt;IF(Aturan!$C$35="",0,Aturan!$C$35),"Kurang",IF(H300&gt;=IF(Aturan!$D$35="",Aturan!$C$35,Aturan!$D$35),"Nyaman","Cukup")))))</f>
        <v/>
      </c>
      <c r="Q300" s="68" t="str">
        <f aca="false">IF($A300="","",IF(COUNTIF(K300:P300,"Tidak dinilai")=6,"Tidak dinilai",IF(COUNTIF(K300:P300,"Kurang")&gt;0,"Kurang cocok",IF(COUNTIF(K300:P300,"Belum ada data")&gt;0,"Data belum lengkap",IF(COUNTIF(K300:P300,"Cukup")&gt;0,"Bisa, dengan catatan","Cocok")))))</f>
        <v/>
      </c>
      <c r="R300" s="66" t="str">
        <f aca="false">IF($A300="","",IF(K300="Kurang","prosesor tingkat "&amp;C300&amp;" dari 5, di bawah batas minimal (tingkat "&amp;Aturan!$C$30&amp;")",IF(K300="Cukup","prosesor tingkat "&amp;C300&amp;" dari 5 cukup, nyamannya mulai tingkat "&amp;Aturan!$D$30,IF(K300="Belum ada data","tingkat prosesor belum diisi",""))))</f>
        <v/>
      </c>
      <c r="S300" s="66" t="str">
        <f aca="false">IF($A300="","",IF(L300="Kurang","grafis tingkat "&amp;D300&amp;" dari 5, di bawah batas minimal (tingkat "&amp;Aturan!$C$31&amp;")",IF(L300="Cukup","grafis tingkat "&amp;D300&amp;" dari 5 cukup, nyamannya mulai tingkat "&amp;Aturan!$D$31,IF(L300="Belum ada data","tingkat grafis belum diisi",""))))</f>
        <v/>
      </c>
      <c r="T300" s="66" t="str">
        <f aca="false">IF($A300="","",IF(M300="Kurang","RAM "&amp;E300&amp;" GB, di bawah batas minimal "&amp;Aturan!$C$32&amp;" GB ("&amp;I300&amp;")",IF(M300="Cukup","RAM "&amp;E300&amp;" GB cukup, nyamannya "&amp;Aturan!$D$32&amp;" GB atau lebih ("&amp;I300&amp;")",IF(M300="Belum ada data","ukuran RAM belum diisi",""))))</f>
        <v/>
      </c>
      <c r="U300" s="66" t="str">
        <f aca="false">IF($A300="","",IF(N300="Kurang","penyimpanan "&amp;F300&amp;" GB, di bawah batas minimal "&amp;Aturan!$C$33&amp;" GB ("&amp;J300&amp;")",IF(N300="Cukup","penyimpanan "&amp;F300&amp;" GB cukup, nyamannya "&amp;Aturan!$D$33&amp;" GB atau lebih ("&amp;J300&amp;")",IF(N300="Belum ada data","ukuran penyimpanan belum diisi",""))))</f>
        <v/>
      </c>
      <c r="V300" s="66" t="str">
        <f aca="false">IF($A300="","",IF(O300="Kurang","layar "&amp;Varian!$AG64&amp;", di bawah batas minimal ("&amp;IFERROR(INDEX(Aturan!$A$63:$A$66,MATCH(Aturan!$C$34,Aturan!$B$63:$B$66,0)),"peringkat "&amp;Aturan!$C$34)&amp;")",IF(O300="Cukup","layar "&amp;Varian!$AG64&amp;" cukup, nyamannya "&amp;IFERROR(INDEX(Aturan!$A$63:$A$66,MATCH(Aturan!$D$34,Aturan!$B$63:$B$66,0)),"peringkat "&amp;Aturan!$D$34),IF(O300="Belum ada data","jenis layar belum diketahui",""))))</f>
        <v/>
      </c>
      <c r="W300" s="66" t="str">
        <f aca="false">IF($A300="","",IF(P300="Kurang","layar "&amp;H300&amp;" Hz, di bawah batas minimal "&amp;Aturan!$C$35&amp;" Hz",IF(P300="Cukup","layar "&amp;H300&amp;" Hz cukup, nyamannya "&amp;Aturan!$D$35&amp;" Hz atau lebih",IF(P300="Belum ada data","refresh rate belum diketahui",""))))</f>
        <v/>
      </c>
      <c r="X300" s="66" t="str">
        <f aca="false">IF($A300="","",IF(K300="Kurang",R300&amp;"; ","")&amp;IF(L300="Kurang",S300&amp;"; ","")&amp;IF(M300="Kurang",T300&amp;"; ","")&amp;IF(N300="Kurang",U300&amp;"; ","")&amp;IF(O300="Kurang",V300&amp;"; ","")&amp;IF(P300="Kurang",W300&amp;"; ","")&amp;IF(K300="Belum ada data",R300&amp;"; ","")&amp;IF(L300="Belum ada data",S300&amp;"; ","")&amp;IF(M300="Belum ada data",T300&amp;"; ","")&amp;IF(N300="Belum ada data",U300&amp;"; ","")&amp;IF(O300="Belum ada data",V300&amp;"; ","")&amp;IF(P300="Belum ada data",W300&amp;"; ","")&amp;IF(K300="Cukup",R300&amp;"; ","")&amp;IF(L300="Cukup",S300&amp;"; ","")&amp;IF(M300="Cukup",T300&amp;"; ","")&amp;IF(N300="Cukup",U300&amp;"; ","")&amp;IF(O300="Cukup",V300&amp;"; ","")&amp;IF(P300="Cukup",W300&amp;"; ",""))</f>
        <v/>
      </c>
      <c r="Y300" s="66" t="str">
        <f aca="false">IF($A300="","",IF(K300="Nyaman","prosesor, ","")&amp;IF(L300="Nyaman","grafis, ","")&amp;IF(M300="Nyaman","RAM, ","")&amp;IF(N300="Nyaman","penyimpanan, ","")&amp;IF(O300="Nyaman","layar, ","")&amp;IF(P300="Nyaman","refresh rate, ",""))</f>
        <v/>
      </c>
      <c r="Z300" s="66" t="str">
        <f aca="false">IF($A300="","",IF(Q300="Tidak dinilai","Belum ada kriteria yang dinilai untuk kebutuhan ini.",IF(Q300="Cocok","Semua kriteria yang dinilai sudah nyaman: "&amp;LEFT(Y300,LEN(Y300)-2)&amp;".",UPPER(LEFT(X300,1))&amp;MID(X300,2,LEN(X300)-3)&amp;"."&amp;IF(Y300="",""," Sudah nyaman: "&amp;LEFT(Y300,LEN(Y300)-2)&amp;"."))))</f>
        <v/>
      </c>
      <c r="AA300" s="66" t="str">
        <f aca="false">IF($A300="","",IF(Varian!$AR64="Windows 10","• "&amp;Aturan!$E$71&amp;CHAR(10),"")&amp;IF(Varian!$BB64="tidak","• "&amp;Aturan!$E$72&amp;CHAR(10),"")&amp;IF(OR(Varian!$AD64="belum terverifikasi",Varian!$AD64="tidak diketahui"),"• "&amp;Aturan!$E$73&amp;CHAR(10),"")&amp;IF(Varian!$AH64="1366x768","• "&amp;Aturan!$E$74&amp;CHAR(10),"")&amp;IF(Varian!$AG64="TN","• "&amp;Aturan!$E$75&amp;CHAR(10),"")&amp;IF(AND(Varian!$Q64="disolder",ISNUMBER(Varian!$M64),Varian!$M64&lt;=8),"• "&amp;Aturan!$E$76&amp;CHAR(10),""))</f>
        <v/>
      </c>
      <c r="AB300" s="66" t="str">
        <f aca="false">IF($A300="","",IF(AA300="","",LEFT(AA300,LEN(AA300)-1)))</f>
        <v/>
      </c>
      <c r="AC300" s="67" t="str">
        <f aca="false">IF($A300="","",IF(AA300="",0,LEN(AA300)-LEN(SUBSTITUTE(AA300,CHAR(10),""))))</f>
        <v/>
      </c>
    </row>
    <row r="301" customFormat="false" ht="15" hidden="false" customHeight="true" outlineLevel="0" collapsed="false">
      <c r="A301" s="33" t="str">
        <f aca="false">IF(Varian!$A64="","",Varian!$A64)</f>
        <v/>
      </c>
      <c r="B301" s="33" t="str">
        <f aca="false">IF($A301="","",Aturan!$A$22)</f>
        <v/>
      </c>
      <c r="C301" s="69" t="str">
        <f aca="false">IF($A301="","",IFERROR(IF(ISNUMBER(INDEX(CPU!$J$4:$J$64,MATCH(Varian!$J64,CPU!$A$4:$A$64,0))),INDEX(CPU!$J$4:$J$64,MATCH(Varian!$J64,CPU!$A$4:$A$64,0)),""),""))</f>
        <v/>
      </c>
      <c r="D301" s="69" t="str">
        <f aca="false">IF($A301="","",IFERROR(IF(ISNUMBER(INDEX(GPU!$G$4:$G$64,MATCH(Varian!$K64,GPU!$A$4:$A$64,0))),INDEX(GPU!$G$4:$G$64,MATCH(Varian!$K64,GPU!$A$4:$A$64,0)),""),""))</f>
        <v/>
      </c>
      <c r="E301" s="69" t="str">
        <f aca="false">IF($A301="","",IF(ISNUMBER(Varian!$M64),Varian!$M64,""))</f>
        <v/>
      </c>
      <c r="F301" s="69" t="str">
        <f aca="false">IF($A301="","",IF(ISNUMBER(Varian!$V64),Varian!$V64,""))</f>
        <v/>
      </c>
      <c r="G301" s="69" t="str">
        <f aca="false">IF($A301="","",IFERROR(INDEX(Aturan!$B$63:$B$66,MATCH(Varian!$AG64,Aturan!$A$63:$A$66,0)),""))</f>
        <v/>
      </c>
      <c r="H301" s="69" t="str">
        <f aca="false">IF($A301="","",IF(ISNUMBER(Varian!$AI64),Varian!$AI64,""))</f>
        <v/>
      </c>
      <c r="I301" s="33" t="str">
        <f aca="false">IF($A301="","",IF(Varian!$Q64="disolder","menempel di papan utama, tidak bisa ditambah",IF(OR(Varian!$Q64="slot",Varian!$Q64="setengah_disolder"),IF(Varian!$Q64="setengah_disolder","sebagian menempel, ","")&amp;IF(ISNUMBER(Varian!$U64),IF(AND(ISNUMBER(Varian!$M64),Varian!$U64&gt;Varian!$M64),"bisa dinaikkan lewat slot sampai "&amp;Varian!$U64&amp;" GB","sudah di batas maksimal "&amp;Varian!$U64&amp;" GB"),"ada slot, batas maksimalnya belum diketahui"),"belum diketahui apakah bisa ditambah")))</f>
        <v/>
      </c>
      <c r="J301" s="33" t="str">
        <f aca="false">IF($A301="","",IF(Varian!$Z64="ya","bisa diganti dengan yang lebih besar",IF(Varian!$Z64="tidak","menempel, tidak bisa diganti","belum diketahui apakah bisa diganti")))</f>
        <v/>
      </c>
      <c r="K301" s="70" t="str">
        <f aca="false">IF($A301="","",IF(AND(Aturan!$C$36="",Aturan!$D$36=""),"Tidak dinilai",IF(C301="","Belum ada data",IF(C301&lt;IF(Aturan!$C$36="",0,Aturan!$C$36),"Kurang",IF(C301&gt;=IF(Aturan!$D$36="",Aturan!$C$36,Aturan!$D$36),"Nyaman","Cukup")))))</f>
        <v/>
      </c>
      <c r="L301" s="70" t="str">
        <f aca="false">IF($A301="","",IF(AND(Aturan!$C$37="",Aturan!$D$37=""),"Tidak dinilai",IF(D301="","Belum ada data",IF(D301&lt;IF(Aturan!$C$37="",0,Aturan!$C$37),"Kurang",IF(D301&gt;=IF(Aturan!$D$37="",Aturan!$C$37,Aturan!$D$37),"Nyaman","Cukup")))))</f>
        <v/>
      </c>
      <c r="M301" s="70" t="str">
        <f aca="false">IF($A301="","",IF(AND(Aturan!$C$38="",Aturan!$D$38=""),"Tidak dinilai",IF(E301="","Belum ada data",IF(E301&lt;IF(Aturan!$C$38="",0,Aturan!$C$38),"Kurang",IF(E301&gt;=IF(Aturan!$D$38="",Aturan!$C$38,Aturan!$D$38),"Nyaman","Cukup")))))</f>
        <v/>
      </c>
      <c r="N301" s="70" t="str">
        <f aca="false">IF($A301="","",IF(AND(Aturan!$C$39="",Aturan!$D$39=""),"Tidak dinilai",IF(F301="","Belum ada data",IF(F301&lt;IF(Aturan!$C$39="",0,Aturan!$C$39),"Kurang",IF(F301&gt;=IF(Aturan!$D$39="",Aturan!$C$39,Aturan!$D$39),"Nyaman","Cukup")))))</f>
        <v/>
      </c>
      <c r="O301" s="70" t="str">
        <f aca="false">IF($A301="","",IF(AND(Aturan!$C$40="",Aturan!$D$40=""),"Tidak dinilai",IF(G301="","Belum ada data",IF(G301&lt;IF(Aturan!$C$40="",0,Aturan!$C$40),"Kurang",IF(G301&gt;=IF(Aturan!$D$40="",Aturan!$C$40,Aturan!$D$40),"Nyaman","Cukup")))))</f>
        <v/>
      </c>
      <c r="P301" s="70" t="str">
        <f aca="false">IF($A301="","",IF(AND(Aturan!$C$41="",Aturan!$D$41=""),"Tidak dinilai",IF(H301="","Belum ada data",IF(H301&lt;IF(Aturan!$C$41="",0,Aturan!$C$41),"Kurang",IF(H301&gt;=IF(Aturan!$D$41="",Aturan!$C$41,Aturan!$D$41),"Nyaman","Cukup")))))</f>
        <v/>
      </c>
      <c r="Q301" s="70" t="str">
        <f aca="false">IF($A301="","",IF(COUNTIF(K301:P301,"Tidak dinilai")=6,"Tidak dinilai",IF(COUNTIF(K301:P301,"Kurang")&gt;0,"Kurang cocok",IF(COUNTIF(K301:P301,"Belum ada data")&gt;0,"Data belum lengkap",IF(COUNTIF(K301:P301,"Cukup")&gt;0,"Bisa, dengan catatan","Cocok")))))</f>
        <v/>
      </c>
      <c r="R301" s="33" t="str">
        <f aca="false">IF($A301="","",IF(K301="Kurang","prosesor tingkat "&amp;C301&amp;" dari 5, di bawah batas minimal (tingkat "&amp;Aturan!$C$36&amp;")",IF(K301="Cukup","prosesor tingkat "&amp;C301&amp;" dari 5 cukup, nyamannya mulai tingkat "&amp;Aturan!$D$36,IF(K301="Belum ada data","tingkat prosesor belum diisi",""))))</f>
        <v/>
      </c>
      <c r="S301" s="33" t="str">
        <f aca="false">IF($A301="","",IF(L301="Kurang","grafis tingkat "&amp;D301&amp;" dari 5, di bawah batas minimal (tingkat "&amp;Aturan!$C$37&amp;")",IF(L301="Cukup","grafis tingkat "&amp;D301&amp;" dari 5 cukup, nyamannya mulai tingkat "&amp;Aturan!$D$37,IF(L301="Belum ada data","tingkat grafis belum diisi",""))))</f>
        <v/>
      </c>
      <c r="T301" s="33" t="str">
        <f aca="false">IF($A301="","",IF(M301="Kurang","RAM "&amp;E301&amp;" GB, di bawah batas minimal "&amp;Aturan!$C$38&amp;" GB ("&amp;I301&amp;")",IF(M301="Cukup","RAM "&amp;E301&amp;" GB cukup, nyamannya "&amp;Aturan!$D$38&amp;" GB atau lebih ("&amp;I301&amp;")",IF(M301="Belum ada data","ukuran RAM belum diisi",""))))</f>
        <v/>
      </c>
      <c r="U301" s="33" t="str">
        <f aca="false">IF($A301="","",IF(N301="Kurang","penyimpanan "&amp;F301&amp;" GB, di bawah batas minimal "&amp;Aturan!$C$39&amp;" GB ("&amp;J301&amp;")",IF(N301="Cukup","penyimpanan "&amp;F301&amp;" GB cukup, nyamannya "&amp;Aturan!$D$39&amp;" GB atau lebih ("&amp;J301&amp;")",IF(N301="Belum ada data","ukuran penyimpanan belum diisi",""))))</f>
        <v/>
      </c>
      <c r="V301" s="33" t="str">
        <f aca="false">IF($A301="","",IF(O301="Kurang","layar "&amp;Varian!$AG64&amp;", di bawah batas minimal ("&amp;IFERROR(INDEX(Aturan!$A$63:$A$66,MATCH(Aturan!$C$40,Aturan!$B$63:$B$66,0)),"peringkat "&amp;Aturan!$C$40)&amp;")",IF(O301="Cukup","layar "&amp;Varian!$AG64&amp;" cukup, nyamannya "&amp;IFERROR(INDEX(Aturan!$A$63:$A$66,MATCH(Aturan!$D$40,Aturan!$B$63:$B$66,0)),"peringkat "&amp;Aturan!$D$40),IF(O301="Belum ada data","jenis layar belum diketahui",""))))</f>
        <v/>
      </c>
      <c r="W301" s="33" t="str">
        <f aca="false">IF($A301="","",IF(P301="Kurang","layar "&amp;H301&amp;" Hz, di bawah batas minimal "&amp;Aturan!$C$41&amp;" Hz",IF(P301="Cukup","layar "&amp;H301&amp;" Hz cukup, nyamannya "&amp;Aturan!$D$41&amp;" Hz atau lebih",IF(P301="Belum ada data","refresh rate belum diketahui",""))))</f>
        <v/>
      </c>
      <c r="X301" s="33" t="str">
        <f aca="false">IF($A301="","",IF(K301="Kurang",R301&amp;"; ","")&amp;IF(L301="Kurang",S301&amp;"; ","")&amp;IF(M301="Kurang",T301&amp;"; ","")&amp;IF(N301="Kurang",U301&amp;"; ","")&amp;IF(O301="Kurang",V301&amp;"; ","")&amp;IF(P301="Kurang",W301&amp;"; ","")&amp;IF(K301="Belum ada data",R301&amp;"; ","")&amp;IF(L301="Belum ada data",S301&amp;"; ","")&amp;IF(M301="Belum ada data",T301&amp;"; ","")&amp;IF(N301="Belum ada data",U301&amp;"; ","")&amp;IF(O301="Belum ada data",V301&amp;"; ","")&amp;IF(P301="Belum ada data",W301&amp;"; ","")&amp;IF(K301="Cukup",R301&amp;"; ","")&amp;IF(L301="Cukup",S301&amp;"; ","")&amp;IF(M301="Cukup",T301&amp;"; ","")&amp;IF(N301="Cukup",U301&amp;"; ","")&amp;IF(O301="Cukup",V301&amp;"; ","")&amp;IF(P301="Cukup",W301&amp;"; ",""))</f>
        <v/>
      </c>
      <c r="Y301" s="33" t="str">
        <f aca="false">IF($A301="","",IF(K301="Nyaman","prosesor, ","")&amp;IF(L301="Nyaman","grafis, ","")&amp;IF(M301="Nyaman","RAM, ","")&amp;IF(N301="Nyaman","penyimpanan, ","")&amp;IF(O301="Nyaman","layar, ","")&amp;IF(P301="Nyaman","refresh rate, ",""))</f>
        <v/>
      </c>
      <c r="Z301" s="33" t="str">
        <f aca="false">IF($A301="","",IF(Q301="Tidak dinilai","Belum ada kriteria yang dinilai untuk kebutuhan ini.",IF(Q301="Cocok","Semua kriteria yang dinilai sudah nyaman: "&amp;LEFT(Y301,LEN(Y301)-2)&amp;".",UPPER(LEFT(X301,1))&amp;MID(X301,2,LEN(X301)-3)&amp;"."&amp;IF(Y301="",""," Sudah nyaman: "&amp;LEFT(Y301,LEN(Y301)-2)&amp;"."))))</f>
        <v/>
      </c>
      <c r="AA301" s="33"/>
      <c r="AB301" s="33"/>
      <c r="AC301" s="69"/>
    </row>
    <row r="302" customFormat="false" ht="15" hidden="false" customHeight="true" outlineLevel="0" collapsed="false">
      <c r="A302" s="33" t="str">
        <f aca="false">IF(Varian!$A64="","",Varian!$A64)</f>
        <v/>
      </c>
      <c r="B302" s="33" t="str">
        <f aca="false">IF($A302="","",Aturan!$A$23)</f>
        <v/>
      </c>
      <c r="C302" s="69" t="str">
        <f aca="false">IF($A302="","",IFERROR(IF(ISNUMBER(INDEX(CPU!$J$4:$J$64,MATCH(Varian!$J64,CPU!$A$4:$A$64,0))),INDEX(CPU!$J$4:$J$64,MATCH(Varian!$J64,CPU!$A$4:$A$64,0)),""),""))</f>
        <v/>
      </c>
      <c r="D302" s="69" t="str">
        <f aca="false">IF($A302="","",IFERROR(IF(ISNUMBER(INDEX(GPU!$G$4:$G$64,MATCH(Varian!$K64,GPU!$A$4:$A$64,0))),INDEX(GPU!$G$4:$G$64,MATCH(Varian!$K64,GPU!$A$4:$A$64,0)),""),""))</f>
        <v/>
      </c>
      <c r="E302" s="69" t="str">
        <f aca="false">IF($A302="","",IF(ISNUMBER(Varian!$M64),Varian!$M64,""))</f>
        <v/>
      </c>
      <c r="F302" s="69" t="str">
        <f aca="false">IF($A302="","",IF(ISNUMBER(Varian!$V64),Varian!$V64,""))</f>
        <v/>
      </c>
      <c r="G302" s="69" t="str">
        <f aca="false">IF($A302="","",IFERROR(INDEX(Aturan!$B$63:$B$66,MATCH(Varian!$AG64,Aturan!$A$63:$A$66,0)),""))</f>
        <v/>
      </c>
      <c r="H302" s="69" t="str">
        <f aca="false">IF($A302="","",IF(ISNUMBER(Varian!$AI64),Varian!$AI64,""))</f>
        <v/>
      </c>
      <c r="I302" s="33" t="str">
        <f aca="false">IF($A302="","",IF(Varian!$Q64="disolder","menempel di papan utama, tidak bisa ditambah",IF(OR(Varian!$Q64="slot",Varian!$Q64="setengah_disolder"),IF(Varian!$Q64="setengah_disolder","sebagian menempel, ","")&amp;IF(ISNUMBER(Varian!$U64),IF(AND(ISNUMBER(Varian!$M64),Varian!$U64&gt;Varian!$M64),"bisa dinaikkan lewat slot sampai "&amp;Varian!$U64&amp;" GB","sudah di batas maksimal "&amp;Varian!$U64&amp;" GB"),"ada slot, batas maksimalnya belum diketahui"),"belum diketahui apakah bisa ditambah")))</f>
        <v/>
      </c>
      <c r="J302" s="33" t="str">
        <f aca="false">IF($A302="","",IF(Varian!$Z64="ya","bisa diganti dengan yang lebih besar",IF(Varian!$Z64="tidak","menempel, tidak bisa diganti","belum diketahui apakah bisa diganti")))</f>
        <v/>
      </c>
      <c r="K302" s="70" t="str">
        <f aca="false">IF($A302="","",IF(AND(Aturan!$C$42="",Aturan!$D$42=""),"Tidak dinilai",IF(C302="","Belum ada data",IF(C302&lt;IF(Aturan!$C$42="",0,Aturan!$C$42),"Kurang",IF(C302&gt;=IF(Aturan!$D$42="",Aturan!$C$42,Aturan!$D$42),"Nyaman","Cukup")))))</f>
        <v/>
      </c>
      <c r="L302" s="70" t="str">
        <f aca="false">IF($A302="","",IF(AND(Aturan!$C$43="",Aturan!$D$43=""),"Tidak dinilai",IF(D302="","Belum ada data",IF(D302&lt;IF(Aturan!$C$43="",0,Aturan!$C$43),"Kurang",IF(D302&gt;=IF(Aturan!$D$43="",Aturan!$C$43,Aturan!$D$43),"Nyaman","Cukup")))))</f>
        <v/>
      </c>
      <c r="M302" s="70" t="str">
        <f aca="false">IF($A302="","",IF(AND(Aturan!$C$44="",Aturan!$D$44=""),"Tidak dinilai",IF(E302="","Belum ada data",IF(E302&lt;IF(Aturan!$C$44="",0,Aturan!$C$44),"Kurang",IF(E302&gt;=IF(Aturan!$D$44="",Aturan!$C$44,Aturan!$D$44),"Nyaman","Cukup")))))</f>
        <v/>
      </c>
      <c r="N302" s="70" t="str">
        <f aca="false">IF($A302="","",IF(AND(Aturan!$C$45="",Aturan!$D$45=""),"Tidak dinilai",IF(F302="","Belum ada data",IF(F302&lt;IF(Aturan!$C$45="",0,Aturan!$C$45),"Kurang",IF(F302&gt;=IF(Aturan!$D$45="",Aturan!$C$45,Aturan!$D$45),"Nyaman","Cukup")))))</f>
        <v/>
      </c>
      <c r="O302" s="70" t="str">
        <f aca="false">IF($A302="","",IF(AND(Aturan!$C$46="",Aturan!$D$46=""),"Tidak dinilai",IF(G302="","Belum ada data",IF(G302&lt;IF(Aturan!$C$46="",0,Aturan!$C$46),"Kurang",IF(G302&gt;=IF(Aturan!$D$46="",Aturan!$C$46,Aturan!$D$46),"Nyaman","Cukup")))))</f>
        <v/>
      </c>
      <c r="P302" s="70" t="str">
        <f aca="false">IF($A302="","",IF(AND(Aturan!$C$47="",Aturan!$D$47=""),"Tidak dinilai",IF(H302="","Belum ada data",IF(H302&lt;IF(Aturan!$C$47="",0,Aturan!$C$47),"Kurang",IF(H302&gt;=IF(Aturan!$D$47="",Aturan!$C$47,Aturan!$D$47),"Nyaman","Cukup")))))</f>
        <v/>
      </c>
      <c r="Q302" s="70" t="str">
        <f aca="false">IF($A302="","",IF(COUNTIF(K302:P302,"Tidak dinilai")=6,"Tidak dinilai",IF(COUNTIF(K302:P302,"Kurang")&gt;0,"Kurang cocok",IF(COUNTIF(K302:P302,"Belum ada data")&gt;0,"Data belum lengkap",IF(COUNTIF(K302:P302,"Cukup")&gt;0,"Bisa, dengan catatan","Cocok")))))</f>
        <v/>
      </c>
      <c r="R302" s="33" t="str">
        <f aca="false">IF($A302="","",IF(K302="Kurang","prosesor tingkat "&amp;C302&amp;" dari 5, di bawah batas minimal (tingkat "&amp;Aturan!$C$42&amp;")",IF(K302="Cukup","prosesor tingkat "&amp;C302&amp;" dari 5 cukup, nyamannya mulai tingkat "&amp;Aturan!$D$42,IF(K302="Belum ada data","tingkat prosesor belum diisi",""))))</f>
        <v/>
      </c>
      <c r="S302" s="33" t="str">
        <f aca="false">IF($A302="","",IF(L302="Kurang","grafis tingkat "&amp;D302&amp;" dari 5, di bawah batas minimal (tingkat "&amp;Aturan!$C$43&amp;")",IF(L302="Cukup","grafis tingkat "&amp;D302&amp;" dari 5 cukup, nyamannya mulai tingkat "&amp;Aturan!$D$43,IF(L302="Belum ada data","tingkat grafis belum diisi",""))))</f>
        <v/>
      </c>
      <c r="T302" s="33" t="str">
        <f aca="false">IF($A302="","",IF(M302="Kurang","RAM "&amp;E302&amp;" GB, di bawah batas minimal "&amp;Aturan!$C$44&amp;" GB ("&amp;I302&amp;")",IF(M302="Cukup","RAM "&amp;E302&amp;" GB cukup, nyamannya "&amp;Aturan!$D$44&amp;" GB atau lebih ("&amp;I302&amp;")",IF(M302="Belum ada data","ukuran RAM belum diisi",""))))</f>
        <v/>
      </c>
      <c r="U302" s="33" t="str">
        <f aca="false">IF($A302="","",IF(N302="Kurang","penyimpanan "&amp;F302&amp;" GB, di bawah batas minimal "&amp;Aturan!$C$45&amp;" GB ("&amp;J302&amp;")",IF(N302="Cukup","penyimpanan "&amp;F302&amp;" GB cukup, nyamannya "&amp;Aturan!$D$45&amp;" GB atau lebih ("&amp;J302&amp;")",IF(N302="Belum ada data","ukuran penyimpanan belum diisi",""))))</f>
        <v/>
      </c>
      <c r="V302" s="33" t="str">
        <f aca="false">IF($A302="","",IF(O302="Kurang","layar "&amp;Varian!$AG64&amp;", di bawah batas minimal ("&amp;IFERROR(INDEX(Aturan!$A$63:$A$66,MATCH(Aturan!$C$46,Aturan!$B$63:$B$66,0)),"peringkat "&amp;Aturan!$C$46)&amp;")",IF(O302="Cukup","layar "&amp;Varian!$AG64&amp;" cukup, nyamannya "&amp;IFERROR(INDEX(Aturan!$A$63:$A$66,MATCH(Aturan!$D$46,Aturan!$B$63:$B$66,0)),"peringkat "&amp;Aturan!$D$46),IF(O302="Belum ada data","jenis layar belum diketahui",""))))</f>
        <v/>
      </c>
      <c r="W302" s="33" t="str">
        <f aca="false">IF($A302="","",IF(P302="Kurang","layar "&amp;H302&amp;" Hz, di bawah batas minimal "&amp;Aturan!$C$47&amp;" Hz",IF(P302="Cukup","layar "&amp;H302&amp;" Hz cukup, nyamannya "&amp;Aturan!$D$47&amp;" Hz atau lebih",IF(P302="Belum ada data","refresh rate belum diketahui",""))))</f>
        <v/>
      </c>
      <c r="X302" s="33" t="str">
        <f aca="false">IF($A302="","",IF(K302="Kurang",R302&amp;"; ","")&amp;IF(L302="Kurang",S302&amp;"; ","")&amp;IF(M302="Kurang",T302&amp;"; ","")&amp;IF(N302="Kurang",U302&amp;"; ","")&amp;IF(O302="Kurang",V302&amp;"; ","")&amp;IF(P302="Kurang",W302&amp;"; ","")&amp;IF(K302="Belum ada data",R302&amp;"; ","")&amp;IF(L302="Belum ada data",S302&amp;"; ","")&amp;IF(M302="Belum ada data",T302&amp;"; ","")&amp;IF(N302="Belum ada data",U302&amp;"; ","")&amp;IF(O302="Belum ada data",V302&amp;"; ","")&amp;IF(P302="Belum ada data",W302&amp;"; ","")&amp;IF(K302="Cukup",R302&amp;"; ","")&amp;IF(L302="Cukup",S302&amp;"; ","")&amp;IF(M302="Cukup",T302&amp;"; ","")&amp;IF(N302="Cukup",U302&amp;"; ","")&amp;IF(O302="Cukup",V302&amp;"; ","")&amp;IF(P302="Cukup",W302&amp;"; ",""))</f>
        <v/>
      </c>
      <c r="Y302" s="33" t="str">
        <f aca="false">IF($A302="","",IF(K302="Nyaman","prosesor, ","")&amp;IF(L302="Nyaman","grafis, ","")&amp;IF(M302="Nyaman","RAM, ","")&amp;IF(N302="Nyaman","penyimpanan, ","")&amp;IF(O302="Nyaman","layar, ","")&amp;IF(P302="Nyaman","refresh rate, ",""))</f>
        <v/>
      </c>
      <c r="Z302" s="33" t="str">
        <f aca="false">IF($A302="","",IF(Q302="Tidak dinilai","Belum ada kriteria yang dinilai untuk kebutuhan ini.",IF(Q302="Cocok","Semua kriteria yang dinilai sudah nyaman: "&amp;LEFT(Y302,LEN(Y302)-2)&amp;".",UPPER(LEFT(X302,1))&amp;MID(X302,2,LEN(X302)-3)&amp;"."&amp;IF(Y302="",""," Sudah nyaman: "&amp;LEFT(Y302,LEN(Y302)-2)&amp;"."))))</f>
        <v/>
      </c>
      <c r="AA302" s="33"/>
      <c r="AB302" s="33"/>
      <c r="AC302" s="69"/>
    </row>
    <row r="303" customFormat="false" ht="15" hidden="false" customHeight="true" outlineLevel="0" collapsed="false">
      <c r="A303" s="33" t="str">
        <f aca="false">IF(Varian!$A64="","",Varian!$A64)</f>
        <v/>
      </c>
      <c r="B303" s="33" t="str">
        <f aca="false">IF($A303="","",Aturan!$A$24)</f>
        <v/>
      </c>
      <c r="C303" s="69" t="str">
        <f aca="false">IF($A303="","",IFERROR(IF(ISNUMBER(INDEX(CPU!$J$4:$J$64,MATCH(Varian!$J64,CPU!$A$4:$A$64,0))),INDEX(CPU!$J$4:$J$64,MATCH(Varian!$J64,CPU!$A$4:$A$64,0)),""),""))</f>
        <v/>
      </c>
      <c r="D303" s="69" t="str">
        <f aca="false">IF($A303="","",IFERROR(IF(ISNUMBER(INDEX(GPU!$G$4:$G$64,MATCH(Varian!$K64,GPU!$A$4:$A$64,0))),INDEX(GPU!$G$4:$G$64,MATCH(Varian!$K64,GPU!$A$4:$A$64,0)),""),""))</f>
        <v/>
      </c>
      <c r="E303" s="69" t="str">
        <f aca="false">IF($A303="","",IF(ISNUMBER(Varian!$M64),Varian!$M64,""))</f>
        <v/>
      </c>
      <c r="F303" s="69" t="str">
        <f aca="false">IF($A303="","",IF(ISNUMBER(Varian!$V64),Varian!$V64,""))</f>
        <v/>
      </c>
      <c r="G303" s="69" t="str">
        <f aca="false">IF($A303="","",IFERROR(INDEX(Aturan!$B$63:$B$66,MATCH(Varian!$AG64,Aturan!$A$63:$A$66,0)),""))</f>
        <v/>
      </c>
      <c r="H303" s="69" t="str">
        <f aca="false">IF($A303="","",IF(ISNUMBER(Varian!$AI64),Varian!$AI64,""))</f>
        <v/>
      </c>
      <c r="I303" s="33" t="str">
        <f aca="false">IF($A303="","",IF(Varian!$Q64="disolder","menempel di papan utama, tidak bisa ditambah",IF(OR(Varian!$Q64="slot",Varian!$Q64="setengah_disolder"),IF(Varian!$Q64="setengah_disolder","sebagian menempel, ","")&amp;IF(ISNUMBER(Varian!$U64),IF(AND(ISNUMBER(Varian!$M64),Varian!$U64&gt;Varian!$M64),"bisa dinaikkan lewat slot sampai "&amp;Varian!$U64&amp;" GB","sudah di batas maksimal "&amp;Varian!$U64&amp;" GB"),"ada slot, batas maksimalnya belum diketahui"),"belum diketahui apakah bisa ditambah")))</f>
        <v/>
      </c>
      <c r="J303" s="33" t="str">
        <f aca="false">IF($A303="","",IF(Varian!$Z64="ya","bisa diganti dengan yang lebih besar",IF(Varian!$Z64="tidak","menempel, tidak bisa diganti","belum diketahui apakah bisa diganti")))</f>
        <v/>
      </c>
      <c r="K303" s="70" t="str">
        <f aca="false">IF($A303="","",IF(AND(Aturan!$C$48="",Aturan!$D$48=""),"Tidak dinilai",IF(C303="","Belum ada data",IF(C303&lt;IF(Aturan!$C$48="",0,Aturan!$C$48),"Kurang",IF(C303&gt;=IF(Aturan!$D$48="",Aturan!$C$48,Aturan!$D$48),"Nyaman","Cukup")))))</f>
        <v/>
      </c>
      <c r="L303" s="70" t="str">
        <f aca="false">IF($A303="","",IF(AND(Aturan!$C$49="",Aturan!$D$49=""),"Tidak dinilai",IF(D303="","Belum ada data",IF(D303&lt;IF(Aturan!$C$49="",0,Aturan!$C$49),"Kurang",IF(D303&gt;=IF(Aturan!$D$49="",Aturan!$C$49,Aturan!$D$49),"Nyaman","Cukup")))))</f>
        <v/>
      </c>
      <c r="M303" s="70" t="str">
        <f aca="false">IF($A303="","",IF(AND(Aturan!$C$50="",Aturan!$D$50=""),"Tidak dinilai",IF(E303="","Belum ada data",IF(E303&lt;IF(Aturan!$C$50="",0,Aturan!$C$50),"Kurang",IF(E303&gt;=IF(Aturan!$D$50="",Aturan!$C$50,Aturan!$D$50),"Nyaman","Cukup")))))</f>
        <v/>
      </c>
      <c r="N303" s="70" t="str">
        <f aca="false">IF($A303="","",IF(AND(Aturan!$C$51="",Aturan!$D$51=""),"Tidak dinilai",IF(F303="","Belum ada data",IF(F303&lt;IF(Aturan!$C$51="",0,Aturan!$C$51),"Kurang",IF(F303&gt;=IF(Aturan!$D$51="",Aturan!$C$51,Aturan!$D$51),"Nyaman","Cukup")))))</f>
        <v/>
      </c>
      <c r="O303" s="70" t="str">
        <f aca="false">IF($A303="","",IF(AND(Aturan!$C$52="",Aturan!$D$52=""),"Tidak dinilai",IF(G303="","Belum ada data",IF(G303&lt;IF(Aturan!$C$52="",0,Aturan!$C$52),"Kurang",IF(G303&gt;=IF(Aturan!$D$52="",Aturan!$C$52,Aturan!$D$52),"Nyaman","Cukup")))))</f>
        <v/>
      </c>
      <c r="P303" s="70" t="str">
        <f aca="false">IF($A303="","",IF(AND(Aturan!$C$53="",Aturan!$D$53=""),"Tidak dinilai",IF(H303="","Belum ada data",IF(H303&lt;IF(Aturan!$C$53="",0,Aturan!$C$53),"Kurang",IF(H303&gt;=IF(Aturan!$D$53="",Aturan!$C$53,Aturan!$D$53),"Nyaman","Cukup")))))</f>
        <v/>
      </c>
      <c r="Q303" s="70" t="str">
        <f aca="false">IF($A303="","",IF(COUNTIF(K303:P303,"Tidak dinilai")=6,"Tidak dinilai",IF(COUNTIF(K303:P303,"Kurang")&gt;0,"Kurang cocok",IF(COUNTIF(K303:P303,"Belum ada data")&gt;0,"Data belum lengkap",IF(COUNTIF(K303:P303,"Cukup")&gt;0,"Bisa, dengan catatan","Cocok")))))</f>
        <v/>
      </c>
      <c r="R303" s="33" t="str">
        <f aca="false">IF($A303="","",IF(K303="Kurang","prosesor tingkat "&amp;C303&amp;" dari 5, di bawah batas minimal (tingkat "&amp;Aturan!$C$48&amp;")",IF(K303="Cukup","prosesor tingkat "&amp;C303&amp;" dari 5 cukup, nyamannya mulai tingkat "&amp;Aturan!$D$48,IF(K303="Belum ada data","tingkat prosesor belum diisi",""))))</f>
        <v/>
      </c>
      <c r="S303" s="33" t="str">
        <f aca="false">IF($A303="","",IF(L303="Kurang","grafis tingkat "&amp;D303&amp;" dari 5, di bawah batas minimal (tingkat "&amp;Aturan!$C$49&amp;")",IF(L303="Cukup","grafis tingkat "&amp;D303&amp;" dari 5 cukup, nyamannya mulai tingkat "&amp;Aturan!$D$49,IF(L303="Belum ada data","tingkat grafis belum diisi",""))))</f>
        <v/>
      </c>
      <c r="T303" s="33" t="str">
        <f aca="false">IF($A303="","",IF(M303="Kurang","RAM "&amp;E303&amp;" GB, di bawah batas minimal "&amp;Aturan!$C$50&amp;" GB ("&amp;I303&amp;")",IF(M303="Cukup","RAM "&amp;E303&amp;" GB cukup, nyamannya "&amp;Aturan!$D$50&amp;" GB atau lebih ("&amp;I303&amp;")",IF(M303="Belum ada data","ukuran RAM belum diisi",""))))</f>
        <v/>
      </c>
      <c r="U303" s="33" t="str">
        <f aca="false">IF($A303="","",IF(N303="Kurang","penyimpanan "&amp;F303&amp;" GB, di bawah batas minimal "&amp;Aturan!$C$51&amp;" GB ("&amp;J303&amp;")",IF(N303="Cukup","penyimpanan "&amp;F303&amp;" GB cukup, nyamannya "&amp;Aturan!$D$51&amp;" GB atau lebih ("&amp;J303&amp;")",IF(N303="Belum ada data","ukuran penyimpanan belum diisi",""))))</f>
        <v/>
      </c>
      <c r="V303" s="33" t="str">
        <f aca="false">IF($A303="","",IF(O303="Kurang","layar "&amp;Varian!$AG64&amp;", di bawah batas minimal ("&amp;IFERROR(INDEX(Aturan!$A$63:$A$66,MATCH(Aturan!$C$52,Aturan!$B$63:$B$66,0)),"peringkat "&amp;Aturan!$C$52)&amp;")",IF(O303="Cukup","layar "&amp;Varian!$AG64&amp;" cukup, nyamannya "&amp;IFERROR(INDEX(Aturan!$A$63:$A$66,MATCH(Aturan!$D$52,Aturan!$B$63:$B$66,0)),"peringkat "&amp;Aturan!$D$52),IF(O303="Belum ada data","jenis layar belum diketahui",""))))</f>
        <v/>
      </c>
      <c r="W303" s="33" t="str">
        <f aca="false">IF($A303="","",IF(P303="Kurang","layar "&amp;H303&amp;" Hz, di bawah batas minimal "&amp;Aturan!$C$53&amp;" Hz",IF(P303="Cukup","layar "&amp;H303&amp;" Hz cukup, nyamannya "&amp;Aturan!$D$53&amp;" Hz atau lebih",IF(P303="Belum ada data","refresh rate belum diketahui",""))))</f>
        <v/>
      </c>
      <c r="X303" s="33" t="str">
        <f aca="false">IF($A303="","",IF(K303="Kurang",R303&amp;"; ","")&amp;IF(L303="Kurang",S303&amp;"; ","")&amp;IF(M303="Kurang",T303&amp;"; ","")&amp;IF(N303="Kurang",U303&amp;"; ","")&amp;IF(O303="Kurang",V303&amp;"; ","")&amp;IF(P303="Kurang",W303&amp;"; ","")&amp;IF(K303="Belum ada data",R303&amp;"; ","")&amp;IF(L303="Belum ada data",S303&amp;"; ","")&amp;IF(M303="Belum ada data",T303&amp;"; ","")&amp;IF(N303="Belum ada data",U303&amp;"; ","")&amp;IF(O303="Belum ada data",V303&amp;"; ","")&amp;IF(P303="Belum ada data",W303&amp;"; ","")&amp;IF(K303="Cukup",R303&amp;"; ","")&amp;IF(L303="Cukup",S303&amp;"; ","")&amp;IF(M303="Cukup",T303&amp;"; ","")&amp;IF(N303="Cukup",U303&amp;"; ","")&amp;IF(O303="Cukup",V303&amp;"; ","")&amp;IF(P303="Cukup",W303&amp;"; ",""))</f>
        <v/>
      </c>
      <c r="Y303" s="33" t="str">
        <f aca="false">IF($A303="","",IF(K303="Nyaman","prosesor, ","")&amp;IF(L303="Nyaman","grafis, ","")&amp;IF(M303="Nyaman","RAM, ","")&amp;IF(N303="Nyaman","penyimpanan, ","")&amp;IF(O303="Nyaman","layar, ","")&amp;IF(P303="Nyaman","refresh rate, ",""))</f>
        <v/>
      </c>
      <c r="Z303" s="33" t="str">
        <f aca="false">IF($A303="","",IF(Q303="Tidak dinilai","Belum ada kriteria yang dinilai untuk kebutuhan ini.",IF(Q303="Cocok","Semua kriteria yang dinilai sudah nyaman: "&amp;LEFT(Y303,LEN(Y303)-2)&amp;".",UPPER(LEFT(X303,1))&amp;MID(X303,2,LEN(X303)-3)&amp;"."&amp;IF(Y303="",""," Sudah nyaman: "&amp;LEFT(Y303,LEN(Y303)-2)&amp;"."))))</f>
        <v/>
      </c>
      <c r="AA303" s="33"/>
      <c r="AB303" s="33"/>
      <c r="AC303" s="69"/>
    </row>
    <row r="304" customFormat="false" ht="15" hidden="false" customHeight="true" outlineLevel="0" collapsed="false">
      <c r="A304" s="33" t="str">
        <f aca="false">IF(Varian!$A64="","",Varian!$A64)</f>
        <v/>
      </c>
      <c r="B304" s="33" t="str">
        <f aca="false">IF($A304="","",Aturan!$A$25)</f>
        <v/>
      </c>
      <c r="C304" s="69" t="str">
        <f aca="false">IF($A304="","",IFERROR(IF(ISNUMBER(INDEX(CPU!$J$4:$J$64,MATCH(Varian!$J64,CPU!$A$4:$A$64,0))),INDEX(CPU!$J$4:$J$64,MATCH(Varian!$J64,CPU!$A$4:$A$64,0)),""),""))</f>
        <v/>
      </c>
      <c r="D304" s="69" t="str">
        <f aca="false">IF($A304="","",IFERROR(IF(ISNUMBER(INDEX(GPU!$G$4:$G$64,MATCH(Varian!$K64,GPU!$A$4:$A$64,0))),INDEX(GPU!$G$4:$G$64,MATCH(Varian!$K64,GPU!$A$4:$A$64,0)),""),""))</f>
        <v/>
      </c>
      <c r="E304" s="69" t="str">
        <f aca="false">IF($A304="","",IF(ISNUMBER(Varian!$M64),Varian!$M64,""))</f>
        <v/>
      </c>
      <c r="F304" s="69" t="str">
        <f aca="false">IF($A304="","",IF(ISNUMBER(Varian!$V64),Varian!$V64,""))</f>
        <v/>
      </c>
      <c r="G304" s="69" t="str">
        <f aca="false">IF($A304="","",IFERROR(INDEX(Aturan!$B$63:$B$66,MATCH(Varian!$AG64,Aturan!$A$63:$A$66,0)),""))</f>
        <v/>
      </c>
      <c r="H304" s="69" t="str">
        <f aca="false">IF($A304="","",IF(ISNUMBER(Varian!$AI64),Varian!$AI64,""))</f>
        <v/>
      </c>
      <c r="I304" s="33" t="str">
        <f aca="false">IF($A304="","",IF(Varian!$Q64="disolder","menempel di papan utama, tidak bisa ditambah",IF(OR(Varian!$Q64="slot",Varian!$Q64="setengah_disolder"),IF(Varian!$Q64="setengah_disolder","sebagian menempel, ","")&amp;IF(ISNUMBER(Varian!$U64),IF(AND(ISNUMBER(Varian!$M64),Varian!$U64&gt;Varian!$M64),"bisa dinaikkan lewat slot sampai "&amp;Varian!$U64&amp;" GB","sudah di batas maksimal "&amp;Varian!$U64&amp;" GB"),"ada slot, batas maksimalnya belum diketahui"),"belum diketahui apakah bisa ditambah")))</f>
        <v/>
      </c>
      <c r="J304" s="33" t="str">
        <f aca="false">IF($A304="","",IF(Varian!$Z64="ya","bisa diganti dengan yang lebih besar",IF(Varian!$Z64="tidak","menempel, tidak bisa diganti","belum diketahui apakah bisa diganti")))</f>
        <v/>
      </c>
      <c r="K304" s="70" t="str">
        <f aca="false">IF($A304="","",IF(AND(Aturan!$C$54="",Aturan!$D$54=""),"Tidak dinilai",IF(C304="","Belum ada data",IF(C304&lt;IF(Aturan!$C$54="",0,Aturan!$C$54),"Kurang",IF(C304&gt;=IF(Aturan!$D$54="",Aturan!$C$54,Aturan!$D$54),"Nyaman","Cukup")))))</f>
        <v/>
      </c>
      <c r="L304" s="70" t="str">
        <f aca="false">IF($A304="","",IF(AND(Aturan!$C$55="",Aturan!$D$55=""),"Tidak dinilai",IF(D304="","Belum ada data",IF(D304&lt;IF(Aturan!$C$55="",0,Aturan!$C$55),"Kurang",IF(D304&gt;=IF(Aturan!$D$55="",Aturan!$C$55,Aturan!$D$55),"Nyaman","Cukup")))))</f>
        <v/>
      </c>
      <c r="M304" s="70" t="str">
        <f aca="false">IF($A304="","",IF(AND(Aturan!$C$56="",Aturan!$D$56=""),"Tidak dinilai",IF(E304="","Belum ada data",IF(E304&lt;IF(Aturan!$C$56="",0,Aturan!$C$56),"Kurang",IF(E304&gt;=IF(Aturan!$D$56="",Aturan!$C$56,Aturan!$D$56),"Nyaman","Cukup")))))</f>
        <v/>
      </c>
      <c r="N304" s="70" t="str">
        <f aca="false">IF($A304="","",IF(AND(Aturan!$C$57="",Aturan!$D$57=""),"Tidak dinilai",IF(F304="","Belum ada data",IF(F304&lt;IF(Aturan!$C$57="",0,Aturan!$C$57),"Kurang",IF(F304&gt;=IF(Aturan!$D$57="",Aturan!$C$57,Aturan!$D$57),"Nyaman","Cukup")))))</f>
        <v/>
      </c>
      <c r="O304" s="70" t="str">
        <f aca="false">IF($A304="","",IF(AND(Aturan!$C$58="",Aturan!$D$58=""),"Tidak dinilai",IF(G304="","Belum ada data",IF(G304&lt;IF(Aturan!$C$58="",0,Aturan!$C$58),"Kurang",IF(G304&gt;=IF(Aturan!$D$58="",Aturan!$C$58,Aturan!$D$58),"Nyaman","Cukup")))))</f>
        <v/>
      </c>
      <c r="P304" s="70" t="str">
        <f aca="false">IF($A304="","",IF(AND(Aturan!$C$59="",Aturan!$D$59=""),"Tidak dinilai",IF(H304="","Belum ada data",IF(H304&lt;IF(Aturan!$C$59="",0,Aturan!$C$59),"Kurang",IF(H304&gt;=IF(Aturan!$D$59="",Aturan!$C$59,Aturan!$D$59),"Nyaman","Cukup")))))</f>
        <v/>
      </c>
      <c r="Q304" s="70" t="str">
        <f aca="false">IF($A304="","",IF(COUNTIF(K304:P304,"Tidak dinilai")=6,"Tidak dinilai",IF(COUNTIF(K304:P304,"Kurang")&gt;0,"Kurang cocok",IF(COUNTIF(K304:P304,"Belum ada data")&gt;0,"Data belum lengkap",IF(COUNTIF(K304:P304,"Cukup")&gt;0,"Bisa, dengan catatan","Cocok")))))</f>
        <v/>
      </c>
      <c r="R304" s="33" t="str">
        <f aca="false">IF($A304="","",IF(K304="Kurang","prosesor tingkat "&amp;C304&amp;" dari 5, di bawah batas minimal (tingkat "&amp;Aturan!$C$54&amp;")",IF(K304="Cukup","prosesor tingkat "&amp;C304&amp;" dari 5 cukup, nyamannya mulai tingkat "&amp;Aturan!$D$54,IF(K304="Belum ada data","tingkat prosesor belum diisi",""))))</f>
        <v/>
      </c>
      <c r="S304" s="33" t="str">
        <f aca="false">IF($A304="","",IF(L304="Kurang","grafis tingkat "&amp;D304&amp;" dari 5, di bawah batas minimal (tingkat "&amp;Aturan!$C$55&amp;")",IF(L304="Cukup","grafis tingkat "&amp;D304&amp;" dari 5 cukup, nyamannya mulai tingkat "&amp;Aturan!$D$55,IF(L304="Belum ada data","tingkat grafis belum diisi",""))))</f>
        <v/>
      </c>
      <c r="T304" s="33" t="str">
        <f aca="false">IF($A304="","",IF(M304="Kurang","RAM "&amp;E304&amp;" GB, di bawah batas minimal "&amp;Aturan!$C$56&amp;" GB ("&amp;I304&amp;")",IF(M304="Cukup","RAM "&amp;E304&amp;" GB cukup, nyamannya "&amp;Aturan!$D$56&amp;" GB atau lebih ("&amp;I304&amp;")",IF(M304="Belum ada data","ukuran RAM belum diisi",""))))</f>
        <v/>
      </c>
      <c r="U304" s="33" t="str">
        <f aca="false">IF($A304="","",IF(N304="Kurang","penyimpanan "&amp;F304&amp;" GB, di bawah batas minimal "&amp;Aturan!$C$57&amp;" GB ("&amp;J304&amp;")",IF(N304="Cukup","penyimpanan "&amp;F304&amp;" GB cukup, nyamannya "&amp;Aturan!$D$57&amp;" GB atau lebih ("&amp;J304&amp;")",IF(N304="Belum ada data","ukuran penyimpanan belum diisi",""))))</f>
        <v/>
      </c>
      <c r="V304" s="33" t="str">
        <f aca="false">IF($A304="","",IF(O304="Kurang","layar "&amp;Varian!$AG64&amp;", di bawah batas minimal ("&amp;IFERROR(INDEX(Aturan!$A$63:$A$66,MATCH(Aturan!$C$58,Aturan!$B$63:$B$66,0)),"peringkat "&amp;Aturan!$C$58)&amp;")",IF(O304="Cukup","layar "&amp;Varian!$AG64&amp;" cukup, nyamannya "&amp;IFERROR(INDEX(Aturan!$A$63:$A$66,MATCH(Aturan!$D$58,Aturan!$B$63:$B$66,0)),"peringkat "&amp;Aturan!$D$58),IF(O304="Belum ada data","jenis layar belum diketahui",""))))</f>
        <v/>
      </c>
      <c r="W304" s="33" t="str">
        <f aca="false">IF($A304="","",IF(P304="Kurang","layar "&amp;H304&amp;" Hz, di bawah batas minimal "&amp;Aturan!$C$59&amp;" Hz",IF(P304="Cukup","layar "&amp;H304&amp;" Hz cukup, nyamannya "&amp;Aturan!$D$59&amp;" Hz atau lebih",IF(P304="Belum ada data","refresh rate belum diketahui",""))))</f>
        <v/>
      </c>
      <c r="X304" s="33" t="str">
        <f aca="false">IF($A304="","",IF(K304="Kurang",R304&amp;"; ","")&amp;IF(L304="Kurang",S304&amp;"; ","")&amp;IF(M304="Kurang",T304&amp;"; ","")&amp;IF(N304="Kurang",U304&amp;"; ","")&amp;IF(O304="Kurang",V304&amp;"; ","")&amp;IF(P304="Kurang",W304&amp;"; ","")&amp;IF(K304="Belum ada data",R304&amp;"; ","")&amp;IF(L304="Belum ada data",S304&amp;"; ","")&amp;IF(M304="Belum ada data",T304&amp;"; ","")&amp;IF(N304="Belum ada data",U304&amp;"; ","")&amp;IF(O304="Belum ada data",V304&amp;"; ","")&amp;IF(P304="Belum ada data",W304&amp;"; ","")&amp;IF(K304="Cukup",R304&amp;"; ","")&amp;IF(L304="Cukup",S304&amp;"; ","")&amp;IF(M304="Cukup",T304&amp;"; ","")&amp;IF(N304="Cukup",U304&amp;"; ","")&amp;IF(O304="Cukup",V304&amp;"; ","")&amp;IF(P304="Cukup",W304&amp;"; ",""))</f>
        <v/>
      </c>
      <c r="Y304" s="33" t="str">
        <f aca="false">IF($A304="","",IF(K304="Nyaman","prosesor, ","")&amp;IF(L304="Nyaman","grafis, ","")&amp;IF(M304="Nyaman","RAM, ","")&amp;IF(N304="Nyaman","penyimpanan, ","")&amp;IF(O304="Nyaman","layar, ","")&amp;IF(P304="Nyaman","refresh rate, ",""))</f>
        <v/>
      </c>
      <c r="Z304" s="33" t="str">
        <f aca="false">IF($A304="","",IF(Q304="Tidak dinilai","Belum ada kriteria yang dinilai untuk kebutuhan ini.",IF(Q304="Cocok","Semua kriteria yang dinilai sudah nyaman: "&amp;LEFT(Y304,LEN(Y304)-2)&amp;".",UPPER(LEFT(X304,1))&amp;MID(X304,2,LEN(X304)-3)&amp;"."&amp;IF(Y304="",""," Sudah nyaman: "&amp;LEFT(Y304,LEN(Y304)-2)&amp;"."))))</f>
        <v/>
      </c>
      <c r="AA304" s="33"/>
      <c r="AB304" s="33"/>
      <c r="AC304" s="69"/>
    </row>
  </sheetData>
  <mergeCells count="7">
    <mergeCell ref="A3:B3"/>
    <mergeCell ref="C3:H3"/>
    <mergeCell ref="I3:J3"/>
    <mergeCell ref="K3:P3"/>
    <mergeCell ref="R3:W3"/>
    <mergeCell ref="X3:Z3"/>
    <mergeCell ref="AA3:AC3"/>
  </mergeCells>
  <conditionalFormatting sqref="K5:P304">
    <cfRule type="cellIs" priority="2" operator="equal" aboveAverage="0" equalAverage="0" bottom="0" percent="0" rank="0" text="" dxfId="18">
      <formula>"Nyaman"</formula>
    </cfRule>
    <cfRule type="cellIs" priority="3" operator="equal" aboveAverage="0" equalAverage="0" bottom="0" percent="0" rank="0" text="" dxfId="19">
      <formula>"Cukup"</formula>
    </cfRule>
    <cfRule type="cellIs" priority="4" operator="equal" aboveAverage="0" equalAverage="0" bottom="0" percent="0" rank="0" text="" dxfId="20">
      <formula>"Kurang"</formula>
    </cfRule>
    <cfRule type="cellIs" priority="5" operator="equal" aboveAverage="0" equalAverage="0" bottom="0" percent="0" rank="0" text="" dxfId="21">
      <formula>"Belum ada data"</formula>
    </cfRule>
    <cfRule type="cellIs" priority="6" operator="equal" aboveAverage="0" equalAverage="0" bottom="0" percent="0" rank="0" text="" dxfId="22">
      <formula>"Tidak dinilai"</formula>
    </cfRule>
  </conditionalFormatting>
  <conditionalFormatting sqref="Q5:Q304">
    <cfRule type="cellIs" priority="7" operator="equal" aboveAverage="0" equalAverage="0" bottom="0" percent="0" rank="0" text="" dxfId="18">
      <formula>"Cocok"</formula>
    </cfRule>
    <cfRule type="cellIs" priority="8" operator="equal" aboveAverage="0" equalAverage="0" bottom="0" percent="0" rank="0" text="" dxfId="19">
      <formula>"Bisa, dengan catatan"</formula>
    </cfRule>
    <cfRule type="cellIs" priority="9" operator="equal" aboveAverage="0" equalAverage="0" bottom="0" percent="0" rank="0" text="" dxfId="21">
      <formula>"Data belum lengkap"</formula>
    </cfRule>
    <cfRule type="cellIs" priority="10" operator="equal" aboveAverage="0" equalAverage="0" bottom="0" percent="0" rank="0" text="" dxfId="20">
      <formula>"Kurang cocok"</formula>
    </cfRule>
    <cfRule type="cellIs" priority="11" operator="equal" aboveAverage="0" equalAverage="0" bottom="0" percent="0" rank="0" text="" dxfId="23">
      <formula>"Tidak dinilai"</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B8B"/>
    <pageSetUpPr fitToPage="true"/>
  </sheetPr>
  <dimension ref="A1:I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7"/>
    <col collapsed="false" customWidth="true" hidden="false" outlineLevel="0" max="3" min="3" style="0" width="38"/>
    <col collapsed="false" customWidth="true" hidden="false" outlineLevel="0" max="8" min="4" style="0" width="17"/>
    <col collapsed="false" customWidth="true" hidden="false" outlineLevel="0" max="9" min="9" style="0" width="15"/>
  </cols>
  <sheetData>
    <row r="1" customFormat="false" ht="17.35" hidden="false" customHeight="false" outlineLevel="0" collapsed="false">
      <c r="A1" s="45" t="s">
        <v>597</v>
      </c>
    </row>
    <row r="2" customFormat="false" ht="15" hidden="false" customHeight="false" outlineLevel="0" collapsed="false">
      <c r="A2" s="46" t="s">
        <v>598</v>
      </c>
    </row>
    <row r="4" customFormat="false" ht="15" hidden="false" customHeight="false" outlineLevel="0" collapsed="false">
      <c r="A4" s="72" t="s">
        <v>599</v>
      </c>
      <c r="B4" s="19" t="s">
        <v>188</v>
      </c>
      <c r="C4" s="19"/>
      <c r="H4" s="73" t="s">
        <v>600</v>
      </c>
      <c r="I4" s="69" t="n">
        <f aca="false">IFERROR(MATCH($B$4,Varian!$A$5:$A$64,0),0)</f>
        <v>1</v>
      </c>
    </row>
    <row r="5" customFormat="false" ht="18" hidden="false" customHeight="true" outlineLevel="0" collapsed="false">
      <c r="A5" s="72" t="s">
        <v>601</v>
      </c>
      <c r="B5" s="74" t="str">
        <f aca="false">IF($I$4=0,"Varian tidak ditemukan di tab Varian.",INDEX($A$17:$A$76,$I$4)&amp;": "&amp;INDEX($C$17:$C$76,$I$4))</f>
        <v>ASUS Vivobook 14 M1405YA: AMD Ryzen 5 7430U · 16 GB RAM · 512 GB</v>
      </c>
      <c r="C5" s="74"/>
      <c r="D5" s="74"/>
      <c r="E5" s="74"/>
      <c r="F5" s="74"/>
      <c r="G5" s="74"/>
      <c r="H5" s="74"/>
      <c r="I5" s="74"/>
    </row>
    <row r="7" customFormat="false" ht="15" hidden="false" customHeight="false" outlineLevel="0" collapsed="false">
      <c r="A7" s="61" t="s">
        <v>427</v>
      </c>
      <c r="B7" s="61" t="s">
        <v>564</v>
      </c>
      <c r="C7" s="61" t="s">
        <v>566</v>
      </c>
      <c r="D7" s="61"/>
      <c r="E7" s="61"/>
      <c r="F7" s="61"/>
      <c r="G7" s="61"/>
      <c r="H7" s="61"/>
      <c r="I7" s="61"/>
    </row>
    <row r="8" customFormat="false" ht="45.75" hidden="false" customHeight="true" outlineLevel="0" collapsed="false">
      <c r="A8" s="75" t="str">
        <f aca="false">Aturan!$A$21</f>
        <v>Kuliah dan kantor</v>
      </c>
      <c r="B8" s="76" t="str">
        <f aca="false">IF($I$4=0,"",INDEX(Perhitungan!$Q$5:$Q$304,5*($I$4-1)+1))</f>
        <v>Cocok</v>
      </c>
      <c r="C8" s="57" t="str">
        <f aca="false">IF($I$4=0,"",INDEX(Perhitungan!$Z$5:$Z$304,5*($I$4-1)+1))</f>
        <v>Semua kriteria yang dinilai sudah nyaman: prosesor, RAM, penyimpanan.</v>
      </c>
      <c r="D8" s="57"/>
      <c r="E8" s="57"/>
      <c r="F8" s="57"/>
      <c r="G8" s="57"/>
      <c r="H8" s="57"/>
      <c r="I8" s="57"/>
    </row>
    <row r="9" customFormat="false" ht="45.75" hidden="false" customHeight="true" outlineLevel="0" collapsed="false">
      <c r="A9" s="75" t="str">
        <f aca="false">Aturan!$A$22</f>
        <v>Desain grafis</v>
      </c>
      <c r="B9" s="76" t="str">
        <f aca="false">IF($I$4=0,"",INDEX(Perhitungan!$Q$5:$Q$304,5*($I$4-1)+2))</f>
        <v>Bisa, dengan catatan</v>
      </c>
      <c r="C9" s="57" t="str">
        <f aca="false">IF($I$4=0,"",INDEX(Perhitungan!$Z$5:$Z$304,5*($I$4-1)+2))</f>
        <v>Layar IPS cukup, nyamannya OLED. Sudah nyaman: prosesor, grafis, RAM, penyimpanan.</v>
      </c>
      <c r="D9" s="57"/>
      <c r="E9" s="57"/>
      <c r="F9" s="57"/>
      <c r="G9" s="57"/>
      <c r="H9" s="57"/>
      <c r="I9" s="57"/>
    </row>
    <row r="10" customFormat="false" ht="45.75" hidden="false" customHeight="true" outlineLevel="0" collapsed="false">
      <c r="A10" s="75" t="str">
        <f aca="false">Aturan!$A$23</f>
        <v>Pemrograman</v>
      </c>
      <c r="B10" s="76" t="str">
        <f aca="false">IF($I$4=0,"",INDEX(Perhitungan!$Q$5:$Q$304,5*($I$4-1)+3))</f>
        <v>Cocok</v>
      </c>
      <c r="C10" s="57" t="str">
        <f aca="false">IF($I$4=0,"",INDEX(Perhitungan!$Z$5:$Z$304,5*($I$4-1)+3))</f>
        <v>Semua kriteria yang dinilai sudah nyaman: prosesor, RAM, penyimpanan.</v>
      </c>
      <c r="D10" s="57"/>
      <c r="E10" s="57"/>
      <c r="F10" s="57"/>
      <c r="G10" s="57"/>
      <c r="H10" s="57"/>
      <c r="I10" s="57"/>
    </row>
    <row r="11" customFormat="false" ht="45.75" hidden="false" customHeight="true" outlineLevel="0" collapsed="false">
      <c r="A11" s="75" t="str">
        <f aca="false">Aturan!$A$24</f>
        <v>Game ringan</v>
      </c>
      <c r="B11" s="76" t="str">
        <f aca="false">IF($I$4=0,"",INDEX(Perhitungan!$Q$5:$Q$304,5*($I$4-1)+4))</f>
        <v>Cocok</v>
      </c>
      <c r="C11" s="57" t="str">
        <f aca="false">IF($I$4=0,"",INDEX(Perhitungan!$Z$5:$Z$304,5*($I$4-1)+4))</f>
        <v>Semua kriteria yang dinilai sudah nyaman: prosesor, grafis, RAM, penyimpanan.</v>
      </c>
      <c r="D11" s="57"/>
      <c r="E11" s="57"/>
      <c r="F11" s="57"/>
      <c r="G11" s="57"/>
      <c r="H11" s="57"/>
      <c r="I11" s="57"/>
    </row>
    <row r="12" customFormat="false" ht="45.75" hidden="false" customHeight="true" outlineLevel="0" collapsed="false">
      <c r="A12" s="75" t="str">
        <f aca="false">Aturan!$A$25</f>
        <v>Game berat</v>
      </c>
      <c r="B12" s="76" t="str">
        <f aca="false">IF($I$4=0,"",INDEX(Perhitungan!$Q$5:$Q$304,5*($I$4-1)+5))</f>
        <v>Kurang cocok</v>
      </c>
      <c r="C12" s="57" t="str">
        <f aca="false">IF($I$4=0,"",INDEX(Perhitungan!$Z$5:$Z$304,5*($I$4-1)+5))</f>
        <v>Grafis tingkat 2 dari 5, di bawah batas minimal (tingkat 3); prosesor tingkat 3 dari 5 cukup, nyamannya mulai tingkat 4; penyimpanan 512 GB cukup, nyamannya 1000 GB atau lebih (bisa diganti dengan yang lebih besar); layar 60 Hz cukup, nyamannya 120 Hz atau lebih. Sudah nyaman: RAM.</v>
      </c>
      <c r="D12" s="57"/>
      <c r="E12" s="57"/>
      <c r="F12" s="57"/>
      <c r="G12" s="57"/>
      <c r="H12" s="57"/>
      <c r="I12" s="57"/>
    </row>
    <row r="13" customFormat="false" ht="72" hidden="false" customHeight="true" outlineLevel="0" collapsed="false">
      <c r="A13" s="75" t="s">
        <v>602</v>
      </c>
      <c r="B13" s="77" t="n">
        <f aca="false">IF($I$4=0,"",INDEX(Perhitungan!$AC$5:$AC$304,5*($I$4-1)+1))</f>
        <v>0</v>
      </c>
      <c r="C13" s="57" t="str">
        <f aca="false">IF($I$4=0,"",IF(B13=0,"Tidak ada peringatan umum.",INDEX(Perhitungan!$AB$5:$AB$304,5*($I$4-1)+1)))</f>
        <v>Tidak ada peringatan umum.</v>
      </c>
      <c r="D13" s="57"/>
      <c r="E13" s="57"/>
      <c r="F13" s="57"/>
      <c r="G13" s="57"/>
      <c r="H13" s="57"/>
      <c r="I13" s="57"/>
    </row>
    <row r="15" customFormat="false" ht="27.75" hidden="false" customHeight="true" outlineLevel="0" collapsed="false">
      <c r="A15" s="78" t="s">
        <v>603</v>
      </c>
      <c r="C15" s="79" t="s">
        <v>604</v>
      </c>
      <c r="D15" s="80" t="s">
        <v>423</v>
      </c>
      <c r="E15" s="81" t="s">
        <v>421</v>
      </c>
      <c r="F15" s="82" t="s">
        <v>419</v>
      </c>
      <c r="G15" s="83" t="s">
        <v>417</v>
      </c>
    </row>
    <row r="16" customFormat="false" ht="31.5" hidden="false" customHeight="true" outlineLevel="0" collapsed="false">
      <c r="A16" s="10" t="s">
        <v>601</v>
      </c>
      <c r="B16" s="10" t="s">
        <v>605</v>
      </c>
      <c r="C16" s="10" t="s">
        <v>606</v>
      </c>
      <c r="D16" s="10" t="str">
        <f aca="false">Aturan!$A$21</f>
        <v>Kuliah dan kantor</v>
      </c>
      <c r="E16" s="10" t="str">
        <f aca="false">Aturan!$A$22</f>
        <v>Desain grafis</v>
      </c>
      <c r="F16" s="10" t="str">
        <f aca="false">Aturan!$A$23</f>
        <v>Pemrograman</v>
      </c>
      <c r="G16" s="10" t="str">
        <f aca="false">Aturan!$A$24</f>
        <v>Game ringan</v>
      </c>
      <c r="H16" s="10" t="str">
        <f aca="false">Aturan!$A$25</f>
        <v>Game berat</v>
      </c>
      <c r="I16" s="10" t="s">
        <v>607</v>
      </c>
    </row>
    <row r="17" customFormat="false" ht="30" hidden="false" customHeight="true" outlineLevel="0" collapsed="false">
      <c r="A17" s="74" t="str">
        <f aca="false">IF(Varian!$A5="","",IFERROR(INDEX(Model!$B$4:$B$64,MATCH(Varian!$B5,Model!$A$4:$A$64,0))&amp;" "&amp;INDEX(Model!$C$4:$C$64,MATCH(Varian!$B5,Model!$A$4:$A$64,0)),IF(Varian!$B5="","(model belum diisi)",Varian!$B5)))</f>
        <v>ASUS Vivobook 14 M1405YA</v>
      </c>
      <c r="B17" s="74" t="str">
        <f aca="false">IF(Varian!$A5="","",Varian!$A5)</f>
        <v>asus-m1405ya-r5-7430u-16-512</v>
      </c>
      <c r="C17" s="74" t="str">
        <f aca="false">IF($B17="","",IF(Varian!$J5="","(prosesor belum diisi)",Varian!$J5)&amp;" · "&amp;IF(ISNUMBER(Varian!$M5),Varian!$M5&amp;" GB RAM","RAM belum diisi")&amp;" · "&amp;IF(ISNUMBER(Varian!$V5),Varian!$V5&amp;" GB","penyimpanan belum diisi"))</f>
        <v>AMD Ryzen 5 7430U · 16 GB RAM · 512 GB</v>
      </c>
      <c r="D17" s="84" t="str">
        <f aca="false">IF($B17="","",Perhitungan!$Q$5)</f>
        <v>Cocok</v>
      </c>
      <c r="E17" s="84" t="str">
        <f aca="false">IF($B17="","",Perhitungan!$Q$6)</f>
        <v>Bisa, dengan catatan</v>
      </c>
      <c r="F17" s="84" t="str">
        <f aca="false">IF($B17="","",Perhitungan!$Q$7)</f>
        <v>Cocok</v>
      </c>
      <c r="G17" s="84" t="str">
        <f aca="false">IF($B17="","",Perhitungan!$Q$8)</f>
        <v>Cocok</v>
      </c>
      <c r="H17" s="84" t="str">
        <f aca="false">IF($B17="","",Perhitungan!$Q$9)</f>
        <v>Kurang cocok</v>
      </c>
      <c r="I17" s="85" t="n">
        <f aca="false">IF($B17="","",Perhitungan!$AC$5)</f>
        <v>0</v>
      </c>
    </row>
    <row r="18" customFormat="false" ht="30" hidden="false" customHeight="true" outlineLevel="0" collapsed="false">
      <c r="A18" s="74" t="str">
        <f aca="false">IF(Varian!$A6="","",IFERROR(INDEX(Model!$B$4:$B$64,MATCH(Varian!$B6,Model!$A$4:$A$64,0))&amp;" "&amp;INDEX(Model!$C$4:$C$64,MATCH(Varian!$B6,Model!$A$4:$A$64,0)),IF(Varian!$B6="","(model belum diisi)",Varian!$B6)))</f>
        <v>HP Pavilion x360 14-ek1000</v>
      </c>
      <c r="B18" s="74" t="str">
        <f aca="false">IF(Varian!$A6="","",Varian!$A6)</f>
        <v>hp-pavilion-x360-14-ek1005tu-i5-1335u-16-512</v>
      </c>
      <c r="C18" s="74" t="str">
        <f aca="false">IF($B18="","",IF(Varian!$J6="","(prosesor belum diisi)",Varian!$J6)&amp;" · "&amp;IF(ISNUMBER(Varian!$M6),Varian!$M6&amp;" GB RAM","RAM belum diisi")&amp;" · "&amp;IF(ISNUMBER(Varian!$V6),Varian!$V6&amp;" GB","penyimpanan belum diisi"))</f>
        <v>Intel Core i5-1335U · 16 GB RAM · 512 GB</v>
      </c>
      <c r="D18" s="84" t="str">
        <f aca="false">IF($B18="","",Perhitungan!$Q$10)</f>
        <v>Cocok</v>
      </c>
      <c r="E18" s="84" t="str">
        <f aca="false">IF($B18="","",Perhitungan!$Q$11)</f>
        <v>Bisa, dengan catatan</v>
      </c>
      <c r="F18" s="84" t="str">
        <f aca="false">IF($B18="","",Perhitungan!$Q$12)</f>
        <v>Cocok</v>
      </c>
      <c r="G18" s="84" t="str">
        <f aca="false">IF($B18="","",Perhitungan!$Q$13)</f>
        <v>Cocok</v>
      </c>
      <c r="H18" s="84" t="str">
        <f aca="false">IF($B18="","",Perhitungan!$Q$14)</f>
        <v>Kurang cocok</v>
      </c>
      <c r="I18" s="85" t="n">
        <f aca="false">IF($B18="","",Perhitungan!$AC$10)</f>
        <v>1</v>
      </c>
    </row>
    <row r="19" customFormat="false" ht="30" hidden="false" customHeight="true" outlineLevel="0" collapsed="false">
      <c r="A19" s="74" t="str">
        <f aca="false">IF(Varian!$A7="","",IFERROR(INDEX(Model!$B$4:$B$64,MATCH(Varian!$B7,Model!$A$4:$A$64,0))&amp;" "&amp;INDEX(Model!$C$4:$C$64,MATCH(Varian!$B7,Model!$A$4:$A$64,0)),IF(Varian!$B7="","(model belum diisi)",Varian!$B7)))</f>
        <v>Axioo Hype 10</v>
      </c>
      <c r="B19" s="74" t="str">
        <f aca="false">IF(Varian!$A7="","",Varian!$A7)</f>
        <v>axioo-hype-10-n4020-8-256-w11</v>
      </c>
      <c r="C19" s="74" t="str">
        <f aca="false">IF($B19="","",IF(Varian!$J7="","(prosesor belum diisi)",Varian!$J7)&amp;" · "&amp;IF(ISNUMBER(Varian!$M7),Varian!$M7&amp;" GB RAM","RAM belum diisi")&amp;" · "&amp;IF(ISNUMBER(Varian!$V7),Varian!$V7&amp;" GB","penyimpanan belum diisi"))</f>
        <v>Intel Celeron N4020 · 8 GB RAM · 256 GB</v>
      </c>
      <c r="D19" s="84" t="str">
        <f aca="false">IF($B19="","",Perhitungan!$Q$15)</f>
        <v>Bisa, dengan catatan</v>
      </c>
      <c r="E19" s="84" t="str">
        <f aca="false">IF($B19="","",Perhitungan!$Q$16)</f>
        <v>Kurang cocok</v>
      </c>
      <c r="F19" s="84" t="str">
        <f aca="false">IF($B19="","",Perhitungan!$Q$17)</f>
        <v>Kurang cocok</v>
      </c>
      <c r="G19" s="84" t="str">
        <f aca="false">IF($B19="","",Perhitungan!$Q$18)</f>
        <v>Kurang cocok</v>
      </c>
      <c r="H19" s="84" t="str">
        <f aca="false">IF($B19="","",Perhitungan!$Q$19)</f>
        <v>Kurang cocok</v>
      </c>
      <c r="I19" s="85" t="n">
        <f aca="false">IF($B19="","",Perhitungan!$AC$15)</f>
        <v>3</v>
      </c>
    </row>
    <row r="20" customFormat="false" ht="30" hidden="false" customHeight="true" outlineLevel="0" collapsed="false">
      <c r="A20" s="74" t="str">
        <f aca="false">IF(Varian!$A8="","",IFERROR(INDEX(Model!$B$4:$B$64,MATCH(Varian!$B8,Model!$A$4:$A$64,0))&amp;" "&amp;INDEX(Model!$C$4:$C$64,MATCH(Varian!$B8,Model!$A$4:$A$64,0)),IF(Varian!$B8="","(model belum diisi)",Varian!$B8)))</f>
        <v>Axioo Hype 10</v>
      </c>
      <c r="B20" s="74" t="str">
        <f aca="false">IF(Varian!$A8="","",Varian!$A8)</f>
        <v>axioo-hype-10-n4020-8-256-w10</v>
      </c>
      <c r="C20" s="74" t="str">
        <f aca="false">IF($B20="","",IF(Varian!$J8="","(prosesor belum diisi)",Varian!$J8)&amp;" · "&amp;IF(ISNUMBER(Varian!$M8),Varian!$M8&amp;" GB RAM","RAM belum diisi")&amp;" · "&amp;IF(ISNUMBER(Varian!$V8),Varian!$V8&amp;" GB","penyimpanan belum diisi"))</f>
        <v>Intel Celeron N4020 · 8 GB RAM · 256 GB</v>
      </c>
      <c r="D20" s="84" t="str">
        <f aca="false">IF($B20="","",Perhitungan!$Q$20)</f>
        <v>Bisa, dengan catatan</v>
      </c>
      <c r="E20" s="84" t="str">
        <f aca="false">IF($B20="","",Perhitungan!$Q$21)</f>
        <v>Kurang cocok</v>
      </c>
      <c r="F20" s="84" t="str">
        <f aca="false">IF($B20="","",Perhitungan!$Q$22)</f>
        <v>Kurang cocok</v>
      </c>
      <c r="G20" s="84" t="str">
        <f aca="false">IF($B20="","",Perhitungan!$Q$23)</f>
        <v>Kurang cocok</v>
      </c>
      <c r="H20" s="84" t="str">
        <f aca="false">IF($B20="","",Perhitungan!$Q$24)</f>
        <v>Kurang cocok</v>
      </c>
      <c r="I20" s="85" t="n">
        <f aca="false">IF($B20="","",Perhitungan!$AC$20)</f>
        <v>4</v>
      </c>
    </row>
    <row r="21" customFormat="false" ht="30" hidden="false" customHeight="true" outlineLevel="0" collapsed="false">
      <c r="A21" s="74" t="str">
        <f aca="false">IF(Varian!$A9="","",IFERROR(INDEX(Model!$B$4:$B$64,MATCH(Varian!$B9,Model!$A$4:$A$64,0))&amp;" "&amp;INDEX(Model!$C$4:$C$64,MATCH(Varian!$B9,Model!$A$4:$A$64,0)),IF(Varian!$B9="","(model belum diisi)",Varian!$B9)))</f>
        <v>Lenovo ThinkPad T480</v>
      </c>
      <c r="B21" s="74" t="str">
        <f aca="false">IF(Varian!$A9="","",Varian!$A9)</f>
        <v>lenovo-thinkpad-t480-i5-8350u-8-256</v>
      </c>
      <c r="C21" s="74" t="str">
        <f aca="false">IF($B21="","",IF(Varian!$J9="","(prosesor belum diisi)",Varian!$J9)&amp;" · "&amp;IF(ISNUMBER(Varian!$M9),Varian!$M9&amp;" GB RAM","RAM belum diisi")&amp;" · "&amp;IF(ISNUMBER(Varian!$V9),Varian!$V9&amp;" GB","penyimpanan belum diisi"))</f>
        <v>Intel Core i5-8350U · 8 GB RAM · 256 GB</v>
      </c>
      <c r="D21" s="84" t="str">
        <f aca="false">IF($B21="","",Perhitungan!$Q$25)</f>
        <v>Cocok</v>
      </c>
      <c r="E21" s="84" t="str">
        <f aca="false">IF($B21="","",Perhitungan!$Q$26)</f>
        <v>Data belum lengkap</v>
      </c>
      <c r="F21" s="84" t="str">
        <f aca="false">IF($B21="","",Perhitungan!$Q$27)</f>
        <v>Bisa, dengan catatan</v>
      </c>
      <c r="G21" s="84" t="str">
        <f aca="false">IF($B21="","",Perhitungan!$Q$28)</f>
        <v>Bisa, dengan catatan</v>
      </c>
      <c r="H21" s="84" t="str">
        <f aca="false">IF($B21="","",Perhitungan!$Q$29)</f>
        <v>Kurang cocok</v>
      </c>
      <c r="I21" s="85" t="n">
        <f aca="false">IF($B21="","",Perhitungan!$AC$25)</f>
        <v>0</v>
      </c>
    </row>
    <row r="22" customFormat="false" ht="30" hidden="false" customHeight="true" outlineLevel="0" collapsed="false">
      <c r="A22" s="74" t="str">
        <f aca="false">IF(Varian!$A10="","",IFERROR(INDEX(Model!$B$4:$B$64,MATCH(Varian!$B10,Model!$A$4:$A$64,0))&amp;" "&amp;INDEX(Model!$C$4:$C$64,MATCH(Varian!$B10,Model!$A$4:$A$64,0)),IF(Varian!$B10="","(model belum diisi)",Varian!$B10)))</f>
        <v>Lenovo ThinkPad T480</v>
      </c>
      <c r="B22" s="74" t="str">
        <f aca="false">IF(Varian!$A10="","",Varian!$A10)</f>
        <v>lenovo-thinkpad-t480-i5-8350u-16-512</v>
      </c>
      <c r="C22" s="74" t="str">
        <f aca="false">IF($B22="","",IF(Varian!$J10="","(prosesor belum diisi)",Varian!$J10)&amp;" · "&amp;IF(ISNUMBER(Varian!$M10),Varian!$M10&amp;" GB RAM","RAM belum diisi")&amp;" · "&amp;IF(ISNUMBER(Varian!$V10),Varian!$V10&amp;" GB","penyimpanan belum diisi"))</f>
        <v>Intel Core i5-8350U · 16 GB RAM · 512 GB</v>
      </c>
      <c r="D22" s="84" t="str">
        <f aca="false">IF($B22="","",Perhitungan!$Q$30)</f>
        <v>Cocok</v>
      </c>
      <c r="E22" s="84" t="str">
        <f aca="false">IF($B22="","",Perhitungan!$Q$31)</f>
        <v>Data belum lengkap</v>
      </c>
      <c r="F22" s="84" t="str">
        <f aca="false">IF($B22="","",Perhitungan!$Q$32)</f>
        <v>Bisa, dengan catatan</v>
      </c>
      <c r="G22" s="84" t="str">
        <f aca="false">IF($B22="","",Perhitungan!$Q$33)</f>
        <v>Bisa, dengan catatan</v>
      </c>
      <c r="H22" s="84" t="str">
        <f aca="false">IF($B22="","",Perhitungan!$Q$34)</f>
        <v>Kurang cocok</v>
      </c>
      <c r="I22" s="85" t="n">
        <f aca="false">IF($B22="","",Perhitungan!$AC$30)</f>
        <v>0</v>
      </c>
    </row>
    <row r="23" customFormat="false" ht="30" hidden="false" customHeight="true" outlineLevel="0" collapsed="false">
      <c r="A23" s="74" t="str">
        <f aca="false">IF(Varian!$A11="","",IFERROR(INDEX(Model!$B$4:$B$64,MATCH(Varian!$B11,Model!$A$4:$A$64,0))&amp;" "&amp;INDEX(Model!$C$4:$C$64,MATCH(Varian!$B11,Model!$A$4:$A$64,0)),IF(Varian!$B11="","(model belum diisi)",Varian!$B11)))</f>
        <v>Dell Latitude 5400</v>
      </c>
      <c r="B23" s="74" t="str">
        <f aca="false">IF(Varian!$A11="","",Varian!$A11)</f>
        <v>dell-latitude-5400-i5-8265u-8-256</v>
      </c>
      <c r="C23" s="74" t="str">
        <f aca="false">IF($B23="","",IF(Varian!$J11="","(prosesor belum diisi)",Varian!$J11)&amp;" · "&amp;IF(ISNUMBER(Varian!$M11),Varian!$M11&amp;" GB RAM","RAM belum diisi")&amp;" · "&amp;IF(ISNUMBER(Varian!$V11),Varian!$V11&amp;" GB","penyimpanan belum diisi"))</f>
        <v>Intel Core i5-8265U · 8 GB RAM · 256 GB</v>
      </c>
      <c r="D23" s="84" t="str">
        <f aca="false">IF($B23="","",Perhitungan!$Q$35)</f>
        <v>Cocok</v>
      </c>
      <c r="E23" s="84" t="str">
        <f aca="false">IF($B23="","",Perhitungan!$Q$36)</f>
        <v>Data belum lengkap</v>
      </c>
      <c r="F23" s="84" t="str">
        <f aca="false">IF($B23="","",Perhitungan!$Q$37)</f>
        <v>Bisa, dengan catatan</v>
      </c>
      <c r="G23" s="84" t="str">
        <f aca="false">IF($B23="","",Perhitungan!$Q$38)</f>
        <v>Bisa, dengan catatan</v>
      </c>
      <c r="H23" s="84" t="str">
        <f aca="false">IF($B23="","",Perhitungan!$Q$39)</f>
        <v>Kurang cocok</v>
      </c>
      <c r="I23" s="85" t="n">
        <f aca="false">IF($B23="","",Perhitungan!$AC$35)</f>
        <v>0</v>
      </c>
    </row>
    <row r="24" customFormat="false" ht="30" hidden="false" customHeight="true" outlineLevel="0" collapsed="false">
      <c r="A24" s="74" t="str">
        <f aca="false">IF(Varian!$A12="","",IFERROR(INDEX(Model!$B$4:$B$64,MATCH(Varian!$B12,Model!$A$4:$A$64,0))&amp;" "&amp;INDEX(Model!$C$4:$C$64,MATCH(Varian!$B12,Model!$A$4:$A$64,0)),IF(Varian!$B12="","(model belum diisi)",Varian!$B12)))</f>
        <v>Dell Latitude 5400</v>
      </c>
      <c r="B24" s="74" t="str">
        <f aca="false">IF(Varian!$A12="","",Varian!$A12)</f>
        <v>dell-latitude-5400-i5-8365u-8-256</v>
      </c>
      <c r="C24" s="74" t="str">
        <f aca="false">IF($B24="","",IF(Varian!$J12="","(prosesor belum diisi)",Varian!$J12)&amp;" · "&amp;IF(ISNUMBER(Varian!$M12),Varian!$M12&amp;" GB RAM","RAM belum diisi")&amp;" · "&amp;IF(ISNUMBER(Varian!$V12),Varian!$V12&amp;" GB","penyimpanan belum diisi"))</f>
        <v>Intel Core i5-8365U · 8 GB RAM · 256 GB</v>
      </c>
      <c r="D24" s="84" t="str">
        <f aca="false">IF($B24="","",Perhitungan!$Q$40)</f>
        <v>Cocok</v>
      </c>
      <c r="E24" s="84" t="str">
        <f aca="false">IF($B24="","",Perhitungan!$Q$41)</f>
        <v>Data belum lengkap</v>
      </c>
      <c r="F24" s="84" t="str">
        <f aca="false">IF($B24="","",Perhitungan!$Q$42)</f>
        <v>Bisa, dengan catatan</v>
      </c>
      <c r="G24" s="84" t="str">
        <f aca="false">IF($B24="","",Perhitungan!$Q$43)</f>
        <v>Bisa, dengan catatan</v>
      </c>
      <c r="H24" s="84" t="str">
        <f aca="false">IF($B24="","",Perhitungan!$Q$44)</f>
        <v>Kurang cocok</v>
      </c>
      <c r="I24" s="85" t="n">
        <f aca="false">IF($B24="","",Perhitungan!$AC$40)</f>
        <v>0</v>
      </c>
    </row>
    <row r="25" customFormat="false" ht="30" hidden="false" customHeight="true" outlineLevel="0" collapsed="false">
      <c r="A25" s="74" t="str">
        <f aca="false">IF(Varian!$A13="","",IFERROR(INDEX(Model!$B$4:$B$64,MATCH(Varian!$B13,Model!$A$4:$A$64,0))&amp;" "&amp;INDEX(Model!$C$4:$C$64,MATCH(Varian!$B13,Model!$A$4:$A$64,0)),IF(Varian!$B13="","(model belum diisi)",Varian!$B13)))</f>
        <v/>
      </c>
      <c r="B25" s="74" t="str">
        <f aca="false">IF(Varian!$A13="","",Varian!$A13)</f>
        <v/>
      </c>
      <c r="C25" s="74" t="str">
        <f aca="false">IF($B25="","",IF(Varian!$J13="","(prosesor belum diisi)",Varian!$J13)&amp;" · "&amp;IF(ISNUMBER(Varian!$M13),Varian!$M13&amp;" GB RAM","RAM belum diisi")&amp;" · "&amp;IF(ISNUMBER(Varian!$V13),Varian!$V13&amp;" GB","penyimpanan belum diisi"))</f>
        <v/>
      </c>
      <c r="D25" s="84" t="str">
        <f aca="false">IF($B25="","",Perhitungan!$Q$45)</f>
        <v/>
      </c>
      <c r="E25" s="84" t="str">
        <f aca="false">IF($B25="","",Perhitungan!$Q$46)</f>
        <v/>
      </c>
      <c r="F25" s="84" t="str">
        <f aca="false">IF($B25="","",Perhitungan!$Q$47)</f>
        <v/>
      </c>
      <c r="G25" s="84" t="str">
        <f aca="false">IF($B25="","",Perhitungan!$Q$48)</f>
        <v/>
      </c>
      <c r="H25" s="84" t="str">
        <f aca="false">IF($B25="","",Perhitungan!$Q$49)</f>
        <v/>
      </c>
      <c r="I25" s="85" t="str">
        <f aca="false">IF($B25="","",Perhitungan!$AC$45)</f>
        <v/>
      </c>
    </row>
    <row r="26" customFormat="false" ht="30" hidden="false" customHeight="true" outlineLevel="0" collapsed="false">
      <c r="A26" s="74" t="str">
        <f aca="false">IF(Varian!$A14="","",IFERROR(INDEX(Model!$B$4:$B$64,MATCH(Varian!$B14,Model!$A$4:$A$64,0))&amp;" "&amp;INDEX(Model!$C$4:$C$64,MATCH(Varian!$B14,Model!$A$4:$A$64,0)),IF(Varian!$B14="","(model belum diisi)",Varian!$B14)))</f>
        <v/>
      </c>
      <c r="B26" s="74" t="str">
        <f aca="false">IF(Varian!$A14="","",Varian!$A14)</f>
        <v/>
      </c>
      <c r="C26" s="74" t="str">
        <f aca="false">IF($B26="","",IF(Varian!$J14="","(prosesor belum diisi)",Varian!$J14)&amp;" · "&amp;IF(ISNUMBER(Varian!$M14),Varian!$M14&amp;" GB RAM","RAM belum diisi")&amp;" · "&amp;IF(ISNUMBER(Varian!$V14),Varian!$V14&amp;" GB","penyimpanan belum diisi"))</f>
        <v/>
      </c>
      <c r="D26" s="84" t="str">
        <f aca="false">IF($B26="","",Perhitungan!$Q$50)</f>
        <v/>
      </c>
      <c r="E26" s="84" t="str">
        <f aca="false">IF($B26="","",Perhitungan!$Q$51)</f>
        <v/>
      </c>
      <c r="F26" s="84" t="str">
        <f aca="false">IF($B26="","",Perhitungan!$Q$52)</f>
        <v/>
      </c>
      <c r="G26" s="84" t="str">
        <f aca="false">IF($B26="","",Perhitungan!$Q$53)</f>
        <v/>
      </c>
      <c r="H26" s="84" t="str">
        <f aca="false">IF($B26="","",Perhitungan!$Q$54)</f>
        <v/>
      </c>
      <c r="I26" s="85" t="str">
        <f aca="false">IF($B26="","",Perhitungan!$AC$50)</f>
        <v/>
      </c>
    </row>
    <row r="27" customFormat="false" ht="30" hidden="false" customHeight="true" outlineLevel="0" collapsed="false">
      <c r="A27" s="74" t="str">
        <f aca="false">IF(Varian!$A15="","",IFERROR(INDEX(Model!$B$4:$B$64,MATCH(Varian!$B15,Model!$A$4:$A$64,0))&amp;" "&amp;INDEX(Model!$C$4:$C$64,MATCH(Varian!$B15,Model!$A$4:$A$64,0)),IF(Varian!$B15="","(model belum diisi)",Varian!$B15)))</f>
        <v/>
      </c>
      <c r="B27" s="74" t="str">
        <f aca="false">IF(Varian!$A15="","",Varian!$A15)</f>
        <v/>
      </c>
      <c r="C27" s="74" t="str">
        <f aca="false">IF($B27="","",IF(Varian!$J15="","(prosesor belum diisi)",Varian!$J15)&amp;" · "&amp;IF(ISNUMBER(Varian!$M15),Varian!$M15&amp;" GB RAM","RAM belum diisi")&amp;" · "&amp;IF(ISNUMBER(Varian!$V15),Varian!$V15&amp;" GB","penyimpanan belum diisi"))</f>
        <v/>
      </c>
      <c r="D27" s="84" t="str">
        <f aca="false">IF($B27="","",Perhitungan!$Q$55)</f>
        <v/>
      </c>
      <c r="E27" s="84" t="str">
        <f aca="false">IF($B27="","",Perhitungan!$Q$56)</f>
        <v/>
      </c>
      <c r="F27" s="84" t="str">
        <f aca="false">IF($B27="","",Perhitungan!$Q$57)</f>
        <v/>
      </c>
      <c r="G27" s="84" t="str">
        <f aca="false">IF($B27="","",Perhitungan!$Q$58)</f>
        <v/>
      </c>
      <c r="H27" s="84" t="str">
        <f aca="false">IF($B27="","",Perhitungan!$Q$59)</f>
        <v/>
      </c>
      <c r="I27" s="85" t="str">
        <f aca="false">IF($B27="","",Perhitungan!$AC$55)</f>
        <v/>
      </c>
    </row>
    <row r="28" customFormat="false" ht="30" hidden="false" customHeight="true" outlineLevel="0" collapsed="false">
      <c r="A28" s="74" t="str">
        <f aca="false">IF(Varian!$A16="","",IFERROR(INDEX(Model!$B$4:$B$64,MATCH(Varian!$B16,Model!$A$4:$A$64,0))&amp;" "&amp;INDEX(Model!$C$4:$C$64,MATCH(Varian!$B16,Model!$A$4:$A$64,0)),IF(Varian!$B16="","(model belum diisi)",Varian!$B16)))</f>
        <v/>
      </c>
      <c r="B28" s="74" t="str">
        <f aca="false">IF(Varian!$A16="","",Varian!$A16)</f>
        <v/>
      </c>
      <c r="C28" s="74" t="str">
        <f aca="false">IF($B28="","",IF(Varian!$J16="","(prosesor belum diisi)",Varian!$J16)&amp;" · "&amp;IF(ISNUMBER(Varian!$M16),Varian!$M16&amp;" GB RAM","RAM belum diisi")&amp;" · "&amp;IF(ISNUMBER(Varian!$V16),Varian!$V16&amp;" GB","penyimpanan belum diisi"))</f>
        <v/>
      </c>
      <c r="D28" s="84" t="str">
        <f aca="false">IF($B28="","",Perhitungan!$Q$60)</f>
        <v/>
      </c>
      <c r="E28" s="84" t="str">
        <f aca="false">IF($B28="","",Perhitungan!$Q$61)</f>
        <v/>
      </c>
      <c r="F28" s="84" t="str">
        <f aca="false">IF($B28="","",Perhitungan!$Q$62)</f>
        <v/>
      </c>
      <c r="G28" s="84" t="str">
        <f aca="false">IF($B28="","",Perhitungan!$Q$63)</f>
        <v/>
      </c>
      <c r="H28" s="84" t="str">
        <f aca="false">IF($B28="","",Perhitungan!$Q$64)</f>
        <v/>
      </c>
      <c r="I28" s="85" t="str">
        <f aca="false">IF($B28="","",Perhitungan!$AC$60)</f>
        <v/>
      </c>
    </row>
    <row r="29" customFormat="false" ht="30" hidden="false" customHeight="true" outlineLevel="0" collapsed="false">
      <c r="A29" s="74" t="str">
        <f aca="false">IF(Varian!$A17="","",IFERROR(INDEX(Model!$B$4:$B$64,MATCH(Varian!$B17,Model!$A$4:$A$64,0))&amp;" "&amp;INDEX(Model!$C$4:$C$64,MATCH(Varian!$B17,Model!$A$4:$A$64,0)),IF(Varian!$B17="","(model belum diisi)",Varian!$B17)))</f>
        <v/>
      </c>
      <c r="B29" s="74" t="str">
        <f aca="false">IF(Varian!$A17="","",Varian!$A17)</f>
        <v/>
      </c>
      <c r="C29" s="74" t="str">
        <f aca="false">IF($B29="","",IF(Varian!$J17="","(prosesor belum diisi)",Varian!$J17)&amp;" · "&amp;IF(ISNUMBER(Varian!$M17),Varian!$M17&amp;" GB RAM","RAM belum diisi")&amp;" · "&amp;IF(ISNUMBER(Varian!$V17),Varian!$V17&amp;" GB","penyimpanan belum diisi"))</f>
        <v/>
      </c>
      <c r="D29" s="84" t="str">
        <f aca="false">IF($B29="","",Perhitungan!$Q$65)</f>
        <v/>
      </c>
      <c r="E29" s="84" t="str">
        <f aca="false">IF($B29="","",Perhitungan!$Q$66)</f>
        <v/>
      </c>
      <c r="F29" s="84" t="str">
        <f aca="false">IF($B29="","",Perhitungan!$Q$67)</f>
        <v/>
      </c>
      <c r="G29" s="84" t="str">
        <f aca="false">IF($B29="","",Perhitungan!$Q$68)</f>
        <v/>
      </c>
      <c r="H29" s="84" t="str">
        <f aca="false">IF($B29="","",Perhitungan!$Q$69)</f>
        <v/>
      </c>
      <c r="I29" s="85" t="str">
        <f aca="false">IF($B29="","",Perhitungan!$AC$65)</f>
        <v/>
      </c>
    </row>
    <row r="30" customFormat="false" ht="30" hidden="false" customHeight="true" outlineLevel="0" collapsed="false">
      <c r="A30" s="74" t="str">
        <f aca="false">IF(Varian!$A18="","",IFERROR(INDEX(Model!$B$4:$B$64,MATCH(Varian!$B18,Model!$A$4:$A$64,0))&amp;" "&amp;INDEX(Model!$C$4:$C$64,MATCH(Varian!$B18,Model!$A$4:$A$64,0)),IF(Varian!$B18="","(model belum diisi)",Varian!$B18)))</f>
        <v/>
      </c>
      <c r="B30" s="74" t="str">
        <f aca="false">IF(Varian!$A18="","",Varian!$A18)</f>
        <v/>
      </c>
      <c r="C30" s="74" t="str">
        <f aca="false">IF($B30="","",IF(Varian!$J18="","(prosesor belum diisi)",Varian!$J18)&amp;" · "&amp;IF(ISNUMBER(Varian!$M18),Varian!$M18&amp;" GB RAM","RAM belum diisi")&amp;" · "&amp;IF(ISNUMBER(Varian!$V18),Varian!$V18&amp;" GB","penyimpanan belum diisi"))</f>
        <v/>
      </c>
      <c r="D30" s="84" t="str">
        <f aca="false">IF($B30="","",Perhitungan!$Q$70)</f>
        <v/>
      </c>
      <c r="E30" s="84" t="str">
        <f aca="false">IF($B30="","",Perhitungan!$Q$71)</f>
        <v/>
      </c>
      <c r="F30" s="84" t="str">
        <f aca="false">IF($B30="","",Perhitungan!$Q$72)</f>
        <v/>
      </c>
      <c r="G30" s="84" t="str">
        <f aca="false">IF($B30="","",Perhitungan!$Q$73)</f>
        <v/>
      </c>
      <c r="H30" s="84" t="str">
        <f aca="false">IF($B30="","",Perhitungan!$Q$74)</f>
        <v/>
      </c>
      <c r="I30" s="85" t="str">
        <f aca="false">IF($B30="","",Perhitungan!$AC$70)</f>
        <v/>
      </c>
    </row>
    <row r="31" customFormat="false" ht="30" hidden="false" customHeight="true" outlineLevel="0" collapsed="false">
      <c r="A31" s="74" t="str">
        <f aca="false">IF(Varian!$A19="","",IFERROR(INDEX(Model!$B$4:$B$64,MATCH(Varian!$B19,Model!$A$4:$A$64,0))&amp;" "&amp;INDEX(Model!$C$4:$C$64,MATCH(Varian!$B19,Model!$A$4:$A$64,0)),IF(Varian!$B19="","(model belum diisi)",Varian!$B19)))</f>
        <v/>
      </c>
      <c r="B31" s="74" t="str">
        <f aca="false">IF(Varian!$A19="","",Varian!$A19)</f>
        <v/>
      </c>
      <c r="C31" s="74" t="str">
        <f aca="false">IF($B31="","",IF(Varian!$J19="","(prosesor belum diisi)",Varian!$J19)&amp;" · "&amp;IF(ISNUMBER(Varian!$M19),Varian!$M19&amp;" GB RAM","RAM belum diisi")&amp;" · "&amp;IF(ISNUMBER(Varian!$V19),Varian!$V19&amp;" GB","penyimpanan belum diisi"))</f>
        <v/>
      </c>
      <c r="D31" s="84" t="str">
        <f aca="false">IF($B31="","",Perhitungan!$Q$75)</f>
        <v/>
      </c>
      <c r="E31" s="84" t="str">
        <f aca="false">IF($B31="","",Perhitungan!$Q$76)</f>
        <v/>
      </c>
      <c r="F31" s="84" t="str">
        <f aca="false">IF($B31="","",Perhitungan!$Q$77)</f>
        <v/>
      </c>
      <c r="G31" s="84" t="str">
        <f aca="false">IF($B31="","",Perhitungan!$Q$78)</f>
        <v/>
      </c>
      <c r="H31" s="84" t="str">
        <f aca="false">IF($B31="","",Perhitungan!$Q$79)</f>
        <v/>
      </c>
      <c r="I31" s="85" t="str">
        <f aca="false">IF($B31="","",Perhitungan!$AC$75)</f>
        <v/>
      </c>
    </row>
    <row r="32" customFormat="false" ht="30" hidden="false" customHeight="true" outlineLevel="0" collapsed="false">
      <c r="A32" s="74" t="str">
        <f aca="false">IF(Varian!$A20="","",IFERROR(INDEX(Model!$B$4:$B$64,MATCH(Varian!$B20,Model!$A$4:$A$64,0))&amp;" "&amp;INDEX(Model!$C$4:$C$64,MATCH(Varian!$B20,Model!$A$4:$A$64,0)),IF(Varian!$B20="","(model belum diisi)",Varian!$B20)))</f>
        <v/>
      </c>
      <c r="B32" s="74" t="str">
        <f aca="false">IF(Varian!$A20="","",Varian!$A20)</f>
        <v/>
      </c>
      <c r="C32" s="74" t="str">
        <f aca="false">IF($B32="","",IF(Varian!$J20="","(prosesor belum diisi)",Varian!$J20)&amp;" · "&amp;IF(ISNUMBER(Varian!$M20),Varian!$M20&amp;" GB RAM","RAM belum diisi")&amp;" · "&amp;IF(ISNUMBER(Varian!$V20),Varian!$V20&amp;" GB","penyimpanan belum diisi"))</f>
        <v/>
      </c>
      <c r="D32" s="84" t="str">
        <f aca="false">IF($B32="","",Perhitungan!$Q$80)</f>
        <v/>
      </c>
      <c r="E32" s="84" t="str">
        <f aca="false">IF($B32="","",Perhitungan!$Q$81)</f>
        <v/>
      </c>
      <c r="F32" s="84" t="str">
        <f aca="false">IF($B32="","",Perhitungan!$Q$82)</f>
        <v/>
      </c>
      <c r="G32" s="84" t="str">
        <f aca="false">IF($B32="","",Perhitungan!$Q$83)</f>
        <v/>
      </c>
      <c r="H32" s="84" t="str">
        <f aca="false">IF($B32="","",Perhitungan!$Q$84)</f>
        <v/>
      </c>
      <c r="I32" s="85" t="str">
        <f aca="false">IF($B32="","",Perhitungan!$AC$80)</f>
        <v/>
      </c>
    </row>
    <row r="33" customFormat="false" ht="30" hidden="false" customHeight="true" outlineLevel="0" collapsed="false">
      <c r="A33" s="74" t="str">
        <f aca="false">IF(Varian!$A21="","",IFERROR(INDEX(Model!$B$4:$B$64,MATCH(Varian!$B21,Model!$A$4:$A$64,0))&amp;" "&amp;INDEX(Model!$C$4:$C$64,MATCH(Varian!$B21,Model!$A$4:$A$64,0)),IF(Varian!$B21="","(model belum diisi)",Varian!$B21)))</f>
        <v/>
      </c>
      <c r="B33" s="74" t="str">
        <f aca="false">IF(Varian!$A21="","",Varian!$A21)</f>
        <v/>
      </c>
      <c r="C33" s="74" t="str">
        <f aca="false">IF($B33="","",IF(Varian!$J21="","(prosesor belum diisi)",Varian!$J21)&amp;" · "&amp;IF(ISNUMBER(Varian!$M21),Varian!$M21&amp;" GB RAM","RAM belum diisi")&amp;" · "&amp;IF(ISNUMBER(Varian!$V21),Varian!$V21&amp;" GB","penyimpanan belum diisi"))</f>
        <v/>
      </c>
      <c r="D33" s="84" t="str">
        <f aca="false">IF($B33="","",Perhitungan!$Q$85)</f>
        <v/>
      </c>
      <c r="E33" s="84" t="str">
        <f aca="false">IF($B33="","",Perhitungan!$Q$86)</f>
        <v/>
      </c>
      <c r="F33" s="84" t="str">
        <f aca="false">IF($B33="","",Perhitungan!$Q$87)</f>
        <v/>
      </c>
      <c r="G33" s="84" t="str">
        <f aca="false">IF($B33="","",Perhitungan!$Q$88)</f>
        <v/>
      </c>
      <c r="H33" s="84" t="str">
        <f aca="false">IF($B33="","",Perhitungan!$Q$89)</f>
        <v/>
      </c>
      <c r="I33" s="85" t="str">
        <f aca="false">IF($B33="","",Perhitungan!$AC$85)</f>
        <v/>
      </c>
    </row>
    <row r="34" customFormat="false" ht="30" hidden="false" customHeight="true" outlineLevel="0" collapsed="false">
      <c r="A34" s="74" t="str">
        <f aca="false">IF(Varian!$A22="","",IFERROR(INDEX(Model!$B$4:$B$64,MATCH(Varian!$B22,Model!$A$4:$A$64,0))&amp;" "&amp;INDEX(Model!$C$4:$C$64,MATCH(Varian!$B22,Model!$A$4:$A$64,0)),IF(Varian!$B22="","(model belum diisi)",Varian!$B22)))</f>
        <v/>
      </c>
      <c r="B34" s="74" t="str">
        <f aca="false">IF(Varian!$A22="","",Varian!$A22)</f>
        <v/>
      </c>
      <c r="C34" s="74" t="str">
        <f aca="false">IF($B34="","",IF(Varian!$J22="","(prosesor belum diisi)",Varian!$J22)&amp;" · "&amp;IF(ISNUMBER(Varian!$M22),Varian!$M22&amp;" GB RAM","RAM belum diisi")&amp;" · "&amp;IF(ISNUMBER(Varian!$V22),Varian!$V22&amp;" GB","penyimpanan belum diisi"))</f>
        <v/>
      </c>
      <c r="D34" s="84" t="str">
        <f aca="false">IF($B34="","",Perhitungan!$Q$90)</f>
        <v/>
      </c>
      <c r="E34" s="84" t="str">
        <f aca="false">IF($B34="","",Perhitungan!$Q$91)</f>
        <v/>
      </c>
      <c r="F34" s="84" t="str">
        <f aca="false">IF($B34="","",Perhitungan!$Q$92)</f>
        <v/>
      </c>
      <c r="G34" s="84" t="str">
        <f aca="false">IF($B34="","",Perhitungan!$Q$93)</f>
        <v/>
      </c>
      <c r="H34" s="84" t="str">
        <f aca="false">IF($B34="","",Perhitungan!$Q$94)</f>
        <v/>
      </c>
      <c r="I34" s="85" t="str">
        <f aca="false">IF($B34="","",Perhitungan!$AC$90)</f>
        <v/>
      </c>
    </row>
    <row r="35" customFormat="false" ht="30" hidden="false" customHeight="true" outlineLevel="0" collapsed="false">
      <c r="A35" s="74" t="str">
        <f aca="false">IF(Varian!$A23="","",IFERROR(INDEX(Model!$B$4:$B$64,MATCH(Varian!$B23,Model!$A$4:$A$64,0))&amp;" "&amp;INDEX(Model!$C$4:$C$64,MATCH(Varian!$B23,Model!$A$4:$A$64,0)),IF(Varian!$B23="","(model belum diisi)",Varian!$B23)))</f>
        <v/>
      </c>
      <c r="B35" s="74" t="str">
        <f aca="false">IF(Varian!$A23="","",Varian!$A23)</f>
        <v/>
      </c>
      <c r="C35" s="74" t="str">
        <f aca="false">IF($B35="","",IF(Varian!$J23="","(prosesor belum diisi)",Varian!$J23)&amp;" · "&amp;IF(ISNUMBER(Varian!$M23),Varian!$M23&amp;" GB RAM","RAM belum diisi")&amp;" · "&amp;IF(ISNUMBER(Varian!$V23),Varian!$V23&amp;" GB","penyimpanan belum diisi"))</f>
        <v/>
      </c>
      <c r="D35" s="84" t="str">
        <f aca="false">IF($B35="","",Perhitungan!$Q$95)</f>
        <v/>
      </c>
      <c r="E35" s="84" t="str">
        <f aca="false">IF($B35="","",Perhitungan!$Q$96)</f>
        <v/>
      </c>
      <c r="F35" s="84" t="str">
        <f aca="false">IF($B35="","",Perhitungan!$Q$97)</f>
        <v/>
      </c>
      <c r="G35" s="84" t="str">
        <f aca="false">IF($B35="","",Perhitungan!$Q$98)</f>
        <v/>
      </c>
      <c r="H35" s="84" t="str">
        <f aca="false">IF($B35="","",Perhitungan!$Q$99)</f>
        <v/>
      </c>
      <c r="I35" s="85" t="str">
        <f aca="false">IF($B35="","",Perhitungan!$AC$95)</f>
        <v/>
      </c>
    </row>
    <row r="36" customFormat="false" ht="30" hidden="false" customHeight="true" outlineLevel="0" collapsed="false">
      <c r="A36" s="74" t="str">
        <f aca="false">IF(Varian!$A24="","",IFERROR(INDEX(Model!$B$4:$B$64,MATCH(Varian!$B24,Model!$A$4:$A$64,0))&amp;" "&amp;INDEX(Model!$C$4:$C$64,MATCH(Varian!$B24,Model!$A$4:$A$64,0)),IF(Varian!$B24="","(model belum diisi)",Varian!$B24)))</f>
        <v/>
      </c>
      <c r="B36" s="74" t="str">
        <f aca="false">IF(Varian!$A24="","",Varian!$A24)</f>
        <v/>
      </c>
      <c r="C36" s="74" t="str">
        <f aca="false">IF($B36="","",IF(Varian!$J24="","(prosesor belum diisi)",Varian!$J24)&amp;" · "&amp;IF(ISNUMBER(Varian!$M24),Varian!$M24&amp;" GB RAM","RAM belum diisi")&amp;" · "&amp;IF(ISNUMBER(Varian!$V24),Varian!$V24&amp;" GB","penyimpanan belum diisi"))</f>
        <v/>
      </c>
      <c r="D36" s="84" t="str">
        <f aca="false">IF($B36="","",Perhitungan!$Q$100)</f>
        <v/>
      </c>
      <c r="E36" s="84" t="str">
        <f aca="false">IF($B36="","",Perhitungan!$Q$101)</f>
        <v/>
      </c>
      <c r="F36" s="84" t="str">
        <f aca="false">IF($B36="","",Perhitungan!$Q$102)</f>
        <v/>
      </c>
      <c r="G36" s="84" t="str">
        <f aca="false">IF($B36="","",Perhitungan!$Q$103)</f>
        <v/>
      </c>
      <c r="H36" s="84" t="str">
        <f aca="false">IF($B36="","",Perhitungan!$Q$104)</f>
        <v/>
      </c>
      <c r="I36" s="85" t="str">
        <f aca="false">IF($B36="","",Perhitungan!$AC$100)</f>
        <v/>
      </c>
    </row>
    <row r="37" customFormat="false" ht="30" hidden="false" customHeight="true" outlineLevel="0" collapsed="false">
      <c r="A37" s="74" t="str">
        <f aca="false">IF(Varian!$A25="","",IFERROR(INDEX(Model!$B$4:$B$64,MATCH(Varian!$B25,Model!$A$4:$A$64,0))&amp;" "&amp;INDEX(Model!$C$4:$C$64,MATCH(Varian!$B25,Model!$A$4:$A$64,0)),IF(Varian!$B25="","(model belum diisi)",Varian!$B25)))</f>
        <v/>
      </c>
      <c r="B37" s="74" t="str">
        <f aca="false">IF(Varian!$A25="","",Varian!$A25)</f>
        <v/>
      </c>
      <c r="C37" s="74" t="str">
        <f aca="false">IF($B37="","",IF(Varian!$J25="","(prosesor belum diisi)",Varian!$J25)&amp;" · "&amp;IF(ISNUMBER(Varian!$M25),Varian!$M25&amp;" GB RAM","RAM belum diisi")&amp;" · "&amp;IF(ISNUMBER(Varian!$V25),Varian!$V25&amp;" GB","penyimpanan belum diisi"))</f>
        <v/>
      </c>
      <c r="D37" s="84" t="str">
        <f aca="false">IF($B37="","",Perhitungan!$Q$105)</f>
        <v/>
      </c>
      <c r="E37" s="84" t="str">
        <f aca="false">IF($B37="","",Perhitungan!$Q$106)</f>
        <v/>
      </c>
      <c r="F37" s="84" t="str">
        <f aca="false">IF($B37="","",Perhitungan!$Q$107)</f>
        <v/>
      </c>
      <c r="G37" s="84" t="str">
        <f aca="false">IF($B37="","",Perhitungan!$Q$108)</f>
        <v/>
      </c>
      <c r="H37" s="84" t="str">
        <f aca="false">IF($B37="","",Perhitungan!$Q$109)</f>
        <v/>
      </c>
      <c r="I37" s="85" t="str">
        <f aca="false">IF($B37="","",Perhitungan!$AC$105)</f>
        <v/>
      </c>
    </row>
    <row r="38" customFormat="false" ht="30" hidden="false" customHeight="true" outlineLevel="0" collapsed="false">
      <c r="A38" s="74" t="str">
        <f aca="false">IF(Varian!$A26="","",IFERROR(INDEX(Model!$B$4:$B$64,MATCH(Varian!$B26,Model!$A$4:$A$64,0))&amp;" "&amp;INDEX(Model!$C$4:$C$64,MATCH(Varian!$B26,Model!$A$4:$A$64,0)),IF(Varian!$B26="","(model belum diisi)",Varian!$B26)))</f>
        <v/>
      </c>
      <c r="B38" s="74" t="str">
        <f aca="false">IF(Varian!$A26="","",Varian!$A26)</f>
        <v/>
      </c>
      <c r="C38" s="74" t="str">
        <f aca="false">IF($B38="","",IF(Varian!$J26="","(prosesor belum diisi)",Varian!$J26)&amp;" · "&amp;IF(ISNUMBER(Varian!$M26),Varian!$M26&amp;" GB RAM","RAM belum diisi")&amp;" · "&amp;IF(ISNUMBER(Varian!$V26),Varian!$V26&amp;" GB","penyimpanan belum diisi"))</f>
        <v/>
      </c>
      <c r="D38" s="84" t="str">
        <f aca="false">IF($B38="","",Perhitungan!$Q$110)</f>
        <v/>
      </c>
      <c r="E38" s="84" t="str">
        <f aca="false">IF($B38="","",Perhitungan!$Q$111)</f>
        <v/>
      </c>
      <c r="F38" s="84" t="str">
        <f aca="false">IF($B38="","",Perhitungan!$Q$112)</f>
        <v/>
      </c>
      <c r="G38" s="84" t="str">
        <f aca="false">IF($B38="","",Perhitungan!$Q$113)</f>
        <v/>
      </c>
      <c r="H38" s="84" t="str">
        <f aca="false">IF($B38="","",Perhitungan!$Q$114)</f>
        <v/>
      </c>
      <c r="I38" s="85" t="str">
        <f aca="false">IF($B38="","",Perhitungan!$AC$110)</f>
        <v/>
      </c>
    </row>
    <row r="39" customFormat="false" ht="30" hidden="false" customHeight="true" outlineLevel="0" collapsed="false">
      <c r="A39" s="74" t="str">
        <f aca="false">IF(Varian!$A27="","",IFERROR(INDEX(Model!$B$4:$B$64,MATCH(Varian!$B27,Model!$A$4:$A$64,0))&amp;" "&amp;INDEX(Model!$C$4:$C$64,MATCH(Varian!$B27,Model!$A$4:$A$64,0)),IF(Varian!$B27="","(model belum diisi)",Varian!$B27)))</f>
        <v/>
      </c>
      <c r="B39" s="74" t="str">
        <f aca="false">IF(Varian!$A27="","",Varian!$A27)</f>
        <v/>
      </c>
      <c r="C39" s="74" t="str">
        <f aca="false">IF($B39="","",IF(Varian!$J27="","(prosesor belum diisi)",Varian!$J27)&amp;" · "&amp;IF(ISNUMBER(Varian!$M27),Varian!$M27&amp;" GB RAM","RAM belum diisi")&amp;" · "&amp;IF(ISNUMBER(Varian!$V27),Varian!$V27&amp;" GB","penyimpanan belum diisi"))</f>
        <v/>
      </c>
      <c r="D39" s="84" t="str">
        <f aca="false">IF($B39="","",Perhitungan!$Q$115)</f>
        <v/>
      </c>
      <c r="E39" s="84" t="str">
        <f aca="false">IF($B39="","",Perhitungan!$Q$116)</f>
        <v/>
      </c>
      <c r="F39" s="84" t="str">
        <f aca="false">IF($B39="","",Perhitungan!$Q$117)</f>
        <v/>
      </c>
      <c r="G39" s="84" t="str">
        <f aca="false">IF($B39="","",Perhitungan!$Q$118)</f>
        <v/>
      </c>
      <c r="H39" s="84" t="str">
        <f aca="false">IF($B39="","",Perhitungan!$Q$119)</f>
        <v/>
      </c>
      <c r="I39" s="85" t="str">
        <f aca="false">IF($B39="","",Perhitungan!$AC$115)</f>
        <v/>
      </c>
    </row>
    <row r="40" customFormat="false" ht="30" hidden="false" customHeight="true" outlineLevel="0" collapsed="false">
      <c r="A40" s="74" t="str">
        <f aca="false">IF(Varian!$A28="","",IFERROR(INDEX(Model!$B$4:$B$64,MATCH(Varian!$B28,Model!$A$4:$A$64,0))&amp;" "&amp;INDEX(Model!$C$4:$C$64,MATCH(Varian!$B28,Model!$A$4:$A$64,0)),IF(Varian!$B28="","(model belum diisi)",Varian!$B28)))</f>
        <v/>
      </c>
      <c r="B40" s="74" t="str">
        <f aca="false">IF(Varian!$A28="","",Varian!$A28)</f>
        <v/>
      </c>
      <c r="C40" s="74" t="str">
        <f aca="false">IF($B40="","",IF(Varian!$J28="","(prosesor belum diisi)",Varian!$J28)&amp;" · "&amp;IF(ISNUMBER(Varian!$M28),Varian!$M28&amp;" GB RAM","RAM belum diisi")&amp;" · "&amp;IF(ISNUMBER(Varian!$V28),Varian!$V28&amp;" GB","penyimpanan belum diisi"))</f>
        <v/>
      </c>
      <c r="D40" s="84" t="str">
        <f aca="false">IF($B40="","",Perhitungan!$Q$120)</f>
        <v/>
      </c>
      <c r="E40" s="84" t="str">
        <f aca="false">IF($B40="","",Perhitungan!$Q$121)</f>
        <v/>
      </c>
      <c r="F40" s="84" t="str">
        <f aca="false">IF($B40="","",Perhitungan!$Q$122)</f>
        <v/>
      </c>
      <c r="G40" s="84" t="str">
        <f aca="false">IF($B40="","",Perhitungan!$Q$123)</f>
        <v/>
      </c>
      <c r="H40" s="84" t="str">
        <f aca="false">IF($B40="","",Perhitungan!$Q$124)</f>
        <v/>
      </c>
      <c r="I40" s="85" t="str">
        <f aca="false">IF($B40="","",Perhitungan!$AC$120)</f>
        <v/>
      </c>
    </row>
    <row r="41" customFormat="false" ht="15" hidden="false" customHeight="false" outlineLevel="0" collapsed="false">
      <c r="A41" s="74" t="str">
        <f aca="false">IF(Varian!$A29="","",IFERROR(INDEX(Model!$B$4:$B$64,MATCH(Varian!$B29,Model!$A$4:$A$64,0))&amp;" "&amp;INDEX(Model!$C$4:$C$64,MATCH(Varian!$B29,Model!$A$4:$A$64,0)),IF(Varian!$B29="","(model belum diisi)",Varian!$B29)))</f>
        <v/>
      </c>
      <c r="B41" s="74" t="str">
        <f aca="false">IF(Varian!$A29="","",Varian!$A29)</f>
        <v/>
      </c>
      <c r="C41" s="74" t="str">
        <f aca="false">IF($B41="","",IF(Varian!$J29="","(prosesor belum diisi)",Varian!$J29)&amp;" · "&amp;IF(ISNUMBER(Varian!$M29),Varian!$M29&amp;" GB RAM","RAM belum diisi")&amp;" · "&amp;IF(ISNUMBER(Varian!$V29),Varian!$V29&amp;" GB","penyimpanan belum diisi"))</f>
        <v/>
      </c>
      <c r="D41" s="84" t="str">
        <f aca="false">IF($B41="","",Perhitungan!$Q$125)</f>
        <v/>
      </c>
      <c r="E41" s="84" t="str">
        <f aca="false">IF($B41="","",Perhitungan!$Q$126)</f>
        <v/>
      </c>
      <c r="F41" s="84" t="str">
        <f aca="false">IF($B41="","",Perhitungan!$Q$127)</f>
        <v/>
      </c>
      <c r="G41" s="84" t="str">
        <f aca="false">IF($B41="","",Perhitungan!$Q$128)</f>
        <v/>
      </c>
      <c r="H41" s="84" t="str">
        <f aca="false">IF($B41="","",Perhitungan!$Q$129)</f>
        <v/>
      </c>
      <c r="I41" s="85" t="str">
        <f aca="false">IF($B41="","",Perhitungan!$AC$125)</f>
        <v/>
      </c>
    </row>
    <row r="42" customFormat="false" ht="15" hidden="false" customHeight="false" outlineLevel="0" collapsed="false">
      <c r="A42" s="74" t="str">
        <f aca="false">IF(Varian!$A30="","",IFERROR(INDEX(Model!$B$4:$B$64,MATCH(Varian!$B30,Model!$A$4:$A$64,0))&amp;" "&amp;INDEX(Model!$C$4:$C$64,MATCH(Varian!$B30,Model!$A$4:$A$64,0)),IF(Varian!$B30="","(model belum diisi)",Varian!$B30)))</f>
        <v/>
      </c>
      <c r="B42" s="74" t="str">
        <f aca="false">IF(Varian!$A30="","",Varian!$A30)</f>
        <v/>
      </c>
      <c r="C42" s="74" t="str">
        <f aca="false">IF($B42="","",IF(Varian!$J30="","(prosesor belum diisi)",Varian!$J30)&amp;" · "&amp;IF(ISNUMBER(Varian!$M30),Varian!$M30&amp;" GB RAM","RAM belum diisi")&amp;" · "&amp;IF(ISNUMBER(Varian!$V30),Varian!$V30&amp;" GB","penyimpanan belum diisi"))</f>
        <v/>
      </c>
      <c r="D42" s="84" t="str">
        <f aca="false">IF($B42="","",Perhitungan!$Q$130)</f>
        <v/>
      </c>
      <c r="E42" s="84" t="str">
        <f aca="false">IF($B42="","",Perhitungan!$Q$131)</f>
        <v/>
      </c>
      <c r="F42" s="84" t="str">
        <f aca="false">IF($B42="","",Perhitungan!$Q$132)</f>
        <v/>
      </c>
      <c r="G42" s="84" t="str">
        <f aca="false">IF($B42="","",Perhitungan!$Q$133)</f>
        <v/>
      </c>
      <c r="H42" s="84" t="str">
        <f aca="false">IF($B42="","",Perhitungan!$Q$134)</f>
        <v/>
      </c>
      <c r="I42" s="85" t="str">
        <f aca="false">IF($B42="","",Perhitungan!$AC$130)</f>
        <v/>
      </c>
    </row>
    <row r="43" customFormat="false" ht="15" hidden="false" customHeight="false" outlineLevel="0" collapsed="false">
      <c r="A43" s="74" t="str">
        <f aca="false">IF(Varian!$A31="","",IFERROR(INDEX(Model!$B$4:$B$64,MATCH(Varian!$B31,Model!$A$4:$A$64,0))&amp;" "&amp;INDEX(Model!$C$4:$C$64,MATCH(Varian!$B31,Model!$A$4:$A$64,0)),IF(Varian!$B31="","(model belum diisi)",Varian!$B31)))</f>
        <v/>
      </c>
      <c r="B43" s="74" t="str">
        <f aca="false">IF(Varian!$A31="","",Varian!$A31)</f>
        <v/>
      </c>
      <c r="C43" s="74" t="str">
        <f aca="false">IF($B43="","",IF(Varian!$J31="","(prosesor belum diisi)",Varian!$J31)&amp;" · "&amp;IF(ISNUMBER(Varian!$M31),Varian!$M31&amp;" GB RAM","RAM belum diisi")&amp;" · "&amp;IF(ISNUMBER(Varian!$V31),Varian!$V31&amp;" GB","penyimpanan belum diisi"))</f>
        <v/>
      </c>
      <c r="D43" s="84" t="str">
        <f aca="false">IF($B43="","",Perhitungan!$Q$135)</f>
        <v/>
      </c>
      <c r="E43" s="84" t="str">
        <f aca="false">IF($B43="","",Perhitungan!$Q$136)</f>
        <v/>
      </c>
      <c r="F43" s="84" t="str">
        <f aca="false">IF($B43="","",Perhitungan!$Q$137)</f>
        <v/>
      </c>
      <c r="G43" s="84" t="str">
        <f aca="false">IF($B43="","",Perhitungan!$Q$138)</f>
        <v/>
      </c>
      <c r="H43" s="84" t="str">
        <f aca="false">IF($B43="","",Perhitungan!$Q$139)</f>
        <v/>
      </c>
      <c r="I43" s="85" t="str">
        <f aca="false">IF($B43="","",Perhitungan!$AC$135)</f>
        <v/>
      </c>
    </row>
    <row r="44" customFormat="false" ht="15" hidden="false" customHeight="false" outlineLevel="0" collapsed="false">
      <c r="A44" s="74" t="str">
        <f aca="false">IF(Varian!$A32="","",IFERROR(INDEX(Model!$B$4:$B$64,MATCH(Varian!$B32,Model!$A$4:$A$64,0))&amp;" "&amp;INDEX(Model!$C$4:$C$64,MATCH(Varian!$B32,Model!$A$4:$A$64,0)),IF(Varian!$B32="","(model belum diisi)",Varian!$B32)))</f>
        <v/>
      </c>
      <c r="B44" s="74" t="str">
        <f aca="false">IF(Varian!$A32="","",Varian!$A32)</f>
        <v/>
      </c>
      <c r="C44" s="74" t="str">
        <f aca="false">IF($B44="","",IF(Varian!$J32="","(prosesor belum diisi)",Varian!$J32)&amp;" · "&amp;IF(ISNUMBER(Varian!$M32),Varian!$M32&amp;" GB RAM","RAM belum diisi")&amp;" · "&amp;IF(ISNUMBER(Varian!$V32),Varian!$V32&amp;" GB","penyimpanan belum diisi"))</f>
        <v/>
      </c>
      <c r="D44" s="84" t="str">
        <f aca="false">IF($B44="","",Perhitungan!$Q$140)</f>
        <v/>
      </c>
      <c r="E44" s="84" t="str">
        <f aca="false">IF($B44="","",Perhitungan!$Q$141)</f>
        <v/>
      </c>
      <c r="F44" s="84" t="str">
        <f aca="false">IF($B44="","",Perhitungan!$Q$142)</f>
        <v/>
      </c>
      <c r="G44" s="84" t="str">
        <f aca="false">IF($B44="","",Perhitungan!$Q$143)</f>
        <v/>
      </c>
      <c r="H44" s="84" t="str">
        <f aca="false">IF($B44="","",Perhitungan!$Q$144)</f>
        <v/>
      </c>
      <c r="I44" s="85" t="str">
        <f aca="false">IF($B44="","",Perhitungan!$AC$140)</f>
        <v/>
      </c>
    </row>
    <row r="45" customFormat="false" ht="15" hidden="false" customHeight="false" outlineLevel="0" collapsed="false">
      <c r="A45" s="74" t="str">
        <f aca="false">IF(Varian!$A33="","",IFERROR(INDEX(Model!$B$4:$B$64,MATCH(Varian!$B33,Model!$A$4:$A$64,0))&amp;" "&amp;INDEX(Model!$C$4:$C$64,MATCH(Varian!$B33,Model!$A$4:$A$64,0)),IF(Varian!$B33="","(model belum diisi)",Varian!$B33)))</f>
        <v/>
      </c>
      <c r="B45" s="74" t="str">
        <f aca="false">IF(Varian!$A33="","",Varian!$A33)</f>
        <v/>
      </c>
      <c r="C45" s="74" t="str">
        <f aca="false">IF($B45="","",IF(Varian!$J33="","(prosesor belum diisi)",Varian!$J33)&amp;" · "&amp;IF(ISNUMBER(Varian!$M33),Varian!$M33&amp;" GB RAM","RAM belum diisi")&amp;" · "&amp;IF(ISNUMBER(Varian!$V33),Varian!$V33&amp;" GB","penyimpanan belum diisi"))</f>
        <v/>
      </c>
      <c r="D45" s="84" t="str">
        <f aca="false">IF($B45="","",Perhitungan!$Q$145)</f>
        <v/>
      </c>
      <c r="E45" s="84" t="str">
        <f aca="false">IF($B45="","",Perhitungan!$Q$146)</f>
        <v/>
      </c>
      <c r="F45" s="84" t="str">
        <f aca="false">IF($B45="","",Perhitungan!$Q$147)</f>
        <v/>
      </c>
      <c r="G45" s="84" t="str">
        <f aca="false">IF($B45="","",Perhitungan!$Q$148)</f>
        <v/>
      </c>
      <c r="H45" s="84" t="str">
        <f aca="false">IF($B45="","",Perhitungan!$Q$149)</f>
        <v/>
      </c>
      <c r="I45" s="85" t="str">
        <f aca="false">IF($B45="","",Perhitungan!$AC$145)</f>
        <v/>
      </c>
    </row>
    <row r="46" customFormat="false" ht="15" hidden="false" customHeight="false" outlineLevel="0" collapsed="false">
      <c r="A46" s="74" t="str">
        <f aca="false">IF(Varian!$A34="","",IFERROR(INDEX(Model!$B$4:$B$64,MATCH(Varian!$B34,Model!$A$4:$A$64,0))&amp;" "&amp;INDEX(Model!$C$4:$C$64,MATCH(Varian!$B34,Model!$A$4:$A$64,0)),IF(Varian!$B34="","(model belum diisi)",Varian!$B34)))</f>
        <v/>
      </c>
      <c r="B46" s="74" t="str">
        <f aca="false">IF(Varian!$A34="","",Varian!$A34)</f>
        <v/>
      </c>
      <c r="C46" s="74" t="str">
        <f aca="false">IF($B46="","",IF(Varian!$J34="","(prosesor belum diisi)",Varian!$J34)&amp;" · "&amp;IF(ISNUMBER(Varian!$M34),Varian!$M34&amp;" GB RAM","RAM belum diisi")&amp;" · "&amp;IF(ISNUMBER(Varian!$V34),Varian!$V34&amp;" GB","penyimpanan belum diisi"))</f>
        <v/>
      </c>
      <c r="D46" s="84" t="str">
        <f aca="false">IF($B46="","",Perhitungan!$Q$150)</f>
        <v/>
      </c>
      <c r="E46" s="84" t="str">
        <f aca="false">IF($B46="","",Perhitungan!$Q$151)</f>
        <v/>
      </c>
      <c r="F46" s="84" t="str">
        <f aca="false">IF($B46="","",Perhitungan!$Q$152)</f>
        <v/>
      </c>
      <c r="G46" s="84" t="str">
        <f aca="false">IF($B46="","",Perhitungan!$Q$153)</f>
        <v/>
      </c>
      <c r="H46" s="84" t="str">
        <f aca="false">IF($B46="","",Perhitungan!$Q$154)</f>
        <v/>
      </c>
      <c r="I46" s="85" t="str">
        <f aca="false">IF($B46="","",Perhitungan!$AC$150)</f>
        <v/>
      </c>
    </row>
    <row r="47" customFormat="false" ht="15" hidden="false" customHeight="false" outlineLevel="0" collapsed="false">
      <c r="A47" s="74" t="str">
        <f aca="false">IF(Varian!$A35="","",IFERROR(INDEX(Model!$B$4:$B$64,MATCH(Varian!$B35,Model!$A$4:$A$64,0))&amp;" "&amp;INDEX(Model!$C$4:$C$64,MATCH(Varian!$B35,Model!$A$4:$A$64,0)),IF(Varian!$B35="","(model belum diisi)",Varian!$B35)))</f>
        <v/>
      </c>
      <c r="B47" s="74" t="str">
        <f aca="false">IF(Varian!$A35="","",Varian!$A35)</f>
        <v/>
      </c>
      <c r="C47" s="74" t="str">
        <f aca="false">IF($B47="","",IF(Varian!$J35="","(prosesor belum diisi)",Varian!$J35)&amp;" · "&amp;IF(ISNUMBER(Varian!$M35),Varian!$M35&amp;" GB RAM","RAM belum diisi")&amp;" · "&amp;IF(ISNUMBER(Varian!$V35),Varian!$V35&amp;" GB","penyimpanan belum diisi"))</f>
        <v/>
      </c>
      <c r="D47" s="84" t="str">
        <f aca="false">IF($B47="","",Perhitungan!$Q$155)</f>
        <v/>
      </c>
      <c r="E47" s="84" t="str">
        <f aca="false">IF($B47="","",Perhitungan!$Q$156)</f>
        <v/>
      </c>
      <c r="F47" s="84" t="str">
        <f aca="false">IF($B47="","",Perhitungan!$Q$157)</f>
        <v/>
      </c>
      <c r="G47" s="84" t="str">
        <f aca="false">IF($B47="","",Perhitungan!$Q$158)</f>
        <v/>
      </c>
      <c r="H47" s="84" t="str">
        <f aca="false">IF($B47="","",Perhitungan!$Q$159)</f>
        <v/>
      </c>
      <c r="I47" s="85" t="str">
        <f aca="false">IF($B47="","",Perhitungan!$AC$155)</f>
        <v/>
      </c>
    </row>
    <row r="48" customFormat="false" ht="15" hidden="false" customHeight="false" outlineLevel="0" collapsed="false">
      <c r="A48" s="74" t="str">
        <f aca="false">IF(Varian!$A36="","",IFERROR(INDEX(Model!$B$4:$B$64,MATCH(Varian!$B36,Model!$A$4:$A$64,0))&amp;" "&amp;INDEX(Model!$C$4:$C$64,MATCH(Varian!$B36,Model!$A$4:$A$64,0)),IF(Varian!$B36="","(model belum diisi)",Varian!$B36)))</f>
        <v/>
      </c>
      <c r="B48" s="74" t="str">
        <f aca="false">IF(Varian!$A36="","",Varian!$A36)</f>
        <v/>
      </c>
      <c r="C48" s="74" t="str">
        <f aca="false">IF($B48="","",IF(Varian!$J36="","(prosesor belum diisi)",Varian!$J36)&amp;" · "&amp;IF(ISNUMBER(Varian!$M36),Varian!$M36&amp;" GB RAM","RAM belum diisi")&amp;" · "&amp;IF(ISNUMBER(Varian!$V36),Varian!$V36&amp;" GB","penyimpanan belum diisi"))</f>
        <v/>
      </c>
      <c r="D48" s="84" t="str">
        <f aca="false">IF($B48="","",Perhitungan!$Q$160)</f>
        <v/>
      </c>
      <c r="E48" s="84" t="str">
        <f aca="false">IF($B48="","",Perhitungan!$Q$161)</f>
        <v/>
      </c>
      <c r="F48" s="84" t="str">
        <f aca="false">IF($B48="","",Perhitungan!$Q$162)</f>
        <v/>
      </c>
      <c r="G48" s="84" t="str">
        <f aca="false">IF($B48="","",Perhitungan!$Q$163)</f>
        <v/>
      </c>
      <c r="H48" s="84" t="str">
        <f aca="false">IF($B48="","",Perhitungan!$Q$164)</f>
        <v/>
      </c>
      <c r="I48" s="85" t="str">
        <f aca="false">IF($B48="","",Perhitungan!$AC$160)</f>
        <v/>
      </c>
    </row>
    <row r="49" customFormat="false" ht="15" hidden="false" customHeight="false" outlineLevel="0" collapsed="false">
      <c r="A49" s="74" t="str">
        <f aca="false">IF(Varian!$A37="","",IFERROR(INDEX(Model!$B$4:$B$64,MATCH(Varian!$B37,Model!$A$4:$A$64,0))&amp;" "&amp;INDEX(Model!$C$4:$C$64,MATCH(Varian!$B37,Model!$A$4:$A$64,0)),IF(Varian!$B37="","(model belum diisi)",Varian!$B37)))</f>
        <v/>
      </c>
      <c r="B49" s="74" t="str">
        <f aca="false">IF(Varian!$A37="","",Varian!$A37)</f>
        <v/>
      </c>
      <c r="C49" s="74" t="str">
        <f aca="false">IF($B49="","",IF(Varian!$J37="","(prosesor belum diisi)",Varian!$J37)&amp;" · "&amp;IF(ISNUMBER(Varian!$M37),Varian!$M37&amp;" GB RAM","RAM belum diisi")&amp;" · "&amp;IF(ISNUMBER(Varian!$V37),Varian!$V37&amp;" GB","penyimpanan belum diisi"))</f>
        <v/>
      </c>
      <c r="D49" s="84" t="str">
        <f aca="false">IF($B49="","",Perhitungan!$Q$165)</f>
        <v/>
      </c>
      <c r="E49" s="84" t="str">
        <f aca="false">IF($B49="","",Perhitungan!$Q$166)</f>
        <v/>
      </c>
      <c r="F49" s="84" t="str">
        <f aca="false">IF($B49="","",Perhitungan!$Q$167)</f>
        <v/>
      </c>
      <c r="G49" s="84" t="str">
        <f aca="false">IF($B49="","",Perhitungan!$Q$168)</f>
        <v/>
      </c>
      <c r="H49" s="84" t="str">
        <f aca="false">IF($B49="","",Perhitungan!$Q$169)</f>
        <v/>
      </c>
      <c r="I49" s="85" t="str">
        <f aca="false">IF($B49="","",Perhitungan!$AC$165)</f>
        <v/>
      </c>
    </row>
    <row r="50" customFormat="false" ht="15" hidden="false" customHeight="false" outlineLevel="0" collapsed="false">
      <c r="A50" s="74" t="str">
        <f aca="false">IF(Varian!$A38="","",IFERROR(INDEX(Model!$B$4:$B$64,MATCH(Varian!$B38,Model!$A$4:$A$64,0))&amp;" "&amp;INDEX(Model!$C$4:$C$64,MATCH(Varian!$B38,Model!$A$4:$A$64,0)),IF(Varian!$B38="","(model belum diisi)",Varian!$B38)))</f>
        <v/>
      </c>
      <c r="B50" s="74" t="str">
        <f aca="false">IF(Varian!$A38="","",Varian!$A38)</f>
        <v/>
      </c>
      <c r="C50" s="74" t="str">
        <f aca="false">IF($B50="","",IF(Varian!$J38="","(prosesor belum diisi)",Varian!$J38)&amp;" · "&amp;IF(ISNUMBER(Varian!$M38),Varian!$M38&amp;" GB RAM","RAM belum diisi")&amp;" · "&amp;IF(ISNUMBER(Varian!$V38),Varian!$V38&amp;" GB","penyimpanan belum diisi"))</f>
        <v/>
      </c>
      <c r="D50" s="84" t="str">
        <f aca="false">IF($B50="","",Perhitungan!$Q$170)</f>
        <v/>
      </c>
      <c r="E50" s="84" t="str">
        <f aca="false">IF($B50="","",Perhitungan!$Q$171)</f>
        <v/>
      </c>
      <c r="F50" s="84" t="str">
        <f aca="false">IF($B50="","",Perhitungan!$Q$172)</f>
        <v/>
      </c>
      <c r="G50" s="84" t="str">
        <f aca="false">IF($B50="","",Perhitungan!$Q$173)</f>
        <v/>
      </c>
      <c r="H50" s="84" t="str">
        <f aca="false">IF($B50="","",Perhitungan!$Q$174)</f>
        <v/>
      </c>
      <c r="I50" s="85" t="str">
        <f aca="false">IF($B50="","",Perhitungan!$AC$170)</f>
        <v/>
      </c>
    </row>
    <row r="51" customFormat="false" ht="15" hidden="false" customHeight="false" outlineLevel="0" collapsed="false">
      <c r="A51" s="74" t="str">
        <f aca="false">IF(Varian!$A39="","",IFERROR(INDEX(Model!$B$4:$B$64,MATCH(Varian!$B39,Model!$A$4:$A$64,0))&amp;" "&amp;INDEX(Model!$C$4:$C$64,MATCH(Varian!$B39,Model!$A$4:$A$64,0)),IF(Varian!$B39="","(model belum diisi)",Varian!$B39)))</f>
        <v/>
      </c>
      <c r="B51" s="74" t="str">
        <f aca="false">IF(Varian!$A39="","",Varian!$A39)</f>
        <v/>
      </c>
      <c r="C51" s="74" t="str">
        <f aca="false">IF($B51="","",IF(Varian!$J39="","(prosesor belum diisi)",Varian!$J39)&amp;" · "&amp;IF(ISNUMBER(Varian!$M39),Varian!$M39&amp;" GB RAM","RAM belum diisi")&amp;" · "&amp;IF(ISNUMBER(Varian!$V39),Varian!$V39&amp;" GB","penyimpanan belum diisi"))</f>
        <v/>
      </c>
      <c r="D51" s="84" t="str">
        <f aca="false">IF($B51="","",Perhitungan!$Q$175)</f>
        <v/>
      </c>
      <c r="E51" s="84" t="str">
        <f aca="false">IF($B51="","",Perhitungan!$Q$176)</f>
        <v/>
      </c>
      <c r="F51" s="84" t="str">
        <f aca="false">IF($B51="","",Perhitungan!$Q$177)</f>
        <v/>
      </c>
      <c r="G51" s="84" t="str">
        <f aca="false">IF($B51="","",Perhitungan!$Q$178)</f>
        <v/>
      </c>
      <c r="H51" s="84" t="str">
        <f aca="false">IF($B51="","",Perhitungan!$Q$179)</f>
        <v/>
      </c>
      <c r="I51" s="85" t="str">
        <f aca="false">IF($B51="","",Perhitungan!$AC$175)</f>
        <v/>
      </c>
    </row>
    <row r="52" customFormat="false" ht="15" hidden="false" customHeight="false" outlineLevel="0" collapsed="false">
      <c r="A52" s="74" t="str">
        <f aca="false">IF(Varian!$A40="","",IFERROR(INDEX(Model!$B$4:$B$64,MATCH(Varian!$B40,Model!$A$4:$A$64,0))&amp;" "&amp;INDEX(Model!$C$4:$C$64,MATCH(Varian!$B40,Model!$A$4:$A$64,0)),IF(Varian!$B40="","(model belum diisi)",Varian!$B40)))</f>
        <v/>
      </c>
      <c r="B52" s="74" t="str">
        <f aca="false">IF(Varian!$A40="","",Varian!$A40)</f>
        <v/>
      </c>
      <c r="C52" s="74" t="str">
        <f aca="false">IF($B52="","",IF(Varian!$J40="","(prosesor belum diisi)",Varian!$J40)&amp;" · "&amp;IF(ISNUMBER(Varian!$M40),Varian!$M40&amp;" GB RAM","RAM belum diisi")&amp;" · "&amp;IF(ISNUMBER(Varian!$V40),Varian!$V40&amp;" GB","penyimpanan belum diisi"))</f>
        <v/>
      </c>
      <c r="D52" s="84" t="str">
        <f aca="false">IF($B52="","",Perhitungan!$Q$180)</f>
        <v/>
      </c>
      <c r="E52" s="84" t="str">
        <f aca="false">IF($B52="","",Perhitungan!$Q$181)</f>
        <v/>
      </c>
      <c r="F52" s="84" t="str">
        <f aca="false">IF($B52="","",Perhitungan!$Q$182)</f>
        <v/>
      </c>
      <c r="G52" s="84" t="str">
        <f aca="false">IF($B52="","",Perhitungan!$Q$183)</f>
        <v/>
      </c>
      <c r="H52" s="84" t="str">
        <f aca="false">IF($B52="","",Perhitungan!$Q$184)</f>
        <v/>
      </c>
      <c r="I52" s="85" t="str">
        <f aca="false">IF($B52="","",Perhitungan!$AC$180)</f>
        <v/>
      </c>
    </row>
    <row r="53" customFormat="false" ht="15" hidden="false" customHeight="false" outlineLevel="0" collapsed="false">
      <c r="A53" s="74" t="str">
        <f aca="false">IF(Varian!$A41="","",IFERROR(INDEX(Model!$B$4:$B$64,MATCH(Varian!$B41,Model!$A$4:$A$64,0))&amp;" "&amp;INDEX(Model!$C$4:$C$64,MATCH(Varian!$B41,Model!$A$4:$A$64,0)),IF(Varian!$B41="","(model belum diisi)",Varian!$B41)))</f>
        <v/>
      </c>
      <c r="B53" s="74" t="str">
        <f aca="false">IF(Varian!$A41="","",Varian!$A41)</f>
        <v/>
      </c>
      <c r="C53" s="74" t="str">
        <f aca="false">IF($B53="","",IF(Varian!$J41="","(prosesor belum diisi)",Varian!$J41)&amp;" · "&amp;IF(ISNUMBER(Varian!$M41),Varian!$M41&amp;" GB RAM","RAM belum diisi")&amp;" · "&amp;IF(ISNUMBER(Varian!$V41),Varian!$V41&amp;" GB","penyimpanan belum diisi"))</f>
        <v/>
      </c>
      <c r="D53" s="84" t="str">
        <f aca="false">IF($B53="","",Perhitungan!$Q$185)</f>
        <v/>
      </c>
      <c r="E53" s="84" t="str">
        <f aca="false">IF($B53="","",Perhitungan!$Q$186)</f>
        <v/>
      </c>
      <c r="F53" s="84" t="str">
        <f aca="false">IF($B53="","",Perhitungan!$Q$187)</f>
        <v/>
      </c>
      <c r="G53" s="84" t="str">
        <f aca="false">IF($B53="","",Perhitungan!$Q$188)</f>
        <v/>
      </c>
      <c r="H53" s="84" t="str">
        <f aca="false">IF($B53="","",Perhitungan!$Q$189)</f>
        <v/>
      </c>
      <c r="I53" s="85" t="str">
        <f aca="false">IF($B53="","",Perhitungan!$AC$185)</f>
        <v/>
      </c>
    </row>
    <row r="54" customFormat="false" ht="15" hidden="false" customHeight="false" outlineLevel="0" collapsed="false">
      <c r="A54" s="74" t="str">
        <f aca="false">IF(Varian!$A42="","",IFERROR(INDEX(Model!$B$4:$B$64,MATCH(Varian!$B42,Model!$A$4:$A$64,0))&amp;" "&amp;INDEX(Model!$C$4:$C$64,MATCH(Varian!$B42,Model!$A$4:$A$64,0)),IF(Varian!$B42="","(model belum diisi)",Varian!$B42)))</f>
        <v/>
      </c>
      <c r="B54" s="74" t="str">
        <f aca="false">IF(Varian!$A42="","",Varian!$A42)</f>
        <v/>
      </c>
      <c r="C54" s="74" t="str">
        <f aca="false">IF($B54="","",IF(Varian!$J42="","(prosesor belum diisi)",Varian!$J42)&amp;" · "&amp;IF(ISNUMBER(Varian!$M42),Varian!$M42&amp;" GB RAM","RAM belum diisi")&amp;" · "&amp;IF(ISNUMBER(Varian!$V42),Varian!$V42&amp;" GB","penyimpanan belum diisi"))</f>
        <v/>
      </c>
      <c r="D54" s="84" t="str">
        <f aca="false">IF($B54="","",Perhitungan!$Q$190)</f>
        <v/>
      </c>
      <c r="E54" s="84" t="str">
        <f aca="false">IF($B54="","",Perhitungan!$Q$191)</f>
        <v/>
      </c>
      <c r="F54" s="84" t="str">
        <f aca="false">IF($B54="","",Perhitungan!$Q$192)</f>
        <v/>
      </c>
      <c r="G54" s="84" t="str">
        <f aca="false">IF($B54="","",Perhitungan!$Q$193)</f>
        <v/>
      </c>
      <c r="H54" s="84" t="str">
        <f aca="false">IF($B54="","",Perhitungan!$Q$194)</f>
        <v/>
      </c>
      <c r="I54" s="85" t="str">
        <f aca="false">IF($B54="","",Perhitungan!$AC$190)</f>
        <v/>
      </c>
    </row>
    <row r="55" customFormat="false" ht="15" hidden="false" customHeight="false" outlineLevel="0" collapsed="false">
      <c r="A55" s="74" t="str">
        <f aca="false">IF(Varian!$A43="","",IFERROR(INDEX(Model!$B$4:$B$64,MATCH(Varian!$B43,Model!$A$4:$A$64,0))&amp;" "&amp;INDEX(Model!$C$4:$C$64,MATCH(Varian!$B43,Model!$A$4:$A$64,0)),IF(Varian!$B43="","(model belum diisi)",Varian!$B43)))</f>
        <v/>
      </c>
      <c r="B55" s="74" t="str">
        <f aca="false">IF(Varian!$A43="","",Varian!$A43)</f>
        <v/>
      </c>
      <c r="C55" s="74" t="str">
        <f aca="false">IF($B55="","",IF(Varian!$J43="","(prosesor belum diisi)",Varian!$J43)&amp;" · "&amp;IF(ISNUMBER(Varian!$M43),Varian!$M43&amp;" GB RAM","RAM belum diisi")&amp;" · "&amp;IF(ISNUMBER(Varian!$V43),Varian!$V43&amp;" GB","penyimpanan belum diisi"))</f>
        <v/>
      </c>
      <c r="D55" s="84" t="str">
        <f aca="false">IF($B55="","",Perhitungan!$Q$195)</f>
        <v/>
      </c>
      <c r="E55" s="84" t="str">
        <f aca="false">IF($B55="","",Perhitungan!$Q$196)</f>
        <v/>
      </c>
      <c r="F55" s="84" t="str">
        <f aca="false">IF($B55="","",Perhitungan!$Q$197)</f>
        <v/>
      </c>
      <c r="G55" s="84" t="str">
        <f aca="false">IF($B55="","",Perhitungan!$Q$198)</f>
        <v/>
      </c>
      <c r="H55" s="84" t="str">
        <f aca="false">IF($B55="","",Perhitungan!$Q$199)</f>
        <v/>
      </c>
      <c r="I55" s="85" t="str">
        <f aca="false">IF($B55="","",Perhitungan!$AC$195)</f>
        <v/>
      </c>
    </row>
    <row r="56" customFormat="false" ht="15" hidden="false" customHeight="false" outlineLevel="0" collapsed="false">
      <c r="A56" s="74" t="str">
        <f aca="false">IF(Varian!$A44="","",IFERROR(INDEX(Model!$B$4:$B$64,MATCH(Varian!$B44,Model!$A$4:$A$64,0))&amp;" "&amp;INDEX(Model!$C$4:$C$64,MATCH(Varian!$B44,Model!$A$4:$A$64,0)),IF(Varian!$B44="","(model belum diisi)",Varian!$B44)))</f>
        <v/>
      </c>
      <c r="B56" s="74" t="str">
        <f aca="false">IF(Varian!$A44="","",Varian!$A44)</f>
        <v/>
      </c>
      <c r="C56" s="74" t="str">
        <f aca="false">IF($B56="","",IF(Varian!$J44="","(prosesor belum diisi)",Varian!$J44)&amp;" · "&amp;IF(ISNUMBER(Varian!$M44),Varian!$M44&amp;" GB RAM","RAM belum diisi")&amp;" · "&amp;IF(ISNUMBER(Varian!$V44),Varian!$V44&amp;" GB","penyimpanan belum diisi"))</f>
        <v/>
      </c>
      <c r="D56" s="84" t="str">
        <f aca="false">IF($B56="","",Perhitungan!$Q$200)</f>
        <v/>
      </c>
      <c r="E56" s="84" t="str">
        <f aca="false">IF($B56="","",Perhitungan!$Q$201)</f>
        <v/>
      </c>
      <c r="F56" s="84" t="str">
        <f aca="false">IF($B56="","",Perhitungan!$Q$202)</f>
        <v/>
      </c>
      <c r="G56" s="84" t="str">
        <f aca="false">IF($B56="","",Perhitungan!$Q$203)</f>
        <v/>
      </c>
      <c r="H56" s="84" t="str">
        <f aca="false">IF($B56="","",Perhitungan!$Q$204)</f>
        <v/>
      </c>
      <c r="I56" s="85" t="str">
        <f aca="false">IF($B56="","",Perhitungan!$AC$200)</f>
        <v/>
      </c>
    </row>
    <row r="57" customFormat="false" ht="15" hidden="false" customHeight="false" outlineLevel="0" collapsed="false">
      <c r="A57" s="74" t="str">
        <f aca="false">IF(Varian!$A45="","",IFERROR(INDEX(Model!$B$4:$B$64,MATCH(Varian!$B45,Model!$A$4:$A$64,0))&amp;" "&amp;INDEX(Model!$C$4:$C$64,MATCH(Varian!$B45,Model!$A$4:$A$64,0)),IF(Varian!$B45="","(model belum diisi)",Varian!$B45)))</f>
        <v/>
      </c>
      <c r="B57" s="74" t="str">
        <f aca="false">IF(Varian!$A45="","",Varian!$A45)</f>
        <v/>
      </c>
      <c r="C57" s="74" t="str">
        <f aca="false">IF($B57="","",IF(Varian!$J45="","(prosesor belum diisi)",Varian!$J45)&amp;" · "&amp;IF(ISNUMBER(Varian!$M45),Varian!$M45&amp;" GB RAM","RAM belum diisi")&amp;" · "&amp;IF(ISNUMBER(Varian!$V45),Varian!$V45&amp;" GB","penyimpanan belum diisi"))</f>
        <v/>
      </c>
      <c r="D57" s="84" t="str">
        <f aca="false">IF($B57="","",Perhitungan!$Q$205)</f>
        <v/>
      </c>
      <c r="E57" s="84" t="str">
        <f aca="false">IF($B57="","",Perhitungan!$Q$206)</f>
        <v/>
      </c>
      <c r="F57" s="84" t="str">
        <f aca="false">IF($B57="","",Perhitungan!$Q$207)</f>
        <v/>
      </c>
      <c r="G57" s="84" t="str">
        <f aca="false">IF($B57="","",Perhitungan!$Q$208)</f>
        <v/>
      </c>
      <c r="H57" s="84" t="str">
        <f aca="false">IF($B57="","",Perhitungan!$Q$209)</f>
        <v/>
      </c>
      <c r="I57" s="85" t="str">
        <f aca="false">IF($B57="","",Perhitungan!$AC$205)</f>
        <v/>
      </c>
    </row>
    <row r="58" customFormat="false" ht="15" hidden="false" customHeight="false" outlineLevel="0" collapsed="false">
      <c r="A58" s="74" t="str">
        <f aca="false">IF(Varian!$A46="","",IFERROR(INDEX(Model!$B$4:$B$64,MATCH(Varian!$B46,Model!$A$4:$A$64,0))&amp;" "&amp;INDEX(Model!$C$4:$C$64,MATCH(Varian!$B46,Model!$A$4:$A$64,0)),IF(Varian!$B46="","(model belum diisi)",Varian!$B46)))</f>
        <v/>
      </c>
      <c r="B58" s="74" t="str">
        <f aca="false">IF(Varian!$A46="","",Varian!$A46)</f>
        <v/>
      </c>
      <c r="C58" s="74" t="str">
        <f aca="false">IF($B58="","",IF(Varian!$J46="","(prosesor belum diisi)",Varian!$J46)&amp;" · "&amp;IF(ISNUMBER(Varian!$M46),Varian!$M46&amp;" GB RAM","RAM belum diisi")&amp;" · "&amp;IF(ISNUMBER(Varian!$V46),Varian!$V46&amp;" GB","penyimpanan belum diisi"))</f>
        <v/>
      </c>
      <c r="D58" s="84" t="str">
        <f aca="false">IF($B58="","",Perhitungan!$Q$210)</f>
        <v/>
      </c>
      <c r="E58" s="84" t="str">
        <f aca="false">IF($B58="","",Perhitungan!$Q$211)</f>
        <v/>
      </c>
      <c r="F58" s="84" t="str">
        <f aca="false">IF($B58="","",Perhitungan!$Q$212)</f>
        <v/>
      </c>
      <c r="G58" s="84" t="str">
        <f aca="false">IF($B58="","",Perhitungan!$Q$213)</f>
        <v/>
      </c>
      <c r="H58" s="84" t="str">
        <f aca="false">IF($B58="","",Perhitungan!$Q$214)</f>
        <v/>
      </c>
      <c r="I58" s="85" t="str">
        <f aca="false">IF($B58="","",Perhitungan!$AC$210)</f>
        <v/>
      </c>
    </row>
    <row r="59" customFormat="false" ht="15" hidden="false" customHeight="false" outlineLevel="0" collapsed="false">
      <c r="A59" s="74" t="str">
        <f aca="false">IF(Varian!$A47="","",IFERROR(INDEX(Model!$B$4:$B$64,MATCH(Varian!$B47,Model!$A$4:$A$64,0))&amp;" "&amp;INDEX(Model!$C$4:$C$64,MATCH(Varian!$B47,Model!$A$4:$A$64,0)),IF(Varian!$B47="","(model belum diisi)",Varian!$B47)))</f>
        <v/>
      </c>
      <c r="B59" s="74" t="str">
        <f aca="false">IF(Varian!$A47="","",Varian!$A47)</f>
        <v/>
      </c>
      <c r="C59" s="74" t="str">
        <f aca="false">IF($B59="","",IF(Varian!$J47="","(prosesor belum diisi)",Varian!$J47)&amp;" · "&amp;IF(ISNUMBER(Varian!$M47),Varian!$M47&amp;" GB RAM","RAM belum diisi")&amp;" · "&amp;IF(ISNUMBER(Varian!$V47),Varian!$V47&amp;" GB","penyimpanan belum diisi"))</f>
        <v/>
      </c>
      <c r="D59" s="84" t="str">
        <f aca="false">IF($B59="","",Perhitungan!$Q$215)</f>
        <v/>
      </c>
      <c r="E59" s="84" t="str">
        <f aca="false">IF($B59="","",Perhitungan!$Q$216)</f>
        <v/>
      </c>
      <c r="F59" s="84" t="str">
        <f aca="false">IF($B59="","",Perhitungan!$Q$217)</f>
        <v/>
      </c>
      <c r="G59" s="84" t="str">
        <f aca="false">IF($B59="","",Perhitungan!$Q$218)</f>
        <v/>
      </c>
      <c r="H59" s="84" t="str">
        <f aca="false">IF($B59="","",Perhitungan!$Q$219)</f>
        <v/>
      </c>
      <c r="I59" s="85" t="str">
        <f aca="false">IF($B59="","",Perhitungan!$AC$215)</f>
        <v/>
      </c>
    </row>
    <row r="60" customFormat="false" ht="15" hidden="false" customHeight="false" outlineLevel="0" collapsed="false">
      <c r="A60" s="74" t="str">
        <f aca="false">IF(Varian!$A48="","",IFERROR(INDEX(Model!$B$4:$B$64,MATCH(Varian!$B48,Model!$A$4:$A$64,0))&amp;" "&amp;INDEX(Model!$C$4:$C$64,MATCH(Varian!$B48,Model!$A$4:$A$64,0)),IF(Varian!$B48="","(model belum diisi)",Varian!$B48)))</f>
        <v/>
      </c>
      <c r="B60" s="74" t="str">
        <f aca="false">IF(Varian!$A48="","",Varian!$A48)</f>
        <v/>
      </c>
      <c r="C60" s="74" t="str">
        <f aca="false">IF($B60="","",IF(Varian!$J48="","(prosesor belum diisi)",Varian!$J48)&amp;" · "&amp;IF(ISNUMBER(Varian!$M48),Varian!$M48&amp;" GB RAM","RAM belum diisi")&amp;" · "&amp;IF(ISNUMBER(Varian!$V48),Varian!$V48&amp;" GB","penyimpanan belum diisi"))</f>
        <v/>
      </c>
      <c r="D60" s="84" t="str">
        <f aca="false">IF($B60="","",Perhitungan!$Q$220)</f>
        <v/>
      </c>
      <c r="E60" s="84" t="str">
        <f aca="false">IF($B60="","",Perhitungan!$Q$221)</f>
        <v/>
      </c>
      <c r="F60" s="84" t="str">
        <f aca="false">IF($B60="","",Perhitungan!$Q$222)</f>
        <v/>
      </c>
      <c r="G60" s="84" t="str">
        <f aca="false">IF($B60="","",Perhitungan!$Q$223)</f>
        <v/>
      </c>
      <c r="H60" s="84" t="str">
        <f aca="false">IF($B60="","",Perhitungan!$Q$224)</f>
        <v/>
      </c>
      <c r="I60" s="85" t="str">
        <f aca="false">IF($B60="","",Perhitungan!$AC$220)</f>
        <v/>
      </c>
    </row>
    <row r="61" customFormat="false" ht="15" hidden="false" customHeight="false" outlineLevel="0" collapsed="false">
      <c r="A61" s="74" t="str">
        <f aca="false">IF(Varian!$A49="","",IFERROR(INDEX(Model!$B$4:$B$64,MATCH(Varian!$B49,Model!$A$4:$A$64,0))&amp;" "&amp;INDEX(Model!$C$4:$C$64,MATCH(Varian!$B49,Model!$A$4:$A$64,0)),IF(Varian!$B49="","(model belum diisi)",Varian!$B49)))</f>
        <v/>
      </c>
      <c r="B61" s="74" t="str">
        <f aca="false">IF(Varian!$A49="","",Varian!$A49)</f>
        <v/>
      </c>
      <c r="C61" s="74" t="str">
        <f aca="false">IF($B61="","",IF(Varian!$J49="","(prosesor belum diisi)",Varian!$J49)&amp;" · "&amp;IF(ISNUMBER(Varian!$M49),Varian!$M49&amp;" GB RAM","RAM belum diisi")&amp;" · "&amp;IF(ISNUMBER(Varian!$V49),Varian!$V49&amp;" GB","penyimpanan belum diisi"))</f>
        <v/>
      </c>
      <c r="D61" s="84" t="str">
        <f aca="false">IF($B61="","",Perhitungan!$Q$225)</f>
        <v/>
      </c>
      <c r="E61" s="84" t="str">
        <f aca="false">IF($B61="","",Perhitungan!$Q$226)</f>
        <v/>
      </c>
      <c r="F61" s="84" t="str">
        <f aca="false">IF($B61="","",Perhitungan!$Q$227)</f>
        <v/>
      </c>
      <c r="G61" s="84" t="str">
        <f aca="false">IF($B61="","",Perhitungan!$Q$228)</f>
        <v/>
      </c>
      <c r="H61" s="84" t="str">
        <f aca="false">IF($B61="","",Perhitungan!$Q$229)</f>
        <v/>
      </c>
      <c r="I61" s="85" t="str">
        <f aca="false">IF($B61="","",Perhitungan!$AC$225)</f>
        <v/>
      </c>
    </row>
    <row r="62" customFormat="false" ht="15" hidden="false" customHeight="false" outlineLevel="0" collapsed="false">
      <c r="A62" s="74" t="str">
        <f aca="false">IF(Varian!$A50="","",IFERROR(INDEX(Model!$B$4:$B$64,MATCH(Varian!$B50,Model!$A$4:$A$64,0))&amp;" "&amp;INDEX(Model!$C$4:$C$64,MATCH(Varian!$B50,Model!$A$4:$A$64,0)),IF(Varian!$B50="","(model belum diisi)",Varian!$B50)))</f>
        <v/>
      </c>
      <c r="B62" s="74" t="str">
        <f aca="false">IF(Varian!$A50="","",Varian!$A50)</f>
        <v/>
      </c>
      <c r="C62" s="74" t="str">
        <f aca="false">IF($B62="","",IF(Varian!$J50="","(prosesor belum diisi)",Varian!$J50)&amp;" · "&amp;IF(ISNUMBER(Varian!$M50),Varian!$M50&amp;" GB RAM","RAM belum diisi")&amp;" · "&amp;IF(ISNUMBER(Varian!$V50),Varian!$V50&amp;" GB","penyimpanan belum diisi"))</f>
        <v/>
      </c>
      <c r="D62" s="84" t="str">
        <f aca="false">IF($B62="","",Perhitungan!$Q$230)</f>
        <v/>
      </c>
      <c r="E62" s="84" t="str">
        <f aca="false">IF($B62="","",Perhitungan!$Q$231)</f>
        <v/>
      </c>
      <c r="F62" s="84" t="str">
        <f aca="false">IF($B62="","",Perhitungan!$Q$232)</f>
        <v/>
      </c>
      <c r="G62" s="84" t="str">
        <f aca="false">IF($B62="","",Perhitungan!$Q$233)</f>
        <v/>
      </c>
      <c r="H62" s="84" t="str">
        <f aca="false">IF($B62="","",Perhitungan!$Q$234)</f>
        <v/>
      </c>
      <c r="I62" s="85" t="str">
        <f aca="false">IF($B62="","",Perhitungan!$AC$230)</f>
        <v/>
      </c>
    </row>
    <row r="63" customFormat="false" ht="15" hidden="false" customHeight="false" outlineLevel="0" collapsed="false">
      <c r="A63" s="74" t="str">
        <f aca="false">IF(Varian!$A51="","",IFERROR(INDEX(Model!$B$4:$B$64,MATCH(Varian!$B51,Model!$A$4:$A$64,0))&amp;" "&amp;INDEX(Model!$C$4:$C$64,MATCH(Varian!$B51,Model!$A$4:$A$64,0)),IF(Varian!$B51="","(model belum diisi)",Varian!$B51)))</f>
        <v/>
      </c>
      <c r="B63" s="74" t="str">
        <f aca="false">IF(Varian!$A51="","",Varian!$A51)</f>
        <v/>
      </c>
      <c r="C63" s="74" t="str">
        <f aca="false">IF($B63="","",IF(Varian!$J51="","(prosesor belum diisi)",Varian!$J51)&amp;" · "&amp;IF(ISNUMBER(Varian!$M51),Varian!$M51&amp;" GB RAM","RAM belum diisi")&amp;" · "&amp;IF(ISNUMBER(Varian!$V51),Varian!$V51&amp;" GB","penyimpanan belum diisi"))</f>
        <v/>
      </c>
      <c r="D63" s="84" t="str">
        <f aca="false">IF($B63="","",Perhitungan!$Q$235)</f>
        <v/>
      </c>
      <c r="E63" s="84" t="str">
        <f aca="false">IF($B63="","",Perhitungan!$Q$236)</f>
        <v/>
      </c>
      <c r="F63" s="84" t="str">
        <f aca="false">IF($B63="","",Perhitungan!$Q$237)</f>
        <v/>
      </c>
      <c r="G63" s="84" t="str">
        <f aca="false">IF($B63="","",Perhitungan!$Q$238)</f>
        <v/>
      </c>
      <c r="H63" s="84" t="str">
        <f aca="false">IF($B63="","",Perhitungan!$Q$239)</f>
        <v/>
      </c>
      <c r="I63" s="85" t="str">
        <f aca="false">IF($B63="","",Perhitungan!$AC$235)</f>
        <v/>
      </c>
    </row>
    <row r="64" customFormat="false" ht="15" hidden="false" customHeight="false" outlineLevel="0" collapsed="false">
      <c r="A64" s="74" t="str">
        <f aca="false">IF(Varian!$A52="","",IFERROR(INDEX(Model!$B$4:$B$64,MATCH(Varian!$B52,Model!$A$4:$A$64,0))&amp;" "&amp;INDEX(Model!$C$4:$C$64,MATCH(Varian!$B52,Model!$A$4:$A$64,0)),IF(Varian!$B52="","(model belum diisi)",Varian!$B52)))</f>
        <v/>
      </c>
      <c r="B64" s="74" t="str">
        <f aca="false">IF(Varian!$A52="","",Varian!$A52)</f>
        <v/>
      </c>
      <c r="C64" s="74" t="str">
        <f aca="false">IF($B64="","",IF(Varian!$J52="","(prosesor belum diisi)",Varian!$J52)&amp;" · "&amp;IF(ISNUMBER(Varian!$M52),Varian!$M52&amp;" GB RAM","RAM belum diisi")&amp;" · "&amp;IF(ISNUMBER(Varian!$V52),Varian!$V52&amp;" GB","penyimpanan belum diisi"))</f>
        <v/>
      </c>
      <c r="D64" s="84" t="str">
        <f aca="false">IF($B64="","",Perhitungan!$Q$240)</f>
        <v/>
      </c>
      <c r="E64" s="84" t="str">
        <f aca="false">IF($B64="","",Perhitungan!$Q$241)</f>
        <v/>
      </c>
      <c r="F64" s="84" t="str">
        <f aca="false">IF($B64="","",Perhitungan!$Q$242)</f>
        <v/>
      </c>
      <c r="G64" s="84" t="str">
        <f aca="false">IF($B64="","",Perhitungan!$Q$243)</f>
        <v/>
      </c>
      <c r="H64" s="84" t="str">
        <f aca="false">IF($B64="","",Perhitungan!$Q$244)</f>
        <v/>
      </c>
      <c r="I64" s="85" t="str">
        <f aca="false">IF($B64="","",Perhitungan!$AC$240)</f>
        <v/>
      </c>
    </row>
    <row r="65" customFormat="false" ht="15" hidden="false" customHeight="false" outlineLevel="0" collapsed="false">
      <c r="A65" s="74" t="str">
        <f aca="false">IF(Varian!$A53="","",IFERROR(INDEX(Model!$B$4:$B$64,MATCH(Varian!$B53,Model!$A$4:$A$64,0))&amp;" "&amp;INDEX(Model!$C$4:$C$64,MATCH(Varian!$B53,Model!$A$4:$A$64,0)),IF(Varian!$B53="","(model belum diisi)",Varian!$B53)))</f>
        <v/>
      </c>
      <c r="B65" s="74" t="str">
        <f aca="false">IF(Varian!$A53="","",Varian!$A53)</f>
        <v/>
      </c>
      <c r="C65" s="74" t="str">
        <f aca="false">IF($B65="","",IF(Varian!$J53="","(prosesor belum diisi)",Varian!$J53)&amp;" · "&amp;IF(ISNUMBER(Varian!$M53),Varian!$M53&amp;" GB RAM","RAM belum diisi")&amp;" · "&amp;IF(ISNUMBER(Varian!$V53),Varian!$V53&amp;" GB","penyimpanan belum diisi"))</f>
        <v/>
      </c>
      <c r="D65" s="84" t="str">
        <f aca="false">IF($B65="","",Perhitungan!$Q$245)</f>
        <v/>
      </c>
      <c r="E65" s="84" t="str">
        <f aca="false">IF($B65="","",Perhitungan!$Q$246)</f>
        <v/>
      </c>
      <c r="F65" s="84" t="str">
        <f aca="false">IF($B65="","",Perhitungan!$Q$247)</f>
        <v/>
      </c>
      <c r="G65" s="84" t="str">
        <f aca="false">IF($B65="","",Perhitungan!$Q$248)</f>
        <v/>
      </c>
      <c r="H65" s="84" t="str">
        <f aca="false">IF($B65="","",Perhitungan!$Q$249)</f>
        <v/>
      </c>
      <c r="I65" s="85" t="str">
        <f aca="false">IF($B65="","",Perhitungan!$AC$245)</f>
        <v/>
      </c>
    </row>
    <row r="66" customFormat="false" ht="15" hidden="false" customHeight="false" outlineLevel="0" collapsed="false">
      <c r="A66" s="74" t="str">
        <f aca="false">IF(Varian!$A54="","",IFERROR(INDEX(Model!$B$4:$B$64,MATCH(Varian!$B54,Model!$A$4:$A$64,0))&amp;" "&amp;INDEX(Model!$C$4:$C$64,MATCH(Varian!$B54,Model!$A$4:$A$64,0)),IF(Varian!$B54="","(model belum diisi)",Varian!$B54)))</f>
        <v/>
      </c>
      <c r="B66" s="74" t="str">
        <f aca="false">IF(Varian!$A54="","",Varian!$A54)</f>
        <v/>
      </c>
      <c r="C66" s="74" t="str">
        <f aca="false">IF($B66="","",IF(Varian!$J54="","(prosesor belum diisi)",Varian!$J54)&amp;" · "&amp;IF(ISNUMBER(Varian!$M54),Varian!$M54&amp;" GB RAM","RAM belum diisi")&amp;" · "&amp;IF(ISNUMBER(Varian!$V54),Varian!$V54&amp;" GB","penyimpanan belum diisi"))</f>
        <v/>
      </c>
      <c r="D66" s="84" t="str">
        <f aca="false">IF($B66="","",Perhitungan!$Q$250)</f>
        <v/>
      </c>
      <c r="E66" s="84" t="str">
        <f aca="false">IF($B66="","",Perhitungan!$Q$251)</f>
        <v/>
      </c>
      <c r="F66" s="84" t="str">
        <f aca="false">IF($B66="","",Perhitungan!$Q$252)</f>
        <v/>
      </c>
      <c r="G66" s="84" t="str">
        <f aca="false">IF($B66="","",Perhitungan!$Q$253)</f>
        <v/>
      </c>
      <c r="H66" s="84" t="str">
        <f aca="false">IF($B66="","",Perhitungan!$Q$254)</f>
        <v/>
      </c>
      <c r="I66" s="85" t="str">
        <f aca="false">IF($B66="","",Perhitungan!$AC$250)</f>
        <v/>
      </c>
    </row>
    <row r="67" customFormat="false" ht="15" hidden="false" customHeight="false" outlineLevel="0" collapsed="false">
      <c r="A67" s="74" t="str">
        <f aca="false">IF(Varian!$A55="","",IFERROR(INDEX(Model!$B$4:$B$64,MATCH(Varian!$B55,Model!$A$4:$A$64,0))&amp;" "&amp;INDEX(Model!$C$4:$C$64,MATCH(Varian!$B55,Model!$A$4:$A$64,0)),IF(Varian!$B55="","(model belum diisi)",Varian!$B55)))</f>
        <v/>
      </c>
      <c r="B67" s="74" t="str">
        <f aca="false">IF(Varian!$A55="","",Varian!$A55)</f>
        <v/>
      </c>
      <c r="C67" s="74" t="str">
        <f aca="false">IF($B67="","",IF(Varian!$J55="","(prosesor belum diisi)",Varian!$J55)&amp;" · "&amp;IF(ISNUMBER(Varian!$M55),Varian!$M55&amp;" GB RAM","RAM belum diisi")&amp;" · "&amp;IF(ISNUMBER(Varian!$V55),Varian!$V55&amp;" GB","penyimpanan belum diisi"))</f>
        <v/>
      </c>
      <c r="D67" s="84" t="str">
        <f aca="false">IF($B67="","",Perhitungan!$Q$255)</f>
        <v/>
      </c>
      <c r="E67" s="84" t="str">
        <f aca="false">IF($B67="","",Perhitungan!$Q$256)</f>
        <v/>
      </c>
      <c r="F67" s="84" t="str">
        <f aca="false">IF($B67="","",Perhitungan!$Q$257)</f>
        <v/>
      </c>
      <c r="G67" s="84" t="str">
        <f aca="false">IF($B67="","",Perhitungan!$Q$258)</f>
        <v/>
      </c>
      <c r="H67" s="84" t="str">
        <f aca="false">IF($B67="","",Perhitungan!$Q$259)</f>
        <v/>
      </c>
      <c r="I67" s="85" t="str">
        <f aca="false">IF($B67="","",Perhitungan!$AC$255)</f>
        <v/>
      </c>
    </row>
    <row r="68" customFormat="false" ht="15" hidden="false" customHeight="false" outlineLevel="0" collapsed="false">
      <c r="A68" s="74" t="str">
        <f aca="false">IF(Varian!$A56="","",IFERROR(INDEX(Model!$B$4:$B$64,MATCH(Varian!$B56,Model!$A$4:$A$64,0))&amp;" "&amp;INDEX(Model!$C$4:$C$64,MATCH(Varian!$B56,Model!$A$4:$A$64,0)),IF(Varian!$B56="","(model belum diisi)",Varian!$B56)))</f>
        <v/>
      </c>
      <c r="B68" s="74" t="str">
        <f aca="false">IF(Varian!$A56="","",Varian!$A56)</f>
        <v/>
      </c>
      <c r="C68" s="74" t="str">
        <f aca="false">IF($B68="","",IF(Varian!$J56="","(prosesor belum diisi)",Varian!$J56)&amp;" · "&amp;IF(ISNUMBER(Varian!$M56),Varian!$M56&amp;" GB RAM","RAM belum diisi")&amp;" · "&amp;IF(ISNUMBER(Varian!$V56),Varian!$V56&amp;" GB","penyimpanan belum diisi"))</f>
        <v/>
      </c>
      <c r="D68" s="84" t="str">
        <f aca="false">IF($B68="","",Perhitungan!$Q$260)</f>
        <v/>
      </c>
      <c r="E68" s="84" t="str">
        <f aca="false">IF($B68="","",Perhitungan!$Q$261)</f>
        <v/>
      </c>
      <c r="F68" s="84" t="str">
        <f aca="false">IF($B68="","",Perhitungan!$Q$262)</f>
        <v/>
      </c>
      <c r="G68" s="84" t="str">
        <f aca="false">IF($B68="","",Perhitungan!$Q$263)</f>
        <v/>
      </c>
      <c r="H68" s="84" t="str">
        <f aca="false">IF($B68="","",Perhitungan!$Q$264)</f>
        <v/>
      </c>
      <c r="I68" s="85" t="str">
        <f aca="false">IF($B68="","",Perhitungan!$AC$260)</f>
        <v/>
      </c>
    </row>
    <row r="69" customFormat="false" ht="15" hidden="false" customHeight="false" outlineLevel="0" collapsed="false">
      <c r="A69" s="74" t="str">
        <f aca="false">IF(Varian!$A57="","",IFERROR(INDEX(Model!$B$4:$B$64,MATCH(Varian!$B57,Model!$A$4:$A$64,0))&amp;" "&amp;INDEX(Model!$C$4:$C$64,MATCH(Varian!$B57,Model!$A$4:$A$64,0)),IF(Varian!$B57="","(model belum diisi)",Varian!$B57)))</f>
        <v/>
      </c>
      <c r="B69" s="74" t="str">
        <f aca="false">IF(Varian!$A57="","",Varian!$A57)</f>
        <v/>
      </c>
      <c r="C69" s="74" t="str">
        <f aca="false">IF($B69="","",IF(Varian!$J57="","(prosesor belum diisi)",Varian!$J57)&amp;" · "&amp;IF(ISNUMBER(Varian!$M57),Varian!$M57&amp;" GB RAM","RAM belum diisi")&amp;" · "&amp;IF(ISNUMBER(Varian!$V57),Varian!$V57&amp;" GB","penyimpanan belum diisi"))</f>
        <v/>
      </c>
      <c r="D69" s="84" t="str">
        <f aca="false">IF($B69="","",Perhitungan!$Q$265)</f>
        <v/>
      </c>
      <c r="E69" s="84" t="str">
        <f aca="false">IF($B69="","",Perhitungan!$Q$266)</f>
        <v/>
      </c>
      <c r="F69" s="84" t="str">
        <f aca="false">IF($B69="","",Perhitungan!$Q$267)</f>
        <v/>
      </c>
      <c r="G69" s="84" t="str">
        <f aca="false">IF($B69="","",Perhitungan!$Q$268)</f>
        <v/>
      </c>
      <c r="H69" s="84" t="str">
        <f aca="false">IF($B69="","",Perhitungan!$Q$269)</f>
        <v/>
      </c>
      <c r="I69" s="85" t="str">
        <f aca="false">IF($B69="","",Perhitungan!$AC$265)</f>
        <v/>
      </c>
    </row>
    <row r="70" customFormat="false" ht="15" hidden="false" customHeight="false" outlineLevel="0" collapsed="false">
      <c r="A70" s="74" t="str">
        <f aca="false">IF(Varian!$A58="","",IFERROR(INDEX(Model!$B$4:$B$64,MATCH(Varian!$B58,Model!$A$4:$A$64,0))&amp;" "&amp;INDEX(Model!$C$4:$C$64,MATCH(Varian!$B58,Model!$A$4:$A$64,0)),IF(Varian!$B58="","(model belum diisi)",Varian!$B58)))</f>
        <v/>
      </c>
      <c r="B70" s="74" t="str">
        <f aca="false">IF(Varian!$A58="","",Varian!$A58)</f>
        <v/>
      </c>
      <c r="C70" s="74" t="str">
        <f aca="false">IF($B70="","",IF(Varian!$J58="","(prosesor belum diisi)",Varian!$J58)&amp;" · "&amp;IF(ISNUMBER(Varian!$M58),Varian!$M58&amp;" GB RAM","RAM belum diisi")&amp;" · "&amp;IF(ISNUMBER(Varian!$V58),Varian!$V58&amp;" GB","penyimpanan belum diisi"))</f>
        <v/>
      </c>
      <c r="D70" s="84" t="str">
        <f aca="false">IF($B70="","",Perhitungan!$Q$270)</f>
        <v/>
      </c>
      <c r="E70" s="84" t="str">
        <f aca="false">IF($B70="","",Perhitungan!$Q$271)</f>
        <v/>
      </c>
      <c r="F70" s="84" t="str">
        <f aca="false">IF($B70="","",Perhitungan!$Q$272)</f>
        <v/>
      </c>
      <c r="G70" s="84" t="str">
        <f aca="false">IF($B70="","",Perhitungan!$Q$273)</f>
        <v/>
      </c>
      <c r="H70" s="84" t="str">
        <f aca="false">IF($B70="","",Perhitungan!$Q$274)</f>
        <v/>
      </c>
      <c r="I70" s="85" t="str">
        <f aca="false">IF($B70="","",Perhitungan!$AC$270)</f>
        <v/>
      </c>
    </row>
    <row r="71" customFormat="false" ht="15" hidden="false" customHeight="false" outlineLevel="0" collapsed="false">
      <c r="A71" s="74" t="str">
        <f aca="false">IF(Varian!$A59="","",IFERROR(INDEX(Model!$B$4:$B$64,MATCH(Varian!$B59,Model!$A$4:$A$64,0))&amp;" "&amp;INDEX(Model!$C$4:$C$64,MATCH(Varian!$B59,Model!$A$4:$A$64,0)),IF(Varian!$B59="","(model belum diisi)",Varian!$B59)))</f>
        <v/>
      </c>
      <c r="B71" s="74" t="str">
        <f aca="false">IF(Varian!$A59="","",Varian!$A59)</f>
        <v/>
      </c>
      <c r="C71" s="74" t="str">
        <f aca="false">IF($B71="","",IF(Varian!$J59="","(prosesor belum diisi)",Varian!$J59)&amp;" · "&amp;IF(ISNUMBER(Varian!$M59),Varian!$M59&amp;" GB RAM","RAM belum diisi")&amp;" · "&amp;IF(ISNUMBER(Varian!$V59),Varian!$V59&amp;" GB","penyimpanan belum diisi"))</f>
        <v/>
      </c>
      <c r="D71" s="84" t="str">
        <f aca="false">IF($B71="","",Perhitungan!$Q$275)</f>
        <v/>
      </c>
      <c r="E71" s="84" t="str">
        <f aca="false">IF($B71="","",Perhitungan!$Q$276)</f>
        <v/>
      </c>
      <c r="F71" s="84" t="str">
        <f aca="false">IF($B71="","",Perhitungan!$Q$277)</f>
        <v/>
      </c>
      <c r="G71" s="84" t="str">
        <f aca="false">IF($B71="","",Perhitungan!$Q$278)</f>
        <v/>
      </c>
      <c r="H71" s="84" t="str">
        <f aca="false">IF($B71="","",Perhitungan!$Q$279)</f>
        <v/>
      </c>
      <c r="I71" s="85" t="str">
        <f aca="false">IF($B71="","",Perhitungan!$AC$275)</f>
        <v/>
      </c>
    </row>
    <row r="72" customFormat="false" ht="15" hidden="false" customHeight="false" outlineLevel="0" collapsed="false">
      <c r="A72" s="74" t="str">
        <f aca="false">IF(Varian!$A60="","",IFERROR(INDEX(Model!$B$4:$B$64,MATCH(Varian!$B60,Model!$A$4:$A$64,0))&amp;" "&amp;INDEX(Model!$C$4:$C$64,MATCH(Varian!$B60,Model!$A$4:$A$64,0)),IF(Varian!$B60="","(model belum diisi)",Varian!$B60)))</f>
        <v/>
      </c>
      <c r="B72" s="74" t="str">
        <f aca="false">IF(Varian!$A60="","",Varian!$A60)</f>
        <v/>
      </c>
      <c r="C72" s="74" t="str">
        <f aca="false">IF($B72="","",IF(Varian!$J60="","(prosesor belum diisi)",Varian!$J60)&amp;" · "&amp;IF(ISNUMBER(Varian!$M60),Varian!$M60&amp;" GB RAM","RAM belum diisi")&amp;" · "&amp;IF(ISNUMBER(Varian!$V60),Varian!$V60&amp;" GB","penyimpanan belum diisi"))</f>
        <v/>
      </c>
      <c r="D72" s="84" t="str">
        <f aca="false">IF($B72="","",Perhitungan!$Q$280)</f>
        <v/>
      </c>
      <c r="E72" s="84" t="str">
        <f aca="false">IF($B72="","",Perhitungan!$Q$281)</f>
        <v/>
      </c>
      <c r="F72" s="84" t="str">
        <f aca="false">IF($B72="","",Perhitungan!$Q$282)</f>
        <v/>
      </c>
      <c r="G72" s="84" t="str">
        <f aca="false">IF($B72="","",Perhitungan!$Q$283)</f>
        <v/>
      </c>
      <c r="H72" s="84" t="str">
        <f aca="false">IF($B72="","",Perhitungan!$Q$284)</f>
        <v/>
      </c>
      <c r="I72" s="85" t="str">
        <f aca="false">IF($B72="","",Perhitungan!$AC$280)</f>
        <v/>
      </c>
    </row>
    <row r="73" customFormat="false" ht="15" hidden="false" customHeight="false" outlineLevel="0" collapsed="false">
      <c r="A73" s="74" t="str">
        <f aca="false">IF(Varian!$A61="","",IFERROR(INDEX(Model!$B$4:$B$64,MATCH(Varian!$B61,Model!$A$4:$A$64,0))&amp;" "&amp;INDEX(Model!$C$4:$C$64,MATCH(Varian!$B61,Model!$A$4:$A$64,0)),IF(Varian!$B61="","(model belum diisi)",Varian!$B61)))</f>
        <v/>
      </c>
      <c r="B73" s="74" t="str">
        <f aca="false">IF(Varian!$A61="","",Varian!$A61)</f>
        <v/>
      </c>
      <c r="C73" s="74" t="str">
        <f aca="false">IF($B73="","",IF(Varian!$J61="","(prosesor belum diisi)",Varian!$J61)&amp;" · "&amp;IF(ISNUMBER(Varian!$M61),Varian!$M61&amp;" GB RAM","RAM belum diisi")&amp;" · "&amp;IF(ISNUMBER(Varian!$V61),Varian!$V61&amp;" GB","penyimpanan belum diisi"))</f>
        <v/>
      </c>
      <c r="D73" s="84" t="str">
        <f aca="false">IF($B73="","",Perhitungan!$Q$285)</f>
        <v/>
      </c>
      <c r="E73" s="84" t="str">
        <f aca="false">IF($B73="","",Perhitungan!$Q$286)</f>
        <v/>
      </c>
      <c r="F73" s="84" t="str">
        <f aca="false">IF($B73="","",Perhitungan!$Q$287)</f>
        <v/>
      </c>
      <c r="G73" s="84" t="str">
        <f aca="false">IF($B73="","",Perhitungan!$Q$288)</f>
        <v/>
      </c>
      <c r="H73" s="84" t="str">
        <f aca="false">IF($B73="","",Perhitungan!$Q$289)</f>
        <v/>
      </c>
      <c r="I73" s="85" t="str">
        <f aca="false">IF($B73="","",Perhitungan!$AC$285)</f>
        <v/>
      </c>
    </row>
    <row r="74" customFormat="false" ht="15" hidden="false" customHeight="false" outlineLevel="0" collapsed="false">
      <c r="A74" s="74" t="str">
        <f aca="false">IF(Varian!$A62="","",IFERROR(INDEX(Model!$B$4:$B$64,MATCH(Varian!$B62,Model!$A$4:$A$64,0))&amp;" "&amp;INDEX(Model!$C$4:$C$64,MATCH(Varian!$B62,Model!$A$4:$A$64,0)),IF(Varian!$B62="","(model belum diisi)",Varian!$B62)))</f>
        <v/>
      </c>
      <c r="B74" s="74" t="str">
        <f aca="false">IF(Varian!$A62="","",Varian!$A62)</f>
        <v/>
      </c>
      <c r="C74" s="74" t="str">
        <f aca="false">IF($B74="","",IF(Varian!$J62="","(prosesor belum diisi)",Varian!$J62)&amp;" · "&amp;IF(ISNUMBER(Varian!$M62),Varian!$M62&amp;" GB RAM","RAM belum diisi")&amp;" · "&amp;IF(ISNUMBER(Varian!$V62),Varian!$V62&amp;" GB","penyimpanan belum diisi"))</f>
        <v/>
      </c>
      <c r="D74" s="84" t="str">
        <f aca="false">IF($B74="","",Perhitungan!$Q$290)</f>
        <v/>
      </c>
      <c r="E74" s="84" t="str">
        <f aca="false">IF($B74="","",Perhitungan!$Q$291)</f>
        <v/>
      </c>
      <c r="F74" s="84" t="str">
        <f aca="false">IF($B74="","",Perhitungan!$Q$292)</f>
        <v/>
      </c>
      <c r="G74" s="84" t="str">
        <f aca="false">IF($B74="","",Perhitungan!$Q$293)</f>
        <v/>
      </c>
      <c r="H74" s="84" t="str">
        <f aca="false">IF($B74="","",Perhitungan!$Q$294)</f>
        <v/>
      </c>
      <c r="I74" s="85" t="str">
        <f aca="false">IF($B74="","",Perhitungan!$AC$290)</f>
        <v/>
      </c>
    </row>
    <row r="75" customFormat="false" ht="15" hidden="false" customHeight="false" outlineLevel="0" collapsed="false">
      <c r="A75" s="74" t="str">
        <f aca="false">IF(Varian!$A63="","",IFERROR(INDEX(Model!$B$4:$B$64,MATCH(Varian!$B63,Model!$A$4:$A$64,0))&amp;" "&amp;INDEX(Model!$C$4:$C$64,MATCH(Varian!$B63,Model!$A$4:$A$64,0)),IF(Varian!$B63="","(model belum diisi)",Varian!$B63)))</f>
        <v/>
      </c>
      <c r="B75" s="74" t="str">
        <f aca="false">IF(Varian!$A63="","",Varian!$A63)</f>
        <v/>
      </c>
      <c r="C75" s="74" t="str">
        <f aca="false">IF($B75="","",IF(Varian!$J63="","(prosesor belum diisi)",Varian!$J63)&amp;" · "&amp;IF(ISNUMBER(Varian!$M63),Varian!$M63&amp;" GB RAM","RAM belum diisi")&amp;" · "&amp;IF(ISNUMBER(Varian!$V63),Varian!$V63&amp;" GB","penyimpanan belum diisi"))</f>
        <v/>
      </c>
      <c r="D75" s="84" t="str">
        <f aca="false">IF($B75="","",Perhitungan!$Q$295)</f>
        <v/>
      </c>
      <c r="E75" s="84" t="str">
        <f aca="false">IF($B75="","",Perhitungan!$Q$296)</f>
        <v/>
      </c>
      <c r="F75" s="84" t="str">
        <f aca="false">IF($B75="","",Perhitungan!$Q$297)</f>
        <v/>
      </c>
      <c r="G75" s="84" t="str">
        <f aca="false">IF($B75="","",Perhitungan!$Q$298)</f>
        <v/>
      </c>
      <c r="H75" s="84" t="str">
        <f aca="false">IF($B75="","",Perhitungan!$Q$299)</f>
        <v/>
      </c>
      <c r="I75" s="85" t="str">
        <f aca="false">IF($B75="","",Perhitungan!$AC$295)</f>
        <v/>
      </c>
    </row>
    <row r="76" customFormat="false" ht="15" hidden="false" customHeight="false" outlineLevel="0" collapsed="false">
      <c r="A76" s="74" t="str">
        <f aca="false">IF(Varian!$A64="","",IFERROR(INDEX(Model!$B$4:$B$64,MATCH(Varian!$B64,Model!$A$4:$A$64,0))&amp;" "&amp;INDEX(Model!$C$4:$C$64,MATCH(Varian!$B64,Model!$A$4:$A$64,0)),IF(Varian!$B64="","(model belum diisi)",Varian!$B64)))</f>
        <v/>
      </c>
      <c r="B76" s="74" t="str">
        <f aca="false">IF(Varian!$A64="","",Varian!$A64)</f>
        <v/>
      </c>
      <c r="C76" s="74" t="str">
        <f aca="false">IF($B76="","",IF(Varian!$J64="","(prosesor belum diisi)",Varian!$J64)&amp;" · "&amp;IF(ISNUMBER(Varian!$M64),Varian!$M64&amp;" GB RAM","RAM belum diisi")&amp;" · "&amp;IF(ISNUMBER(Varian!$V64),Varian!$V64&amp;" GB","penyimpanan belum diisi"))</f>
        <v/>
      </c>
      <c r="D76" s="84" t="str">
        <f aca="false">IF($B76="","",Perhitungan!$Q$300)</f>
        <v/>
      </c>
      <c r="E76" s="84" t="str">
        <f aca="false">IF($B76="","",Perhitungan!$Q$301)</f>
        <v/>
      </c>
      <c r="F76" s="84" t="str">
        <f aca="false">IF($B76="","",Perhitungan!$Q$302)</f>
        <v/>
      </c>
      <c r="G76" s="84" t="str">
        <f aca="false">IF($B76="","",Perhitungan!$Q$303)</f>
        <v/>
      </c>
      <c r="H76" s="84" t="str">
        <f aca="false">IF($B76="","",Perhitungan!$Q$304)</f>
        <v/>
      </c>
      <c r="I76" s="85" t="str">
        <f aca="false">IF($B76="","",Perhitungan!$AC$300)</f>
        <v/>
      </c>
    </row>
  </sheetData>
  <mergeCells count="9">
    <mergeCell ref="B4:C4"/>
    <mergeCell ref="B5:I5"/>
    <mergeCell ref="C7:I7"/>
    <mergeCell ref="C8:I8"/>
    <mergeCell ref="C9:I9"/>
    <mergeCell ref="C10:I10"/>
    <mergeCell ref="C11:I11"/>
    <mergeCell ref="C12:I12"/>
    <mergeCell ref="C13:I13"/>
  </mergeCells>
  <conditionalFormatting sqref="B8:B12">
    <cfRule type="cellIs" priority="2" operator="equal" aboveAverage="0" equalAverage="0" bottom="0" percent="0" rank="0" text="" dxfId="18">
      <formula>"Cocok"</formula>
    </cfRule>
    <cfRule type="cellIs" priority="3" operator="equal" aboveAverage="0" equalAverage="0" bottom="0" percent="0" rank="0" text="" dxfId="19">
      <formula>"Bisa, dengan catatan"</formula>
    </cfRule>
    <cfRule type="cellIs" priority="4" operator="equal" aboveAverage="0" equalAverage="0" bottom="0" percent="0" rank="0" text="" dxfId="21">
      <formula>"Data belum lengkap"</formula>
    </cfRule>
    <cfRule type="cellIs" priority="5" operator="equal" aboveAverage="0" equalAverage="0" bottom="0" percent="0" rank="0" text="" dxfId="20">
      <formula>"Kurang cocok"</formula>
    </cfRule>
    <cfRule type="cellIs" priority="6" operator="equal" aboveAverage="0" equalAverage="0" bottom="0" percent="0" rank="0" text="" dxfId="23">
      <formula>"Tidak dinilai"</formula>
    </cfRule>
  </conditionalFormatting>
  <conditionalFormatting sqref="D17:H76">
    <cfRule type="cellIs" priority="7" operator="equal" aboveAverage="0" equalAverage="0" bottom="0" percent="0" rank="0" text="" dxfId="18">
      <formula>"Cocok"</formula>
    </cfRule>
    <cfRule type="cellIs" priority="8" operator="equal" aboveAverage="0" equalAverage="0" bottom="0" percent="0" rank="0" text="" dxfId="19">
      <formula>"Bisa, dengan catatan"</formula>
    </cfRule>
    <cfRule type="cellIs" priority="9" operator="equal" aboveAverage="0" equalAverage="0" bottom="0" percent="0" rank="0" text="" dxfId="21">
      <formula>"Data belum lengkap"</formula>
    </cfRule>
    <cfRule type="cellIs" priority="10" operator="equal" aboveAverage="0" equalAverage="0" bottom="0" percent="0" rank="0" text="" dxfId="20">
      <formula>"Kurang cocok"</formula>
    </cfRule>
    <cfRule type="cellIs" priority="11" operator="equal" aboveAverage="0" equalAverage="0" bottom="0" percent="0" rank="0" text="" dxfId="23">
      <formula>"Tidak dinilai"</formula>
    </cfRule>
  </conditionalFormatting>
  <dataValidations count="1">
    <dataValidation allowBlank="true" error="Pilih dari daftar. Daftar ini diambil dari kolom ID varian di tab Varian." errorStyle="stop" errorTitle="Varian tidak ada" operator="between" prompt="Pilih ID varian untuk melihat alasan hasilnya di bawah." promptTitle="Pilih varian" showDropDown="false" showErrorMessage="true" showInputMessage="true" sqref="B4" type="list">
      <formula1>Varian!$A$5:$A$64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04040"/>
    <pageSetUpPr fitToPage="false"/>
  </sheetPr>
  <dimension ref="A1:A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5"/>
    <col collapsed="false" customWidth="true" hidden="false" outlineLevel="0" max="3" min="3" style="1" width="19"/>
    <col collapsed="false" customWidth="true" hidden="false" outlineLevel="0" max="4" min="4" style="1" width="22"/>
    <col collapsed="false" customWidth="true" hidden="false" outlineLevel="0" max="5" min="5" style="1" width="26"/>
    <col collapsed="false" customWidth="true" hidden="false" outlineLevel="0" max="6" min="6" style="1" width="27"/>
    <col collapsed="false" customWidth="true" hidden="false" outlineLevel="0" max="7" min="7" style="1" width="19"/>
    <col collapsed="false" customWidth="true" hidden="false" outlineLevel="0" max="10" min="8" style="1" width="16"/>
    <col collapsed="false" customWidth="true" hidden="false" outlineLevel="0" max="11" min="11" style="1" width="23"/>
    <col collapsed="false" customWidth="true" hidden="false" outlineLevel="0" max="14" min="12" style="1" width="16"/>
    <col collapsed="false" customWidth="true" hidden="false" outlineLevel="0" max="15" min="15" style="1" width="21"/>
    <col collapsed="false" customWidth="true" hidden="false" outlineLevel="0" max="16" min="16" style="1" width="18"/>
    <col collapsed="false" customWidth="true" hidden="false" outlineLevel="0" max="17" min="17" style="1" width="20"/>
    <col collapsed="false" customWidth="true" hidden="false" outlineLevel="0" max="18" min="18" style="1" width="23"/>
    <col collapsed="false" customWidth="true" hidden="false" outlineLevel="0" max="19" min="19" style="1" width="22"/>
    <col collapsed="false" customWidth="true" hidden="false" outlineLevel="0" max="20" min="20" style="1" width="19"/>
    <col collapsed="false" customWidth="true" hidden="false" outlineLevel="0" max="21" min="21" style="1" width="29"/>
    <col collapsed="false" customWidth="true" hidden="false" outlineLevel="0" max="22" min="22" style="1" width="19"/>
    <col collapsed="false" customWidth="true" hidden="false" outlineLevel="0" max="23" min="23" style="1" width="16"/>
    <col collapsed="false" customWidth="true" hidden="false" outlineLevel="0" max="24" min="24" style="1" width="20"/>
    <col collapsed="false" customWidth="true" hidden="false" outlineLevel="0" max="29" min="25" style="1" width="16"/>
  </cols>
  <sheetData>
    <row r="1" customFormat="false" ht="33.75" hidden="false" customHeight="true" outlineLevel="0" collapsed="false">
      <c r="A1" s="14" t="s">
        <v>608</v>
      </c>
      <c r="B1" s="14" t="s">
        <v>609</v>
      </c>
      <c r="C1" s="14" t="s">
        <v>610</v>
      </c>
      <c r="D1" s="14" t="s">
        <v>611</v>
      </c>
      <c r="E1" s="14" t="s">
        <v>612</v>
      </c>
      <c r="F1" s="14" t="s">
        <v>613</v>
      </c>
      <c r="G1" s="14" t="s">
        <v>614</v>
      </c>
      <c r="H1" s="14" t="s">
        <v>615</v>
      </c>
      <c r="I1" s="14" t="s">
        <v>616</v>
      </c>
      <c r="J1" s="14" t="s">
        <v>617</v>
      </c>
      <c r="K1" s="14" t="s">
        <v>618</v>
      </c>
      <c r="L1" s="14" t="s">
        <v>619</v>
      </c>
      <c r="M1" s="14" t="s">
        <v>620</v>
      </c>
      <c r="N1" s="14" t="s">
        <v>621</v>
      </c>
      <c r="O1" s="14" t="s">
        <v>622</v>
      </c>
      <c r="P1" s="14" t="s">
        <v>623</v>
      </c>
      <c r="Q1" s="14" t="s">
        <v>624</v>
      </c>
      <c r="R1" s="14" t="s">
        <v>625</v>
      </c>
      <c r="S1" s="14" t="s">
        <v>626</v>
      </c>
      <c r="T1" s="14" t="s">
        <v>627</v>
      </c>
      <c r="U1" s="14" t="s">
        <v>628</v>
      </c>
      <c r="V1" s="14" t="s">
        <v>629</v>
      </c>
      <c r="W1" s="14" t="s">
        <v>630</v>
      </c>
      <c r="X1" s="14" t="s">
        <v>631</v>
      </c>
      <c r="Y1" s="14" t="s">
        <v>632</v>
      </c>
      <c r="Z1" s="14" t="s">
        <v>633</v>
      </c>
      <c r="AA1" s="14" t="s">
        <v>634</v>
      </c>
      <c r="AB1" s="14" t="s">
        <v>635</v>
      </c>
      <c r="AC1" s="14" t="s">
        <v>636</v>
      </c>
    </row>
    <row r="2" customFormat="false" ht="15" hidden="false" customHeight="true" outlineLevel="0" collapsed="false">
      <c r="A2" s="86" t="s">
        <v>58</v>
      </c>
      <c r="B2" s="86" t="s">
        <v>58</v>
      </c>
      <c r="C2" s="86" t="s">
        <v>167</v>
      </c>
      <c r="D2" s="86" t="s">
        <v>61</v>
      </c>
      <c r="E2" s="86" t="s">
        <v>57</v>
      </c>
      <c r="F2" s="86" t="s">
        <v>59</v>
      </c>
      <c r="G2" s="86" t="s">
        <v>180</v>
      </c>
      <c r="H2" s="86" t="s">
        <v>222</v>
      </c>
      <c r="I2" s="86" t="s">
        <v>637</v>
      </c>
      <c r="J2" s="86" t="s">
        <v>638</v>
      </c>
      <c r="K2" s="86" t="s">
        <v>87</v>
      </c>
      <c r="L2" s="86" t="s">
        <v>637</v>
      </c>
      <c r="M2" s="86" t="s">
        <v>639</v>
      </c>
      <c r="N2" s="86" t="s">
        <v>216</v>
      </c>
      <c r="O2" s="86" t="s">
        <v>174</v>
      </c>
      <c r="P2" s="86" t="s">
        <v>175</v>
      </c>
      <c r="Q2" s="86" t="s">
        <v>177</v>
      </c>
      <c r="R2" s="86" t="s">
        <v>178</v>
      </c>
      <c r="S2" s="86" t="s">
        <v>184</v>
      </c>
      <c r="T2" s="86" t="s">
        <v>185</v>
      </c>
      <c r="U2" s="86" t="s">
        <v>637</v>
      </c>
      <c r="V2" s="86" t="s">
        <v>167</v>
      </c>
      <c r="W2" s="86" t="s">
        <v>329</v>
      </c>
      <c r="X2" s="86" t="s">
        <v>341</v>
      </c>
      <c r="Y2" s="86" t="s">
        <v>266</v>
      </c>
      <c r="Z2" s="86" t="s">
        <v>304</v>
      </c>
      <c r="AA2" s="86" t="n">
        <v>1</v>
      </c>
      <c r="AB2" s="86" t="s">
        <v>263</v>
      </c>
      <c r="AC2" s="86" t="s">
        <v>263</v>
      </c>
    </row>
    <row r="3" customFormat="false" ht="15" hidden="false" customHeight="true" outlineLevel="0" collapsed="false">
      <c r="A3" s="86" t="s">
        <v>640</v>
      </c>
      <c r="B3" s="86" t="s">
        <v>640</v>
      </c>
      <c r="C3" s="86" t="s">
        <v>641</v>
      </c>
      <c r="D3" s="86" t="s">
        <v>63</v>
      </c>
      <c r="E3" s="86" t="s">
        <v>78</v>
      </c>
      <c r="F3" s="86" t="s">
        <v>642</v>
      </c>
      <c r="G3" s="86" t="s">
        <v>503</v>
      </c>
      <c r="H3" s="86" t="s">
        <v>181</v>
      </c>
      <c r="I3" s="86" t="s">
        <v>183</v>
      </c>
      <c r="J3" s="86" t="s">
        <v>226</v>
      </c>
      <c r="K3" s="86" t="s">
        <v>60</v>
      </c>
      <c r="L3" s="86" t="s">
        <v>62</v>
      </c>
      <c r="M3" s="86" t="s">
        <v>643</v>
      </c>
      <c r="N3" s="86" t="s">
        <v>173</v>
      </c>
      <c r="O3" s="86" t="s">
        <v>217</v>
      </c>
      <c r="P3" s="86" t="s">
        <v>218</v>
      </c>
      <c r="Q3" s="86" t="s">
        <v>644</v>
      </c>
      <c r="R3" s="86" t="s">
        <v>205</v>
      </c>
      <c r="S3" s="86" t="s">
        <v>227</v>
      </c>
      <c r="T3" s="86" t="s">
        <v>645</v>
      </c>
      <c r="U3" s="86" t="s">
        <v>186</v>
      </c>
      <c r="V3" s="86" t="s">
        <v>646</v>
      </c>
      <c r="W3" s="86" t="s">
        <v>352</v>
      </c>
      <c r="X3" s="86" t="s">
        <v>330</v>
      </c>
      <c r="Y3" s="86" t="s">
        <v>647</v>
      </c>
      <c r="Z3" s="86" t="s">
        <v>648</v>
      </c>
      <c r="AA3" s="86" t="n">
        <v>2</v>
      </c>
      <c r="AB3" s="86" t="s">
        <v>270</v>
      </c>
      <c r="AC3" s="86" t="s">
        <v>270</v>
      </c>
    </row>
    <row r="4" customFormat="false" ht="15" hidden="false" customHeight="true" outlineLevel="0" collapsed="false">
      <c r="A4" s="86" t="s">
        <v>95</v>
      </c>
      <c r="B4" s="86" t="s">
        <v>95</v>
      </c>
      <c r="C4" s="86" t="s">
        <v>71</v>
      </c>
      <c r="D4" s="86" t="s">
        <v>71</v>
      </c>
      <c r="E4" s="86" t="s">
        <v>86</v>
      </c>
      <c r="F4" s="86" t="s">
        <v>649</v>
      </c>
      <c r="G4" s="86" t="s">
        <v>221</v>
      </c>
      <c r="H4" s="86" t="s">
        <v>197</v>
      </c>
      <c r="I4" s="86" t="s">
        <v>650</v>
      </c>
      <c r="J4" s="86" t="s">
        <v>182</v>
      </c>
      <c r="K4" s="86" t="s">
        <v>97</v>
      </c>
      <c r="L4" s="86" t="s">
        <v>651</v>
      </c>
      <c r="M4" s="86" t="s">
        <v>193</v>
      </c>
      <c r="N4" s="86" t="s">
        <v>71</v>
      </c>
      <c r="O4" s="86" t="s">
        <v>194</v>
      </c>
      <c r="P4" s="86" t="s">
        <v>652</v>
      </c>
      <c r="Q4" s="86" t="s">
        <v>653</v>
      </c>
      <c r="R4" s="86" t="s">
        <v>654</v>
      </c>
      <c r="S4" s="86" t="s">
        <v>655</v>
      </c>
      <c r="T4" s="86" t="s">
        <v>208</v>
      </c>
      <c r="U4" s="86" t="s">
        <v>656</v>
      </c>
      <c r="V4" s="86" t="s">
        <v>235</v>
      </c>
      <c r="X4" s="86" t="s">
        <v>657</v>
      </c>
      <c r="Y4" s="86" t="s">
        <v>658</v>
      </c>
      <c r="AA4" s="86" t="n">
        <v>3</v>
      </c>
      <c r="AB4" s="86" t="s">
        <v>659</v>
      </c>
      <c r="AC4" s="86" t="s">
        <v>660</v>
      </c>
    </row>
    <row r="5" customFormat="false" ht="15" hidden="false" customHeight="true" outlineLevel="0" collapsed="false">
      <c r="A5" s="86" t="s">
        <v>71</v>
      </c>
      <c r="B5" s="86" t="s">
        <v>71</v>
      </c>
      <c r="E5" s="86" t="s">
        <v>94</v>
      </c>
      <c r="F5" s="86" t="s">
        <v>105</v>
      </c>
      <c r="G5" s="86" t="s">
        <v>500</v>
      </c>
      <c r="H5" s="86" t="s">
        <v>661</v>
      </c>
      <c r="I5" s="86" t="s">
        <v>207</v>
      </c>
      <c r="J5" s="86" t="s">
        <v>662</v>
      </c>
      <c r="K5" s="86" t="s">
        <v>663</v>
      </c>
      <c r="L5" s="86" t="s">
        <v>79</v>
      </c>
      <c r="M5" s="86" t="s">
        <v>664</v>
      </c>
      <c r="O5" s="86" t="s">
        <v>71</v>
      </c>
      <c r="P5" s="86" t="s">
        <v>665</v>
      </c>
      <c r="Q5" s="86" t="s">
        <v>666</v>
      </c>
      <c r="S5" s="86" t="s">
        <v>667</v>
      </c>
      <c r="T5" s="86" t="s">
        <v>668</v>
      </c>
      <c r="U5" s="86" t="s">
        <v>71</v>
      </c>
      <c r="V5" s="86" t="s">
        <v>669</v>
      </c>
      <c r="X5" s="86" t="s">
        <v>670</v>
      </c>
      <c r="AA5" s="86" t="n">
        <v>4</v>
      </c>
      <c r="AB5" s="86" t="s">
        <v>671</v>
      </c>
      <c r="AC5" s="86" t="s">
        <v>659</v>
      </c>
    </row>
    <row r="6" customFormat="false" ht="15" hidden="false" customHeight="true" outlineLevel="0" collapsed="false">
      <c r="E6" s="86" t="s">
        <v>104</v>
      </c>
      <c r="F6" s="86" t="s">
        <v>96</v>
      </c>
      <c r="G6" s="86" t="s">
        <v>71</v>
      </c>
      <c r="H6" s="86" t="s">
        <v>672</v>
      </c>
      <c r="I6" s="86" t="s">
        <v>71</v>
      </c>
      <c r="J6" s="86" t="s">
        <v>673</v>
      </c>
      <c r="K6" s="86" t="s">
        <v>674</v>
      </c>
      <c r="L6" s="86" t="s">
        <v>71</v>
      </c>
      <c r="M6" s="86" t="s">
        <v>675</v>
      </c>
      <c r="P6" s="86" t="s">
        <v>71</v>
      </c>
      <c r="Q6" s="86" t="s">
        <v>676</v>
      </c>
      <c r="S6" s="86" t="s">
        <v>677</v>
      </c>
      <c r="T6" s="86" t="s">
        <v>678</v>
      </c>
      <c r="V6" s="86" t="s">
        <v>679</v>
      </c>
      <c r="AA6" s="86" t="n">
        <v>5</v>
      </c>
      <c r="AC6" s="86" t="s">
        <v>671</v>
      </c>
    </row>
    <row r="7" customFormat="false" ht="15" hidden="false" customHeight="true" outlineLevel="0" collapsed="false">
      <c r="F7" s="86" t="s">
        <v>71</v>
      </c>
      <c r="H7" s="86" t="s">
        <v>680</v>
      </c>
      <c r="J7" s="86" t="s">
        <v>71</v>
      </c>
      <c r="K7" s="86" t="s">
        <v>637</v>
      </c>
      <c r="M7" s="86" t="s">
        <v>681</v>
      </c>
      <c r="Q7" s="86" t="s">
        <v>71</v>
      </c>
      <c r="S7" s="86" t="s">
        <v>682</v>
      </c>
      <c r="T7" s="86" t="s">
        <v>637</v>
      </c>
      <c r="V7" s="86" t="s">
        <v>71</v>
      </c>
    </row>
    <row r="8" customFormat="false" ht="15" hidden="false" customHeight="true" outlineLevel="0" collapsed="false">
      <c r="H8" s="86" t="s">
        <v>683</v>
      </c>
      <c r="K8" s="86" t="s">
        <v>71</v>
      </c>
      <c r="M8" s="86" t="s">
        <v>172</v>
      </c>
      <c r="S8" s="86" t="s">
        <v>71</v>
      </c>
      <c r="T8" s="86" t="s">
        <v>71</v>
      </c>
    </row>
    <row r="9" customFormat="false" ht="15" hidden="false" customHeight="true" outlineLevel="0" collapsed="false">
      <c r="H9" s="86" t="s">
        <v>684</v>
      </c>
      <c r="M9" s="86" t="s">
        <v>685</v>
      </c>
    </row>
    <row r="10" customFormat="false" ht="15" hidden="false" customHeight="true" outlineLevel="0" collapsed="false">
      <c r="H10" s="86" t="s">
        <v>71</v>
      </c>
      <c r="M10" s="86" t="s">
        <v>686</v>
      </c>
    </row>
    <row r="11" customFormat="false" ht="15" hidden="false" customHeight="true" outlineLevel="0" collapsed="false">
      <c r="M11" s="86"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2026-10-07T18:16:06Z</dcterms:created>
  <dc:creator>openpyxl</dc:creator>
  <dc:description/>
  <dc:language>en-US</dc:language>
  <cp:lastModifiedBy/>
  <dcterms:modified xsi:type="dcterms:W3CDTF">2026-10-07T19:41:49Z</dcterms:modified>
  <cp:revision>0</cp:revision>
  <dc:subject/>
  <dc:title>Data Laptop: Lima Laptop Awal (Draf 1)</dc:title>
</cp:coreProperties>
</file>

<file path=docProps/custom.xml><?xml version="1.0" encoding="utf-8"?>
<Properties xmlns="http://schemas.openxmlformats.org/officeDocument/2006/custom-properties" xmlns:vt="http://schemas.openxmlformats.org/officeDocument/2006/docPropsVTypes"/>
</file>