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1.xml" ContentType="application/vnd.openxmlformats-officedocument.spreadsheetml.comments+xml"/>
  <Override PartName="/xl/comments5.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drawing5.xml" ContentType="application/vnd.openxmlformats-officedocument.drawing+xml"/>
  <Override PartName="/xl/drawings/vmlDrawing7.vml" ContentType="application/vnd.openxmlformats-officedocument.vmlDrawing"/>
  <Override PartName="/xl/comments2.xml" ContentType="application/vnd.openxmlformats-officedocument.spreadsheetml.comment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Petunjuk" sheetId="1" state="visible" r:id="rId3"/>
    <sheet name="Model" sheetId="2" state="visible" r:id="rId4"/>
    <sheet name="Varian" sheetId="3" state="visible" r:id="rId5"/>
    <sheet name="CPU" sheetId="4" state="visible" r:id="rId6"/>
    <sheet name="GPU" sheetId="5" state="visible" r:id="rId7"/>
    <sheet name="Harga" sheetId="6" state="visible" r:id="rId8"/>
    <sheet name="Catatan Pengisian" sheetId="7" state="visible" r:id="rId9"/>
    <sheet name="Aturan" sheetId="8" state="visible" r:id="rId10"/>
    <sheet name="Perhitungan" sheetId="9" state="visible" r:id="rId11"/>
    <sheet name="Hasil" sheetId="10" state="visible" r:id="rId12"/>
    <sheet name="Pilihan" sheetId="11" state="visible" r:id="rId13"/>
  </sheets>
  <definedNames>
    <definedName function="false" hidden="true" localSheetId="3" name="_xlnm._FilterDatabase" vbProcedure="false">CPU!$A$3:$N$64</definedName>
    <definedName function="false" hidden="true" localSheetId="4" name="_xlnm._FilterDatabase" vbProcedure="false">GPU!$A$3:$K$64</definedName>
    <definedName function="false" hidden="true" localSheetId="5" name="_xlnm._FilterDatabase" vbProcedure="false">Harga!$A$3:$I$157</definedName>
    <definedName function="false" hidden="true" localSheetId="1" name="_xlnm._FilterDatabase" vbProcedure="false">Model!$A$3:$U$64</definedName>
    <definedName function="false" hidden="true" localSheetId="2" name="_xlnm._FilterDatabase" vbProcedure="false">Varian!$A$3:$BB$64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Nama pendek yang unik: huruf kecil, tanpa spasi, pakai tanda hubung. Contoh: lenovo-thinkpad-t480. Tab Varian memilih model lewat kunci ini.</t>
        </r>
      </text>
    </comment>
    <comment ref="D3" authorId="0">
      <text>
        <r>
          <rPr>
            <sz val="10"/>
            <rFont val="Arial"/>
            <family val="2"/>
          </rPr>
          <t xml:space="preserve">Peran laptop ini di antara lima laptop awal. Boleh diganti kalau modelnya sulit dicari.</t>
        </r>
      </text>
    </comment>
    <comment ref="F3" authorId="0">
      <text>
        <r>
          <rPr>
            <sz val="10"/>
            <rFont val="Arial"/>
            <family val="2"/>
          </rPr>
          <t xml:space="preserve">dijual = masih dijual baru. dihentikan = produksi berhenti, stok mungkin tersisa. bekas_saja = hanya beredar bekas. unknown = belum ada sumbernya.</t>
        </r>
      </text>
    </comment>
    <comment ref="G3" authorId="0">
      <text>
        <r>
          <rPr>
            <sz val="10"/>
            <rFont val="Arial"/>
            <family val="2"/>
          </rPr>
          <t xml:space="preserve">Bahan bodi utama. Pilih Campuran bila tutup layar dan bagian bawah berbeda bahan. unknown bila pabrikan tidak menyebutnya.</t>
        </r>
      </text>
    </comment>
    <comment ref="H3" authorId="0">
      <text>
        <r>
          <rPr>
            <sz val="10"/>
            <rFont val="Arial"/>
            <family val="2"/>
          </rPr>
          <t xml:space="preserve">Ukuran layar tetap untuk satu seri. Jenis panel, resolusi, dan layar sentuh ada di tab Varian karena bisa berbeda tiap varian.</t>
        </r>
      </text>
    </comment>
    <comment ref="K3" authorId="0">
      <text>
        <r>
          <rPr>
            <sz val="10"/>
            <rFont val="Arial"/>
            <family val="2"/>
          </rPr>
          <t xml:space="preserve">Kemampuan USB-C yang paling lengkap pada laptop ini. Isi unknown bila pabrikan tidak menyebutnya.</t>
        </r>
      </text>
    </comment>
    <comment ref="O3" authorId="0">
      <text>
        <r>
          <rPr>
            <sz val="10"/>
            <rFont val="Arial"/>
            <family val="2"/>
          </rPr>
          <t xml:space="preserve">Isi tidak bila tidak tercantum di daftar port resmi. Tulis jenis kartunya (misalnya hanya microSD) di kolom Waspadai.</t>
        </r>
      </text>
    </comment>
    <comment ref="S3" authorId="0">
      <text>
        <r>
          <rPr>
            <sz val="10"/>
            <rFont val="Arial"/>
            <family val="2"/>
          </rPr>
          <t xml:space="preserve">Isi hanya bila ada sumber (ulasan atau forum) yang menyebutnya berulang. Kosongkan bila belum ada.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unik dan tetap untuk satu varian. Usulan: kunci model + CPU + RAM + penyimpanan, misalnya lenovo-thinkpad-t480-i5-8-256. Tab Harga memakai ID ini.</t>
        </r>
      </text>
    </comment>
    <comment ref="B3" authorId="0">
      <text>
        <r>
          <rPr>
            <sz val="10"/>
            <rFont val="Arial"/>
            <family val="2"/>
          </rPr>
          <t xml:space="preserve">Pilih dari daftar (diambil dari tab Model). Satu model boleh punya beberapa varian.</t>
        </r>
      </text>
    </comment>
    <comment ref="C3" authorId="0">
      <text>
        <r>
          <rPr>
            <sz val="10"/>
            <rFont val="Arial"/>
            <family val="2"/>
          </rPr>
          <t xml:space="preserve">Kode lengkap konfigurasi dari pabrikan atau kemasan, bukan hanya nama seri. Satu nama model bisa punya banyak kode.</t>
        </r>
      </text>
    </comment>
    <comment ref="D3" authorId="0">
      <text>
        <r>
          <rPr>
            <sz val="10"/>
            <rFont val="Arial"/>
            <family val="2"/>
          </rPr>
          <t xml:space="preserve">Tahun varian ini mulai dijual, bukan tahun seri pertama.</t>
        </r>
      </text>
    </comment>
    <comment ref="E3" authorId="0">
      <text>
        <r>
          <rPr>
            <sz val="10"/>
            <rFont val="Arial"/>
            <family val="2"/>
          </rPr>
          <t xml:space="preserve">dijual = masih dijual baru. dihentikan = produksi berhenti, stok mungkin tersisa. bekas_saja = hanya beredar bekas.</t>
        </r>
      </text>
    </comment>
    <comment ref="F3" authorId="0">
      <text>
        <r>
          <rPr>
            <sz val="10"/>
            <rFont val="Arial"/>
            <family val="2"/>
          </rPr>
          <t xml:space="preserve">Isi bila statusnya dihentikan. Kosongkan bila masih dijual.</t>
        </r>
      </text>
    </comment>
    <comment ref="G3" authorId="0">
      <text>
        <r>
          <rPr>
            <sz val="10"/>
            <rFont val="Arial"/>
            <family val="2"/>
          </rPr>
          <t xml:space="preserve">Resmi Indonesia = garansi resmi di Indonesia. Impor/paralel = dibawa masuk sendiri oleh penjual.</t>
        </r>
      </text>
    </comment>
    <comment ref="J3" authorId="0">
      <text>
        <r>
          <rPr>
            <sz val="10"/>
            <rFont val="Arial"/>
            <family val="2"/>
          </rPr>
          <t xml:space="preserve">Pilih dari daftar (diambil dari tab CPU). Bila belum ada, tambahkan di tab CPU terlebih dahulu.</t>
        </r>
      </text>
    </comment>
    <comment ref="K3" authorId="0">
      <text>
        <r>
          <rPr>
            <sz val="10"/>
            <rFont val="Arial"/>
            <family val="2"/>
          </rPr>
          <t xml:space="preserve">Pilih dari daftar (diambil dari tab GPU). Bila belum ada, tambahkan di tab GPU terlebih dahulu.</t>
        </r>
      </text>
    </comment>
    <comment ref="L3" authorId="0">
      <text>
        <r>
          <rPr>
            <sz val="10"/>
            <rFont val="Arial"/>
            <family val="2"/>
          </rPr>
          <t xml:space="preserve">Daya kartu grafis terpisah dalam watt (TGP). Kosongkan bila memakai grafis bawaan. Kartu grafis yang sama bisa berbeda kinerjanya bila dayanya berbeda.</t>
        </r>
      </text>
    </comment>
    <comment ref="N3" authorId="0">
      <text>
        <r>
          <rPr>
            <sz val="10"/>
            <rFont val="Arial"/>
            <family val="2"/>
          </rPr>
          <t xml:space="preserve">Tipe berawalan LPDDR biasanya disolder.</t>
        </r>
      </text>
    </comment>
    <comment ref="Q3" authorId="0">
      <text>
        <r>
          <rPr>
            <sz val="10"/>
            <rFont val="Arial"/>
            <family val="2"/>
          </rPr>
          <t xml:space="preserve">disolder = RAM menempel di papan utama dan tidak bisa diganti. slot = modul bisa dilepas dan diganti. setengah_disolder = sebagian disolder, ditambah satu slot. unknown = belum ketemu sumbernya (jangan menebak).</t>
        </r>
      </text>
    </comment>
    <comment ref="R3" authorId="0">
      <text>
        <r>
          <rPr>
            <sz val="10"/>
            <rFont val="Arial"/>
            <family val="2"/>
          </rPr>
          <t xml:space="preserve">Jumlah slot RAM di papan utama. Isi 0 bila semuanya disolder.</t>
        </r>
      </text>
    </comment>
    <comment ref="T3" authorId="0">
      <text>
        <r>
          <rPr>
            <sz val="10"/>
            <rFont val="Arial"/>
            <family val="2"/>
          </rPr>
          <t xml:space="preserve">Berapa GB RAM yang disolder. Sama dengan ukuran RAM bila semuanya disolder; 0 bila semuanya modul slot.</t>
        </r>
      </text>
    </comment>
    <comment ref="U3" authorId="0">
      <text>
        <r>
          <rPr>
            <sz val="10"/>
            <rFont val="Arial"/>
            <family val="2"/>
          </rPr>
          <t xml:space="preserve">RAM maksimal menurut spesifikasi atau manual resmi, bukan hasil coba orang lain.</t>
        </r>
      </text>
    </comment>
    <comment ref="V3" authorId="0">
      <text>
        <r>
          <rPr>
            <sz val="10"/>
            <rFont val="Arial"/>
            <family val="2"/>
          </rPr>
          <t xml:space="preserve">Kapasitas penyimpanan utama dalam GB (512 untuk 512 GB, 1000 untuk 1 TB).</t>
        </r>
      </text>
    </comment>
    <comment ref="W3" authorId="0">
      <text>
        <r>
          <rPr>
            <sz val="10"/>
            <rFont val="Arial"/>
            <family val="2"/>
          </rPr>
          <t xml:space="preserve">nvme_ssd = SSD M.2 jalur cepat. sata_ssd = SSD jalur lebih lambat. hdd = hard disk. emmc = memori tanam tipis (disolder).</t>
        </r>
      </text>
    </comment>
    <comment ref="X3" authorId="0">
      <text>
        <r>
          <rPr>
            <sz val="10"/>
            <rFont val="Arial"/>
            <family val="2"/>
          </rPr>
          <t xml:space="preserve">Contoh: PCIe 3.0 x4, PCIe 4.0 x4, SATA III. Tulis unknown bila belum tahu.</t>
        </r>
      </text>
    </comment>
    <comment ref="Z3" authorId="0">
      <text>
        <r>
          <rPr>
            <sz val="10"/>
            <rFont val="Arial"/>
            <family val="2"/>
          </rPr>
          <t xml:space="preserve">ya = bisa dilepas dan diganti. tidak = disolder (misalnya eMMC). unknown = belum ada sumbernya.</t>
        </r>
      </text>
    </comment>
    <comment ref="AC3" authorId="0">
      <text>
        <r>
          <rPr>
            <sz val="10"/>
            <rFont val="Arial"/>
            <family val="2"/>
          </rPr>
          <t xml:space="preserve">Ada ruang kosong untuk SSD atau HDD 2,5 inci? ya, tidak, atau unknown.</t>
        </r>
      </text>
    </comment>
    <comment ref="AD3" authorId="0">
      <text>
        <r>
          <rPr>
            <sz val="10"/>
            <rFont val="Arial"/>
            <family val="2"/>
          </rPr>
          <t xml:space="preserve">terverifikasi = ada sumber kuat (spesifikasi resmi pabrikan, manual servis, atau video bongkar). belum terverifikasi = hanya dari forum, ulasan, atau sumber yang kesesuaiannya belum pasti. tidak diketahui = belum dicari. Berlaku untuk semua kolom RAM dan penyimpanan di varian ini.</t>
        </r>
      </text>
    </comment>
    <comment ref="AE3" authorId="0">
      <text>
        <r>
          <rPr>
            <sz val="10"/>
            <rFont val="Arial"/>
            <family val="2"/>
          </rPr>
          <t xml:space="preserve">Tautan atau nama sumber untuk info RAM dan penyimpanan di varian ini.</t>
        </r>
      </text>
    </comment>
    <comment ref="AF3" authorId="0">
      <text>
        <r>
          <rPr>
            <sz val="10"/>
            <rFont val="Arial"/>
            <family val="2"/>
          </rPr>
          <t xml:space="preserve">Bobot menurut pabrikan. Bila pabrikan hanya memberi rentang, isi angka terendah dan tulis rentangnya di catatan editor.</t>
        </r>
      </text>
    </comment>
    <comment ref="BA3" authorId="0">
      <text>
        <r>
          <rPr>
            <sz val="10"/>
            <rFont val="Arial"/>
            <family val="2"/>
          </rPr>
          <t xml:space="preserve">Otomatis: tahun ini dikurangi tahun rilis varian. Memakai TODAY(), jadi angkanya bertambah setiap tahun.</t>
        </r>
      </text>
    </comment>
    <comment ref="BB3" authorId="0">
      <text>
        <r>
          <rPr>
            <sz val="10"/>
            <rFont val="Arial"/>
            <family val="2"/>
          </rPr>
          <t xml:space="preserve">Otomatis dari kolom Resmi Windows 11? di tab CPU. Aturan umum: Intel Core generasi ke-8 ke atas dan AMD Ryzen 2000 ke atas didukung secara resmi (sekitar laptop 2018). Sumber: https://pureinfotech.com/windows-11-processor-requirements-intel-amd-qualcomm/</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Satu baris untuk satu prosesor. Nama ini yang muncul di daftar pilihan tab Varian.</t>
        </r>
      </text>
    </comment>
    <comment ref="H3" authorId="0">
      <text>
        <r>
          <rPr>
            <sz val="10"/>
            <rFont val="Arial"/>
            <family val="2"/>
          </rPr>
          <t xml:space="preserve">hemat = daya dasar sekitar 15 W atau kurang (seri U dan N). seimbang = sekitar 28 W (seri P). performa = 45 W ke atas (seri H dan HX).</t>
        </r>
      </text>
    </comment>
    <comment ref="I3" authorId="0">
      <text>
        <r>
          <rPr>
            <sz val="10"/>
            <rFont val="Arial"/>
            <family val="2"/>
          </rPr>
          <t xml:space="preserve">Isi berdasarkan daftar resmi Microsoft (Intel ditulis per seri, misalnya 8th Generation Core i5). Aturan umum: Intel Core generasi ke-8 ke atas dan AMD Ryzen 2000 ke atas didukung. Bila prosesor belum ada di daftar Microsoft tetapi pabrikan menjual laptop dengan Windows 11 dan mencantumkannya sebagai sistem operasi yang didukung, isi ya dan tulis alasannya di kolom Sumber. Daftar Intel: https://learn.microsoft.com/en-us/windows-hardware/design/minimum/supported/windows-11-supported-intel-processors</t>
        </r>
      </text>
    </comment>
    <comment ref="J3" authorId="0">
      <text>
        <r>
          <rPr>
            <sz val="10"/>
            <rFont val="Arial"/>
            <family val="2"/>
          </rPr>
          <t xml:space="preserve">Penilaian kita sendiri, bukan skor resmi. Usulan awal: 1 = dokumen dan internet ringan; 2 = kuliah dan kantor cukup lancar; 3 = kuliah, kantor, dan banyak aplikasi sekaligus dengan lega; 4 = kerja berat sesekali (kompilasi besar, edit video menengah); 5 = kerja berat terus-menerus (render, simulasi). Arti lengkap ada di tab Aturan. Alasannya wajib ditulis di kolom sebelahnya.</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Satu baris untuk satu GPU. Laptop tanpa kartu grafis terpisah tetap memakai grafis bawaan (misalnya Intel Iris Xe atau AMD Radeon Graphics); tulis namanya di sini juga.</t>
        </r>
      </text>
    </comment>
    <comment ref="G3" authorId="0">
      <text>
        <r>
          <rPr>
            <sz val="10"/>
            <rFont val="Arial"/>
            <family val="2"/>
          </rPr>
          <t xml:space="preserve">Penilaian kita sendiri, bukan skor resmi. Usulan awal: 1 = tampilan, dokumen, dan video biasa; 2 = video, desain ringan, dan game ringan (grafis bawaan generasi baru); 3 = game populer pada pengaturan sedang (kartu grafis terpisah kelas pemula); 4 = game baru pada pengaturan tinggi; 5 = game dan render berat. Arti lengkap ada di tab Aturan. Alasannya wajib ditulis di kolom sebelahnya.</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Pilih dari daftar (diambil dari kolom ID varian di tab Varian).</t>
        </r>
      </text>
    </comment>
    <comment ref="F3" authorId="0">
      <text>
        <r>
          <rPr>
            <sz val="10"/>
            <rFont val="Arial"/>
            <family val="2"/>
          </rPr>
          <t xml:space="preserve">toko_resmi = situs pabrikan atau peritel besar resmi (misalnya HP Indonesia, Erablue). marketplace = Tokopedia, Shopee, dan sejenisnya. toko_bekas = toko khusus laptop bekas. perorangan = penjual perorangan (OLX, grup jual-beli).</t>
        </r>
      </text>
    </comment>
    <comment ref="H3" authorId="0">
      <text>
        <r>
          <rPr>
            <sz val="10"/>
            <rFont val="Arial"/>
            <family val="2"/>
          </rPr>
          <t xml:space="preserve">Tanggal harga ini dilihat. Jangan menimpa harga lama; tambahkan baris baru supaya riwayatnya terlihat.</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B13" authorId="0">
      <text>
        <r>
          <rPr>
            <sz val="10"/>
            <rFont val="Arial"/>
            <family val="2"/>
          </rPr>
          <t xml:space="preserve">Dari dokumen Fondasi Proyek: versi pertama berisi 40-60 model.</t>
        </r>
      </text>
    </comment>
    <comment ref="C3" authorId="0">
      <text>
        <r>
          <rPr>
            <sz val="10"/>
            <rFont val="Arial"/>
            <family val="2"/>
          </rPr>
          <t xml:space="preserve">Hitung berapa menit kamu memeriksa data satu laptop dari sumbernya. Pakai pengatur waktu agar tidak menebak. Dipakai untuk memperkirakan lama pengisian 40-60 model.</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Daftar pilihan untuk menu dropdown di tab lain. Jangan mengubah nilai yang sudah ada tanpa kesepakatan, karena data yang sudah diisi memakai nilai yang sama.</t>
        </r>
      </text>
    </comment>
  </commentList>
</comments>
</file>

<file path=xl/sharedStrings.xml><?xml version="1.0" encoding="utf-8"?>
<sst xmlns="http://schemas.openxmlformats.org/spreadsheetml/2006/main" count="4342" uniqueCount="1731">
  <si>
    <t xml:space="preserve">Data Laptop: Lima Laptop Awal (Draf 2)</t>
  </si>
  <si>
    <t xml:space="preserve">Tujuan</t>
  </si>
  <si>
    <t xml:space="preserve">Satu bentuk data yang sama untuk semua laptop, sebelum situsnya dibuat. Lima laptop awal sudah diisi dari situs pabrikan, Intel, AMD, Microsoft, ulasan teknologi, dan marketplace besar (dicek 8 Oktober 2026). Isian ini masih draf: periksa ulang, lalu lengkapi bagian yang kosong atau bertanda unknown.</t>
  </si>
  <si>
    <t xml:space="preserve">Cara memakai</t>
  </si>
  <si>
    <t xml:space="preserve">Tab Model: data yang sama untuk semua konfigurasi satu seri (bahan bodi, ukuran layar, port, catatan).</t>
  </si>
  <si>
    <t xml:space="preserve">Tab Varian: satu baris untuk satu konfigurasi nyata (CPU, RAM, dan penyimpanan tertentu). Layar, bobot, baterai, dan kelengkapan lain ada di sini karena bisa berbeda tiap varian.</t>
  </si>
  <si>
    <t xml:space="preserve">Tab CPU dan GPU: satu baris untuk setiap prosesor dan kartu grafis. Tab Varian memilih dari dua tab ini, jadi isi keduanya lebih dulu bila menambah laptop baru. Tingkat 1-5 adalah usulan awal untuk ditinjau. Arti tiap tingkat ada di tab Aturan (bagian 6).</t>
  </si>
  <si>
    <t xml:space="preserve">Tab Harga: harga bertanggal beserta sumbernya. Tambahkan baris baru setiap kali harga dicek ulang; jangan menimpa harga lama.</t>
  </si>
  <si>
    <t xml:space="preserve">Tab Catatan Pengisian: sumber, kolom yang sulit dicari, kolom yang masih unknown, dan temuan untuk tiap laptop. Catat juga berapa menit kamu memeriksa tiap laptop.</t>
  </si>
  <si>
    <t xml:space="preserve">Arti warna</t>
  </si>
  <si>
    <t xml:space="preserve">Kuning</t>
  </si>
  <si>
    <t xml:space="preserve">Diisi sendiri. Sel kuning yang masih kosong berarti belum ada sumbernya.</t>
  </si>
  <si>
    <t xml:space="preserve">Abu-abu</t>
  </si>
  <si>
    <t xml:space="preserve">Terisi otomatis dari rumus. Jangan diketik.</t>
  </si>
  <si>
    <t xml:space="preserve">CONTOH</t>
  </si>
  <si>
    <t xml:space="preserve">Baris ke-4 di setiap tab berisi nilai rekaan untuk menunjukkan cara mengisi. Jangan dihapus dan jangan dipakai sebagai data.</t>
  </si>
  <si>
    <t xml:space="preserve">Aturan isi</t>
  </si>
  <si>
    <t xml:space="preserve">Urutan sumber: spesifikasi resmi pabrikan, lalu manual servis resmi, lalu video bongkar. Informasi dari forum atau ulasan ditandai belum terverifikasi.</t>
  </si>
  <si>
    <t xml:space="preserve">Kalau belum tahu, pilih unknown atau biarkan kosong. Jangan menebak, terutama untuk RAM disolder dan penyimpanan yang bisa diganti.</t>
  </si>
  <si>
    <t xml:space="preserve">Harga ditulis sebagai rentang, lengkap dengan sumber dan tanggal cek. Listing yang jauh di atas atau di bawah harga toko lain tidak dihitung; alasannya ditulis di kolom catatan.</t>
  </si>
  <si>
    <t xml:space="preserve">Tingkat 1-5 untuk CPU dan GPU adalah penilaian kita sendiri. Tulis alasannya di kolom sebelahnya.</t>
  </si>
  <si>
    <t xml:space="preserve">Catatan editor memakai bahasa awam (lihat panduan gaya bahasa awam di dokumen Fondasi Proyek).</t>
  </si>
  <si>
    <t xml:space="preserve">Jangan menyalin kalimat dari situs lain. Tulis ulang dengan kalimat sendiri.</t>
  </si>
  <si>
    <t xml:space="preserve">Jangan mengubah isi daftar di tab Pilihan tanpa kesepakatan, karena tab lain memakainya.</t>
  </si>
  <si>
    <t xml:space="preserve">Wajib untuk v1</t>
  </si>
  <si>
    <t xml:space="preserve">Kode varian, tahun rilis, status penjualan, CPU, GPU, RAM (ukuran, tipe, letak), penyimpanan (ukuran, tipe, bisa diganti atau tidak), sistem operasi, harga, dan catatan editor.</t>
  </si>
  <si>
    <t xml:space="preserve">Tab penilaian</t>
  </si>
  <si>
    <t xml:space="preserve">Aturan: batas minimal dan batas nyaman untuk lima kebutuhan, peringkat jenis layar, daftar peringatan, dan arti tingkat 1-5. Kolom kuning boleh diubah; tab Perhitungan dan Hasil ikut berubah.</t>
  </si>
  <si>
    <t xml:space="preserve">Perhitungan: satu baris untuk satu pasangan varian dan kebutuhan. Semuanya rumus, jadi tidak diisi. Dipakai untuk menelusuri bagaimana hasil didapat.</t>
  </si>
  <si>
    <t xml:space="preserve">Hasil: pilih satu varian untuk membaca alasan tiap kebutuhan, atau lihat semua varian sekaligus di tabel bawahnya.</t>
  </si>
  <si>
    <t xml:space="preserve">Hasil ini baru percobaan aturan pada lima laptop. Angka batas dan tingkat 1-5 adalah penilaian awal kita, belum diuji ke pengguna. Isi tab Varian dengan benar dan lengkap dulu, karena kolom yang kosong atau unknown membuat hasilnya Data belum lengkap.</t>
  </si>
  <si>
    <t xml:space="preserve">Model: satu baris untuk satu seri laptop</t>
  </si>
  <si>
    <t xml:space="preserve">Data yang sama untuk semua konfigurasi seri ini. Kolom kuning diisi sendiri; baris CONTOH hanya untuk ditiru.</t>
  </si>
  <si>
    <t xml:space="preserve">Kunci model
kunci_model</t>
  </si>
  <si>
    <t xml:space="preserve">Merek
merek</t>
  </si>
  <si>
    <t xml:space="preserve">Seri / nama model
seri</t>
  </si>
  <si>
    <t xml:space="preserve">Peran dalam 5 laptop awal
peran</t>
  </si>
  <si>
    <t xml:space="preserve">Tahun rilis seri
tahun_rilis</t>
  </si>
  <si>
    <t xml:space="preserve">Status penjualan
status</t>
  </si>
  <si>
    <t xml:space="preserve">Bahan bodi
bahan</t>
  </si>
  <si>
    <t xml:space="preserve">Layar · ukuran (inci)
layar_inci</t>
  </si>
  <si>
    <t xml:space="preserve">USB-A · jumlah port
usb_a</t>
  </si>
  <si>
    <t xml:space="preserve">USB-C · jumlah port
usb_c</t>
  </si>
  <si>
    <t xml:space="preserve">USB-C · kemampuan
usbc_jenis</t>
  </si>
  <si>
    <t xml:space="preserve">Bisa diisi lewat USB-C?
usbc_charge</t>
  </si>
  <si>
    <t xml:space="preserve">Port HDMI?
hdmi</t>
  </si>
  <si>
    <t xml:space="preserve">HDMI · versi
hdmi_versi</t>
  </si>
  <si>
    <t xml:space="preserve">Pembaca kartu SD?
sd</t>
  </si>
  <si>
    <t xml:space="preserve">Port LAN (kabel)?
lan</t>
  </si>
  <si>
    <t xml:space="preserve">Ringkasnya (1-2 kalimat, bahasa awam)
ringkasan</t>
  </si>
  <si>
    <t xml:space="preserve">Waspadai
waspada</t>
  </si>
  <si>
    <t xml:space="preserve">Masalah umum yang sering dikeluhkan
masalah_umum</t>
  </si>
  <si>
    <t xml:space="preserve">Tautan spesifikasi resmi
url_spek</t>
  </si>
  <si>
    <t xml:space="preserve">Tanggal diperiksa
tgl_verif</t>
  </si>
  <si>
    <t xml:space="preserve">contoh-a14</t>
  </si>
  <si>
    <t xml:space="preserve">Contoh</t>
  </si>
  <si>
    <t xml:space="preserve">A14</t>
  </si>
  <si>
    <t xml:space="preserve">Baru populer</t>
  </si>
  <si>
    <t xml:space="preserve">dijual</t>
  </si>
  <si>
    <t xml:space="preserve">Plastik</t>
  </si>
  <si>
    <t xml:space="preserve">USB-C + DisplayPort</t>
  </si>
  <si>
    <t xml:space="preserve">ya</t>
  </si>
  <si>
    <t xml:space="preserve">HDMI 1.4</t>
  </si>
  <si>
    <t xml:space="preserve">tidak</t>
  </si>
  <si>
    <t xml:space="preserve">(CONTOH) Laptop tipis untuk kuliah dan kerja kantoran.</t>
  </si>
  <si>
    <t xml:space="preserve">(CONTOH) RAM disolder, tidak bisa ditambah.</t>
  </si>
  <si>
    <t xml:space="preserve">(CONTOH) Belum ada keluhan yang sering muncul.</t>
  </si>
  <si>
    <t xml:space="preserve">https://contoh.example/a14</t>
  </si>
  <si>
    <t xml:space="preserve">asus-m1405ya</t>
  </si>
  <si>
    <t xml:space="preserve">ASUS</t>
  </si>
  <si>
    <t xml:space="preserve">Vivobook 14 M1405YA</t>
  </si>
  <si>
    <t xml:space="preserve">unknown</t>
  </si>
  <si>
    <t xml:space="preserve">Laptop 14 inci untuk kuliah dan pekerjaan harian. Layarnya berbentuk 16:10, sedikit lebih tinggi daripada layar laptop biasa, sehingga lebih lega untuk dokumen dan halaman web.</t>
  </si>
  <si>
    <t xml:space="preserve">Sebagian RAM (8 GB) menempel di papan utama dan tidak bisa diganti. Ada satu slot untuk RAM tambahan, dengan batas total 16 GB. Slot SSD hanya cocok untuk SSD satu sisi. Tidak ada pembaca kartu SD.</t>
  </si>
  <si>
    <t xml:space="preserve">https://asus.com/laptops/for-home/vivobook/asus-vivobook-14-oled-m1405/techspec</t>
  </si>
  <si>
    <t xml:space="preserve">hp-pavilion-x360-14</t>
  </si>
  <si>
    <t xml:space="preserve">HP</t>
  </si>
  <si>
    <t xml:space="preserve">Pavilion x360 14-ek1000</t>
  </si>
  <si>
    <t xml:space="preserve">Baru tipis atau 2-in-1</t>
  </si>
  <si>
    <t xml:space="preserve">HDMI 2.1</t>
  </si>
  <si>
    <t xml:space="preserve">Laptop 2-in-1 14 inci. Layarnya sentuh dan engselnya bisa dilipat penuh sampai seperti tablet. Bobotnya sekitar 1,5 kg.</t>
  </si>
  <si>
    <t xml:space="preserve">RAM 16 GB menempel di papan utama, jadi tidak bisa ditambah. Pembaca kartunya hanya untuk microSD, bukan kartu SD biasa.</t>
  </si>
  <si>
    <t xml:space="preserve">https://hp.com/id-id/shop/hp-pavilion-x360-2-in-1-laptop-14-ek1005tu-7n725pa.html</t>
  </si>
  <si>
    <t xml:space="preserve">axioo-hype-10</t>
  </si>
  <si>
    <t xml:space="preserve">Axioo</t>
  </si>
  <si>
    <t xml:space="preserve">Hype 10</t>
  </si>
  <si>
    <t xml:space="preserve">Merek lokal</t>
  </si>
  <si>
    <t xml:space="preserve">USB-C data saja</t>
  </si>
  <si>
    <t xml:space="preserve">Laptop 14 inci kelas harga terjangkau dengan prosesor Celeron, untuk tugas ringan seperti mengetik, internet, dan menonton video. Di situs Axioo, laptop ini tertulis sebagai Hype 1 Intel.</t>
  </si>
  <si>
    <t xml:space="preserve">Layarnya HD 1366x768 jenis TN, jadi kurang tajam dan sudut pandangnya sempit. RAM memakai satu slot dengan batas 8 GB, jadi tidak bisa ditambah dari 8 GB. Kedua port USB-C hanya untuk data. Sebagian unit di toko masih memakai Windows 10, yang dukungan resminya berakhir pada 14 Oktober 2025.</t>
  </si>
  <si>
    <t xml:space="preserve">https://axiooworld.com/product/compare/hype-1-intel/pongo-735</t>
  </si>
  <si>
    <t xml:space="preserve">lenovo-thinkpad-t480</t>
  </si>
  <si>
    <t xml:space="preserve">Lenovo</t>
  </si>
  <si>
    <t xml:space="preserve">ThinkPad T480</t>
  </si>
  <si>
    <t xml:space="preserve">Bekas 1</t>
  </si>
  <si>
    <t xml:space="preserve">bekas_saja</t>
  </si>
  <si>
    <t xml:space="preserve">Campuran</t>
  </si>
  <si>
    <t xml:space="preserve">Thunderbolt 3</t>
  </si>
  <si>
    <t xml:space="preserve">Laptop bisnis 14 inci rilisan 2018 yang mudah dibongkar: RAM dan penyimpanan bisa diganti sendiri, dan baterai luarnya bisa diganti saat laptop menyala.</t>
  </si>
  <si>
    <t xml:space="preserve">Hanya beredar bekas, jadi kondisi baterai, layar, dan keyboard tiap unit berbeda. Menurut Lenovo, penyimpanan utama memakai satu slot hard disk 2,5 inci atau satu slot M.2 2280, bukan keduanya sekaligus. Pilihan layar dan baterainya beragam, jadi cek konfigurasi unit sebelum membeli.</t>
  </si>
  <si>
    <t xml:space="preserve">https://psref.lenovo.com/syspool/Sys/PDF/ThinkPad/ThinkPad_T480/ThinkPad_T480_Spec.PDF</t>
  </si>
  <si>
    <t xml:space="preserve">dell-latitude-5400</t>
  </si>
  <si>
    <t xml:space="preserve">Dell</t>
  </si>
  <si>
    <t xml:space="preserve">Latitude 5400</t>
  </si>
  <si>
    <t xml:space="preserve">Bekas 2</t>
  </si>
  <si>
    <t xml:space="preserve">Serat karbon (komposit)</t>
  </si>
  <si>
    <t xml:space="preserve">Laptop bisnis 14 inci rilisan 2019 dengan bodi serat karbon dan port lengkap: HDMI, kabel LAN, USB-C, dan microSD. Dua slot RAM bisa diisi sampai 32 GB.</t>
  </si>
  <si>
    <t xml:space="preserve">Hanya beredar bekas, jadi cek kondisi baterai dan layar tiap unit. Pada unit dengan baterai 4-sel, ruang hard disk 2,5 inci tidak bisa dipakai (catatan manual servis Dell). Pembaca kartunya hanya microSD. Kemampuan Thunderbolt pada port USB-C bersifat opsional menurut Dell.</t>
  </si>
  <si>
    <t xml:space="preserve">https://www.dell.com/support/product-details/en-us/product/latitude-14-5400-laptop/resources/manuals</t>
  </si>
  <si>
    <t xml:space="preserve">asus-zenbook-14-oled-ux3405ma</t>
  </si>
  <si>
    <t xml:space="preserve">Zenbook 14 OLED UX3405MA</t>
  </si>
  <si>
    <t xml:space="preserve">Thunderbolt 4</t>
  </si>
  <si>
    <t xml:space="preserve">Laptop 14 inci yang tipis dengan layar OLED tajam (2880x1800, 120 Hz) dan prosesor Intel Core Ultra 5 125H. Pas untuk kuliah, kerja kantor, pemrograman, dan edit foto atau video ringan.</t>
  </si>
  <si>
    <t xml:space="preserve">RAM menempel di papan utama (ASUS menulisnya 'on board'), jadi tidak bisa ditambah; pilih ukuran yang cukup sejak awal. Halaman spek ASUS menggabungkan beberapa varian sekaligus (layar sentuh atau tidak, Wi-Fi 6E atau 7, bobot 1,20 sampai 1,28 kg), jadi cocokkan kode lengkap unit yang kamu beli. Port-nya hanya dua Thunderbolt 4, satu USB-A, dan HDMI; tidak ada slot kartu SD dan tidak ada colokan LAN kabel.</t>
  </si>
  <si>
    <t xml:space="preserve">Belum ada data keluhan yang bisa dipastikan.</t>
  </si>
  <si>
    <t xml:space="preserve">https://www.asus.com/laptops/for-home/zenbook/asus-zenbook-14-oled-ux3405/techspec</t>
  </si>
  <si>
    <t xml:space="preserve">acer-aspire-3-a314-23m</t>
  </si>
  <si>
    <t xml:space="preserve">Acer</t>
  </si>
  <si>
    <t xml:space="preserve">Aspire 3 Slim A314-23M</t>
  </si>
  <si>
    <t xml:space="preserve">Laptop 14 inci tipis untuk tugas kuliah, dokumen, browsing, dan video call dengan harga terjangkau. Prosesornya cukup untuk pemakaian harian, tetapi layarnya beresolusi rendah dan RAM tidak bisa ditambah.</t>
  </si>
  <si>
    <t xml:space="preserve">RAM 8 GB menempel di papan utama (onboard), jadi tidak bisa ditambah. Spek resmi Acer Indonesia menulis layar 14 inci 'HD' (beberapa toko menulis 1366x768), bukan Full HD, padahal banyak toko online menulis Full HD IPS atau RAM 16 GB untuk model ini; cocokkan kode lengkap (mis. A314-23M-R7VJ) dan tanyakan kondisi unit (baru, ex-display, atau bekas). Jumlah port yang ditulis toko berbeda-beda, jadi cek langsung. Model ini mulai jarang tampil di toko resmi Acer; yang menjual sekarang kebanyakan reseller.</t>
  </si>
  <si>
    <t xml:space="preserve">https://store.acer.com/en-id/aspire-3-a314-23m-silver-nx-kexsn-009</t>
  </si>
  <si>
    <t xml:space="preserve">lenovo-ideapad-slim-3-14iah8</t>
  </si>
  <si>
    <t xml:space="preserve">IdeaPad Slim 3 14IAH8</t>
  </si>
  <si>
    <t xml:space="preserve">Laptop 14 inci Full HD dengan prosesor 8 inti yang kuat untuk kelasnya. Cocok untuk kuliah, kantor, banyak aplikasi sekaligus, dan pemrograman umum.</t>
  </si>
  <si>
    <t xml:space="preserve">RAM menempel di papan utama dan tidak bisa ditambah, jadi pilih 16 GB bila ingin awet. Slot SSD hanya muat ukuran pendek M.2 2242, sehingga pilihan SSD pengganti lebih sedikit. Tidak ada port LAN. Spek global Lenovo membolehkan layar TN 250 nit atau IPS 300 nit, jadi pastikan unitmu IPS; listing toko Indonesia menulis IPS 300 nit. Beberapa toko mencampur judul 8 GB dan 16 GB, dan sebagian menulis grafis Iris Xe padahal spek Lenovo menulis Intel UHD. Ini generasi 2023; Lenovo sudah punya generasi lebih baru yang lebih mahal.</t>
  </si>
  <si>
    <t xml:space="preserve">https://psref.lenovo.com/syspool/Sys/PDF/IdeaPad/IdeaPad_Slim_3_14IAH8/IdeaPad_Slim_3_14IAH8_Spec.pdf</t>
  </si>
  <si>
    <t xml:space="preserve">asus-vivobook-go-14-e1404</t>
  </si>
  <si>
    <t xml:space="preserve">Vivobook Go 14 E1404</t>
  </si>
  <si>
    <t xml:space="preserve">Laptop 14 inci ringan (sekitar 1,4 kg) dengan harga bersahabat untuk kuliah, tugas, dan kerja kantor ringan.</t>
  </si>
  <si>
    <t xml:space="preserve">RAM 8 GB menempel di papan utama dan tidak ada slot, jadi tidak bisa ditambah. SSD memakai satu slot M.2 2280 sehingga bisa diganti. Layar Full HD kode 'FHD' bertipe TN menurut artikel detik (2023) dan terang hanya 250 nit dengan warna terbatas (45% NTSC); unit berkode VIPS memakai panel IPS-level yang lebih enak dilihat. Halaman ASUS sendiri tidak konsisten (Ryzen 3 lawan Ryzen 5, RAM 'sampai 16 GB', Windows Home lawan Pro), jadi cocokkan kode lengkap sebelum membeli. Lampu keyboard dan sensor sidik jari tertulis opsional. Hanya 1 USB-C, 1 USB-A cepat, dan 1 USB 2.0 yang lambat; tidak ada slot kartu SD maupun LAN.</t>
  </si>
  <si>
    <t xml:space="preserve">https://id.store.asus.com/90nb0zs1-m006c0-e1404fa-fhd352.html</t>
  </si>
  <si>
    <t xml:space="preserve">asus-vivobook-15-a1504</t>
  </si>
  <si>
    <t xml:space="preserve">Vivobook 15 A1504 (di luar negeri bernama X1504)</t>
  </si>
  <si>
    <t xml:space="preserve">Laptop layar besar 15,6 inci untuk kuliah, tugas kantor, internet, dan nonton. Dua varian yang dicatat di sini berlayar sentuh, berbodi plastik, dan RAM serta SSD-nya masih bisa ditambah atau diganti.</t>
  </si>
  <si>
    <t xml:space="preserve">RAM 8 GB menempel di papan dan tidak bisa dilepas; yang bisa ditambah hanya lewat satu slot SO-DIMM (tempat RAM yang bisa dicabut). Kalau slot itu kosong, RAM berjalan satu jalur dan grafis jadi lebih lambat. Port USB-C hanya berkecepatan 5 Gbps dan ASUS tidak menyebut apakah bisa dipakai mengisi daya atau menyambung monitor; charger bawaan berupa colokan bulat. Tidak ada slot kartu SD dan tidak ada port LAN. Spesifikasi di toko online sering berbeda dari halaman ASUS (tipe RAM, garansi, Office), jadi cek ulang kode produk sebelum membayar.</t>
  </si>
  <si>
    <t xml:space="preserve">Ringkasan Notebookcheck atas ulasan LaptopMedia (untuk versi F1504/X1504) menyebut kualitas layarnya biasa saja; belum ada data keluhan lain yang bisa dipastikan.</t>
  </si>
  <si>
    <t xml:space="preserve">https://www.asus.com/id/laptops/for-home/vivobook/asus-vivobook-15-a1504/techspec/</t>
  </si>
  <si>
    <t xml:space="preserve">hp-laptop-14-ep1</t>
  </si>
  <si>
    <t xml:space="preserve">HP Laptop 14 (14-ep1xxx); di sebagian toko seri 14-ep ditulis sebagai 14s-ep</t>
  </si>
  <si>
    <t xml:space="preserve">Laptop 14 inci yang ringan (sekitar 1,4 kg) untuk tugas kuliah, kantor, dan internet harian dengan harga terjangkau. RAM dan SSD-nya bisa diganti sendiri.</t>
  </si>
  <si>
    <t xml:space="preserve">HP tidak menyebut jenis panel layar; yang tertulis hanya anti-silau, 250 nits, dan cakupan warna 62,5% sRGB yang tergolong sempit. Varian 8 GB hanya memakai satu keping RAM sehingga berjalan satu jalur dan grafis lebih lambat; menambah keping kedua akan membantu. Di seri 14-ep/14-em yang lain (misalnya 14-ep0255TU atau 14-em0530AU berprosesor AMD) USB-C-nya hanya untuk data, sedangkan 14-ep1177TU dan 14-ep1155TU punya USB-C yang bisa mengisi daya dan menyambung layar, jadi periksa kode lengkapnya. Tidak ada slot kartu SD dan tidak ada port LAN. Halaman HP untuk 14-ep1177TU tidak mencantumkan Microsoft Office, meski ada toko yang menyebutnya.</t>
  </si>
  <si>
    <t xml:space="preserve">https://www.hp.com/id-id/shop/hp-laptop-14-ep1177tu-c7sd0pa.html</t>
  </si>
  <si>
    <t xml:space="preserve">lenovo-ideapad-slim-5-14irh10r</t>
  </si>
  <si>
    <t xml:space="preserve">IdeaPad Slim 5 14IRH10R (Gen 10, prosesor Intel)</t>
  </si>
  <si>
    <t xml:space="preserve">Aluminium</t>
  </si>
  <si>
    <t xml:space="preserve">Laptop tipis 14 inci berbodi aluminium dengan layar OLED yang warnanya tajam, cocok untuk kuliah, kerja kantor, dan nonton. Nilai plusnya: RAM memakai slot yang bisa diganti dan ada slot SSD kedua yang kosong.</t>
  </si>
  <si>
    <t xml:space="preserve">Hanya ada pembaca kartu microSD, tidak ada slot kartu SD ukuran biasa. Tidak ada pembaca sidik jari. Layar OLED-nya mengilap (glossy) sehingga memantulkan cahaya. HDMI hanya versi 1.4b (sampai 4K 30 Hz) dan kedua port USB-C berkecepatan 5 Gbps. Kode produk berbeda antar toko (misalnya 83J00003ID dan 83J0005GID) dengan paket Office dan perlindungan garansi yang tidak sama.</t>
  </si>
  <si>
    <t xml:space="preserve">https://psref.lenovo.com/syspool/Sys/PDF/IdeaPad/IdeaPad_Slim_5_14IRH10R/IdeaPad_Slim_5_14IRH10R_Spec.pdf</t>
  </si>
  <si>
    <t xml:space="preserve">lenovo-thinkbook-14-g9-ipl</t>
  </si>
  <si>
    <t xml:space="preserve">ThinkBook 14 Gen 9 (G9 IPL, prosesor Intel)</t>
  </si>
  <si>
    <t xml:space="preserve">Laptop kerja 14 inci yang tipis dan ringan (sekitar 1,36 kg) dengan pilihan port paling lengkap di kelasnya: LAN, kartu SD, HDMI, dan dua port Thunderbolt 4. Cocok untuk kuliah, kantoran, dan pekerjaan sehari-hari, serta bisa ditambah RAM dan SSD sendiri.</t>
  </si>
  <si>
    <t xml:space="preserve">Unit yang dijual di Indonesia baru terisi satu keping RAM 16 GB dari dua slot, jadi masih berjalan satu jalur (single channel), yang umumnya lebih lambat daripada dua keping. Layar 1920x1200 hanya 60 Hz dengan cakupan warna sempit (45% NTSC), jadi kurang cocok untuk desain warna. Wi-Fi-nya baru Wi-Fi 6 dan baterai 48 Wh. Bodi atasnya aluminium tetapi bagian bawahnya plastik. Papan ketik berbahasa Inggris dan Windows 11 Home Single Language (satu bahasa). Layar bukan layar sentuh.</t>
  </si>
  <si>
    <t xml:space="preserve">https://psref.lenovo.com/syspool/Sys/PDF/ThinkBook/ThinkBook_14_G9_IPL/ThinkBook_14_G9_IPL_Spec.pdf</t>
  </si>
  <si>
    <t xml:space="preserve">acer-swift-go-14-ai-sfg14-64</t>
  </si>
  <si>
    <t xml:space="preserve">Swift Go 14 AI SFG14-64 (prosesor AMD)</t>
  </si>
  <si>
    <t xml:space="preserve">USB4</t>
  </si>
  <si>
    <t xml:space="preserve">Laptop tipis (sekitar 1,29 kg) dengan layar OLED 14 inci yang warnanya tajam dan RAM besar 32 GB, cocok untuk kuliah, kerja kantor, banyak aplikasi sekaligus, dan nonton. Baterainya besar (75 Wh) sehingga awet dibawa bepergian.</t>
  </si>
  <si>
    <t xml:space="preserve">RAM 32 GB menempel di papan utama (onboard) sehingga tidak bisa ditambah atau diganti, jadi ukurannya sudah final saat beli. Slot SSD hanya satu, jadi menambah kapasitas berarti mengganti SSD bawaan. Tidak ada slot kartu SD dan tidak ada port LAN. Layar OLED-nya berlapis kilap (glare) menurut Acer Malaysia dan satu toko di Indonesia sehingga bisa memantulkan cahaya, dan beberapa toko menulis port USB-C sebagai Thunderbolt 4 padahal data Acer menyebutnya USB4. Lama garansi ditulis berbeda-beda antar toko (2 atau 3 tahun).</t>
  </si>
  <si>
    <t xml:space="preserve">https://store.acer.com/en-id/swift-go-14-ai-nx-jchsn-002</t>
  </si>
  <si>
    <t xml:space="preserve">apple-macbook-air-13-m5</t>
  </si>
  <si>
    <t xml:space="preserve">Apple</t>
  </si>
  <si>
    <t xml:space="preserve">MacBook Air 13 inci (chip M5, 2026)</t>
  </si>
  <si>
    <t xml:space="preserve">tidak ada</t>
  </si>
  <si>
    <t xml:space="preserve">Laptop tipis 13 inci (sekitar 1,23 kg) dengan chip M5 tanpa kipas sehingga senyap, layar tajam, dan baterai yang awet. Cocok untuk kuliah, kantoran, desain atau edit ringan, dan pemrograman di macOS.</t>
  </si>
  <si>
    <t xml:space="preserve">RAM dan SSD menyatu di dalam dan tidak bisa ditambah atau diganti setelah beli, jadi pilih kapasitas yang cukup dari awal (kapasitas hanya bisa dipilih saat memesan). Hanya ada dua port USB-C (Thunderbolt 4) ditambah colokan pengisi daya MagSafe; tidak ada port USB biasa, HDMI, kartu SD, atau LAN, jadi kemungkinan butuh hub atau adaptor. Memakai macOS, jadi aplikasi yang hanya ada untuk Windows tidak bisa dipakai langsung. Versi dengan 8 inti grafis datang dengan adaptor 30 W, sedangkan versi 10 inti grafis dengan adaptor 35 W dua port.</t>
  </si>
  <si>
    <t xml:space="preserve">https://www.apple.com/id/macbook-air/specs/</t>
  </si>
  <si>
    <t xml:space="preserve">asus-tuf-gaming-a15-fa507n</t>
  </si>
  <si>
    <t xml:space="preserve">TUF Gaming A15 FA507N (varian FA507NUR dan FA507NVR)</t>
  </si>
  <si>
    <t xml:space="preserve">Laptop gaming 15,6 inci berlayar 144 Hz dengan kartu grafis RTX 4050 atau RTX 4060. Cocok untuk main game di layar Full HD dan kerja berat seperti edit video, tetapi besar, berat (sekitar 2,2 kg), dan kurang enak dibawa setiap hari.</t>
  </si>
  <si>
    <t xml:space="preserve">Ini generasi 2023: saat dicek, halaman TUF di situs ASUS Indonesia tidak lagi memuat A15 generasi 2023 (yang tampil A14, A16, F16, dan seri 16), jadi yang beredar kemungkinan besar sisa stok toko. RAM-nya lewat 2 slot SO-DIMM (tempat RAM yang bisa dicabut) dan SSD-nya M.2 yang bisa diganti, tetapi tidak jelas apakah RAM 16 GB itu satu keping atau dua keping 8 GB; cek dulu sebelum membeli RAM tambahan. Tidak ada pembaca sidik jari dan webcam hanya 720p. Port USB-C ada dua: satu pasti bisa untuk layar dan mengisi daya, yang kedua ditulis USB4 oleh toko ASUS tetapi ditulis USB 3.2 oleh beberapa penjual dan lembar spek global ASUS. Charger besar (240 W). Paket bonus (tas, mouse) dan tulisan Office berbeda-beda antar toko.</t>
  </si>
  <si>
    <t xml:space="preserve">Menurut ulasan Expert Reviews (Inggris) atas versi FA507NV: tidak ada login biometrik, webcam 720p kurang bagus, SSD 512 GB terasa kecil dan lambat pada unit uji, Wi-Fi 6 hanya pita 5 GHz, dan berpindah mode kartu grafis lewat Advanced Optimus membuat layar sempat membeku sebentar. Belum ada data keluhan lain yang bisa dipastikan.</t>
  </si>
  <si>
    <t xml:space="preserve">https://www.asus.com/laptops/for-gaming/tuf-gaming/asus-tuf-gaming-a15-2023/techspec/</t>
  </si>
  <si>
    <t xml:space="preserve">lenovo-loq-15irx10</t>
  </si>
  <si>
    <t xml:space="preserve">LOQ 15IRX10 (Intel)</t>
  </si>
  <si>
    <t xml:space="preserve">Laptop gaming 15,6 inci berlayar 144 Hz dengan kartu grafis RTX 5050 dan prosesor Intel kelas HX. Cocok untuk main game di layar Full HD dan kerja berat sesekali, dengan port lengkap termasuk kabel LAN dan HDMI.</t>
  </si>
  <si>
    <t xml:space="preserve">Baterai 60 Wh tergolong kecil (Lenovo sendiri mencantumkan uji sekitar 3,4 jam), jadi laptop ini lebih cocok dipakai sambil dicolok. Bodi plastik, berat sekitar 2,4 kg, tanpa sidik jari dan tanpa slot kartu SD. RAM lewat 2 slot SO-DIMM (tempat RAM yang bisa dicabut), umumnya baru 1 slot yang terisi. SSD bawaan berukuran M.2 2242 (pendek) sedangkan lembar spek Lenovo menulis slotnya 2280 sekaligus mendukung 2242, jadi pastikan ukuran sebelum membeli SSD tambahan. Harga antar toko berbeda jauh (satu etalase Lenovo Official di Tokopedia memasang Rp28,5 juta untuk konfigurasi RAM 12 GB, sedangkan toko lain sekitar Rp25 juta untuk RAM 16 GB), dan paket bonus (tas, mouse, Office, asuransi kerusakan ADP) berbeda-beda.</t>
  </si>
  <si>
    <t xml:space="preserve">Ringkasan Notebookcheck atas ulasan Think Digit (Des 2025) untuk seri LOQ 15IRX10: bodi plastik dan layar 1080p dikritik, dan baterainya tidak cocok untuk pemakaian seharian tanpa colokan. Belum ada data keluhan lain yang bisa dipastikan.</t>
  </si>
  <si>
    <t xml:space="preserve">https://psref.lenovo.com/syspool/Sys/PDF/LOQ/LOQ_15IRX10/LOQ_15IRX10_Spec.pdf</t>
  </si>
  <si>
    <t xml:space="preserve">acer-nitro-v-15-anv15-52</t>
  </si>
  <si>
    <t xml:space="preserve">Nitro V 15 ANV15-52 (Intel)</t>
  </si>
  <si>
    <t xml:space="preserve">Laptop gaming 15,6 inci berlayar 180 Hz dengan kartu grafis RTX 5050 dan prosesor Intel kelas H. Cocok untuk main game di layar Full HD dengan bodi yang lebih ringan daripada banyak laptop gaming lain (sekitar 2,1 kg).</t>
  </si>
  <si>
    <t xml:space="preserve">RAM-nya DDR4 (generasi lama, lebih lambat daripada DDR5) di 2 slot SO-DIMM (tempat RAM yang bisa dicabut), maksimal 32 GB; penjual saling berbeda soal bentuknya (1 keping 16 GB atau 2 keping 8 GB, bahkan ada yang menulis DDR5), jadi pastikan sebelum membeli RAM tambahan. Daya kartu grafis hanya 75 W (lebih rendah daripada Lenovo LOQ 100 W), sehingga performa RTX 5050 di sini lebih terbatas. Ulasan LaptopMedia mengukur layar 165 Hz yang diuji hanya mencakup sekitar 54% warna sRGB; versi 180 Hz diklaim 100% sRGB tetapi belum diuji. Bodi plastik yang agak melentur, webcam 720p tanpa penutup, dan tanpa sidik jari. Halaman Acer Indonesia hanya menulis 'USB 3.2 Gen 2 Type-C' untuk port USB-C, sedangkan toko Acer Singapura dan LaptopMedia menulis Thunderbolt 4 (pengisian daya 65 W), jadi cek dulu bila port ini penting. Harga coret Rp34 juta di beberapa toko bukan harga normal; harga normal di toko Acer Rp25.799.000.</t>
  </si>
  <si>
    <t xml:space="preserve">Ulasan LaptopMedia (ANV15-52): bodi plastik agak melentur bila ditekan, cakupan warna layar yang diuji sempit, webcam 720p tanpa penutup, dan tanpa sidik jari. Ringkasan Notebookcheck: ulasan PC Gamer menilai harganya terlalu tinggi untuk perangkat kerasnya yang kelas pemula, dan Creative Bloq menyebut laptop ini besar, berisik, dan berat. Belum ada data keluhan lain yang bisa dipastikan.</t>
  </si>
  <si>
    <t xml:space="preserve">https://www.acer.com/id-id/laptops/nitro/nitro-v-15/pdp/NH.QZ9SN.002</t>
  </si>
  <si>
    <t xml:space="preserve">lenovo-thinkpad-t14-gen-1</t>
  </si>
  <si>
    <t xml:space="preserve">ThinkPad T14 Gen 1 (Intel)</t>
  </si>
  <si>
    <t xml:space="preserve">Laptop bisnis 14 inci rilisan 2020 dengan bodi kokoh dan keyboard yang enak untuk mengetik lama. Cocok untuk kuliah, kerja kantoran, dan banyak tab terbuka; di listing bekas Tokopedia paling sering muncul dengan Core i5 generasi ke-10 dan RAM 16 GB.</t>
  </si>
  <si>
    <t xml:space="preserve">Hanya beredar bekas, jadi kondisi baterai, layar, dan keyboard tiap unit berbeda. RAM tidak sepenuhnya bisa diganti: sebagian menempel di papan (8 atau 16 GB) dan hanya ada satu slot untuk menambah modul RAM (SO-DIMM), jadi tanyakan berapa yang menempel dan apakah slotnya masih kosong. SSD ada di satu slot M.2 dan bisa diganti. Baterai 50 Wh tertanam di dalam bodi. Pembaca kartu memorinya hanya untuk microSD, bukan SD biasa, dan dari dua port USB-C hanya satu yang mendukung Thunderbolt 3. Pilihan layarnya beragam (HD biasa, FHD, sentuh, sampai 4K), jadi cek layar unit yang kamu incar.</t>
  </si>
  <si>
    <t xml:space="preserve">https://psref.lenovo.com/syspool/Sys/PDF/ThinkPad/ThinkPad_T14_Gen_1_Intel/ThinkPad_T14_Gen_1_Intel_Spec.PDF</t>
  </si>
  <si>
    <t xml:space="preserve">dell-latitude-7490</t>
  </si>
  <si>
    <t xml:space="preserve">Latitude 7490</t>
  </si>
  <si>
    <t xml:space="preserve">Magnesium</t>
  </si>
  <si>
    <t xml:space="preserve">Laptop bisnis 14 inci tipis rilisan 2018 yang ringan dan RAM serta SSD-nya bisa diganti. Cocok untuk kuliah, kerja kantoran, dan tugas harian; di listing bekas Tokopedia paling sering muncul dengan Core i5-8350U.</t>
  </si>
  <si>
    <t xml:space="preserve">Hanya beredar bekas, jadi kondisi baterai, layar, dan keyboard tiap unit berbeda. Menurut Dell, port USB-C-nya berkemampuan DisplayPort dan hanya sebagian unit memakai Thunderbolt 3, serta belum ada sumber yang memastikan apakah bisa dipakai mengisi daya. Sumber yang ada berbeda soal kartu memorinya (SD biasa atau microSD), jadi cek langsung di unitnya. Tipe SSD (SATA atau NVMe), resolusi layar (HD atau FHD), layar sentuh, sidik jari, dan lampu keyboard berbeda tiap unit. Beberapa listing menulis spek yang saling bertentangan (misalnya CPU), jadi minta foto stiker/info sistem sebelum membayar.</t>
  </si>
  <si>
    <t xml:space="preserve">https://dl.dell.com/topicspdf/latitude-14-7490-laptop_Owners-Manual2_en-us.pdf</t>
  </si>
  <si>
    <t xml:space="preserve">hp-elitebook-840-g6</t>
  </si>
  <si>
    <t xml:space="preserve">EliteBook 840 G6</t>
  </si>
  <si>
    <t xml:space="preserve">Laptop bisnis 14 inci rilisan 2019 dengan bodi aluminium yang tipis dan RAM serta SSD yang bisa diganti. Cocok untuk kuliah, kerja kantoran, dan tugas harian; di listing bekas Tokopedia banyak ditemukan dengan Core i5 generasi ke-8.</t>
  </si>
  <si>
    <t xml:space="preserve">Hanya beredar bekas, jadi kondisi baterai, layar, dan keyboard tiap unit berbeda. Lembar data HP tidak mencantumkan slot kartu SD, dan tidak menyebut apakah port USB-C-nya bisa dipakai mengisi daya (hanya satu port USB biasa yang diberi tanda 'charging'). Tipe SSD (SATA atau NVMe), resolusi layar, layar sentuh, sidik jari, dan lampu keyboard berbeda tiap unit karena sebagian hanya opsi. Ada juga versi dengan kartu grafis terpisah (AMD Radeon 550X/RX 550), jadi pastikan unit yang kamu lihat memakai grafis bawaan bila itu yang kamu cari. Spek di listing sering tidak konsisten (CPU, RAM), jadi minta foto info sistem.</t>
  </si>
  <si>
    <t xml:space="preserve">https://inquirecontent1.ingrammicro.com/Manufacturer-Brochure/1059627756.pdf</t>
  </si>
  <si>
    <t xml:space="preserve">hp-victus-15-fa2666tx</t>
  </si>
  <si>
    <t xml:space="preserve">Victus 15 fa2666TX</t>
  </si>
  <si>
    <t xml:space="preserve">Laptop gaming 15,6 inci dengan kartu grafis RTX 3050 dan prosesor Intel Core i5 kelas H. Cukup untuk main game populer di layar Full HD (pengaturan sedang sampai tinggi) dan juga untuk kuliah serta kerja sehari-hari.</t>
  </si>
  <si>
    <t xml:space="preserve">RAM 16 GB DDR4 ada di slot (2 slot, baru terisi 1 keping), jadi bisa ditambah. Kartu grafis RTX 3050 ini generasi lama dengan memori grafis 6 GB, dan HP tidak menulis dayanya (TGP), jadi tenaganya bisa berbeda dari laptop RTX 3050 lain. Layar 144 Hz memang mulus, tetapi hanya mencakup sekitar 62,5% warna sRGB (warna agak pucat, kurang cocok untuk desain atau edit foto). Baterainya relatif kecil (52,5 Wh), bodi 2,29 kg, dan chargernya 120 W yang cukup besar. Halaman HP Indonesia menulis garansi terbatas 1 tahun, sedangkan paket layanan yang ikut dijual menyebut perlindungan 2 tahun, jadi tanyakan dulu ke penjual. Bonus Office atau Microsoft 365 di sebagian toko tidak tertulis di halaman HP, dan satu toko menjual kode kembaran (fa2716TX) dengan RAM 2 keping 8 GB.</t>
  </si>
  <si>
    <t xml:space="preserve">Ulasan LaptopMedia untuk model saudara Victus 15 (15-fb0000, versi AMD, bukan seri ini): engsel terasa kurang kokoh sehingga tutup layar bergoyang, dan sudut pandang layar sempit. Belum ada data keluhan lain yang bisa dipastikan untuk fa2666TX.</t>
  </si>
  <si>
    <t xml:space="preserve">https://www.hp.com/id-id/shop/victus-gaming-laptop-15-fa2666tx-b6nr1pa.html</t>
  </si>
  <si>
    <t xml:space="preserve">msi-thin-15-b13uc</t>
  </si>
  <si>
    <t xml:space="preserve">MSI</t>
  </si>
  <si>
    <t xml:space="preserve">Thin 15 B13UC</t>
  </si>
  <si>
    <t xml:space="preserve">Laptop gaming tipis 15,6 inci (1,86 kg) dengan prosesor Core i7 kelas H dan kartu grafis RTX 3050. Termasuk laptop gaming murah yang cocok untuk main game di layar Full HD pengaturan sedang, kuliah, dan kerja harian.</t>
  </si>
  <si>
    <t xml:space="preserve">Versi yang paling banyak dijual ini hanya berisi RAM 8 GB (1 keping dari 2 slot, maksimal 64 GB), jadi sebaiknya ditambah RAM untuk game baru atau banyak aplikasi sekaligus. Kartu grafis RTX 3050 di sini bermemori grafis 4 GB dan dibatasi sekitar 45 W, jadi tenaganya di bawah RTX 3050 6 GB di laptop lain. HDMI-nya hanya 4K 30 Hz, baterai 52,4 Wh tergolong kecil, dan MSI tidak menulis adanya Thunderbolt maupun sidik jari; slot kartu SD juga tidak ada. MSI meminta penggantian atau penambahan SSD lewat pusat servis. Hati-hati dengan judul toko yang mencampur banyak varian (Core i5 atau i7, RTX 3050 atau 4050, RAM 8, 16, atau 32 GB): pastikan kode B13UC-2407 dan RAM pada opsi yang kamu pilih.</t>
  </si>
  <si>
    <t xml:space="preserve">Ringkasan Notebookcheck atas ulasan keluarga Thin 15 (campuran model saudara, bukan khusus B13UC): daya tahan baterai pendek, penyimpanan hanya 512 GB, touchpad biasa saja, tidak ada Thunderbolt, dan satu ulasan B13VE menyebut layarnya kurang bagus. Belum ada data keluhan lain yang bisa dipastikan untuk B13UC-2407.</t>
  </si>
  <si>
    <t xml:space="preserve">https://id.msi.com/Laptop/Thin-15-B13UX/Specification</t>
  </si>
  <si>
    <t xml:space="preserve">asus-rog-strix-g16-g614pm</t>
  </si>
  <si>
    <t xml:space="preserve">ROG Strix G16 (2025) G614PM</t>
  </si>
  <si>
    <t xml:space="preserve">Laptop gaming kelas berat berlayar 16 inci (2,5K, 240 Hz) dengan kartu grafis RTX 5060 dan prosesor Ryzen 9 berinti 16. Cocok untuk main game berat sampai resolusi tinggi sekaligus kerja berat seperti edit video, tetapi bodinya besar dan berat.</t>
  </si>
  <si>
    <t xml:space="preserve">Bobot 2,5 kg ditambah charger besar (240 W menurut satu toko, 280 W menurut toko lain), jadi kurang nyaman dibawa tiap hari. RAM baru 16 GB DDR5 (bisa naik sampai 64 GB; halaman ASUS menulis 5600 MHz di satu tempat dan 5200 MHz di spek, karena prosesor membatasi ke 5200). Memori grafis RTX 5060 hanya 8 GB. Menurut ulasan LaptopMedia tidak ada pemindai sidik jari dan webcam 1080p tanpa penutup fisik; slot kartu SD juga tidak ada. Kode ini (1 TB, 240 Hz) berbeda dari G614PM-R9N56T5G-HM (512 GB, 300 Hz), jadi cek kode di kardus. Harga resmi di halaman ASUS Rp30.999.000, tetapi sebagian penjual marketplace memasang sekitar Rp35 juta.</t>
  </si>
  <si>
    <t xml:space="preserve">Ulasan LaptopMedia G614 (2025), unit tes konfigurasi lain: tidak ada penutup webcam, tidak ada tombol angka terpisah (ada versi di touchpad), tombol panah menyatu dengan tombol lain, dan permukaan bodi mudah berbekas sidik jari. Belum ada data keluhan lain yang bisa dipastikan untuk G614PM.</t>
  </si>
  <si>
    <t xml:space="preserve">https://rog.asus.com/id/laptops/rog-strix/rog-strix-g16-2025-g614/spec/</t>
  </si>
  <si>
    <t xml:space="preserve">lenovo-legion-5-15irx10</t>
  </si>
  <si>
    <t xml:space="preserve">Legion 5 15IRX10</t>
  </si>
  <si>
    <t xml:space="preserve">Laptop gaming bertenaga besar: prosesor 14 inti, kartu grafis RTX 5050 (daya 115 W), dan layar 15,3 inci yang halus di 165 Hz. Cocok untuk main game modern, edit video, atau kerja berat lain; ukurannya besar dan berat, jadi lebih pas dipakai di meja daripada dibawa tiap hari.</t>
  </si>
  <si>
    <t xml:space="preserve">Beratnya mulai 2,1 kg dan chargernya 245 W yang besar, jadi kurang enak dibawa-bawa. Ulasan unit saudaranya (versi layar OLED) mencatat baterai hanya tahan sekitar 3 sampai 4 jam, jadi anggap laptop ini harus sering dicolok. Tidak ada pembaca kartu SD dan tidak ada sensor sidik jari. Nama 'Legion 5 15IRX10' dipakai untuk banyak konfigurasi (layar OLED 15,1 inci, prosesor i7-14700HX, RTX 5060/5070, RAM 24 GB) dengan harga jauh berbeda, jadi cocokkan kode 83LY00E9ID sebelum membeli. Harga antar penjual online juga berbeda sampai jutaan rupiah.</t>
  </si>
  <si>
    <t xml:space="preserve">Dari ulasan PCWorld untuk unit saudara (layar OLED, i7-14700HX, RTX 5060): baterai pendek untuk laptop gaming, touchpad terlalu ke kiri, kamera kurang tajam saat gelap, dan mikrofon kurang bagus. Kutipan LaptopMedia di halaman Notebookcheck juga menyebut baterainya mengecewakan. Keluhan ini dari konfigurasi saudara, belum tentu sama persis di unit ini.</t>
  </si>
  <si>
    <t xml:space="preserve">https://psref.lenovo.com/syspool/Sys/PDF/Legion/Legion_5_15IRX10/Legion_5_15IRX10_Spec.pdf</t>
  </si>
  <si>
    <t xml:space="preserve">acer-aspire-lite-14-al14-32p</t>
  </si>
  <si>
    <t xml:space="preserve">Aspire Lite 14 AL14-32P</t>
  </si>
  <si>
    <t xml:space="preserve">Laptop tipis dan ringan (sekitar 1,1 kg) dengan layar 14 inci yang lega dan tajam, harga sekitar 8 sampai 9 jutaan di toko online. Cocok untuk tugas kuliah, dokumen, internet, dan nonton video; tenaganya kelas dasar, jadi kurang pas untuk game atau edit video.</t>
  </si>
  <si>
    <t xml:space="preserve">Prosesornya 8 inti kecil yang hemat daya dan hanya punya satu jalur memori, jadi bisa terasa seret kalau banyak aplikasi dan tab dibuka bersamaan. Kode AL14-32P ada beberapa jenis: yang dicatat di sini adalah kode 38RE dengan RAM DDR5 yang menurut Acer bisa diganti; ada kode AL14-32P lain yang memakai LPDDR5 (di satu toko Eropa memorinya tertulis terintegrasi), jadi cocokkan kodenya. Slot kartu memori hanya microSD, bukan SD biasa. Tidak ada lampu keyboard dan tidak ada sensor sidik jari. Colokan terbatas: 1 USB-A, 2 USB-C, dan HDMI 1.4.</t>
  </si>
  <si>
    <t xml:space="preserve">https://www.acer.com/id-en/laptops/aspire/aspire-lite/pdp/NX.D3KSN.001</t>
  </si>
  <si>
    <t xml:space="preserve">axioo-hype-5-gen-12-v2</t>
  </si>
  <si>
    <t xml:space="preserve">Hype 5 Gen 12 v2</t>
  </si>
  <si>
    <t xml:space="preserve">Laptop 14 inci merek lokal dengan prosesor Core i5 generasi ke-12, bobot cukup ringan (1,25 kg), harga sekitar 7 sampai 8 jutaan. Cocok untuk kuliah, kerja kantoran, dan banyak aplikasi sekaligus; RAM dan SSD bisa ditambah sendiri.</t>
  </si>
  <si>
    <t xml:space="preserve">RAM 8 GB dan SSD 256 GB terasa pas-pasan, untungnya ada 2 slot RAM dan 2 slot SSD untuk upgrade. Grafis Iris Xe baru jalan penuh kalau RAM terpasang 2 keping (dual-channel); beberapa penjual menulis unit 8 GB ini hanya 1 keping, jadi grafisnya bisa turun ke tingkat UHD yang lebih lemah. Satu-satunya USB-C hanya untuk data (tidak untuk mengisi daya atau layar luar); mengisi daya lewat colokan DC terpisah. Hanya slot microSD, bukan SD biasa. Wi-Fi-nya Wi-Fi 5 (belum Wi-Fi 6). Tidak ada Microsoft Office bawaan (hanya LibreOffice). Dijual versi DOS (tanpa Windows) dan versi Windows 11 dengan harga berbeda. Hype 5 Gen 12 yang lama (bukan v2) sedikit berbeda: 1,4 kg dan baterai 45,6 Wh.</t>
  </si>
  <si>
    <t xml:space="preserve">https://axiooworld.com/product/hype-5-gen-12-v2/specifications</t>
  </si>
  <si>
    <t xml:space="preserve">advan-workplus-ai</t>
  </si>
  <si>
    <t xml:space="preserve">Advan</t>
  </si>
  <si>
    <t xml:space="preserve">Workplus AI (Ryzen 7 255)</t>
  </si>
  <si>
    <t xml:space="preserve">Laptop merek lokal 14 inci dengan prosesor 8 inti dan layar 16:10 yang lega, harganya di bawah Rp10 juta lewat penjual biasa. Cocok untuk mahasiswa atau pekerja kantoran yang butuh tenaga CPU besar dengan budget terbatas.</t>
  </si>
  <si>
    <t xml:space="preserve">RAM-nya hanya 8 GB. Toko resmi Advan menulis RAM ini bisa di-upgrade, tapi jumlah slot dan apakah ada bagian yang menempel tidak dijelaskan, jadi tanyakan dulu ke penjual atau pusat servis sebelum membeli untuk di-upgrade. Daftar port resmi menyebut microSD saja (tidak ada slot SD biasa) dan tidak menyebut kartu jaringan LAN; jumlah port USB-C juga tidak jelas karena ditulis 2 port USB-C 3.2 ditambah 1 port USB-C khusus charger. Kecepatan layar (Hz), sensor sidik jari, dan layar sentuh tidak disebut di sumber yang dibuka. Bobotnya hanya ditulis 'di bawah 1,55 kg'.</t>
  </si>
  <si>
    <t xml:space="preserve">https://www.tokopedia.com/advanofficialitstore/advan-laptop-workplus-ai-ryzen-7-255-8gb-512gb-14-inch-fhd-16-10-ips-dual-cooling-system-laptop-notebook-free-windows-11-garansi-resmi-2-tahun-1734544925582919478</t>
  </si>
  <si>
    <t xml:space="preserve">infinix-xbook-14-neo</t>
  </si>
  <si>
    <t xml:space="preserve">Infinix</t>
  </si>
  <si>
    <t xml:space="preserve">XBOOK 14 NEO</t>
  </si>
  <si>
    <t xml:space="preserve">Laptop tipis 14 inci seberat sekitar 1,2 kg dengan layar 16:10 yang luas, mulai sekitar Rp7,5-8 juta di marketplace. Cocok untuk mahasiswa dan pekerja yang sering membawa laptop dan butuh yang ringan untuk dokumen, internet, dan Zoom.</t>
  </si>
  <si>
    <t xml:space="preserve">Model ini baru rilis 23 September 2026, jadi belum ada ulasan independen atau bongkar mesin, dan halaman spek resmi Infinix tidak bisa dibaca di sini. Varian termurah memakai Core i3 dengan RAM 8 GB dan SSD 256 GB, yang cukup untuk pemakaian ringan tapi sempit kalau banyak file. Dari dua port USB-C, satu hanya untuk data (menurut keterangan toko). Jenis SSD (NVMe atau SATA) belum jelas. Warna layar hanya sekitar 45% NTSC, jadi kurang cocok untuk desain atau foto. Tidak ada slot kartu SD dan port LAN dalam daftar port. Lama garansi ditulis berbeda antar toko (1 atau 2 tahun).</t>
  </si>
  <si>
    <t xml:space="preserve">https://wap.id.infinixmobility.com/specs/xbook-14-neo</t>
  </si>
  <si>
    <t xml:space="preserve">acer-chromebook-311-c733t</t>
  </si>
  <si>
    <t xml:space="preserve">Chromebook 311 C733T</t>
  </si>
  <si>
    <t xml:space="preserve">Chromebook mungil 11,6 inci dengan layar sentuh yang menjalankan ChromeOS, cocok untuk belajar daring, mengetik dokumen di Google Docs, dan berselancar. Bukan pengganti laptop Windows.</t>
  </si>
  <si>
    <t xml:space="preserve">ChromeOS tidak menjalankan aplikasi Windows (file .exe) seperti Microsoft Office versi desktop, Photoshop, atau Visual Studio; yang jalan adalah aplikasi web, ekstensi Chrome, dan aplikasi Android dari Google Play. Penyimpanannya hanya 32 GB eMMC (chip yang menempel di papan, bukan SSD yang bisa dicabut) dan RAM 4 GB, jadi sempit kalau banyak aplikasi Android. Prosesornya Celeron N4020 yang hemat daya tapi lambat, dan desainnya sudah lama (model C733 sekitar 2020-2021). Slot kartu microSD saja yang disebut, bukan slot SD biasa. Pasar C733 di marketplace tercampur dengan unit bekas dan ada versi non-sentuh; pastikan kodenya C733T bila ingin layar sentuh.</t>
  </si>
  <si>
    <t xml:space="preserve">https://www.acer.com/id-id/chromebooks/acer-chromebook-311-c733-c733u-c733t</t>
  </si>
  <si>
    <t xml:space="preserve">apple-macbook-air-13-m1</t>
  </si>
  <si>
    <t xml:space="preserve">MacBook Air 13 inci (chip M1, 2020)</t>
  </si>
  <si>
    <t xml:space="preserve">Laptop tipis 13 inci rilisan 2020 dengan chip M1 tanpa kipas, jadi senyap dan baterainya awet. Cocok untuk kuliah, kerja kantoran, dan edit foto atau video ringan di macOS; halaman Apple Indonesia sudah tidak menjualnya, jadi di Indonesia praktis hanya beredar bekas.</t>
  </si>
  <si>
    <t xml:space="preserve">RAM (8 GB di unit ini) dan SSD menyatu di dalam dan tidak bisa ditambah atau diganti setelah beli, jadi unit 8 GB/256 GB bisa terasa sempit kalau dipakai berat. Hanya ada dua port USB-C (Apple menyebutnya Thunderbolt / USB 4) dan satu colokan headphone; tidak ada USB biasa, HDMI, atau slot kartu SD, jadi kamu mungkin butuh hub atau adaptor. Memakai macOS, jadi aplikasi yang hanya ada untuk Windows tidak jalan langsung. Karena bekas, cek kesehatan baterai dan jumlah siklus (di listing yang dibuka ada yang 93% dan ada yang 83%), kondisi layar, dan apakah charger ikut. Apple menulis kartu grafis 7 atau 8 inti dan listing hampir tidak pernah menyebut yang mana.</t>
  </si>
  <si>
    <t xml:space="preserve">https://support.apple.com/en-us/111883</t>
  </si>
  <si>
    <t xml:space="preserve">lenovo-thinkpad-x1-carbon-gen-8</t>
  </si>
  <si>
    <t xml:space="preserve">ThinkPad X1 Carbon Gen 8 (2020)</t>
  </si>
  <si>
    <t xml:space="preserve">Laptop bisnis 14 inci yang sangat ringan (mulai sekitar 1,09 kg) dengan bodi serat karbon di atas dan magnesium di bawah, keyboard ThinkPad, dan baterai 51 Wh. Cocok untuk mahasiswa atau pekerja yang sering membawa laptop; di listing bekas Tokopedia sering muncul dengan Core i5-10310U dan RAM 8 atau 16 GB.</t>
  </si>
  <si>
    <t xml:space="preserve">Hanya beredar bekas, jadi kondisi baterai, layar, dan keyboard tiap unit berbeda. RAM menempel di papan dan tidak bisa ditambah (Lenovo hanya menjual 8 atau 16 GB), jadi pilih unit 16 GB kalau butuh lega; SSD ada di satu slot M.2 dan bisa diganti. Tidak ada slot kartu SD dan tidak ada colokan LAN bawaan (LAN lewat adaptor kecil dari Lenovo). Layar beda tiap unit (Full HD biasa, Full HD sentuh, atau 4K) dan ada versi dengan layar privasi. Deskripsi listing di Tokopedia sering tidak konsisten (ukuran layar, jenis RAM, atau CPU), jadi minta foto halaman info sistem sebelum membeli.</t>
  </si>
  <si>
    <t xml:space="preserve">https://psref.lenovo.com/syspool/Sys/PDF/ThinkPad/ThinkPad_X1_Carbon_Gen_8/ThinkPad_X1_Carbon_Gen_8_Spec.PDF</t>
  </si>
  <si>
    <t xml:space="preserve">dell-xps-13-9360</t>
  </si>
  <si>
    <t xml:space="preserve">XPS 13 9360 (2016-2017)</t>
  </si>
  <si>
    <t xml:space="preserve">Laptop 13 inci rilisan 2016 dengan bingkai layar sangat tipis dan bodi ringkas (sekitar 1,2 kg). Cocok untuk kuliah dan kerja kantoran yang ringan; di listing bekas Tokopedia paling banyak ditemukan dengan Core i5-7200U, RAM 8 GB, dan SSD 256 GB di kisaran Rp4 jutaan.</t>
  </si>
  <si>
    <t xml:space="preserve">Prosesornya generasi ke-7, yang tidak masuk daftar prosesor yang didukung resmi Windows 11 (Microsoft mulai dari generasi ke-8); dukungan Windows 10 juga sudah berakhir pada 14 Oktober 2025, walau ada program pembaruan keamanan tambahan sampai Oktober 2027. RAM menempel di papan (tanpa slot) dan tidak bisa ditambah; SSD ada di satu slot M.2 dan bisa diganti. Hanya ada satu port Thunderbolt 3 (USB-C) dan dua USB-A; tidak ada HDMI atau LAN, jadi butuh adaptor untuk proyektor atau monitor. Layar beda tiap unit (Full HD biasa, Full HD sentuh, atau QHD+ sentuh) dan sidik jari hanya opsi. Angka di deskripsi listing sering tidak cocok dengan spek Dell (mis. baterai 46 Wh dan charger 30 W, padahal Dell menulis 60 Wh dan 45 W).</t>
  </si>
  <si>
    <t xml:space="preserve">https://dl.dell.com/topicspdf/xps-13-9360-laptop_setup-guide_en-us.pdf</t>
  </si>
  <si>
    <t xml:space="preserve">lenovo-thinkpad-e14-gen-7</t>
  </si>
  <si>
    <t xml:space="preserve">ThinkPad E14 Gen 7 (Intel, Core 3 100U)</t>
  </si>
  <si>
    <t xml:space="preserve">Laptop kantor 14 inci berbodi aluminium yang tipis dan cukup ringan (mulai 1,34 kg). Cocok untuk dokumen, rapat online, dan internet harian, dengan port lengkap termasuk kabel LAN dan sidik jari.</t>
  </si>
  <si>
    <t xml:space="preserve">Prosesor Core 3 100U termasuk kelas dasar (6 inti), jadi kurang cocok untuk edit video atau kerja berat. RAM bawaan 8 GB dalam satu keping dari dua slot, dan SSD 512 GB masih menyisakan satu slot kosong, jadi keduanya bisa ditambah nanti. Tidak ada slot kartu SD dan Windows 11 Pro datang tanpa Office. Harga di toko resmi Lenovo (Tokopedia) dan Blibli sekitar Rp18 juta, jauh di atas penjual Tokopedia lain (sekitar Rp12 juta) untuk kode yang sama; bandingkan dan tanyakan dulu soal garansi resminya.</t>
  </si>
  <si>
    <t xml:space="preserve">Belum ada data keluhan yang bisa dipastikan. Ulasan Notebookcheck yang ketemu untuk ThinkPad E14 Gen 7 membahas versi lain (Core Ultra dan AMD), bukan Core 3 100U ini.</t>
  </si>
  <si>
    <t xml:space="preserve">https://psref.lenovo.com/Detail/ThinkPad/ThinkPad_E14_Gen_7_Intel?M=21T9S00B00</t>
  </si>
  <si>
    <t xml:space="preserve">dell-inspiron-15-3530</t>
  </si>
  <si>
    <t xml:space="preserve">Inspiron 15 3530 (Core i7-1355U)</t>
  </si>
  <si>
    <t xml:space="preserve">Laptop 15,6 inci untuk kuliah dan kantor dengan prosesor 10 inti, RAM 16 GB, dan layar 120 Hz yang terasa lebih mulus. Praktis karena ada slot kartu SD dan tombol angka di sebelah kanan.</t>
  </si>
  <si>
    <t xml:space="preserve">Dell menjual dua jenis bodi (plastik dan aluminium) dengan kemampuan USB-C berbeda (hanya data atau fungsi penuh), dan listing tidak menyebut jenis mana yang dijual, jadi tanyakan dulu kalau kamu butuh USB-C untuk monitor atau mengisi daya. Keyboard tanpa lampu. HDMI hanya versi 1.4 (maksimal 1080p). Kedua slot RAM sudah terisi (2 x 8 GB) dan Dell menulis batas 16 GB, jadi menambah RAM berarti mengganti keping. Harga antar penjual sangat berbeda (sekitar Rp10,9 juta sampai Rp17 juta), jadi bandingkan beberapa toko.</t>
  </si>
  <si>
    <t xml:space="preserve">Dari ringkasan ulasan di Notebookcheck (ulasan 91mobiles atas varian Core i5-1335U): tidak ada lampu keyboard, baterai kurang awet, dan grafis bawaan hanya cocok untuk keperluan dasar; bodinya dinilai kokoh dan layar 120 Hz serta konektivitasnya dipuji. Belum ada ulasan khusus untuk varian Core i7 ini.</t>
  </si>
  <si>
    <t xml:space="preserve">https://www.delltechnologies.com/asset/en-us/products/laptops-and-2-in-1s/technical-support/inspiron-15-3530-3535-tech-specs.pdf</t>
  </si>
  <si>
    <t xml:space="preserve">hp-pavilion-plus-14-ew0021tu</t>
  </si>
  <si>
    <t xml:space="preserve">Pavilion Plus Laptop 14-ew0021TU</t>
  </si>
  <si>
    <t xml:space="preserve">Laptop 14 inci tipis dengan layar 16:10, port Thunderbolt 4, webcam 5 MP, dan RAM 16 GB yang cepat. Cocok untuk kuliah, kerja kantoran, dan rapat online.</t>
  </si>
  <si>
    <t xml:space="preserve">RAM 16 GB menempel di papan utama (tidak bisa ditambah atau diganti), jadi pastikan 16 GB cukup untuk beberapa tahun ke depan. Apakah SSD bisa diganti dan berapa slotnya tidak ketemu di sumber resmi. Toko resmi HP Indonesia sudah mengganti seri Pavilion dengan OmniBook, sehingga unit ini tinggal stok di toko lain; garansi 'resmi' hanya klaim penjual dan belum bisa dipastikan. Spek di toko (layar WUXGA 1920x1200) berbeda dengan halaman dukungan HP yang menulis layar lebih tajam untuk i5, jadi pastikan layar saat membeli; kecepatan layar (Hz), sidik jari dan paket Office tidak jelas. Tidak ada slot kartu SD maupun port LAN.</t>
  </si>
  <si>
    <t xml:space="preserve">Belum ada ulasan untuk kode 14-ew0021TU. Ulasan versi saudara (layar OLED, bukan kode ini): TechRadar (14-eh0000, Core i7-12700H) menilai baterai sangat singkat, sekitar 4,5 jam pada uji film; PCWorld (OLED, Core i7-1355U) menyebut tutup layar plastik yang melengkung bila ditekan, speaker kurang bass, serta tuts dan trackpad berisik.</t>
  </si>
  <si>
    <t xml:space="preserve">https://support.hp.com/au-en/document/ish_9215148-9215192-16</t>
  </si>
  <si>
    <t xml:space="preserve">asus-expertbook-p1-p1403cva</t>
  </si>
  <si>
    <t xml:space="preserve">ExpertBook P1 P1403CVA (Core 5 210H)</t>
  </si>
  <si>
    <t xml:space="preserve">Laptop kantor 14 inci dengan prosesor 8 inti, port lengkap termasuk LAN, dua slot RAM, dua slot SSD, dan garansi resmi 3 tahun. Cocok untuk kerja kantoran harian dan usaha kecil yang butuh laptop awet dan bisa di-upgrade.</t>
  </si>
  <si>
    <t xml:space="preserve">Bodinya plastik dan layarnya Full HD biasa (60 Hz, warna sempit 45% NTSC, kecerahan sekitar 300 nits), jadi kurang cocok untuk desain atau foto yang butuh warna akurat. RAM bawaan 8 GB satu keping dari dua slot (masih ada slot kosong, bisa ditambah sampai 64 GB), dan slot SSD kedua (2230) masih kosong. Tidak ada slot kartu SD. Lampu keyboard tidak bisa dipastikan untuk kode ini karena halaman ASUS menggabung beberapa varian. Bobot di halaman ASUS ditulis 'mulai 1,40 kg'.</t>
  </si>
  <si>
    <t xml:space="preserve">Dari ulasan 91mobiles atas varian saudara (Core i7-13620H, bukan Core 5 210H): layar dinilai biasa saja (cakupan warna 45% NTSC, 16:9, kecerahan 250-300 nits), prosesornya bukan yang terbaru, grafis bawaan lemah untuk game, dan baterai 50 Wh bertahan hampir 8 jam pada uji putar video. Notebookcheck mencatat kinerja game rata-rata. Belum ada ulasan khusus untuk Core 5 210H.</t>
  </si>
  <si>
    <t xml:space="preserve">https://www.asus.com/id/laptops/for-work/expertbook/expertbook-p1-p1403/techspec/</t>
  </si>
  <si>
    <t xml:space="preserve">asus-vivobook-pro-15-oled-n6506</t>
  </si>
  <si>
    <t xml:space="preserve">Vivobook Pro 15 OLED N6506</t>
  </si>
  <si>
    <t xml:space="preserve">Laptop kreator 15,6 inci dengan layar OLED 3K yang warnanya kaya, kartu grafis terpisah RTX 4050 dan prosesor 16 inti. Portnya lengkap (kabel LAN, kartu SD, Thunderbolt 4), cocok untuk edit foto dan video menengah, desain, dan kerja kantor yang berat.</t>
  </si>
  <si>
    <t xml:space="preserve">RAM 24 GB terdiri dari 8 GB yang menempel di papan dan 1 slot yang sudah berisi modul 16 GB; slot itu bisa diganti, tetapi ASUS menulis batas total hanya 24 GB, jadi jangan berharap bisa naik jauh. Kartu grafis RTX 4050 (6 GB) itu kelas pemula dan ASUS tidak menyebut dayanya (watt), jadi untuk game berat atau render besar kurang tangguh dibanding harganya. Dari dua port USB-C, hanya satu yang Thunderbolt 4; satunya USB 3.2 Gen 2. Bodi disebut plastik oleh ulasan (halaman ASUS tidak menyebut bahannya). Layar sentuh dan sensor sidik jari tidak disebut di halaman ASUS. Charger-nya besar (200 W) dan baterai 75 Wh dinilai kurang awet oleh ulasan, jadi laptop ini lebih enak dipakai dekat colokan. Halaman ASUS menulis Bluetooth 5.2, sedangkan banyak penjual menulis 5.3. Garansi: lihat catatan editor.</t>
  </si>
  <si>
    <t xml:space="preserve">Dari ulasan yang dirangkum Notebookcheck (3 ulasan, skor rata-rata sekitar 70 persen): Laptop Mag menyebut baterai singkat dan kartu grafis yang terlalu sederhana untuk harganya; PetaPixel menilai layar OLED-nya bagus tetapi laptop ini lebih nyaman dicolok ke listrik; Digital Trends tidak suka bodi plastiknya. Belum ada data keluhan awet-tidaknya yang bisa dipastikan.</t>
  </si>
  <si>
    <t xml:space="preserve">https://www.asus.com/id/laptops/for-home/vivobook/asus-vivobook-pro-15-oled-n6506/techspec/</t>
  </si>
  <si>
    <t xml:space="preserve">asus-vivobook-s14-s3407qa</t>
  </si>
  <si>
    <t xml:space="preserve">Vivobook S14 S3407QA (Snapdragon X)</t>
  </si>
  <si>
    <t xml:space="preserve">Laptop tipis 14 inci dengan prosesor Snapdragon X (jenis ARM, bukan Intel/AMD) dan layar OLED. Cocok untuk kuliah, kantor, browsing, dan streaming yang butuh baterai awet; bukan untuk game berat atau program lama yang membawa driver sendiri.</t>
  </si>
  <si>
    <t xml:space="preserve">Ini Windows di prosesor ARM: aplikasi Windows biasa (x86/x64) bisa jalan lewat emulasi, tetapi Microsoft menulis emulasi tidak mendukung driver, jadi program yang butuh driver sendiri bisa tidak jalan atau harus punya versi ARM. Ulasan juga menyebut penyesuaian software ke chip ARM belum secepat yang diharapkan; cek dulu aplikasi yang kamu pakai sehari-hari sebelum membeli. Grafis bawaannya lemah (hanya cukup untuk game lama beresolusi rendah). RAM 16 GB menempel di papan, tidak bisa ditambah. Port: tidak ada slot kartu SD dan tidak ada colokan LAN menurut daftar port resmi. Halaman ASUS menggabung dua pilihan layar (OLED 1920x1200 dan IPS 2560x1600) dan dua pilihan SSD; yang dicatat adalah versi OLED 512 GB. Layar sentuh, sidik jari, dan bahan bodi tidak disebut di tabel spek.</t>
  </si>
  <si>
    <t xml:space="preserve">Dari rangkuman Notebookcheck atas 9 ulasan (skor rata-rata sekitar 82 persen): kompatibilitas software dan batas performa disebut jelas oleh Root Nation, Mezha menulis adaptasi software ke chip ARM belum secepat yang diharapkan, dan Notebookcheck menilai grafis bawaan hanya cukup untuk game lama di 720p. Komentar Exhibit.tech bahwa layarnya kurang cocok untuk kerja warna presisi berlaku untuk versi IPS yang diulas. Baterai dipuji.</t>
  </si>
  <si>
    <t xml:space="preserve">https://www.asus.com/id/laptops/for-home/vivobook/asus-vivobook-s14-s3407q/techspec/</t>
  </si>
  <si>
    <t xml:space="preserve">lenovo-yoga-7-2-in-1-14ill10</t>
  </si>
  <si>
    <t xml:space="preserve">Yoga 7i 2-in-1 14 Gen 10 (14ILL10)</t>
  </si>
  <si>
    <t xml:space="preserve">Laptop 2-in-1 14 inci yang layarnya bisa dilipat 360 derajat dan disentuh, dengan layar OLED tajam dan prosesor Intel Lunar Lake yang hemat daya. Cocok untuk catatan tulis tangan, presentasi, menggambar santai, kuliah, dan kantor.</t>
  </si>
  <si>
    <t xml:space="preserve">RAM menempel di prosesor dan tidak bisa ditambah, jadi pilih ukuran yang cukup sejak awal (di sini 32 GB). SSD hanya satu slot dan berukuran M.2 2242 (lebih pendek dari yang umum), jadi pilihan SSD pengganti lebih terbatas. Slot kartu hanya microSD (bukan SD biasa), HDMI-nya versi 1.4b (4K hanya sampai 30 Hz), dan tidak ada colokan LAN. Ulasan menemukan layar OLED-nya berkedip halus (PWM) dan agak berbulir di tampilan terang. Halaman spek resmi Lenovo menggabung banyak pilihan (layar, kamera 5 MP atau 1080p, sensor sidik jari ada atau tidak, pena dan aksesori), jadi kamera, sidik jari, dan pena unit yang kamu beli belum bisa dipastikan tanpa melihat kode lengkap dan kotak.</t>
  </si>
  <si>
    <t xml:space="preserve">Dari ulasan Notebookcheck atas unit 83JQ0013GE (skor 88 persen): RAM tidak bisa di-upgrade, layar OLED berkedip halus (PWM sekitar 1.200 Hz), ada efek berbulir di tampilan terang, dan tidak ada profil warna. Keyboard dan speaker dinilai sedikit di bawah Yoga 9 yang lebih mahal. Belum ada data keluhan lain yang bisa dipastikan.</t>
  </si>
  <si>
    <t xml:space="preserve">https://psref.lenovo.com/syspool/Sys/PDF/Yoga/Yoga_7_2_in_1_14ILL10/Yoga_7_2_in_1_14ILL10_Spec.PDF</t>
  </si>
  <si>
    <t xml:space="preserve">Varian: satu baris untuk satu konfigurasi nyata</t>
  </si>
  <si>
    <t xml:space="preserve">Satu model bisa punya banyak varian (CPU, RAM, penyimpanan, layar berbeda). Pilih model, CPU, dan GPU dari daftar. Kolom abu-abu terisi otomatis.</t>
  </si>
  <si>
    <t xml:space="preserve">ID varian
id_varian</t>
  </si>
  <si>
    <t xml:space="preserve">Model
kunci_model</t>
  </si>
  <si>
    <t xml:space="preserve">Kode varian lengkap
kode_varian</t>
  </si>
  <si>
    <t xml:space="preserve">Tahun rilis varian
tahun_rilis</t>
  </si>
  <si>
    <t xml:space="preserve">Status penjualan
status_penjualan</t>
  </si>
  <si>
    <t xml:space="preserve">Tahun dihentikan
tahun_dihentikan</t>
  </si>
  <si>
    <t xml:space="preserve">Pasar
pasar</t>
  </si>
  <si>
    <t xml:space="preserve">Segmen menurut pabrikan
segmen_resmi</t>
  </si>
  <si>
    <t xml:space="preserve">Target pengguna menurut pabrikan
target_resmi</t>
  </si>
  <si>
    <t xml:space="preserve">CPU
cpu</t>
  </si>
  <si>
    <t xml:space="preserve">GPU
gpu</t>
  </si>
  <si>
    <t xml:space="preserve">GPU · daya (watt)
gpu_tgp</t>
  </si>
  <si>
    <t xml:space="preserve">RAM · ukuran (GB)
ram_gb</t>
  </si>
  <si>
    <t xml:space="preserve">RAM · tipe
ram_tipe</t>
  </si>
  <si>
    <t xml:space="preserve">RAM · kecepatan (MT/s)
ram_mts</t>
  </si>
  <si>
    <t xml:space="preserve">RAM · channel
ram_channel</t>
  </si>
  <si>
    <t xml:space="preserve">RAM · letak (disolder / slot)
ram_layout</t>
  </si>
  <si>
    <t xml:space="preserve">RAM · jumlah slot
ram_slot_total</t>
  </si>
  <si>
    <t xml:space="preserve">RAM · slot kosong
ram_slot_kosong</t>
  </si>
  <si>
    <t xml:space="preserve">RAM · bagian disolder (GB)
ram_disolder_gb</t>
  </si>
  <si>
    <t xml:space="preserve">RAM · maksimal (GB)
ram_maks_gb</t>
  </si>
  <si>
    <t xml:space="preserve">Penyimpanan · ukuran (GB)
st_gb</t>
  </si>
  <si>
    <t xml:space="preserve">Penyimpanan · tipe
st_tipe</t>
  </si>
  <si>
    <t xml:space="preserve">Penyimpanan · antarmuka
st_antarmuka</t>
  </si>
  <si>
    <t xml:space="preserve">Penyimpanan · bentuk
st_form</t>
  </si>
  <si>
    <t xml:space="preserve">Penyimpanan · bisa diganti?
st_bisa_diganti</t>
  </si>
  <si>
    <t xml:space="preserve">Slot M.2 · total
st_m2_total</t>
  </si>
  <si>
    <t xml:space="preserve">Slot M.2 · kosong
st_m2_kosong</t>
  </si>
  <si>
    <t xml:space="preserve">Ruang 2,5 inci kosong?
st_25_kosong</t>
  </si>
  <si>
    <t xml:space="preserve">Verifikasi info upgrade
verif_upgrade</t>
  </si>
  <si>
    <t xml:space="preserve">Sumber info upgrade
sumber_upgrade</t>
  </si>
  <si>
    <t xml:space="preserve">Bobot (kg)
bobot_kg</t>
  </si>
  <si>
    <t xml:space="preserve">Layar · jenis panel
panel</t>
  </si>
  <si>
    <t xml:space="preserve">Layar · resolusi
resolusi</t>
  </si>
  <si>
    <t xml:space="preserve">Layar · refresh rate (Hz)
refresh_hz</t>
  </si>
  <si>
    <t xml:space="preserve">Layar sentuh?
sentuh</t>
  </si>
  <si>
    <t xml:space="preserve">Baterai (Wh)
baterai_wh</t>
  </si>
  <si>
    <t xml:space="preserve">Charger (watt)
charger_w</t>
  </si>
  <si>
    <t xml:space="preserve">Wi-Fi
wifi</t>
  </si>
  <si>
    <t xml:space="preserve">Bluetooth (versi)
bluetooth</t>
  </si>
  <si>
    <t xml:space="preserve">Sensor sidik jari?
sidik_jari</t>
  </si>
  <si>
    <t xml:space="preserve">Keyboard berlampu?
kb_lampu</t>
  </si>
  <si>
    <t xml:space="preserve">Webcam
webcam</t>
  </si>
  <si>
    <t xml:space="preserve">Sistem operasi bawaan
os</t>
  </si>
  <si>
    <t xml:space="preserve">Edisi OS
os_edisi</t>
  </si>
  <si>
    <t xml:space="preserve">Office bawaan
office</t>
  </si>
  <si>
    <t xml:space="preserve">Garansi · jenis
garansi_jenis</t>
  </si>
  <si>
    <t xml:space="preserve">Garansi · lama (bulan)
garansi_bulan</t>
  </si>
  <si>
    <t xml:space="preserve">Garansi · baterai (bulan)
garansi_baterai</t>
  </si>
  <si>
    <t xml:space="preserve">Tersedia baru?
tersedia_baru</t>
  </si>
  <si>
    <t xml:space="preserve">Tersedia bekas?
tersedia_bekas</t>
  </si>
  <si>
    <t xml:space="preserve">Catatan editor (bahasa awam)
catatan_editor</t>
  </si>
  <si>
    <t xml:space="preserve">Umur (tahun) · otomatis
umur</t>
  </si>
  <si>
    <t xml:space="preserve">Windows 11 resmi? · otomatis
win11</t>
  </si>
  <si>
    <t xml:space="preserve">contoh-a14-i5-8-512</t>
  </si>
  <si>
    <t xml:space="preserve">A14-I5-8512</t>
  </si>
  <si>
    <t xml:space="preserve">Resmi Indonesia</t>
  </si>
  <si>
    <t xml:space="preserve">Tipis harian</t>
  </si>
  <si>
    <t xml:space="preserve">Pelajar dan pekerja kantoran</t>
  </si>
  <si>
    <t xml:space="preserve">Intel Core i5-1235U (CONTOH)</t>
  </si>
  <si>
    <t xml:space="preserve">Intel Iris Xe (CONTOH)</t>
  </si>
  <si>
    <t xml:space="preserve">LPDDR4X</t>
  </si>
  <si>
    <t xml:space="preserve">dual</t>
  </si>
  <si>
    <t xml:space="preserve">disolder</t>
  </si>
  <si>
    <t xml:space="preserve">nvme_ssd</t>
  </si>
  <si>
    <t xml:space="preserve">PCIe 3.0 x4</t>
  </si>
  <si>
    <t xml:space="preserve">M.2 2280</t>
  </si>
  <si>
    <t xml:space="preserve">terverifikasi</t>
  </si>
  <si>
    <t xml:space="preserve">(contoh) manual servis resmi pabrikan</t>
  </si>
  <si>
    <t xml:space="preserve">IPS</t>
  </si>
  <si>
    <t xml:space="preserve">1920x1080</t>
  </si>
  <si>
    <t xml:space="preserve">Wi-Fi 6</t>
  </si>
  <si>
    <t xml:space="preserve">720p</t>
  </si>
  <si>
    <t xml:space="preserve">Windows 11</t>
  </si>
  <si>
    <t xml:space="preserve">Home</t>
  </si>
  <si>
    <t xml:space="preserve">Home &amp; Student (permanen)</t>
  </si>
  <si>
    <t xml:space="preserve">(CONTOH) RAM menempel di papan utama, jadi tidak bisa ditambah. Pilih ukuran yang cukup saat membeli.</t>
  </si>
  <si>
    <t xml:space="preserve">asus-m1405ya-r5-7430u-16-512</t>
  </si>
  <si>
    <t xml:space="preserve">M1405YA-VIPS555</t>
  </si>
  <si>
    <t xml:space="preserve">Vivobook (kategori Untuk Rumah)</t>
  </si>
  <si>
    <t xml:space="preserve">AMD Ryzen 5 7430U</t>
  </si>
  <si>
    <t xml:space="preserve">AMD Radeon Graphics (7 inti)</t>
  </si>
  <si>
    <t xml:space="preserve">DDR4</t>
  </si>
  <si>
    <t xml:space="preserve">setengah_disolder</t>
  </si>
  <si>
    <t xml:space="preserve">PCIe 3.0</t>
  </si>
  <si>
    <t xml:space="preserve">ASUS techspec M1405: RAM 8 GB onboard + 8 GB SO-DIMM, maksimal 16 GB; 1 slot M.2 2280, hanya SSD satu sisi. https://asus.com/laptops/for-home/vivobook/asus-vivobook-14-oled-m1405/techspec</t>
  </si>
  <si>
    <t xml:space="preserve">1920x1200</t>
  </si>
  <si>
    <t xml:space="preserve">RAM terdiri dari 8 GB yang menempel di papan utama dan 8 GB modul di slot. Hanya modul slot yang bisa diganti, dengan batas total 16 GB menurut ASUS. SSD harus yang satu sisi karena ada komponen di dekat slot M.2.</t>
  </si>
  <si>
    <t xml:space="preserve">hp-pavilion-x360-14-ek1005tu-i5-1335u-16-512</t>
  </si>
  <si>
    <t xml:space="preserve">14-ek1005TU (7N725PA)</t>
  </si>
  <si>
    <t xml:space="preserve">Pavilion (laptop pribadi)</t>
  </si>
  <si>
    <t xml:space="preserve">Intel Core i5-1335U</t>
  </si>
  <si>
    <t xml:space="preserve">Intel Iris Xe Graphics (80 EU)</t>
  </si>
  <si>
    <t xml:space="preserve">PCIe NVMe</t>
  </si>
  <si>
    <t xml:space="preserve">belum terverifikasi</t>
  </si>
  <si>
    <t xml:space="preserve">RAM: halaman HP Indonesia ('16 GB DDR4-3200 MHz RAM (onboard)') dan Kingston (0 slot RAM, tidak bisa dilepas). SSD: bentuk M.2 dari HP; bisa diganti menurut forum HP untuk seri 14-ek0000; belum ada manual servis seri ini. https://hp.com/id-id/shop/hp-pavilion-x360-2-in-1-laptop-14-ek1005tu-7n725pa.html</t>
  </si>
  <si>
    <t xml:space="preserve">5 MP</t>
  </si>
  <si>
    <t xml:space="preserve">Single Language</t>
  </si>
  <si>
    <t xml:space="preserve">RAM 16 GB menempel di papan utama, jadi tidak bisa ditambah atau diganti. SSD berbentuk M.2; menurut forum HP bisa diganti selama SSD satu sisi, tetapi belum ada manual servis resmi untuk seri ini.</t>
  </si>
  <si>
    <t xml:space="preserve">axioo-hype-10-n4020-8-256-w11</t>
  </si>
  <si>
    <t xml:space="preserve">SLI-HY10-244C08HNR1</t>
  </si>
  <si>
    <t xml:space="preserve">Hype (seri harga terjangkau)</t>
  </si>
  <si>
    <t xml:space="preserve">Generasi muda Indonesia (siaran pers Axioo, 15 November 2024)</t>
  </si>
  <si>
    <t xml:space="preserve">Intel Celeron N4020</t>
  </si>
  <si>
    <t xml:space="preserve">Intel UHD Graphics 600</t>
  </si>
  <si>
    <t xml:space="preserve">single</t>
  </si>
  <si>
    <t xml:space="preserve">slot</t>
  </si>
  <si>
    <t xml:space="preserve">sata_ssd</t>
  </si>
  <si>
    <t xml:space="preserve">SATA</t>
  </si>
  <si>
    <t xml:space="preserve">Situs Axioo, halaman perbandingan Hype 1 Intel: 1x SODIMM DDR4 maksimal 8 GB; 2x M.2 2280 SATA. Halaman Poin Xtra untuk Hype 10 menulis 'SODIMM DDR4' dan memakai kalimat spesifikasi layar yang sama dengan situs Axioo, tetapi kesamaan Hype 10 dan Hype 1 Intel belum dikonfirmasi Axioo. https://axiooworld.com/product/compare/hype-1-intel/pongo-735</t>
  </si>
  <si>
    <t xml:space="preserve">TN</t>
  </si>
  <si>
    <t xml:space="preserve">1366x768</t>
  </si>
  <si>
    <t xml:space="preserve">RAM memakai satu modul di slot, jadi tidak ada slot kosong dan batasnya 8 GB. Ada dua slot M.2 SATA; jumlah yang masih kosong belum diketahui. Kedua port USB-C hanya untuk data.</t>
  </si>
  <si>
    <t xml:space="preserve">axioo-hype-10-n4020-8-256-w10</t>
  </si>
  <si>
    <t xml:space="preserve">244C08HNR0</t>
  </si>
  <si>
    <t xml:space="preserve">Wi-Fi 5</t>
  </si>
  <si>
    <t xml:space="preserve">Windows 10</t>
  </si>
  <si>
    <t xml:space="preserve">Versi dengan Windows 10. Dukungan resmi Windows 10 berakhir pada 14 Oktober 2025, sedangkan prosesor N4020 termasuk dalam daftar resmi Windows 11.</t>
  </si>
  <si>
    <t xml:space="preserve">lenovo-thinkpad-t480-i5-8350u-8-256</t>
  </si>
  <si>
    <t xml:space="preserve">(bekas, tanpa kode seragam)</t>
  </si>
  <si>
    <t xml:space="preserve">ThinkPad seri T</t>
  </si>
  <si>
    <t xml:space="preserve">Intel Core i5-8350U</t>
  </si>
  <si>
    <t xml:space="preserve">Intel UHD Graphics 620</t>
  </si>
  <si>
    <t xml:space="preserve">Lenovo PSREF T480: 2 slot SO-DIMM DDR4, maksimal 32 GB; satu slot HDD 2,5 inci atau satu slot M.2 2280 untuk penyimpanan utama. Windows Central: RAM dan penyimpanan bisa diganti lewat panel belakang. https://psref.lenovo.com/syspool/Sys/PDF/ThinkPad/ThinkPad_T480/ThinkPad_T480_Spec.PDF</t>
  </si>
  <si>
    <t xml:space="preserve">Toko</t>
  </si>
  <si>
    <t xml:space="preserve">RAM memakai dua slot SO-DIMM dan bisa sampai 32 GB. Menurut Lenovo, penyimpanan utama memakai satu slot hard disk 2,5 inci atau satu slot M.2 2280, tidak keduanya sekaligus. Bobot resmi 1,58-1,87 kg tergantung baterai dan layar. Konfigurasi bekas berbeda tiap penjual: cek tipe SSD, layar, dan kondisi baterai.</t>
  </si>
  <si>
    <t xml:space="preserve">lenovo-thinkpad-t480-i5-8350u-16-512</t>
  </si>
  <si>
    <t xml:space="preserve">Sama seperti T480 8/256, tetapi RAM 16 GB dan penyimpanan 512 GB. Bobot resmi 1,58-1,87 kg tergantung baterai dan layar. Cek tipe SSD, layar, dan kondisi baterai sebelum membeli.</t>
  </si>
  <si>
    <t xml:space="preserve">dell-latitude-5400-i5-8265u-8-256</t>
  </si>
  <si>
    <t xml:space="preserve">Latitude seri 5000</t>
  </si>
  <si>
    <t xml:space="preserve">Intel Core i5-8265U</t>
  </si>
  <si>
    <t xml:space="preserve">Dell Latitude 5400 (panduan spesifikasi dan manual servis): 2 slot SoDIMM DDR4, maksimal 32 GB; 1 slot M.2 (2230 atau 2280); ruang hard disk 2,5 inci tidak bisa dipakai pada baterai 4-sel. LaptopMedia (ulasan 6 Agustus 2019): 2 slot RAM dan slot M.2 NVMe. https://www.dell.com/support/product-details/en-us/product/latitude-14-5400-laptop/resources/manuals</t>
  </si>
  <si>
    <t xml:space="preserve">Dua slot RAM (maksimal 32 GB) dan satu slot M.2. Bila baterainya 4-sel (68 Wh), ruang hard disk 2,5 inci tidak bisa dipakai. Konfigurasi bekas berbeda tiap penjual: cek tipe SSD, layar, dan kondisi baterai.</t>
  </si>
  <si>
    <t xml:space="preserve">dell-latitude-5400-i5-8365u-8-256</t>
  </si>
  <si>
    <t xml:space="preserve">Intel Core i5-8365U</t>
  </si>
  <si>
    <t xml:space="preserve">Sama seperti Latitude 5400 i5-8265U, tetapi prosesornya i5-8365U yang mendukung vPro (fitur pengelolaan jarak jauh untuk kantor). Bila baterainya 4-sel (68 Wh), ruang hard disk 2,5 inci tidak bisa dipakai.</t>
  </si>
  <si>
    <t xml:space="preserve">asus-zenbook-14-oled-ux3405ma-u5-125h-16-1tb</t>
  </si>
  <si>
    <t xml:space="preserve">UX3405MA-OLEDS511</t>
  </si>
  <si>
    <t xml:space="preserve">Intel Core Ultra 5 125H</t>
  </si>
  <si>
    <t xml:space="preserve">Intel Arc Graphics (7 inti)</t>
  </si>
  <si>
    <t xml:space="preserve">LPDDR5X</t>
  </si>
  <si>
    <t xml:space="preserve">PCIe 4.0 x4</t>
  </si>
  <si>
    <t xml:space="preserve">Halaman spek ASUS (https://www.asus.com/laptops/for-home/zenbook/asus-zenbook-14-oled-ux3405/techspec): RAM ditulis 'on board' (menempel), SSD berupa M.2 NVMe PCIe 4.0, dan hanya SSD satu sisi yang didukung. ASUS juga menulis satu slot M.2 2280 tambahan, tetapi tidak jelas apakah itu slot kedua atau slot SSD yang sama, jadi jumlah slot dikosongkan.</t>
  </si>
  <si>
    <t xml:space="preserve">OLED</t>
  </si>
  <si>
    <t xml:space="preserve">2880x1800</t>
  </si>
  <si>
    <t xml:space="preserve">1080p</t>
  </si>
  <si>
    <t xml:space="preserve">RAM 16 GB menempel dan tidak bisa ditambah, sedangkan SSD 1 TB berbentuk M.2 yang umumnya bisa diganti. Dua penjual yang dicek menandai stok habis atau opsi tidak tersedia, jadi pastikan stok sebelum berharap pada harga ini. Bobot, Wi-Fi, Bluetooth, layar sentuh, dan sidik jari berbeda antar-varian di halaman ASUS dan tidak bisa dipastikan untuk kode ini, jadi dikosongkan. Garansi: penjual menulis 2 tahun resmi ASUS Indonesia plus 1 tahun perlindungan tambahan, tetapi tidak ada sumber ASUS, jadi lama garansi dikosongkan.</t>
  </si>
  <si>
    <t xml:space="preserve">acer-aspire-3-a314-23m-r5-7520u-8-512</t>
  </si>
  <si>
    <t xml:space="preserve">A314-23M-R7VJ</t>
  </si>
  <si>
    <t xml:space="preserve">Dikelompokkan Acer sebagai Aspire 3 Slim 'Performance Laptop' (nama produk di toko resmi Acer Indonesia).</t>
  </si>
  <si>
    <t xml:space="preserve">AMD Ryzen 5 7520U</t>
  </si>
  <si>
    <t xml:space="preserve">AMD Radeon 610M</t>
  </si>
  <si>
    <t xml:space="preserve">LPDDR5</t>
  </si>
  <si>
    <t xml:space="preserve">RAM: halaman resmi Acer Indonesia (https://store.acer.com/en-id/aspire-3-a314-23m-silver-nx-kexsn-009) menulis memori 8 GB LPDDR5 dual channel 'onboard' (menempel di papan) dan tidak menyebut slot RAM; Kingston untuk saudaranya A314-23P mencatat 0 soket memori dan memori tidak bisa dilepas (kingston.com/unitedkingdom/en/memory/search/model/108926/acer-aspire-3-a314-23pxxx). SSD: halaman resmi hanya menulis 512 GB NVMe Gen3 dan belum ada bongkaran khusus A314-23M. Status 'bisa diganti' berasal dari bongkaran LaptopMedia untuk saudara berprosesor sama A315-24P (1 slot M.2 PCIe x4, batas Gen 3; laptopmedia.com/?p=1243090) dan keterangan toko Hoang Ha Mobile untuk A314-23M-R4TX (SSD bisa naik ke 1 TB); ini belum terverifikasi untuk tipe persis ini. Ukuran slot (2280/2242) belum diketahui.</t>
  </si>
  <si>
    <t xml:space="preserve">RAM 8 GB menempel di papan utama dan tidak bisa ditambah, jadi pikirkan kebutuhanmu dari awal. SSD 512 GB kemungkinan bisa diganti (slot M.2), tetapi belum ada bongkaran resmi untuk tipe persis ini, jadi tanyakan dulu ke toko bila kamu berencana upgrade. Layar 14 inci HD (1366x768) jenis TN menurut satu toko (Acer hanya menulis 'TFT LCD'): teks terlihat kurang tajam dan sudut pandang sempit, kurang enak untuk menonton atau desain. Info wifi dari toko Ex1st, sedangkan kapasitas baterai bertentangan antar toko sehingga dikosongkan.</t>
  </si>
  <si>
    <t xml:space="preserve">acer-aspire-3-a314-23m-r3-7320u-8-512</t>
  </si>
  <si>
    <t xml:space="preserve">A314-23M-R24X</t>
  </si>
  <si>
    <t xml:space="preserve">AMD Ryzen 3 7320U</t>
  </si>
  <si>
    <t xml:space="preserve">RAM: halaman resmi Acer Indonesia (https://store.acer.com/en-id/aspire-3-a314-23m-ryzen-3-silver-nx-kexsn-001) menulis memori 8 GB LPDDR5 dual channel 'onboard' (menempel di papan) dan tidak menyebut slot RAM; Kingston untuk saudaranya A314-23P mencatat 0 soket memori dan memori tidak bisa dilepas (kingston.com/unitedkingdom/en/memory/search/model/108926/acer-aspire-3-a314-23pxxx). SSD: halaman resmi hanya menulis 512 GB NVMe Gen3 dan belum ada bongkaran khusus A314-23M. Status 'bisa diganti' berasal dari bongkaran LaptopMedia untuk saudara berprosesor sama A315-24P (1 slot M.2 PCIe x4, batas Gen 3; laptopmedia.com/?p=1243090) dan keterangan toko Hoang Ha Mobile untuk A314-23M-R4TX (SSD bisa naik ke 1 TB); ini belum terverifikasi untuk tipe persis ini. Ukuran slot (2280/2242) belum diketahui.</t>
  </si>
  <si>
    <t xml:space="preserve">Versi lebih murah dengan prosesor Ryzen 3. RAM 8 GB menempel dan tidak bisa ditambah; SSD 512 GB kemungkinan bisa diganti tetapi belum terverifikasi untuk tipe persis ini. Layar HD 1366x768 (tertulis di dua toko dan 'HD' di Acer); jenis panel TN dan 60 Hz diambil dari keterangan toko untuk varian Ryzen 5 (keluarga A314-23M yang sama), bukan dari halaman resmi. Port, wifi, Bluetooth, dan baterai 38 Wh di sini berasal dari deskripsi dua toko (Promota-Store dan JDUACOMPUTER) yang isinya sama, bukan dari halaman resmi Acer; harga resmi Acer saat dibuka menunjukkan stok habis.</t>
  </si>
  <si>
    <t xml:space="preserve">lenovo-ideapad-slim-3-14iah8-i5-12450h-16-512</t>
  </si>
  <si>
    <t xml:space="preserve">83EQ003KID</t>
  </si>
  <si>
    <t xml:space="preserve">Intel Core i5-12450H</t>
  </si>
  <si>
    <t xml:space="preserve">Intel UHD Graphics (Alder Lake-H, 48 EU)</t>
  </si>
  <si>
    <t xml:space="preserve">M.2 2242</t>
  </si>
  <si>
    <t xml:space="preserve">Spek resmi Lenovo PSREF IdeaPad Slim 3 14IAH8 (psref.lenovo.com ... IdeaPad_Slim_3_14IAH8_Spec.pdf): memori LPDDR5-4800 disolder ke papan, tidak ada slot, maksimum 16 GB, 8 GB berjalan single-channel dan 16 GB dual-channel; penyimpanan 1 slot M.2 2242 PCIe 4.0 x4 (256 GB sampai 1 TB). Listing toko Indonesia (Sumber Berkat Abadi, Philosophy Computer) menulis hal yang sama.</t>
  </si>
  <si>
    <t xml:space="preserve">RAM 16 GB menempel di papan utama dan tidak bisa ditambah, tetapi 16 GB sudah lega untuk kuliah dan kantor beberapa tahun. SSD bisa diganti, hanya saja slotnya ukuran pendek M.2 2242 sehingga pilihan SSD pengganti lebih terbatas. Kode 83EQ003KID warna abu (Arctic Grey), 83EQ003JID warna biru. Beli dengan garansi resmi Lenovo Indonesia (umumnya 2 tahun Premium Care).</t>
  </si>
  <si>
    <t xml:space="preserve">lenovo-ideapad-slim-3-14iah8-i5-12450h-8-512</t>
  </si>
  <si>
    <t xml:space="preserve">83EQ005AID</t>
  </si>
  <si>
    <t xml:space="preserve">RAM 8 GB menempel dan tidak bisa ditambah, serta berjalan single-channel (lebih pelan dari versi 16 GB). Pada pengamatan hari ini, versi 16 GB hanya sekitar Rp0,4 juta lebih mahal dari penawaran termurah versi 8 GB, jadi 16 GB biasanya lebih berharga. SSD bisa diganti (slot M.2 2242). Info tanpa sidik jari dari deskripsi dua toko.</t>
  </si>
  <si>
    <t xml:space="preserve">asus-vivobook-go-14-e1404-r3-7320u-8-512</t>
  </si>
  <si>
    <t xml:space="preserve">E1404FA-FHD352</t>
  </si>
  <si>
    <t xml:space="preserve">PCIe 3.0 x2</t>
  </si>
  <si>
    <t xml:space="preserve">Halaman resmi ASUS Indonesia Store (https://id.store.asus.com/90nb0zs1-m006c0-e1404fa-fhd352.html): baris memori '8GB LPDDR5 on board' dan baris slot ekspansi '1x M.2 2280 PCIe 3.0x2' (sudah termasuk yang terpakai SSD). Listing toko resmi ASUS dan DGI di Tokopedia juga menulis RAM onboard tidak bisa di-upgrade. Teks promosi di halaman yang sama menyebut 'sampai 16 GB', tetapi itu untuk varian lain, bukan unit 8 GB ini.</t>
  </si>
  <si>
    <t xml:space="preserve">Wi-Fi 6E</t>
  </si>
  <si>
    <t xml:space="preserve">RAM 8 GB menempel dan tidak bisa ditambah, sedangkan SSD 512 GB berada di slot M.2 2280 yang bisa diganti. Tipe panel TN berasal dari artikel detik (Nov 2023), bukan halaman ASUS; versi berkode VIPS adalah panel IPS-level. Lampu keyboard dan sidik jari tertulis opsional di halaman ASUS, jadi kosongkan sampai kamu cek unitnya. Garansi 24 bulan dari listing toko resmi ASUS dan DGI di Tokopedia; halaman ASUS Store menulis garansi global 3 tahun untuk model tertentu. Office bawaan di halaman ASUS Store adalah Home &amp; Student 2021, sedangkan listing Tokopedia menulis Office Home 2024 + Microsoft 365 Basic, jadi isinya bisa beda antar kode.</t>
  </si>
  <si>
    <t xml:space="preserve">asus-vivobook-15-a1504-core5-120u-16-512</t>
  </si>
  <si>
    <t xml:space="preserve">A1504VAP-VIPS5151TM</t>
  </si>
  <si>
    <t xml:space="preserve">Intel Core 5 120U</t>
  </si>
  <si>
    <t xml:space="preserve">Intel Graphics (Raptor Lake-U Refresh, 80 EU)</t>
  </si>
  <si>
    <t xml:space="preserve">DDR5</t>
  </si>
  <si>
    <t xml:space="preserve">Halaman spek resmi ASUS Indonesia (https://www.asus.com/id/laptops/for-home/vivobook/asus-vivobook-15-a1504/techspec/) dan Malaysia (https://www.asus.com/my/laptops/for-home/vivobook/asus-vivobook-15-a1504/techspec/): konfigurasi 8 GB DDR5 menempel + 8 GB DDR5 SO-DIMM, total maksimal 24 GB, satu slot M.2 2280 PCIe 4.0 x4, dan memori dua jalur butuh minimal satu modul SO-DIMM. Dikuatkan etalase ASUS Indonesia Official di Tokopedia (RAM bisa di-upgrade dengan membuka casing bawah, 1 slot DDR5 SO-DIMM) dan halaman Poin Xtra (https://poinxtra.cimbniaga.co.id/TD/33187939/Asus-Vivobook-15-Touch-A1504VAP-Intel-Core-5-Processor-120U-16-512GB-A1504VAP-VIPS5151TM-Quite/1069). Catatan: tabel ASUS memuat beberapa konfigurasi tanpa memetakannya ke kode varian, jadi kaitan ke kode VIPS5151TM berasal dari etalase toko.</t>
  </si>
  <si>
    <t xml:space="preserve">RAM 16 GB terdiri dari 8 GB yang menempel di papan (tidak bisa diganti) dan 8 GB di slot SO-DIMM yang bisa dicabut dengan membuka penutup bawah; menurut ASUS total maksimal 24 GB. SSD ada di satu slot M.2 2280 dan bisa diganti. Sebagian toko menulis garansi 2 tahun, satu halaman (Poin Xtra) menulis 1 tahun dari distributor, dan tipe RAM/Office juga ditulis berbeda-beda, jadi pastikan sebelum membeli.</t>
  </si>
  <si>
    <t xml:space="preserve">asus-vivobook-15-a1504-i5-1335u-8-512</t>
  </si>
  <si>
    <t xml:space="preserve">A1504VA-VIPS551</t>
  </si>
  <si>
    <t xml:space="preserve">Halaman spek ASUS Malaysia (https://www.asus.com/my/laptops/for-home/vivobook/asus-vivobook-15-a1504/techspec/) menyebut 8 GB DDR4 menempel dengan total maksimal 16 GB dan satu slot M.2 2280; namun halaman itu tidak memetakan konfigurasi ke kode varian ini dan tidak menyebut tegas adanya slot kosong untuk versi 8 GB. Slot SO-DIMM tunggal, RAM 8 GB solder, maks 16 GB dikuatkan Kingston (https://kingston.com/id/memory/search/model/108194/asus-vivobook-15-a1504v) dan panduan bongkar LaptopMedia untuk X1504 (https://laptopmedia.com/?p=1546702).</t>
  </si>
  <si>
    <t xml:space="preserve">RAM 8 GB DDR4 menempel di papan dan tidak bisa diganti, tetapi menurut sumber pihak ketiga ada satu slot SO-DIMM kosong untuk menambah sampai total 16 GB. ASUS menyebut grafis Iris Xe butuh RAM dua jalur; dengan satu keping 8 GB grafisnya berlabel UHD dan lebih lambat. SSD ada di satu slot M.2 2280 dan bisa diganti. Hari ini hanya ditemukan di toko pihak ketiga (bukan toko resmi ASUS) dengan harga cukup tinggi; keterangan layar sentuh, Wi-Fi, dan garansi di sini berasal dari deskripsi toko.</t>
  </si>
  <si>
    <t xml:space="preserve">hp-laptop-14-ep1-core5-120u-8-512</t>
  </si>
  <si>
    <t xml:space="preserve">14-ep1177TU (C7SD0PA#AR6)</t>
  </si>
  <si>
    <t xml:space="preserve">PCIe NVMe (generasi PCIe tidak disebut)</t>
  </si>
  <si>
    <t xml:space="preserve">Panduan servis resmi HP untuk seri 14-ep0xxx (https://kaas.hpcloud.hp.com/pdf-public/pdf_7470595_en-US-1.pdf): model berprosesor 13xxP/13xxU punya dua slot SODIMM dengan batas 16 GB dan SSD M.2 2280 NVMe. Panduan itu tidak menyebut 14-ep1xxx secara langsung, jadi dianggap belum terverifikasi. Halaman HP Indonesia untuk 14-ep1177TU hanya menulis RAM 8 GB DDR4-3200 (1 x 8 GB) dan SSD 512 GB PCIe NVMe M.2 tanpa menyebut slot (https://www.hp.com/id-id/shop/hp-laptop-14-ep1177tu-c7sd0pa.html); konfigurasi 14-ep1155TU di HP tertulis 2 x 8 GB sehingga dua slot masuk akal. Jumlah slot M.2 tidak disebut sumber mana pun.</t>
  </si>
  <si>
    <t xml:space="preserve">RAM 8 GB DDR4 dipasang di slot (bukan disolder) dan menurut panduan servis HP seri 14-ep0 ada dua slot dengan batas total 16 GB; tambahkan satu keping 8 GB agar RAM dua jalur. SSD berbentuk M.2 sehingga bisa diganti, tapi jumlah slot M.2 tidak disebut. Jenis panel dan refresh rate layar tidak ditulis HP. Halaman HP menulis garansi terbatas 1 tahun sekaligus layanan servis (antar ke pusat servis) 2 tahun; toko seperti Plazait dan Erablue menyebut garansi resmi 2 tahun, jadi cek di toko.</t>
  </si>
  <si>
    <t xml:space="preserve">hp-laptop-14-ep1-core5-120u-16-512</t>
  </si>
  <si>
    <t xml:space="preserve">14-ep1155TU (C7SC8PA)</t>
  </si>
  <si>
    <t xml:space="preserve">Sama seperti varian 8 GB: panduan servis HP seri 14-ep0xxx (https://kaas.hpcloud.hp.com/pdf-public/pdf_7470595_en-US-1.pdf) menyebut dua slot SODIMM dengan batas 16 GB dan SSD M.2 2280 NVMe untuk model 13xxP/13xxU. Halaman HP Indonesia 14-ep1155TU (https://www.hp.com/id-id/shop/hp-laptop-14-ep1155tu-c7sc8pa.html) menulis RAM 16 GB DDR4-3200 (2 x 8 GB) dan SSD 512 GB PCIe NVMe M.2.</t>
  </si>
  <si>
    <t xml:space="preserve">Konfigurasi 16 GB berupa dua keping 8 GB yang menempati kedua slot, jadi untuk menambah RAM harus mengganti keping (maksimal 16 GB menurut panduan servis seri 14-ep0). SSD berbentuk M.2 sehingga bisa diganti. Pada 2026-10-10 stoknya habis di toko HP Indonesia dan Plazait, jadi harga di bawah hanya patokan. Halaman HP tidak menyebut Office; Plazait menyebut Office Home 2024. Sama seperti varian 8 GB, jenis panel dan refresh rate layar tidak ditulis.</t>
  </si>
  <si>
    <t xml:space="preserve">lenovo-ideapad-slim-5-14irh10r-core5-210h-16-512</t>
  </si>
  <si>
    <t xml:space="preserve">83J00003ID</t>
  </si>
  <si>
    <t xml:space="preserve">Intel Core 5 210H</t>
  </si>
  <si>
    <t xml:space="preserve">Intel Graphics (Raptor Lake-H, 48 EU)</t>
  </si>
  <si>
    <t xml:space="preserve">Lembar spek resmi Lenovo PSREF IdeaPad Slim 5 14IRH10R (https://psref.lenovo.com/syspool/Sys/PDF/IdeaPad/IdeaPad_Slim_5_14IRH10R/IdeaPad_Slim_5_14IRH10R_Spec.pdf): dua slot DDR5 SODIMM, maksimal 32 GB DDR5-5600, satu slot M.2 2242 dan satu slot M.2 2280 (keduanya PCIe 4.0 x4), hanya satu SSD yang dijual dan slot kedua untuk tambahan pengguna. Dikuatkan etalase toko resmi Lenovo di Tokopedia (https://www.tokopedia.com/lenovo-official/lenovo-ideapad-slim-5-14irh10r-intel-core-5-210h-16gb-512gb-ssd-w11-oh24-1732653431766353056): 16 GB (2 x 8 GB) DDR5-5600 SO-DIMM, tidak disolder.</t>
  </si>
  <si>
    <t xml:space="preserve">Wi-Fi 7</t>
  </si>
  <si>
    <t xml:space="preserve">RAM ada di dua slot SO-DIMM (sudah terisi 2 x 8 GB), jadi bisa diganti sampai 32 GB. SSD 512 GB berukuran pendek M.2 2242 dan ada satu slot kedua M.2 2280 yang masih kosong untuk SSD tambahan. Garansi: toko resmi Lenovo menulis garansi dasar 1 tahun plus perlindungan kerusakan (ADP) dan Premium Care 2 tahun, toko lain menulis Premium Care+ 2 tahun, jadi cek rincian di toko. Bobot 1,39 kg diambil dari lembar spek Lenovo untuk versi OLED baterai 60 Wh.</t>
  </si>
  <si>
    <t xml:space="preserve">lenovo-thinkbook-14-g9-ipl-u7-355-16-1tb</t>
  </si>
  <si>
    <t xml:space="preserve">21UX00AEID</t>
  </si>
  <si>
    <t xml:space="preserve">Intel Core Ultra 7 355</t>
  </si>
  <si>
    <t xml:space="preserve">Intel Graphics (Panther Lake, 4 inti Xe3)</t>
  </si>
  <si>
    <t xml:space="preserve">Lembar spek resmi Lenovo PSREF ThinkBook 14 G9 IPL (https://psref.lenovo.com/syspool/Sys/PDF/ThinkBook/ThinkBook_14_G9_IPL/ThinkBook_14_G9_IPL_Spec.pdf): dua slot SO-DIMM DDR5 (keping yang bisa dicabut, maksimal 64 GB DDR5-5600) dan dua slot SSD M.2 PCIe 4.0 x4, satu berukuran 2242 dan satu 2280; Lenovo hanya memasang satu SSD, slot kedua disediakan untuk tambahan sendiri. Dikuatkan etalase Lenovo Official di Tokopedia (https://www.tokopedia.com/lenovo-official/lenovo-thinkbook-14-gen-9-1737733642175218848): terpasang 1 x 16 GB SO-DIMM DDR5-5600 dari 2 slot, SSD 1 TB berukuran M.2 2242.</t>
  </si>
  <si>
    <t xml:space="preserve">RAM memakai SO-DIMM (keping yang bisa dicabut) dan baru terisi satu keping 16 GB dari dua slot, jadi tinggal menambah keping kedua sampai 64 GB. SSD 1 TB berukuran pendek (M.2 2242) dan masih ada satu slot M.2 kosong untuk SSD tambahan, jadi tidak perlu membuang SSD lama. Garansi: Lenovo Official menulis 2 tahun onsite (termasuk peningkatan dari garansi dasar 1 tahun), tetapi satu toko lain hanya menulis garansi dasar 1 tahun dengan opsi 2 tahun, jadi cek rincian di toko.</t>
  </si>
  <si>
    <t xml:space="preserve">acer-swift-go-14-ai-sfg14-64-r5ai340-32-512</t>
  </si>
  <si>
    <t xml:space="preserve">SFG14-64-R9FP (NX.JCHSN.002)</t>
  </si>
  <si>
    <t xml:space="preserve">AMD Ryzen AI 5 340</t>
  </si>
  <si>
    <t xml:space="preserve">AMD Radeon 840M</t>
  </si>
  <si>
    <t xml:space="preserve">RAM: toko resmi Acer Malaysia untuk SFG14-64 menulis memori LPDDR5X onboard (https://store.acer.com/en-my/acer-swift-light-weight-laptop-swift-go-14-amd-sfg14-64-r3ug-pure-silver-amd-ryzentm-ai-5-340-hexa-core-processor), dan Plaza IT (penjual resmi di Indonesia, https://plazait.co.id/product/acer-swift-go-14-ai-sfg14-64-r9fp-ryzen-ai-5-340-amd-radeon-graphics-sparkly-silver) menulis 32 GB LPDDR5X onboard, tidak bisa di-upgrade; NanoReview dan Sparepartworld juga menyebut RAM disolder. SSD: hanya sumber pihak ketiga yang menyebut satu slot M.2 PCIe 4.0 x4 yang bisa diganti (NanoReview https://nanoreview.net/en/laptop/acer-swift-go-14-ai-sfg14-64) dan ukuran M.2 22x80 mm (Sparepartworld https://www.sparepartworld.com/acer/notebook/swift-serie/swift-go-14-ai-sfg14-64/); halaman Acer Indonesia (https://store.acer.com/en-id/swift-go-14-ai-nx-jchsn-002) tidak merinci slot. Kecepatan RAM 8000 MT/s dari NanoReview. Tidak ada manual servis atau video bongkar yang ditemukan.</t>
  </si>
  <si>
    <t xml:space="preserve">RAM 32 GB LPDDR5X menempel (onboard) di papan utama, jadi tidak bisa ditambah atau diganti; keuntungannya sudah besar sejak awal. SSD 512 GB memakai satu slot M.2; menurut sumber pihak ketiga SSD ini bisa diganti, tetapi belum ada bukti dari manual resmi atau video bongkar, jadi anggap belum pasti. Garansi resmi Acer ditulis 3 tahun oleh beberapa toko (promo Acer Day) dan 2 tahun oleh toko lain, jadi tanyakan dulu. Kamera berkualitas QHD 1440p (di luar daftar pilihan resolusi kamera). Layar OLED 3K 90 Hz menurut Acer Indonesia; status tanpa sentuh diambil dari halaman Acer Malaysia untuk layar yang sama karena halaman Indonesia tidak menyebut sentuh. Bobot 1,29 kg diambil dari Acer Malaysia dan satu listing toko, dan daya charger 100 W serta kecepatan RAM 8000 MT/s dari NanoReview karena Acer Indonesia tidak menuliskannya.</t>
  </si>
  <si>
    <t xml:space="preserve">apple-macbook-air-13-m5-m5-16-512</t>
  </si>
  <si>
    <t xml:space="preserve">MDH74ID/A</t>
  </si>
  <si>
    <t xml:space="preserve">Apple M5</t>
  </si>
  <si>
    <t xml:space="preserve">Apple M5 GPU (8 inti)</t>
  </si>
  <si>
    <t xml:space="preserve">Halaman spek Apple Indonesia (https://www.apple.com/id/macbook-air/specs/) menulis 'memori terintegrasi' dan hanya menawarkan pilihan 24/32 GB dan 1/2/4 TB saat memesan; halaman itu tidak menulis tegas bahwa tidak bisa di-upgrade. EveryMac (https://everymac.com/systems/apple/macbook-air/macbook-air-silicon-faq/macbook-air-silicon-processor-ram-ssd-storage-upgrades.html) menulis RAM dan SSD semua MacBook Air Apple silicon (M1 sampai M5) tidak bisa di-upgrade setelah beli. Jenis dan kecepatan RAM (LPDDR5X-9600) dari TheAppleWiki (https://theapplewiki.com/wiki/MacBook_Air_(13-inch,_M5)) dan Wikipedia Apple M5; tidak ada manual servis atau video bongkar M5 yang ditemukan.</t>
  </si>
  <si>
    <t xml:space="preserve">lainnya</t>
  </si>
  <si>
    <t xml:space="preserve">macOS</t>
  </si>
  <si>
    <t xml:space="preserve">RAM 16 GB (memori gabungan) dan SSD 512 GB menyatu dengan papan utama dan tidak bisa ditambah atau diganti, jadi pilih kapasitas yang cukup sejak awal. Resolusi layar 2560x1664 (di luar daftar pilihan resolusi), IPS, kecerahan 500 nit, 60 Hz menurut TheAppleWiki karena Apple tidak menulis angka Hz. Kamera 12 MP merekam video 1080p. Kode MDH74ID/A diambil dari SKU Digimap untuk warna Silver; warna lain punya kode berbeda. Garansi resmi 1 tahun, bisa diperpanjang 3 tahun dengan AppleCare. Pengisi daya 30 W ikut pada model 8 inti grafis (model 10 inti grafis dapat 35 W).</t>
  </si>
  <si>
    <t xml:space="preserve">asus-tuf-gaming-a15-fa507n-r7-7435hs-rtx4050-16-512</t>
  </si>
  <si>
    <t xml:space="preserve">FA507NUR-R745K6M-OM</t>
  </si>
  <si>
    <t xml:space="preserve">AMD Ryzen 7 7435HS</t>
  </si>
  <si>
    <t xml:space="preserve">NVIDIA GeForce RTX 4050 Laptop</t>
  </si>
  <si>
    <t xml:space="preserve">Halaman ASUS Exclusive Store Indonesia untuk kode FA507NUR-R745K6M-OM (https://store-id.asus.com/asus/south-jakarta/pondok-pinang/asus-exclusive-store-pim-in-pondok-pinang-south-jakarta--71ciU4/products/asus-tuf-gaming-a15-fa507n--b1681f43-3b9b-4825-ab17-6537423b75c7): RAM 16 GB DDR5-4800 di 2 slot SO-DIMM, maksimal 32 GB; SSD 512 GB PCIe 4.0 di 2 slot M.2, hingga 2 TB. Lembar spek global ASUS (https://www.asus.com/laptops/for-gaming/tuf-gaming/asus-tuf-gaming-a15-2023/techspec/) juga menyebut 2 slot SO-DIMM dan 2 slot M.2 untuk keluarga FA507N. Ukuran M.2 2280 dari ulasan LaptopMedia atas FA507 (belum terverifikasi); slot kedua kosong disimpulkan dari 2 slot M.2 dengan 1 SSD terpasang, dikuatkan keterangan penjual JDUACOMPUTER ('2 slot termasuk yang terpakai') dan ulasan Expert Reviews (SSD kedua bisa ditambah). Susunan 1x16 GB atau 2x8 GB tidak dijelaskan di sumber mana pun, jadi dibiarkan tidak diketahui.</t>
  </si>
  <si>
    <t xml:space="preserve">RAM 16 GB DDR5 ada di slot SO-DIMM (2 slot, maksimal 32 GB) sehingga bisa diganti atau ditambah; belum jelas apakah terpasang 1 keping 16 GB atau 2 keping 8 GB. SSD 512 GB ada di slot M.2 dan ada 1 slot M.2 lagi untuk SSD tambahan. Angka daya kartu grafis 140 W sudah termasuk tambahan sementara 25 W (Dynamic Boost) di atas 115 W dasar; pada praktiknya tergantung pengaturan laptop.</t>
  </si>
  <si>
    <t xml:space="preserve">asus-tuf-gaming-a15-fa507n-r7-7435hs-rtx4060-16-512</t>
  </si>
  <si>
    <t xml:space="preserve">FA507NVR-R746K6M-OM</t>
  </si>
  <si>
    <t xml:space="preserve">NVIDIA GeForce RTX 4060 Laptop</t>
  </si>
  <si>
    <t xml:space="preserve">Sama dengan varian RTX 4050 kecuali kartu grafisnya RTX 4060 (memori 8 GB). RAM 16 GB DDR5 ada di slot SO-DIMM (2 slot, maksimal 32 GB) dan SSD 512 GB di slot M.2 (ada 1 slot M.2 lagi), jadi keduanya bisa ditambah atau diganti; susunan 1 keping 16 GB atau 2 keping 8 GB belum jelas. Daya kartu grafis 140 W sudah termasuk tambahan sementara 25 W.</t>
  </si>
  <si>
    <t xml:space="preserve">lenovo-loq-15irx10-i7-13700hx-rtx5050-16-512</t>
  </si>
  <si>
    <t xml:space="preserve">83JE00QDID</t>
  </si>
  <si>
    <t xml:space="preserve">Intel Core i7-13700HX</t>
  </si>
  <si>
    <t xml:space="preserve">NVIDIA GeForce RTX 5050 Laptop</t>
  </si>
  <si>
    <t xml:space="preserve">Lembar spek resmi Lenovo PSREF LOQ 15IRX10 (https://psref.lenovo.com/syspool/Sys/PDF/LOQ/LOQ_15IRX10/LOQ_15IRX10_Spec.pdf): 2 slot RAM SO-DIMM DDR5 dua jalur hingga 32 GB, 2 slot M.2 PCIe 4.0 x4 untuk maksimal 2 SSD; lembar spek tidak menyebut memori yang disolder. Halaman Lenovo Official di Tokopedia (https://www.tokopedia.com/lenovo-official/lenovo-loq-15irx10-core-i7-13700hx-12gb-512gb-ssd-rtx-5050-8gb-gddr7-w11-oh-1732009958701696160) untuk kode 83JE00KAID: 2 slot SO-DIMM hingga 32 GB, 2 slot M.2, SSD bawaan berukuran M.2 2242. Tiga penjual di Tokopedia (Lenovo Legion Official, Lenovo Authorized Medan Barat, Agres ID Bandung) menuliskan RAM bawaan 1x16 GB sehingga satu slot kosong.</t>
  </si>
  <si>
    <t xml:space="preserve">RAM 16 GB DDR5 berupa satu keping di 2 slot SO-DIMM, jadi 1 slot masih kosong untuk ditambah (maksimal 32 GB; dua keping akan membuat RAM jalan dua jalur yang lebih cepat). SSD 512 GB berukuran M.2 2242 dan ada 1 slot M.2 lagi untuk SSD tambahan. Kartu grafis RTX 5050 berdaya 100 W menurut Lenovo. Office yang disertakan bernama Office Home 2024 (versi permanen) ditambah Microsoft 365 Basic.</t>
  </si>
  <si>
    <t xml:space="preserve">lenovo-loq-15irx10-i5-13450hx-rtx5050-16-512</t>
  </si>
  <si>
    <t xml:space="preserve">83JE00QCID</t>
  </si>
  <si>
    <t xml:space="preserve">Intel Core i5-13450HX</t>
  </si>
  <si>
    <t xml:space="preserve">Lembar spek resmi Lenovo PSREF LOQ 15IRX10 (https://psref.lenovo.com/syspool/Sys/PDF/LOQ/LOQ_15IRX10/LOQ_15IRX10_Spec.pdf): 2 slot RAM SO-DIMM DDR5 dua jalur hingga 32 GB, 2 slot M.2 PCIe 4.0 x4 untuk maksimal 2 SSD; lembar spek tidak menyebut memori yang disolder. Halaman Lenovo Official di Tokopedia (https://www.tokopedia.com/lenovo-official/lenovo-loq-15irx10-core-i7-13700hx-12gb-512gb-ssd-rtx-5050-8gb-gddr7-w11-oh-1732009958701696160) untuk kode 83JE00KAID: 2 slot SO-DIMM hingga 32 GB, 2 slot M.2, SSD bawaan berukuran M.2 2242. Untuk kode 83JE00QCID, Tech Speed IT, Anugerah Digital Lestari, dan Plaza IT menulis RAM 1x16 GB, sedangkan Lenovo Authorized Balikpapan menulis 2x8 GB, sehingga jumlah slot kosong dibiarkan tidak diketahui.</t>
  </si>
  <si>
    <t xml:space="preserve">Sama dengan varian i7 tetapi prosesornya Core i5-13450HX (10 inti) yang lebih ringan dan lebih murah. RAM 16 GB DDR5 ada di slot SO-DIMM (2 slot, maksimal 32 GB) sehingga bisa ditambah atau diganti; penjual saling berbeda soal bentuknya (1 keping 16 GB atau 2 keping 8 GB), jadi cek dulu sebelum membeli RAM tambahan. SSD 512 GB berukuran M.2 2242 dengan 1 slot M.2 lagi.</t>
  </si>
  <si>
    <t xml:space="preserve">acer-nitro-v-15-anv15-52-i7-13620h-rtx5050-16-512</t>
  </si>
  <si>
    <t xml:space="preserve">ANV15-52-7783 (NH.QZ9SN.002)</t>
  </si>
  <si>
    <t xml:space="preserve">Intel Core i7-13620H</t>
  </si>
  <si>
    <t xml:space="preserve">Halaman produk Acer Indonesia NH.QZ9SN.002 (https://www.acer.com/id-id/laptops/nitro/nitro-v-15/pdp/NH.QZ9SN.002): RAM 16 GB DDR4 standar, maksimal 32 GB, SSD 512 GB M.2 PCIe NVMe 4.0. Toko Acer Indonesia (https://store.acer.com/en-id/acer-nitro-v15-nh-qz9sn-002): RAM DDR4 1x16 GB, bisa ditambah ke 32 GB lewat dua slot SODIMM. Kecepatan 3200 MT/s dari toko Acer Singapura (store.acer.com/en-sg/anv15-52-71d6, kode saudara dengan CPU sama). Ukuran M.2 2280 dan keberadaan 2 slot M.2 dari ulasan LaptopMedia ANV15-52 (belum terverifikasi); satu penjual (Acer Authorized Store Jakarta) menulis hanya 1 slot dan 2x8 GB, jadi jumlah slot M.2 dan slot kosong dibiarkan tidak diketahui.</t>
  </si>
  <si>
    <t xml:space="preserve">RAM 16 GB DDR4 ada di slot SO-DIMM (2 slot, maksimal 32 GB), menurut toko Acer Indonesia terpasang 1 keping 16 GB sehingga 1 slot kosong, tetapi sebagian penjual menulis 2 keping 8 GB (cek dulu). SSD 512 GB berupa M.2 yang bisa diganti; jumlah slot M.2 kedua tidak pasti (ulasan menulis 2 slot, satu penjual menulis hanya 1). Garansi 3 tahun resmi Acer menurut keterangan toko resmi/terotorisasi; Office dan Microsoft 365 hanya disebut oleh penjual, bukan halaman spek Acer.</t>
  </si>
  <si>
    <t xml:space="preserve">acer-nitro-v-15-anv15-52-core7-240h-rtx5050-16-512</t>
  </si>
  <si>
    <t xml:space="preserve">ANV15-52-777R (NH.QZ9SN.005)</t>
  </si>
  <si>
    <t xml:space="preserve">Intel Core 7 240H</t>
  </si>
  <si>
    <t xml:space="preserve">Toko Acer Indonesia (https://store.acer.com/en-id/acer-nitro-v15-core-7-rtx-5050): RAM 16 GB DDR4, bisa ditambah ke 32 GB lewat dua slot SODIMM; SSD 512 GB PCIe Gen4 NVMe. Kecepatan 3200 MT/s dan 2 slot dari toko Acer Singapura (store.acer.com/en-sg/anv15-52-73m0, kode saudara dengan CPU sama). Ukuran M.2 2280 dari ulasan LaptopMedia ANV15-52 (belum terverifikasi). Penjual lain menulis 1x16 GB DDR4 (Starcomp) atau 2x8 GB DDR5 (Acer Authorized Store Jakarta), sehingga slot kosong dan jalur RAM dibiarkan tidak diketahui; jumlah slot M.2 juga bertentangan antar sumber.</t>
  </si>
  <si>
    <t xml:space="preserve">Sama dengan varian Core i7-13620H tetapi prosesornya Intel Core 7 240H (kecepatan puncak sedikit lebih tinggi). RAM 16 GB DDR4 ada di slot SO-DIMM (2 slot, maksimal 32 GB) sehingga bisa ditambah atau diganti; bentuknya (1 keping 16 GB atau 2 keping 8 GB) bergantung penjual, dan beberapa penjual menulis DDR5 padahal halaman Acer menulis DDR4. SSD 512 GB berupa M.2 yang bisa diganti. Garansi 3 tahun resmi Acer menurut keterangan toko resmi/terotorisasi.</t>
  </si>
  <si>
    <t xml:space="preserve">lenovo-thinkpad-t14-gen-1-i5-10310u-16-256</t>
  </si>
  <si>
    <t xml:space="preserve">Intel Core i5-10310U</t>
  </si>
  <si>
    <t xml:space="preserve">Intel UHD Graphics (Comet Lake-U, 24 EU)</t>
  </si>
  <si>
    <t xml:space="preserve">Lenovo PSREF T14 Gen 1 (Intel): satu RAM menempel di papan (8 atau 16 GB) plus satu slot DDR4 SO-DIMM, maksimal 40 GB (8 GB menempel + 32 GB) atau 48 GB (16 GB menempel + 32 GB); satu bay penyimpanan untuk SSD M.2 2242 (sampai 128 GB, PCIe 3.0 x2) atau M.2 2280 (sampai 2 TB, PCIe 3.0 x4), semuanya NVMe. https://psref.lenovo.com/syspool/Sys/PDF/ThinkPad/ThinkPad_T14_Gen_1_Intel/ThinkPad_T14_Gen_1_Intel_Spec.PDF Lenovo juga punya video panduan resmi penggantian SSD M.2 untuk T14 Gen 1/2 (https://support.lenovo.com/au/en/videos/nvid500441-replacing-your-m2-solid-state-drive-thinkpad-t14-and-p14s-gen-1-and-2-customer-self-service). LaptopMedia (https://laptopmedia.com/?p=500765) juga menulis RAM 8/16 GB menempel + satu slot SO-DIMM dan satu slot M.2. Unit 256/512 GB dianggap M.2 2280 karena M.2 2242 hanya sampai 128 GB menurut PSREF. Pembagian RAM menempel vs slot untuk unit 16 GB tidak dirinci Lenovo.</t>
  </si>
  <si>
    <t xml:space="preserve">RAM 16 GB di model ini campuran: satu bagian menempel di papan (tidak bisa dilepas) dan satu slot SO-DIMM yang bisa dicabut. Lenovo tidak merinci apakah unit 16 GB berarti 16 GB menempel dengan slot kosong atau 8 GB menempel + 8 GB di slot, jadi tanyakan ke penjual. Batas maksimal menurut Lenovo 40 GB (bila 8 GB menempel) atau 48 GB (bila 16 GB menempel). SSD NVMe di satu slot M.2 dan bisa diganti. Bobot resmi 1,49-1,61 kg tergantung layar; layar dan baterai tiap unit bekas perlu dicek.</t>
  </si>
  <si>
    <t xml:space="preserve">lenovo-thinkpad-t14-gen-1-i5-10310u-16-512</t>
  </si>
  <si>
    <t xml:space="preserve">Sama seperti T14 Gen 1 16/256, tetapi SSD 512 GB. RAM 16 GB terdiri dari bagian yang menempel di papan dan satu slot SO-DIMM; pembagiannya tidak dirinci Lenovo, jadi tanyakan ke penjual. SSD NVMe di satu slot M.2 dan bisa diganti. Bobot resmi 1,49-1,61 kg tergantung layar. Cek layar, baterai, dan keyboard unit sebelum membeli.</t>
  </si>
  <si>
    <t xml:space="preserve">dell-latitude-7490-i5-8350u-8-256</t>
  </si>
  <si>
    <t xml:space="preserve">Latitude 14 seri 7000</t>
  </si>
  <si>
    <t xml:space="preserve">Dell Latitude 7490 Owner's Manual (PDF, https://dl.dell.com/topicspdf/latitude-14-7490-laptop_Owners-Manual2_en-us.pdf): tabel spesifikasi menulis 2 slot DIMM DDR4 sampai 32 GB (2400 MT/s untuk prosesor generasi ke-8) dan SSD M.2 2280 jenis SATA atau PCIe NVMe; manualnya memuat bagian lepas-pasang modul memori dan SSD. Satu kalimat di manual yang sama menulis memori 'tertanam di papan', bertentangan dengan tabel spesifikasinya; iFixit (https://www.ifixit.com/Device/Dell_Latitude_7490) dan Kingston (https://www.kingston.com/en/memory/search/model/97698/dell-alienware-latitude-14-7490) sama-sama menyebut 2 slot SO-DIMM yang bisa dilepas (iFixit: SSD M.2 SATA atau NVMe), jadi dianggap slot. Jumlah slot M.2 (1) disimpulkan dari satu prosedur SSD di manual.</t>
  </si>
  <si>
    <t xml:space="preserve">RAM memakai dua slot SO-DIMM (tempat RAM yang bisa dicabut) dan bisa ditambah sampai 32 GB; unit 8 GB mungkin hanya mengisi satu slot, tanyakan ke penjual. SSD ada di satu slot M.2 2280 dan bisa diganti, tetapi Dell menyediakan versi SATA dan NVMe, jadi tipenya tergantung unit (dua penjual menulis NVMe). Bobot resmi mulai 1,4 kg; baterai 42 atau 60 Wh dan layar HD/FHD (sentuh atau tidak) beda tiap unit, jadi cek sebelum membeli.</t>
  </si>
  <si>
    <t xml:space="preserve">hp-elitebook-840-g6-i5-8365u-8-256</t>
  </si>
  <si>
    <t xml:space="preserve">EliteBook seri 800 (laptop bisnis)</t>
  </si>
  <si>
    <t xml:space="preserve">Lembar data resmi HP EliteBook 840 G6 (dokumen 4AA7-4866, Juni 2019), dibaca dari salinan di distributor Ingram Micro karena hp.com menolak pengambilan otomatis (https://inquirecontent1.ingrammicro.com/Manufacturer-Brochure/1059627756.pdf): sampai 32 GB DDR4-2400 di 2 slot SODIMM yang bisa diakses pengguna dan mendukung dua jalur; penyimpanan berupa M.2 PCIe NVMe atau M.2 SATA. Tabel produk Maintenance and Service Guide HP (L54460-001, ditampilkan di https://manualsnet.com/hp/elitebook-840-g6) menyebut dua slot modul memori yang bisa di-upgrade pengguna dan penyimpanan utama M.2 2280. Kingston (https://www.kingston.com/en/memory/search/model/100140/hp-hpe-elitebook-840-g6) juga mencatat 2 slot SODIMM, maksimal 32 GB. Jumlah slot M.2 tidak disebut jelas oleh sumber-sumber ini.</t>
  </si>
  <si>
    <t xml:space="preserve">RAM memakai dua slot SODIMM (tempat RAM yang bisa dicabut) dan bisa ditambah sampai 32 GB; unit 8 GB bisa berupa satu modul 8 GB atau dua modul 4 GB, jadi tanyakan apakah masih ada slot kosong. SSD M.2 2280 bisa diganti, tetapi tipenya (SATA atau NVMe) tergantung unit. Semua pilihan layar resmi HP berpanel IPS; resolusi dan sentuh beda tiap unit. Bobot resmi mulai sekitar 1,48 kg dan baterai 50 Wh.</t>
  </si>
  <si>
    <t xml:space="preserve">hp-elitebook-840-g6-i5-8265u-16-512</t>
  </si>
  <si>
    <t xml:space="preserve">Sama seperti EliteBook 840 G6 i5-8365U 8/256, tetapi memakai Core i5-8265U (tanpa vPro) dengan RAM 16 GB dan SSD 512 GB. RAM 16 GB bisa satu modul 16 GB atau dua modul 8 GB, jadi tanyakan apakah masih ada slot kosong. Maksimal 32 GB. SSD M.2 2280 bisa diganti; tipe SATA atau NVMe tergantung unit. Hanya satu listing yang cocok persis yang bisa dipastikan hari ini.</t>
  </si>
  <si>
    <t xml:space="preserve">hp-victus-15-fa2666tx-i5-13420h-rtx3050-16-512</t>
  </si>
  <si>
    <t xml:space="preserve">15-fa2666TX (B6NR1PA)</t>
  </si>
  <si>
    <t xml:space="preserve">Intel Core i5-13420H</t>
  </si>
  <si>
    <t xml:space="preserve">NVIDIA GeForce RTX 3050 Laptop (6 GB)</t>
  </si>
  <si>
    <t xml:space="preserve">PCIe 4.0</t>
  </si>
  <si>
    <t xml:space="preserve">Halaman toko resmi HP Indonesia (https://www.hp.com/id-id/shop/victus-gaming-laptop-15-fa2666tx-b6nr1pa.html): RAM 16 GB DDR4-3200 ditulis '1 x 16 GB' dengan 2 slot memori yang bisa diakses pengguna; penyimpanan 512 GB M.2 NVMe PCIe Gen4 dengan keterangan 'Expansion slots: 2 M.2 (SSD)'. HP tidak menulis batas maksimal RAM, ukuran M.2 (2280 atau lain), atau apakah slot M.2 kedua kosong. Manual servis HP seri 15-fa2 (https://www.manualslib.com/manual/3689489/Hp-15-Fa2-Series.html) memuat prosedur lepas-pasang modul memori dan SSD.</t>
  </si>
  <si>
    <t xml:space="preserve">Microsoft 365 (uji coba)</t>
  </si>
  <si>
    <t xml:space="preserve">RAM 16 GB DDR4 ada di slot: ada 2 slot yang bisa diakses pengguna dan baru terisi 1 keping 16 GB, jadi bisa ditambah (HP tidak menulis batas maksimalnya). SSD 512 GB berupa M.2 yang bisa diganti; HP menulis 2 slot M.2 tetapi tidak jelas apakah yang kedua kosong. Garansi dikosongkan karena halaman HP menulis garansi terbatas 1 tahun (1/1/0) sekaligus layanan antar-ke-servis HP 2 tahun dengan perlindungan kerusakan tidak sengaja; Office di halaman HP hanya uji coba Microsoft 365 1 bulan, sedangkan paket Office Home 2024 hanya disebut sebagian toko. Bluetooth 5.4 menurut HP, tetapi HP menulis kerjanya masih setara 5.3 atau lebih rendah sampai Windows mendukung.</t>
  </si>
  <si>
    <t xml:space="preserve">msi-thin-15-b13uc-i7-13620h-rtx3050-8-512</t>
  </si>
  <si>
    <t xml:space="preserve">B13UC-2407ID (halaman MSI Indonesia); toko menulis B13UC-2407 / 9S7-16R831-2407</t>
  </si>
  <si>
    <t xml:space="preserve">NVIDIA GeForce RTX 3050 Laptop (4 GB)</t>
  </si>
  <si>
    <t xml:space="preserve">Halaman spek MSI Indonesia (https://id.msi.com/Laptop/Thin-15-B13UX/Specification, baris B13UC-2407ID) dan lembar spek MSI Indonesia B13UC-1430ID (https://storage-asset.msi.com/specSheet/id/nb/Thin%2015%20B13UC-1430ID.pdf): memori '8GB*1' DDR4-3200 (1 keping) dengan 2 slot dan maksimal 64 GB; 1 slot M.2 SSD NVMe PCIe Gen4 dan 1 dudukan HDD SATA 2,5 inci; catatan MSI agar upgrade SSD dikonsultasikan ke pusat servis. Ukuran M.2 tidak disebut; ketersediaan kabel atau braket untuk dudukan 2,5 inci juga tidak disebut. Gamer ID Bandung (Tokopedia, B13UC-2407) menulis RAM 1x8 GB di 2 slot SO-DIMM dengan satu slot kosong.</t>
  </si>
  <si>
    <t xml:space="preserve">RAM 8 GB DDR4 ada di slot SO-DIMM: MSI menulis 1 keping terpasang dari 2 slot (maksimal 64 GB), jadi tinggal menambah keping kedua. SSD 512 GB berupa M.2 NVMe yang bisa diganti dan ada juga dudukan 2,5 inci untuk HDD/SSD SATA; MSI menyarankan penggantian SSD lewat pusat servis. Bluetooth dikosongkan karena halaman MSI Indonesia menulis 5.4 sedangkan lembar spek B13UC-1430ID menulis 5.3; Office tidak disebut di sumber resmi maupun listing toko; garansi 2 tahun dari halaman MSI Indonesia.</t>
  </si>
  <si>
    <t xml:space="preserve">asus-rog-strix-g16-g614pm-r9-8940hx-rtx5060-16-1tb</t>
  </si>
  <si>
    <t xml:space="preserve">G614PM-R9N56C6G-HM</t>
  </si>
  <si>
    <t xml:space="preserve">AMD Ryzen 9 8940HX</t>
  </si>
  <si>
    <t xml:space="preserve">NVIDIA GeForce RTX 5060 Laptop</t>
  </si>
  <si>
    <t xml:space="preserve">Halaman spek ASUS Indonesia (https://rog.asus.com/id/laptops/rog-strix/rog-strix-g16-2025-g614/spec/): daftar 'expansion slot' 2x DDR5 SO-DIMM (maksimal 64 GB) dan 2x M.2 PCIe; SSD 1 TB PCIe 4.0 NVMe M.2; RAM 16 GB DDR5 SO-DIMM (spek DDR5-5200, kartu produk menulis 5600 yang dibatasi prosesor ke 5200). Halaman ASUS tidak menulis berapa keping RAM terpasang, sehingga slot kosong tidak diisi. Ukuran M.2 2280 dari ulasan LaptopMedia G614 (2025) (belum terverifikasi; unit tes konfigurasi lain), yang juga menulis hanya 1 slot M.2 dan RAM sampai 128 GB; angka resmi ASUS yang dipakai.</t>
  </si>
  <si>
    <t xml:space="preserve">2560x1600</t>
  </si>
  <si>
    <t xml:space="preserve">RAM 16 GB DDR5 ada di slot SO-DIMM (2 slot, maksimal 64 GB), jadi bisa diganti atau ditambah; ASUS tidak menulis berapa keping yang terpasang. SSD 1 TB berupa M.2 yang bisa diganti; ASUS menulis 2 slot M.2 tetapi sebuah ulasan menyebut satu, jadi cek dulu bila ingin menambah SSD. Layar 2,5K 240 Hz dan SSD 1 TB untuk kode C6G dipetakan dari urutan di halaman spek ASUS Indonesia serta tiga listing toko dengan kode yang sama. Garansi (2 tahun menurut penjual) dan Office Home 2024 hanya tertulis di listing toko, bukan di halaman ASUS, sehingga garansi dikosongkan; charger dikosongkan karena sumber berbeda (240 W atau 280 W). Bluetooth 5.2 menurut ASUS (satu toko menulis 5.3).</t>
  </si>
  <si>
    <t xml:space="preserve">lenovo-legion-5-15irx10-i7-13650hx-16-512</t>
  </si>
  <si>
    <t xml:space="preserve">83LY00E9ID</t>
  </si>
  <si>
    <t xml:space="preserve">Legion 5 (laptop gaming)</t>
  </si>
  <si>
    <t xml:space="preserve">Intel Core i7-13650HX</t>
  </si>
  <si>
    <t xml:space="preserve">Lenovo PSREF Legion 5 15IRX10 (https://psref.lenovo.com/syspool/Sys/PDF/Legion/Legion_5_15IRX10/Legion_5_15IRX10_Spec.pdf): dua slot RAM DDR5 SO-DIMM (bukan disolder), maksimal 32 GB; dua slot SSD M.2 PCIe 4.0 x4, sampai dua SSD. Tabel PSREF menulis SSD bawaan berukuran M.2 2242, sedangkan baris slot menulis M.2 2280 (tidak sama di dokumen yang sama); listing Plazait untuk kode 83LY00E9ID juga menulis M.2 2242. PSREF tidak merinci apakah RAM 16 GB berupa 1 keping 16 GB atau 2 keping 8 GB. Slot SSD kedua dianggap kosong karena unit pabrik hanya membawa satu SSD; teardown LaptopMedia untuk saudara 15IRHX10 juga menemukan dua slot SO-DIMM dan slot M.2 kedua kosong (https://laptopmedia.com/?p=1844000).</t>
  </si>
  <si>
    <t xml:space="preserve">RAM memakai dua slot SO-DIMM biasa dan SSD ada di slot M.2 yang bisa dicabut (ada dua slot, jadi SSD kedua bisa ditambah); semuanya dari dokumen resmi Lenovo PSREF. Lenovo menulis SSD bawaan 2242 padahal slotnya 2280, jadi cek ukuran sebelum membeli SSD pengganti. PSREF menggabung banyak varian (layar IPS/OLED, baterai 60/80 Wh, charger 170/245 W, Wi-Fi 6/7, kamera 5 MP/720p). Dari PSREF dipakai: bobot 'mulai dari 2,1 kg' untuk layar IPS, tanpa sidik jari, tanpa pembaca kartu, layar IPS 165 Hz bukan sentuh. Baterai 80 Wh, charger 245 W, Wi-Fi 6, Bluetooth 5.2, RAM 4800 MT/s dan lampu keyboard putih diambil dari listing toko untuk kode 83LY00E9ID (Lenovo Official di Tokopedia dan Plazait). Kamera dikosongkan: Lenovo Official menulis 720p, Plazait menulis 5 MP. Garansi penuh dikosongkan: toko resmi Lenovo menulis garansi dasar 1 tahun (antar/kurir) plus paket 3 tahun ADP dan Legion Ultimate Support, sedangkan penjual lain menulis 3 tahun resmi; tidak ada halaman pabrikan yang menegaskannya. Bahan 'Campuran' dari ulasan PCWorld unit saudara (dasar plastik, punggung layar aluminium); kutipan TechPowerUp di Notebookcheck menyebut plastik penuh.</t>
  </si>
  <si>
    <t xml:space="preserve">acer-aspire-lite-14-al14-32p-n355-8-512</t>
  </si>
  <si>
    <t xml:space="preserve">AL14-32P-38RE (NX.D3KSN.001)</t>
  </si>
  <si>
    <t xml:space="preserve">Aspire Lite 14 (laptop ringan, memori bisa di-upgrade)</t>
  </si>
  <si>
    <t xml:space="preserve">Intel Core 3 N355</t>
  </si>
  <si>
    <t xml:space="preserve">Intel Graphics (Twin Lake, 32 EU)</t>
  </si>
  <si>
    <t xml:space="preserve">Hanya RAM yang terverifikasi. Acer Store Indonesia untuk NX.D3KSN.001 menulis memori 8 GB DDR5 'upgradeable, replace' (https://store.acer.com/en-id/aspire-lite-14-nx-d3ksn-001); listing Plazait yang menyalin spek Acer menulis 'mudah diganti lewat penutup belakang' (https://plazait.co.id/product/acer-aspire-lite-14-al14-32p-38re-core-3-n355-intel-uhd-graphics-silver). Jumlah slot dan ada tidaknya bagian yang menempel tidak disebut. acer.com/id-en untuk kode yang sama menulis memori maksimum 8 GB (angka tabel standar yang bertentangan dengan 'upgradeable'), sedangkan Intel ARK membatasi prosesor N355 pada 16 GB dengan 1 jalur memori (https://www.intel.com/content/www/us/en/products/sku/241639/intel-core-3-processor-n355-6m-cache-up-to-3-90-ghz/specifications.html), jadi batas atas RAM dikosongkan. SSD: tidak ada sumber tentang bisa tidaknya diganti, ukuran, atau jumlah slot untuk kode ini (toko Eropa untuk kode saudara NX.D3KET.001 hanya menulis 'M.2', tidak dipakai).</t>
  </si>
  <si>
    <t xml:space="preserve">RAM DDR5 8 GB dinyatakan Acer bisa diganti, tetapi jumlah slot tidak disebut; prosesor ini hanya 1 jalur memori dan maksimal 16 GB menurut Intel, sedangkan acer.com menulis maksimum 8 GB, jadi batas atas dikosongkan. SSD NVMe 512 GB belum ada sumber apakah bisa diganti, jadi dibiarkan unknown. Dari acer.com/id-en (kode 38RE): layar IPS 1920x1200 60 Hz non-sentuh, Wi-Fi 6 (802.11ax), tanpa sidik jari, tanpa lampu keyboard, tanpa LAN, Windows 11 Home Single Language, adaptor maksimal 51,3 W. Dari Acer Store Indonesia: berat 1,1 kg, kamera FHD 1080p, 2 USB-C dan microSD, Office Home Student 2024. Baterai 45 Wh, Bluetooth 5.2, 1 USB-A, HDMI 1.4 dan port USB-C 'full function' (daya, data, layar) diambil dari listing toko yang menyalin spek Acer (Plazait, Infonet Official Store) dan dari lembar spek kode saudara di Eropa (baterai 45 Wh juga tertulis di sana, bobot di sana 1,17 kg). Erablue menulis lampu keyboard dan kamera 720p untuk kode 37CE (warna biru), bertentangan dengan halaman Acer untuk 38RE; dipakai halaman Acer. Garansi dikosongkan: halaman Acer tidak menulis lama garansi; penjual menulis 1/3/0 atau 3/3/0 (Part/Labour/Onsite).</t>
  </si>
  <si>
    <t xml:space="preserve">axioo-hype-5-gen-12-v2-i5-1235u-8-256</t>
  </si>
  <si>
    <t xml:space="preserve">Hype 5 (seri laptop harian Axioo)</t>
  </si>
  <si>
    <t xml:space="preserve">Intel Core i5-1235U</t>
  </si>
  <si>
    <t xml:space="preserve">PCIe NVMe (generasi tidak dipastikan)</t>
  </si>
  <si>
    <t xml:space="preserve">Halaman spek resmi Axioo Hype 5 Gen 12 v2 (https://axiooworld.com/product/hype-5-gen-12-v2/specifications): 8 GB DDR4 dengan 2 slot SO-DIMM, maksimal 64 GB, 2 jalur memori; 256 GB NVMe dengan 2 slot M.2 NVMe (satu PCIe Gen 3 x4, satu Gen 4 x4). Halaman fitur resmi menulis 'mudah upgrade RAM dan SSD' (https://www.axiooworld.com/product/hype-5-gen-12-v2/features). Ukuran M.2 2280 diambil dari deskripsi penjual (ONE ITC SBY, ProStoreComputer) dan dari halaman resmi Hype 5 Gen 12 yang lama (https://axiooworld.com/product/hype-5-intel-gen-12/specifications) yang menulis M.2 2280; halaman v2 sendiri tidak menyebut ukuran. Kecepatan RAM 3200 MT/s dari deskripsi penjual (Distri Laptop, ProStoreComputer, Artomoro Comp) dan sesuai batas DDR4 prosesor menurut Intel. Slot SSD kedua dianggap kosong karena unit hanya membawa satu SSD (penjual menulis 'free slot'), tetapi penjual menyebut slot itu M.2 SATA sedangkan Axioo menulis NVMe. Jumlah keping RAM 8 GB tidak dirinci resmi (Distri Laptop dan ProStore menulis 1 keping 8 GB, Simurah Laptop menulis 8GBx2).</t>
  </si>
  <si>
    <t xml:space="preserve">RAM adalah modul SO-DIMM biasa di 2 slot (bisa ditambah sampai 64 GB) dan SSD ada di 2 slot M.2, semuanya dari halaman spek resmi Axioo. Perhatikan: grafis Iris Xe butuh RAM 2 keping, jadi kalau unit 8 GB hanya 1 keping, menambah satu modul RAM lagi membantu grafis. Slot SSD kedua: Axioo menulis NVMe, penjual menulis SATA, jadi cek dulu sebelum membeli SSD kedua. Halaman resmi dasar: berat 1,25 kg, baterai 46,2 Wh, adaptor 64,98 W, Wi-Fi 5 (Realtek, 802.11ac), Bluetooth 5.0, kamera 720p, bahan plastik, 1 USB-C data (5 Gbps, hanya data), 2 USB-A 3.2 Gen 1, 1 USB-A 2.0, HDMI (versi tidak disebut), microSD. Sistem operasi: resmi tertulis 'DOS atau Windows 11'; edisi Windows tidak jelas (penjual menulis Home, Pro, atau campuran), jadi edisi dikosongkan. Versi DOS lebih murah (contoh Artomoro Comp Rp7.389.000). Garansi 12 bulan dari blog resmi Axioo ('garansi 1 tahun untuk seri Hype') dan FAQ resmi. Sidik jari, lampu keyboard, dan layar sentuh tidak disebut di halaman resmi.</t>
  </si>
  <si>
    <t xml:space="preserve">advan-workplus-ai-r7-255-8-512</t>
  </si>
  <si>
    <t xml:space="preserve">AMD Ryzen 7 255</t>
  </si>
  <si>
    <t xml:space="preserve">AMD Radeon 780M</t>
  </si>
  <si>
    <t xml:space="preserve">Listing toko resmi Advan di Tokopedia (ADVAN NOTEBOOK dan ADVAN INDONESIA) menulis RAM 8GB DDR5 'upgradable' tanpa menjelaskan slot; listing penjual resmi (Advan Authorized Bogor) menulis 'dapat di-upgrade' dan SSD 512GB NVMe. Halaman spek di situs Advan tidak ketemu, jadi slot RAM/SSD belum terverifikasi: https://www.tokopedia.com/advanofficialitstore/advan-laptop-workplus-ai-ryzen-7-255-8gb-512gb-14-inch-fhd-16-10-ips-dual-cooling-system-laptop-notebook-free-windows-11-garansi-resmi-2-tahun-1734544925582919478 ; https://www.tokopedia.com/advan-authorized-bogor/advan-workplus-ai-amd-r7-225-8-gb-512gb-14-ssd-windows-11-1736765761262421881-1736890468622043001</t>
  </si>
  <si>
    <t xml:space="preserve">Spek utama (CPU, GPU, layar, baterai 60 Wh, charger 100 W, Wi-Fi 6, Bluetooth 5.0, webcam 720p, garansi resmi 2 tahun) diambil dari listing toko resmi Advan di Tokopedia, karena halaman spek di situs Advan tidak ketemu; lampu keyboard dari artikel Detik. RAM disebut 'upgradable' tapi jumlah slot dan apakah ada yang menempel tidak jelas, begitu juga apakah SSD bisa diganti. Jenis SSD NVMe dan edisi Windows 11 Home hanya dari judul/deskripsi penjual resmi Bogor. Bobot hanya ditulis 'di bawah 1,55 kg'. Harga di toko resmi Advan sekarang Rp10,399 juta (coret Rp15,999 juta), lebih tinggi dari harga peluncuran Rp8,999 juta (Detik, Maret 2026); penjual resmi lain lebih murah. Ada juga konfigurasi 16GB/1TB di pasaran yang tidak dicatat di sini.</t>
  </si>
  <si>
    <t xml:space="preserve">infinix-xbook-14-neo-i3-1315u-8-256</t>
  </si>
  <si>
    <t xml:space="preserve">Intel Core i3-1315U</t>
  </si>
  <si>
    <t xml:space="preserve">Intel UHD Graphics (Raptor Lake-U, 64 EU)</t>
  </si>
  <si>
    <t xml:space="preserve">Artikel peluncuran (Selular, Gizmologi, Merahputih, Bisnis.com) menyebut dua slot RAM DDR4 SODIMM sampai 64GB dan satu slot SSD sampai 2TB; listing Agres ID menulis RAM 8GB SODIMM dengan 1 slot tambahan kosong. Halaman spek resmi Infinix tidak bisa dibaca (dimuat lewat JavaScript), jadi belum terverifikasi. Satu penjual (Gasol Surabaya) menulis 2 slot M.2, bertentangan dengan artikel peluncuran yang menyebut 1 slot; dipakai angka artikel: https://selular.id/2026/09/infinix-xbook-14-neo-daftar-harga-warna-dan-konfigurasinya/ ; https://www.merahputih.com/post/read/infinix-xbook-14-neo-laptop-1-2-kg ; https://gizmologi.id/news/infinix-xbook-14-neo-indonesia-harga-spesifikasi/ ; https://www.tokopedia.com/agresidjaktim/laptop-lenovo-loq-15-intel-i5-gen-13-rtx-3050-6gb-24gb-512gb-win-11-plus-office-15-6-inch-full-hd-1731150466462484256-1737698100622952224</t>
  </si>
  <si>
    <t xml:space="preserve">RAM 8GB berada di slot SODIMM dan masih ada 1 slot kosong (artikel peluncuran dan keterangan penjual), jadi mudah ditambah, tapi ini belum terverifikasi dari halaman spek resmi Infinix. SSD ada di slot sendiri sehingga bisa diganti, tapi jenisnya (NVMe atau SATA) dan jumlah slot masih simpang siur antar sumber. Spek lain dari artikel peluncuran (Selular/Gizmologi/Merahputih/Bisnis) dan listing marketplace; sistem operasi Windows 11 Home, tanpa layar sentuh dan jenis garansi hanya dari keterangan penjual. Lama garansi tidak diisi karena penjual menulis 1 tahun (Herlinacom, Agres Jaktim) dan 2 tahun (toko lain) dan belum ada keterangan dari Infinix langsung. Jumlah port USB-C (2) dan USB-A (3) diambil dari siaran peluncuran dan listing; Selular/Gizmologi hanya menyebut 1 USB-C. Kode 'XL453' muncul di judul satu listing (kemungkinan kode model) tetapi tidak dipastikan untuk semua konfigurasi, jadi kode varian dikosongkan.</t>
  </si>
  <si>
    <t xml:space="preserve">acer-chromebook-311-c733t-n4020-4-32</t>
  </si>
  <si>
    <t xml:space="preserve">C733T-0041</t>
  </si>
  <si>
    <t xml:space="preserve">Chromebook pendidikan untuk pelajar (tahan tumpahan cairan dan benturan)</t>
  </si>
  <si>
    <t xml:space="preserve">Pelajar dan sekolah</t>
  </si>
  <si>
    <t xml:space="preserve">emmc</t>
  </si>
  <si>
    <t xml:space="preserve">Listing LifeTech IDN menulis RAM '4 GB onboard' dan penyimpanan 32GB eMMC; listing Anugerah Digital menulis 32GB eMMC. Penyimpanan eMMC memang chip yang disolder, jadi tidak bisa diganti. Slot RAM tidak disebut di halaman resmi Acer Indonesia (tidak ada tabel spek), sehingga RAM disolder hanya berdasar keterangan penjual: https://www.tokopedia.com/lifetech-idn/acer-chromebook-c733-celeron-n4020-4gb-32gb-laptop-chrome-11-6-inch ; https://www.tokopedia.com/anugerahdigital/tkdn-acer-chromebook-touch-c733t-0041-intel-n4020-4gb-32gb-emmc-11-6-touch-chrome-os-1731057918061020503 ; https://www.acer.com/id-id/chromebooks/acer-chromebook-311-c733-c733u-c733t</t>
  </si>
  <si>
    <t xml:space="preserve">ChromeOS</t>
  </si>
  <si>
    <t xml:space="preserve">Model C733 adalah Chromebook lama; dipilih karena Chromebook Acer generasi baru yang dijual resmi (311 C725 dan Spin 311 R725T) memakai prosesor MediaTek, yang belum ada di daftar pilihan produsen CPU. Layar sentuh, IPS 11,6 inci, charger USB-C 45 W, 4 GB RAM, dan eMMC 32 GB dari listing Anugerah Digital (kode C733T/0041, stok kecil). Wi-Fi 5 dan webcam 720p dari halaman Acer Indonesia dan listing LifeTech; halaman Acer Indonesia tidak memuat tabel spek. RAM disebut 'onboard' hanya oleh satu penjual, jadi dianggap menempel tetapi belum terverifikasi; tipe RAM (DDR4 menurut penjual, tapi saudara lain memakai LPDDR4) tidak diisi. Garansi: listing menyebut garansi resmi Acer Indonesia 1 tahun, tetapi penjual bukan toko resmi Acer sendiri, jadi lamanya tidak diisi. Bobot, baterai, dan Bluetooth tidak diisi karena hanya ada di versi saudara dengan CPU berbeda (N4120).</t>
  </si>
  <si>
    <t xml:space="preserve">apple-macbook-air-13-m1-m1-8-256</t>
  </si>
  <si>
    <t xml:space="preserve">Apple M1</t>
  </si>
  <si>
    <t xml:space="preserve">Apple M1 GPU (7 atau 8 inti)</t>
  </si>
  <si>
    <t xml:space="preserve">Halaman spek Apple (https://support.apple.com/en-us/111883) menulis 'unified memory' 8 GB (opsi 16 GB) dan SSD 128 GB sampai 2 TB yang dipilih lewat pesanan di apple.com; halaman itu tidak menulis tegas bahwa tidak bisa di-upgrade. EveryMac (https://everymac.com/systems/apple/macbook-air/macbook-air-silicon-faq/macbook-air-silicon-processor-ram-ssd-storage-upgrades.html) menulis RAM dan SSD semua MacBook Air Apple silicon, termasuk M1, tidak bisa di-upgrade setelah beli. Jenis dan kecepatan RAM (LPDDR4X-4266, dua chip di samping prosesor) dari Wikipedia Apple M1 (https://en.wikipedia.org/wiki/Apple_M1) dan TheAppleWiki (https://theapplewiki.com/wiki/MacBook_Air_(M1,_2020)); TheAppleWiki menyebut SSD berbasis PCIe, jadi 'nvme_ssd' dipakai walau Apple tidak menulis kata NVMe. Teardown iFixit tidak bisa dibuka (galat), jadi tidak dipakai.</t>
  </si>
  <si>
    <t xml:space="preserve">RAM 8 GB dan SSD 256 GB menyatu di dalam dan tidak bisa ditambah atau diganti, jadi pilih kapasitas yang cukup sejak awal (versi RAM 16 GB hanya ada lewat pesanan pabrik). Apple menulis grafis 7 atau 8 inti tanpa memetakannya ke kapasitas SSD, jadi unit 8/256 bisa salah satunya. Layar IPS 2560x1600 menurut Apple; angka 60 Hz dari TheAppleWiki karena Apple tidak menulis Hz. Layar tidak sentuh (spek Apple tidak memuat layar sentuh). Charger 30 W adalah bawaan dari Apple, tetapi unit bekas sering dijual tanpa dus atau dengan charger lepasan, jadi tanyakan. Tidak ada garansi seragam: tiap toko berbeda (satu listing yang dibuka memberi garansi toko 7 hari).</t>
  </si>
  <si>
    <t xml:space="preserve">lenovo-thinkpad-x1-carbon-gen-8-i5-10310u-16-256</t>
  </si>
  <si>
    <t xml:space="preserve">ThinkPad seri X1</t>
  </si>
  <si>
    <t xml:space="preserve">LPDDR3</t>
  </si>
  <si>
    <t xml:space="preserve">Lembar spek resmi Lenovo PSREF ThinkPad X1 Carbon Gen 8 (https://psref.lenovo.com/syspool/Sys/PDF/ThinkPad/ThinkPad_X1_Carbon_Gen_8/ThinkPad_X1_Carbon_Gen_8_Spec.PDF, revisi 20 April 2022): memori 8 GB atau 16 GB disolder ke papan utama, tidak bisa di-upgrade, tanpa slot, dual-channel, baris i5-10310U memakai LPDDR3-2133, tidak ada tulisan kapasitas lebih dari 16 GB; penyimpanan satu slot M.2 2280 PCIe 3.0 x4 NVMe sampai 2 TB. LaptopMedia (https://laptopmedia.com/?p=471500, 23 Juli 2020) juga menulis RAM disolder (maks 16 GB LPDDR3-2133) dan hanya satu slot M.2 PCIe x4, dengan penutup bawah dibuka 5 sekrup Phillips.</t>
  </si>
  <si>
    <t xml:space="preserve">RAM 16 GB menempel di papan (LPDDR3) dan tidak bisa ditambah atau diganti; unit 8 GB akan tetap 8 GB, jadi cek angkanya di listing. SSD NVMe M.2 2280 ada di satu slot dan bisa diganti setelah penutup bawah dibuka. CPU i5-10310U dipakai karena judul listing yang dibuka menyebutnya tegas; Lenovo juga menjual i5-10210U dan beberapa i7, jadi minta foto info sistem. Semua pilihan layar resmi Lenovo berpanel IPS, tetapi resolusi dan layar sentuh beda tiap unit. Bobot resmi mulai 1,09 kg (1,21 kg bila layar privasi). Angka 60 Hz diambil dari ulasan Notebookcheck (satu konfigurasi Full HD) karena PSREF tidak menulis Hz; tidak ada opsi layar frekuensi tinggi di PSREF. Sidik jari dan lampu keyboard tertulis di PSREF tanpa tanda 'opsional', tetapi pada unit bekas tetap perlu dicek. Charger resmi 45 W atau 65 W tergantung unit, jadi kolom charger dikosongkan.</t>
  </si>
  <si>
    <t xml:space="preserve">dell-xps-13-9360-i5-7200u-8-256</t>
  </si>
  <si>
    <t xml:space="preserve">Intel Core i5-7200U</t>
  </si>
  <si>
    <t xml:space="preserve">Intel HD Graphics 620</t>
  </si>
  <si>
    <t xml:space="preserve">Dell XPS 13 Setup and Specifications 9360 (https://dl.dell.com/topicspdf/xps-13-9360-laptop_setup-guide_en-us.pdf, Rev. A02, Oktober 2017): memori LPDDR3 'onboard' tanpa slot yang bisa diakses pengguna, 4/8/16 GB (maks 16 GB), kecepatan 1866 atau 2133 MHz; satu slot M.2 untuk SSD (SATA hanya sampai 128 GB, PCIe/NVMe sampai 1 TB, jadi SSD 256 GB pasti PCIe) dan satu slot M.2 terpisah untuk kartu Wi-Fi. Manual servis Dell (https://dl.dell.com/topicspdf/xps-13-9360-laptop_service-manual_en-us.pdf) punya langkah 'mengganti SSD' (buka penutup bawah dengan Torx T5, lepas baterai, lepas satu sekrup) tetapi tidak punya langkah untuk RAM. iFixit (https://www.ifixit.com/Device/Dell_XPS_13_9360) menulis RAM disolder dan tidak bisa di-upgrade. Kecepatan 1866 MT/s untuk i5-7200U dari Intel ARK (LPDDR3 maksimal 1866) dan sampel uji Notebookcheck (https://www.notebookcheck.net/Dell-XPS-13-9360-FHD-i5.184562.0.html). Ukuran M.2 2280 dan PCIe 3.0 x4 dari LaptopMedia (https://laptopmedia.com/series/dell-xps-13-9360/) karena Dell tidak menulis ukurannya.</t>
  </si>
  <si>
    <t xml:space="preserve">RAM 8 GB menempel di papan dan tidak bisa ditambah; SSD NVMe di satu slot M.2 dan bisa diganti (butuh buka penutup bawah dan lepas baterai dulu). Dell tidak menulis nomor prosesor; i5-7200U dipakai karena judul listing yang dibuka menyebutnya tegas, jadi jangan campur dengan unit i5-7300U, i5-8250U, atau i7 yang harganya lebih tinggi. Jenis panel IPS berasal dari Notebookcheck (sampel Full HD i5-7200U) dan LaptopMedia karena Dell tidak menulis jenis panel; LaptopMedia juga menyebut satu versi Full HD berpanel TN, jadi cek unitnya. Angka 60 Hz, baterai 60 Wh, charger 45 W, bobot 1,22 kg (tanpa sentuh; 1,32 kg dengan sentuh), dan Wi-Fi 802.11ac dari Dell; Bluetooth 4.1 (Dell menulis 4.1 dan 4.2, Windows 10 mendukung sampai 4.1). Dell menulis colokan charger terpisah dan tidak menyebut port Thunderbolt 3 untuk mengisi daya, jadi 'bisa diisi lewat USB-C' diisi unknown. Lampu keyboard tertulis di spek Dell tanpa tanda opsional; sidik jari ditulis opsional.</t>
  </si>
  <si>
    <t xml:space="preserve">lenovo-thinkpad-e14-gen-7-core3-100u-8-512</t>
  </si>
  <si>
    <t xml:space="preserve">21T9S00B00</t>
  </si>
  <si>
    <t xml:space="preserve">Laptop bisnis kecil-menengah, seri ThinkPad E</t>
  </si>
  <si>
    <t xml:space="preserve">Profesional yang sering berpindah tempat</t>
  </si>
  <si>
    <t xml:space="preserve">Intel Core 3 100U</t>
  </si>
  <si>
    <t xml:space="preserve">Intel Graphics (Raptor Lake-U Refresh, 64 EU)</t>
  </si>
  <si>
    <t xml:space="preserve">Lenovo PSREF halaman khusus kode 21T9S00B00 (wilayah ASEAN, negara Indonesia): memori tertulis 1 x 8 GB SODIMM DDR5-5200 dari dua slot SODIMM, maksimal 64 GB; penyimpanan SSD 512 GB M.2 2242 PCIe 4.0 dengan dua slot M.2 (satu 2242, satu 2280) dan tidak ada slot 2,5 inci: https://psref.lenovo.com/Detail/ThinkPad/ThinkPad_E14_Gen_7_Intel?M=21T9S00B00</t>
  </si>
  <si>
    <t xml:space="preserve">Pro</t>
  </si>
  <si>
    <t xml:space="preserve">Semua spek diambil dari halaman PSREF Lenovo khusus kode 21T9S00B00 (bukan halaman gabungan banyak varian). Bobot 1,34 kg adalah angka 'mulai dari' menurut Lenovo. Garansi dasar menurut PSREF 1 tahun (antar atau kirim ke servis); penjual di marketplace bisa menawarkan garansi lain, jadi tanyakan dulu. Daftar perangkat lunak bawaan di PSREF hanya menyebut Bufferzone, tidak ada Office. Kode ini tidak muncul di halaman produk Lenovo Indonesia (halaman itu menampilkan Core Ultra), tetapi dijual di toko resmi Lenovo di Tokopedia dan Blibli.</t>
  </si>
  <si>
    <t xml:space="preserve">dell-inspiron-15-3530-i7-1355u-16-512</t>
  </si>
  <si>
    <t xml:space="preserve">Intel Core i7-1355U</t>
  </si>
  <si>
    <t xml:space="preserve">Intel Iris Xe Graphics (96 EU)</t>
  </si>
  <si>
    <t xml:space="preserve">PCIe NVMe (generasi tidak disebut)</t>
  </si>
  <si>
    <t xml:space="preserve">Buku panduan resmi Dell Inspiron 15 3530 (edisi 'dengan USB Type-C', untuk konfigurasi Core generasi 13): memori 2 slot SODIMM DDR4, maksimal 16 GB, 16 GB berarti 2 x 8 GB dual-channel 2666 MHz; slot dalam: satu slot M.2 untuk SSD (2230 atau 2280) dan satu slot M.2 2230 khusus kartu Wi-Fi; manual juga memuat prosedur lepas-pasang SSD M.2 sebagai bagian yang bisa diganti sendiri: https://www.dell.com/support/manuals/en-us/inspiron-15-3530-laptop/inspiron_3530_rpl_om/memory ; https://www.dell.com/support/manuals/en-us/inspiron-15-3530-laptop/inspiron_3530_rpl_om/internal-slots ; lembar spek Dell: https://www.delltechnologies.com/asset/en-us/products/laptops-and-2-in-1s/technical-support/inspiron-15-3530-3535-tech-specs.pdf . Kingston menulis batas 32 GB, tetapi angka Dell (16 GB) yang dipakai. Ada edisi manual lain (satu slot, maksimal 8 GB) yang berlaku untuk prosesor N100/N305, bukan untuk unit ini.</t>
  </si>
  <si>
    <t xml:space="preserve">Kombinasi i7-1355U, RAM 2 x 8 GB, SSD 512 GB, layar 120 Hz, baterai 54 Wh, keyboard tanpa lampu, Windows 11 Home Single Language, Office Home &amp; Student 2021 dan garansi 2 tahun Dell Premium Support Onsite diambil dari listing toko Dell resmi di Tokopedia (Dell Technologies by Yolori), lalu dicocokkan dengan lembar spek dan buku panduan Dell. Dell menjual bodi plastik (webcam 720p, USB-C hanya data) dan bodi aluminium (USB-C fungsi penuh, ada listing dengan webcam 1080p); listing tidak menyebut jenis bodinya, jadi bahan, jenis USB-C, pengisian lewat USB-C dan webcam diisi unknown. Bobot 1,65 kg dari listing dan Dell menulis bobot 'mulai dari' 1,62 sampai 1,65 kg. Sidik jari hanya opsional di spek Dell. Versi Bluetooth tidak disebut Dell.</t>
  </si>
  <si>
    <t xml:space="preserve">hp-pavilion-plus-14-ew0021tu-i5-1335u-16-512</t>
  </si>
  <si>
    <t xml:space="preserve">14-ew0021TU (8R291PA#AR6)</t>
  </si>
  <si>
    <t xml:space="preserve">Hanya bagian RAM yang terverifikasi: halaman spek resmi HP seri Pavilion Plus 14-ew0000 menulis RAM 16 GB LPDDR5x-5200 (onboard, dual channel): https://support.hp.com/au-en/document/ish_9215148-9215192-16 . Slot SSD, bentuk SSD dan apakah bisa diganti TIDAK ketemu (buku servis HP 14-ew0000 tidak bisa ditemukan; teardown yang ketemu hanya untuk seri 14-eh0000), jadi dikosongkan sebagai unknown. SSD 512 GB PCIe Gen 4 NVMe TLC M.2 dari kutipan lembar spek HP di listing Laptop Project.</t>
  </si>
  <si>
    <t xml:space="preserve">Halaman dukungan HP untuk seri 14-ew0000 menggabung banyak varian. Dari situ dipakai hanya yang pasti berlaku: CPU/RAM onboard 16 GB, port, webcam 5 MP IR, keyboard berlampu, Bluetooth 5.3 (kedua pilihan kartu Wi-Fi menyebut 5.3), dan rilis September 2023. Layar, baterai 51 Wh dan Wi-Fi 6 (kartu MediaTek MT7921) diambil dari kutipan lembar spek HP kode ini di listing Laptop Project dan penjelasan Erablue; halaman HP menulis layar WQXGA 120 Hz untuk model i5 dan Wi-Fi 6E sebagai pilihan lain, sehingga bisa saja ada perbedaan antar negara; refresh rate dikosongkan. Bobot dikosongkan karena HP menulis 'mulai 1,44 kg' sedangkan penjual menulis 1,38 kg. Bahan 'Campuran' (logam dan plastik) berasal dari penjelasan Erablue dan ulasan PCWorld versi OLED, bukan dari halaman HP. Pasar dan garansi dikosongkan: dua penjual menulis garansi resmi 2 tahun, tetapi tidak ada halaman resmi HP Indonesia untuk kode ini (toko resmi HP sudah memajang OmniBook sebagai pengganti Pavilion).</t>
  </si>
  <si>
    <t xml:space="preserve">asus-expertbook-p1-p1403cva-core5-210h-8-512</t>
  </si>
  <si>
    <t xml:space="preserve">P1403CVA-S65852WS (90NX0871-M01L30)</t>
  </si>
  <si>
    <t xml:space="preserve">Laptop untuk kerja (ExpertBook seri P)</t>
  </si>
  <si>
    <t xml:space="preserve">Halaman spek ASUS Indonesia ExpertBook P1 (P1403): dua slot DDR5 SO-DIMM (model berakhiran CVA memakai DDR5-5200), maksimal 64 GB, serta dua slot M.2 (satu 2280 PCIe 4.0 x4 dan satu 2230 PCIe 4.0 x4, termasuk yang terpakai): https://www.asus.com/id/laptops/for-work/expertbook/expertbook-p1-p1403/techspec/ . Konfigurasi unit ini (RAM '8GB DDR5 SO-DIMM', SSD 512GB M.2 2280, 'Upgradable: perlu membuka casing bawah/atas') dari lembar spek ASUS yang dimuat di listing ASUS ExpertBook Official Store: https://www.tokopedia.com/asus-expertbook-official-store/asus-expertbook-p1-p1403cva-s65852ws-intel-5-210h-ddr5-8g-512g-2280-pcie-g4-14-0-vips-fhd-1920x1080-win-11-home-ohs-m365-50wh-wifi6-3y-1y-adp-fingerprint-backpack-mcafee-1y-expertme-1735047157213267080 . Jumlah slot RAM kosong (1) dan mode satu jalur disimpulkan dari RAM 8 GB yang ditulis sebagai satu keping; ASUS tidak menulis 'slot kosong' secara eksplisit.</t>
  </si>
  <si>
    <t xml:space="preserve">Spek unit ini (Core 5 210H, RAM 8 GB, SSD 512 GB, layar, port, Wi-Fi 6 + Bluetooth 5.4, baterai 50 Wh, sidik jari, garansi 3 tahun) diambil dari lembar spek ASUS di listing ASUS ExpertBook Official Store untuk kode P1403CVA-S65852WS. Halaman spek ASUS Indonesia menggabung banyak prosesor, RAM, baterai dan dua kode (CVA dan CVAY), jadi hanya dipakai untuk hal yang pasti berlaku (slot, port, batas RAM, Windows 11 Home hanya edisi Single Language). Panel ASUS menulis 'wide view' (listing: IPS-level) dan dicatat IPS. Office 'Home 2024' dicatat sebagai permanen, dan paket juga memuat langganan Microsoft 365 Basic. Garansi 3 tahun (termasuk 1 tahun perlindungan kerusakan tidak sengaja) tertulis di judul listing toko resmi ASUS. Bobot dikosongkan: ASUS menulis 'mulai 1,40 kg' sedangkan listing toko resmi menulis dua angka (1,45 dan 1,26 kg) tanpa penjelasan. Lampu keyboard dan tahun rilis tidak ditemukan untuk kode ini.</t>
  </si>
  <si>
    <t xml:space="preserve">asus-vivobook-pro-15-oled-n6506-u9-285h-rtx4050-24-1tb</t>
  </si>
  <si>
    <t xml:space="preserve">N6506CU-OLEDS9211M</t>
  </si>
  <si>
    <t xml:space="preserve">Vivobook Pro, laptop kreator dengan layar OLED (tampil di kategori 'untuk kreator' di situs ASUS Indonesia)</t>
  </si>
  <si>
    <t xml:space="preserve">Intel Core Ultra 9 285H</t>
  </si>
  <si>
    <t xml:space="preserve">Halaman spek resmi ASUS Indonesia (https://www.asus.com/id/laptops/for-home/vivobook/asus-vivobook-pro-15-oled-n6506/techspec/): RAM '8GB DDR5 on board' + '16GB DDR5 SO-DIMM', 'Max Total system memory up to 24GB', daftar slot '2x M.2 2280 PCIe 4.0x4' (termasuk yang terpakai) dan '1x DDR5 SO-DIMM slot'. Halaman ASUS ini digabung untuk dua kode (N6506MU dan N6506CU) tetapi baris memori/penyimpanan sama untuk keduanya. Tidak ada bay 2,5 inci di daftar slot.</t>
  </si>
  <si>
    <t xml:space="preserve">RAM: 8 GB menempel di papan + 1 slot SO-DIMM yang sudah berisi 16 GB, batas total 24 GB menurut ASUS Indonesia. SSD: 1 TB di salah satu dari 2 slot M.2 2280 PCIe 4.0 x4, jadi SSD bisa diganti dan masih ada 1 slot kosong untuk tambahan. Halaman spek ASUS menggabung kode N6506MU (Core Ultra 7 155H) dan N6506CU (Core Ultra 9 285H); yang dicatat di sini N6506CU karena itu yang dijual penjual Indonesia (CPU, HDMI 2.1 FRL, kunci Copilot, Office Home 2024 + Microsoft 365 Basic diambil dari kolom CU; penjual menulis 'Home &amp; Student 2024'). Resolusi layar 2880x1620 tidak ada di daftar pilihan, jadi diisi 'lainnya'. Daya (watt) kartu grafis tidak disebut ASUS; Notebookcheck hanya menulis kisaran 35-115 W untuk RTX 4050, tidak spesifik unit ini, jadi dikosongkan. Lampu keyboard 'ya' dan bahan plastik diambil dari Notebookcheck/ulasan, bukan dari halaman ASUS. Garansi dikosongkan: penjual marketplace menulis garansi resmi 2 tahun, sedangkan halaman berita resmi ASUS Indonesia (https://www.asus.com/id/news/asus-tegaskan-komitmen-sebagai-brand-no-1-quality-service-di-indonesia/) menulis garansi internasional 3 tahun untuk lini Vivobook Pro mulai 2026; angka mana yang berlaku untuk unit yang dibeli perlu dipastikan ke penjual. Yang tidak dicatat: N6506MU (Core Ultra 7 155H) yang stoknya habis di dua toko yang dibuka.</t>
  </si>
  <si>
    <t xml:space="preserve">asus-vivobook-s14-s3407qa-x1-26-100-16-512</t>
  </si>
  <si>
    <t xml:space="preserve">S3407QA-OLEDP151M (Matte Gray) / S3407QA-OLEDP152M (Cool Silver)</t>
  </si>
  <si>
    <t xml:space="preserve">Vivobook S, Copilot+ PC</t>
  </si>
  <si>
    <t xml:space="preserve">Qualcomm Snapdragon X X1-26-100</t>
  </si>
  <si>
    <t xml:space="preserve">Qualcomm Adreno X1-45</t>
  </si>
  <si>
    <t xml:space="preserve">Halaman spek resmi ASUS Indonesia (https://www.asus.com/id/laptops/for-home/vivobook/asus-vivobook-s14-s3407q/techspec/): memori '16GB LPDDR5X on board' (satu-satunya pilihan RAM), penyimpanan 'M.2 NVMe PCIe 4.0 SSD' 512 GB/1 TB, daftar slot '1x M.2 2280 PCIe 4.0x4 (termasuk yang terpakai)'; tidak ada slot RAM dan tidak ada bay 2,5 inci.</t>
  </si>
  <si>
    <t xml:space="preserve">RAM 16 GB menempel di papan (tidak ada slot, tidak bisa ditambah). SSD berbentuk M.2 2280 di satu-satunya slot, jadi bisa diganti dengan SSD M.2 2280. Halaman ASUS Indonesia menggabung dua layar (OLED 1920x1200 dan IPS 2560x1600) dan dua ukuran SSD tanpa memetakan ke kode; panel OLED dan resolusi 1920x1200 di sini diambil dari judul dan deskripsi listing resmi ASUS Indonesia di Tokopedia untuk kode OLEDP152M, sedangkan versi IPS 2.5K (kode IPSP151M/152M, sekitar Rp14 juta) tidak dicatat. Garansi 36 bulan berdasarkan halaman berita resmi ASUS Indonesia yang menyebut garansi internasional 3 tahun untuk Vivobook S (https://www.asus.com/id/news/asus-tegaskan-komitmen-sebagai-brand-no-1-quality-service-di-indonesia/) dan sejalan dengan tulisan penjual. Soal kompatibilitas aplikasi Windows di ARM lihat 'waspada'. Office 'Home 2024 + Microsoft 365 Basic' menurut ASUS; penjual menulis 'Home &amp; Student 2024'. Kecepatan RAM tidak ditulis di halaman ASUS.</t>
  </si>
  <si>
    <t xml:space="preserve">lenovo-yoga-7-2-in-1-14ill10-u7-258v-32-1tb</t>
  </si>
  <si>
    <t xml:space="preserve">83JQ007CID</t>
  </si>
  <si>
    <t xml:space="preserve">Yoga 7i 2-in-1 Gen 10, laptop premium convertible (Copilot+ PC)</t>
  </si>
  <si>
    <t xml:space="preserve">Intel Core Ultra 7 258V</t>
  </si>
  <si>
    <t xml:space="preserve">Intel Arc Graphics 140V (8 inti Xe2)</t>
  </si>
  <si>
    <t xml:space="preserve">Spesifikasi resmi Lenovo PSREF Yoga 7 2-in-1 14ILL10 (https://psref.lenovo.com/syspool/Sys/PDF/Yoga/Yoga_7_2_in_1_14ILL10/Yoga_7_2_in_1_14ILL10_Spec.PDF): memori 'LPDDR5X-8533, MoP (memory on package)', 'Memory soldered to systemboard, no slots, dual-channel', '32GB soldered memory, not upgradable'; penyimpanan 'One M.2 2242 PCIe 4.0 x4 slot', 'One drive, up to 1TB M.2 2242 SSD'. Notebookcheck (https://www.notebookcheck.net/1-000-nit-OLED-at-120-Hz-inside-a-convertible-Lenovo-Yoga-7-14-2in1-G10-review.991565.0.html) menambahkan bahwa SSD M.2-2242 bisa dijangkau setelah penutup bawah dibuka (unit 83JQ0013GE).</t>
  </si>
  <si>
    <t xml:space="preserve">RAM 32 GB menempel di prosesor (tidak ada slot, tidak bisa ditambah). SSD 1 TB di satu-satunya slot M.2 2242, bisa dilepas dan diganti tetapi harus berukuran 2242. Spesifikasi dari PSREF Lenovo yang menggabung banyak pilihan; yang dipakai di sini: CPU/RAM/SSD sesuai judul listing 83JQ007CID, layar OLED 2880x1800 120 Hz sesuai judul listing dan berita peluncuran Detik (https://inet.detik.com/consumer/d-8255336/lenovo-yoga-7i-2-in-1-copilot-pc-tampil-mewah-dengan-vegan-leather/amp), bobot 1,38 kg (angka PSREF untuk layar OLED; Dinomarket menulis 1,28 kg). Kamera (5 MP atau 1080p) dan sidik jari ada pilihannya di PSREF sehingga dikosongkan. Edisi 'Single Language' dari listing Archie Tech; Office Home &amp; Student 2024 + Microsoft 365 Basic setahun menurut berita Detik. Garansi dikosongkan: PSREF hanya menyebut pilihan 1-3 tahun; Dinomarket menulis garansi distributor 1 tahun sedangkan Archie Tech menulis 3 tahun ADP + Premium Care (berita Detik: Premium Care 3 tahun). Harga peluncuran di Indonesia Rp22.999.000 (Detik, Desember 2025). Ada varian lain (Core Ultra 5 226V 16 GB/512 GB, Core Ultra 7 256V 16 GB/1 TB, sekitar Rp20-24 juta) yang tidak dicatat di sini.</t>
  </si>
  <si>
    <t xml:space="preserve">CPU: satu baris untuk satu prosesor</t>
  </si>
  <si>
    <t xml:space="preserve">Tingkat 1-5 adalah penilaian kita sendiri (usulan awal); alasannya wajib diisi. Tab Varian memilih CPU dari sini.</t>
  </si>
  <si>
    <t xml:space="preserve">Nama prosesor
nama</t>
  </si>
  <si>
    <t xml:space="preserve">Produsen
produsen</t>
  </si>
  <si>
    <t xml:space="preserve">Generasi / seri
generasi</t>
  </si>
  <si>
    <t xml:space="preserve">Nama kode
kode</t>
  </si>
  <si>
    <t xml:space="preserve">Tahun rilis
tahun</t>
  </si>
  <si>
    <t xml:space="preserve">Jumlah inti
core</t>
  </si>
  <si>
    <t xml:space="preserve">Jumlah thread
thread</t>
  </si>
  <si>
    <t xml:space="preserve">Kelas daya
kelas</t>
  </si>
  <si>
    <t xml:space="preserve">Resmi Windows 11?
win11</t>
  </si>
  <si>
    <t xml:space="preserve">Tingkat (1-5)
tier</t>
  </si>
  <si>
    <t xml:space="preserve">Alasan tingkat
alasan</t>
  </si>
  <si>
    <t xml:space="preserve">Penjelasan bahasa awam
awam</t>
  </si>
  <si>
    <t xml:space="preserve">Sumber
sumber</t>
  </si>
  <si>
    <t xml:space="preserve">Tanggal diperiksa
tgl</t>
  </si>
  <si>
    <t xml:space="preserve">Intel</t>
  </si>
  <si>
    <t xml:space="preserve">Core generasi ke-12</t>
  </si>
  <si>
    <t xml:space="preserve">Alder Lake</t>
  </si>
  <si>
    <t xml:space="preserve">hemat</t>
  </si>
  <si>
    <t xml:space="preserve">(CONTOH) Cukup untuk kuliah dan kerja kantoran; kurang untuk render video berat.</t>
  </si>
  <si>
    <t xml:space="preserve">(CONTOH) Otak laptop yang kuat untuk pekerjaan harian.</t>
  </si>
  <si>
    <t xml:space="preserve">(contoh) situs resmi Intel</t>
  </si>
  <si>
    <t xml:space="preserve">AMD</t>
  </si>
  <si>
    <t xml:space="preserve">Ryzen 5 seri 7000 (U)</t>
  </si>
  <si>
    <t xml:space="preserve">Barcelo-R</t>
  </si>
  <si>
    <t xml:space="preserve">6 inti 12 thread, boost sampai 4,3 GHz, daya 15 W. Cukup untuk kuliah, kerja kantoran, dan banyak tab terbuka; masih di bawah prosesor kelas 45 W untuk render atau kompilasi berat.</t>
  </si>
  <si>
    <t xml:space="preserve">Otak laptop kelas menengah dengan 6 inti. Bisa mengerjakan beberapa hal sekaligus dengan lancar dan tetap hemat baterai.</t>
  </si>
  <si>
    <t xml:space="preserve">AMD: https://www.amd.com/en/products/processors/laptop/ryzen/7000-series/amd-ryzen-5-7430u.html (daftar sistem operasi yang didukung memuat Windows 11). Prosesor ini tidak ada di daftar AMD milik Microsoft, tetapi ASUS menjual M1405YA dengan Windows 11.</t>
  </si>
  <si>
    <t xml:space="preserve">Core generasi ke-13</t>
  </si>
  <si>
    <t xml:space="preserve">Raptor Lake</t>
  </si>
  <si>
    <t xml:space="preserve">10 inti (2 inti performa + 8 inti hemat) 12 thread, turbo sampai 4,6 GHz, daya dasar 15 W. Lancar untuk kuliah dan kerja kantoran; kurang untuk render atau kompilasi besar.</t>
  </si>
  <si>
    <t xml:space="preserve">Otak laptop kelas menengah generasi ke-13. Cepat untuk pekerjaan harian dan tetap hemat baterai.</t>
  </si>
  <si>
    <t xml:space="preserve">Intel ARK: https://www.intel.com/content/www/us/en/products/sku/232153/specifications.html Windows 11: https://learn.microsoft.com/en-us/windows-hardware/design/minimum/supported/windows-11-supported-intel-processors (baris 13th Generation Core i5).</t>
  </si>
  <si>
    <t xml:space="preserve">Celeron N4000</t>
  </si>
  <si>
    <t xml:space="preserve">Gemini Lake Refresh</t>
  </si>
  <si>
    <t xml:space="preserve">2 inti 2 thread, kecepatan dasar 1,1 GHz (burst 2,8 GHz), daya 6 W, RAM maksimal 8 GB. Cukup untuk dokumen dan internet ringan; terasa lambat bila banyak tab atau aplikasi dibuka sekaligus.</t>
  </si>
  <si>
    <t xml:space="preserve">Otak laptop paling sederhana. Hemat daya, tetapi mudah kewalahan kalau banyak yang dibuka sekaligus.</t>
  </si>
  <si>
    <t xml:space="preserve">Intel ARK: https://www.intel.com/content/www/us/en/products/sku/197310/specifications.html Windows 11: https://learn.microsoft.com/en-us/windows-hardware/design/minimum/supported/windows-11-supported-intel-processors (baris Celeron N4000 Series).</t>
  </si>
  <si>
    <t xml:space="preserve">Core generasi ke-8</t>
  </si>
  <si>
    <t xml:space="preserve">Kaby Lake R</t>
  </si>
  <si>
    <t xml:space="preserve">4 inti 8 thread (1,7 GHz dasar, 3,6 GHz turbo), daya 15 W. Cukup untuk dokumen, internet, dan kuliah; intinya lebih sedikit dan lebih tua daripada prosesor generasi ke-13 (i5-1335U: 10 inti).</t>
  </si>
  <si>
    <t xml:space="preserve">Otak laptop kelas menengah dari generasi lama (2017). Masih cukup untuk tugas harian, tetapi lebih lambat daripada prosesor baru.</t>
  </si>
  <si>
    <t xml:space="preserve">Intel ARK: https://www.intel.com/content/www/us/en/products/sku/124969/specifications.html Windows 11: https://learn.microsoft.com/en-us/windows-hardware/design/minimum/supported/windows-11-supported-intel-processors (baris 8th Generation Core i5).</t>
  </si>
  <si>
    <t xml:space="preserve">Whiskey Lake</t>
  </si>
  <si>
    <t xml:space="preserve">4 inti 8 thread (1,6 GHz dasar, 3,9 GHz turbo), daya 15 W. Cukup untuk dokumen, internet, dan kuliah; intinya lebih sedikit dan lebih tua daripada prosesor generasi ke-13.</t>
  </si>
  <si>
    <t xml:space="preserve">Otak laptop kelas menengah dari generasi lama (2018). Masih cukup untuk tugas harian, tetapi lebih lambat daripada prosesor baru.</t>
  </si>
  <si>
    <t xml:space="preserve">Intel ARK: https://www.intel.com/content/www/us/en/products/sku/149088/specifications.html Windows 11: https://learn.microsoft.com/en-us/windows-hardware/design/minimum/supported/windows-11-supported-intel-processors (baris 8th Generation Core i5).</t>
  </si>
  <si>
    <t xml:space="preserve">4 inti 8 thread (1,6 GHz dasar, 4,1 GHz turbo), daya 15 W, mendukung vPro. Cukup untuk dokumen, internet, dan kuliah; intinya lebih sedikit dan lebih tua daripada prosesor generasi ke-13.</t>
  </si>
  <si>
    <t xml:space="preserve">Otak laptop kelas menengah dari generasi lama (2019), dengan fitur pengelolaan jarak jauh untuk kantor (vPro). Masih cukup untuk tugas harian.</t>
  </si>
  <si>
    <t xml:space="preserve">Intel ARK: https://www.intel.com/content/www/us/en/products/sku/193555/intel-core-i58365u-processor-6m-cache-up-to-4-10-ghz/specifications.html Windows 11: https://learn.microsoft.com/en-us/windows-hardware/design/minimum/supported/windows-11-supported-intel-processors (baris 8th Generation Core i5).</t>
  </si>
  <si>
    <t xml:space="preserve">Core Ultra Seri 1 (H)</t>
  </si>
  <si>
    <t xml:space="preserve">Meteor Lake</t>
  </si>
  <si>
    <t xml:space="preserve">performa</t>
  </si>
  <si>
    <t xml:space="preserve">14 inti (4 performa + 8 hemat daya + 2 hemat daya tambahan) dan 18 thread, kecepatan sampai 4,5 GHz, daya dasar 28 W dengan puncak sekitar 115 W. Ini prosesor kelas H, bukan kelas U 15 W seperti Ryzen 5 7430U atau Core i5-1335U (keduanya tingkat 3 di katalog ini), jadi lebih kuat untuk kompilasi proyek besar atau edit video menengah.</t>
  </si>
  <si>
    <t xml:space="preserve">Prosesor kelas performa yang tipis tapi bertenaga; cocok untuk pemrograman proyek besar, banyak aplikasi sekaligus, dan edit video menengah.</t>
  </si>
  <si>
    <t xml:space="preserve">Intel ARK (halaman produk Core Ultra 5 125H); angka inti, daya, dan kecepatan dicocokkan dengan Notebookcheck: https://www.notebookcheck.net/Intel-Core-Ultra-5-125H-Processor-Benchmarks-and-Specs.783325.0.html</t>
  </si>
  <si>
    <t xml:space="preserve">Ryzen seri 7000 (U)</t>
  </si>
  <si>
    <t xml:space="preserve">Mendocino (Zen 2)</t>
  </si>
  <si>
    <t xml:space="preserve">4 inti dan 8 thread, kecepatan 2,8 GHz sampai 4,3 GHz, daya dasar 15 W, cache L3 4 MB, memakai desain Zen 2 yang sudah lama. Cukup untuk kuliah dan kantor, tetapi terasa berat bila banyak aplikasi dibuka bersamaan.</t>
  </si>
  <si>
    <t xml:space="preserve">Prosesor hemat daya untuk tugas harian seperti dokumen, browsing, dan video call.</t>
  </si>
  <si>
    <t xml:space="preserve">https://www.amd.com/en/products/processors/laptop/ryzen/7000-series/amd-ryzen-5-7520u.html</t>
  </si>
  <si>
    <t xml:space="preserve">4 inti dan 8 thread, kecepatan 2,4 GHz sampai 4,1 GHz, daya dasar 15 W, cache L3 4 MB, desain Zen 2. Sedikit di bawah Ryzen 5 7520U (kecepatan puncak 4,1 GHz lawan 4,3 GHz), tetap cukup untuk kuliah dan kantor ringan.</t>
  </si>
  <si>
    <t xml:space="preserve">Prosesor hemat daya untuk dokumen, browsing, dan video call; jangan berharap kencang untuk pekerjaan berat.</t>
  </si>
  <si>
    <t xml:space="preserve">https://www.amd.com/en/products/processors/laptop/ryzen/7000-series/amd-ryzen-3-7320u.html</t>
  </si>
  <si>
    <t xml:space="preserve">Core generasi ke-12 (H)</t>
  </si>
  <si>
    <t xml:space="preserve">Alder Lake-H</t>
  </si>
  <si>
    <t xml:space="preserve">8 inti (4 inti performa sampai 4,4 GHz + 4 inti hemat sampai 3,3 GHz) dengan 12 thread, daya dasar 45 W, cache 12 MB. Kelas H paling bawah: lebih bertenaga dari seri U untuk banyak aplikasi sekaligus dan pemrograman umum, tetapi bukan untuk render berat terus-menerus.</t>
  </si>
  <si>
    <t xml:space="preserve">Prosesor bertenaga menengah untuk kuliah, kantor, banyak aplikasi sekaligus, dan edit ringan.</t>
  </si>
  <si>
    <t xml:space="preserve">https://www.intel.com/content/www/us/en/products/sku/132222/intel-core-i512450h-processor-12m-cache-up-to-4-40-ghz/specifications.html</t>
  </si>
  <si>
    <t xml:space="preserve">Intel Core Seri 1 (U)</t>
  </si>
  <si>
    <t xml:space="preserve">Raptor Lake-U Refresh</t>
  </si>
  <si>
    <t xml:space="preserve">seimbang</t>
  </si>
  <si>
    <t xml:space="preserve">10 inti (2 inti performa + 8 inti hemat daya), 12 thread, kecepatan hingga 5,0 GHz, daya dasar 15 W (puncak 55 W). Sekelas Core i5 seri U generasi 13 untuk kuliah dan kantor dengan banyak aplikasi terbuka.</t>
  </si>
  <si>
    <t xml:space="preserve">Prosesor hemat daya untuk laptop tipis; lancar untuk tugas harian dan membuka banyak aplikasi sekaligus.</t>
  </si>
  <si>
    <t xml:space="preserve">Intel ARK: https://www.intel.com/content/www/us/en/products/sku/236796/intel-core-5-processor-120u-12m-cache-up-to-5-00-ghz/specifications.html</t>
  </si>
  <si>
    <t xml:space="preserve">Intel Core Seri 2 (H)</t>
  </si>
  <si>
    <t xml:space="preserve">Raptor Lake (seri H)</t>
  </si>
  <si>
    <t xml:space="preserve">8 inti (4 performa + 4 hemat daya), 12 thread, hingga 4,8 GHz, daya dasar 45 W (puncak 115 W). Susunan intinya sama dengan Core i5-12450H, jadi diberi tingkat yang sama: lebih lega daripada seri U (15 W) untuk banyak aplikasi sekaligus, tetapi belum sekuat kelas H 10 inti untuk kompilasi besar atau edit video menengah.</t>
  </si>
  <si>
    <t xml:space="preserve">Prosesor bertenaga lebih besar daripada laptop tipis biasa; kuat untuk kerja yang lebih berat sesekali seperti edit video dan program besar.</t>
  </si>
  <si>
    <t xml:space="preserve">Intel ARK: https://www.intel.com/content/www/us/en/products/sku/241652/intel-core-5-processor-210h-12m-cache-up-to-4-80-ghz/specifications.html ; Lenovo PSREF 14IRH10R</t>
  </si>
  <si>
    <t xml:space="preserve">Core Ultra Seri 3</t>
  </si>
  <si>
    <t xml:space="preserve">Panther Lake</t>
  </si>
  <si>
    <t xml:space="preserve">8 inti (4 performa + 4 hemat daya) dan 8 thread, turbo sampai 4,7 GHz, daya dasar 25 W (puncak 55 W). Cukup lega untuk kuliah, kantor, dan banyak aplikasi sekaligus, tetapi jumlah thread-nya lebih sedikit daripada kelas H (45 W) sehingga kurang untuk kompilasi besar atau edit video berat.</t>
  </si>
  <si>
    <t xml:space="preserve">Otak laptop generasi terbaru yang hemat daya. Lancar untuk pekerjaan harian dan banyak tab terbuka, bukan untuk kerja berat terus-menerus.</t>
  </si>
  <si>
    <t xml:space="preserve">Intel ARK: https://www.intel.com/content/www/us/en/products/sku/245722/intel-core-ultra-7-processor-355-12m-cache-up-to-4-70-ghz/specifications.html ; Lenovo PSREF ThinkBook 14 G9 IPL</t>
  </si>
  <si>
    <t xml:space="preserve">Ryzen AI seri 300</t>
  </si>
  <si>
    <t xml:space="preserve">Krackan Point</t>
  </si>
  <si>
    <t xml:space="preserve">6 inti (3 inti Zen 5 + 3 inti Zen 5c) dan 12 thread, kecepatan dasar 2,0 GHz dan boost sampai 4,8 GHz, daya standar 28 W (bisa diatur 15 sampai 54 W). Lancar untuk kuliah, kantor, pemrograman umum, dan banyak aplikasi sekaligus; di bawah kelas H berdaya 45 W untuk render atau kompilasi berat.</t>
  </si>
  <si>
    <t xml:space="preserve">Otak laptop kelas menengah generasi baru dengan 6 inti. Cepat untuk pekerjaan harian dan tetap hemat baterai.</t>
  </si>
  <si>
    <t xml:space="preserve">AMD: https://www.amd.com/en/products/processors/laptop/ryzen/ai-300-series/amd-ryzen-ai-5-340.html</t>
  </si>
  <si>
    <t xml:space="preserve">Apple M seri ke-5</t>
  </si>
  <si>
    <t xml:space="preserve">M5 (proses TSMC N3P)</t>
  </si>
  <si>
    <t xml:space="preserve">10 inti (4 inti performa yang Apple sebut 'super' + 6 inti hemat daya), bandwidth memori 153 GB/s, dipasang tanpa kipas di MacBook Air. Jumlah inti dan kecepatan memorinya cukup untuk kompilasi program atau edit video menengah sesekali, tetapi tanpa kipas sehingga kerja berat berkepanjangan bisa melambat. Apple tidak menulis kecepatan GHz di halaman spek.</t>
  </si>
  <si>
    <t xml:space="preserve">Otak laptop buatan Apple yang bertenaga besar tetapi hemat baterai. Tidak bisa menjalankan Windows secara resmi karena memakai macOS.</t>
  </si>
  <si>
    <t xml:space="preserve">Apple Indonesia: https://www.apple.com/id/macbook-air/specs/ ; Wikipedia Apple M5: https://en.wikipedia.org/wiki/Apple_M5</t>
  </si>
  <si>
    <t xml:space="preserve">Ryzen seri 7000 (HS)</t>
  </si>
  <si>
    <t xml:space="preserve">Rembrandt-R (Zen 3+)</t>
  </si>
  <si>
    <t xml:space="preserve">8 inti, 16 thread, kecepatan dasar 3,1 GHz hingga 4,5 GHz, daya bawaan 45 W (bisa diatur 35-54 W), dibuat dengan teknologi 6 nm. Kelas H/HS jauh lebih bertenaga daripada prosesor hemat daya (seri U) untuk kompilasi program besar dan edit video menengah.</t>
  </si>
  <si>
    <t xml:space="preserve">Prosesor bertenaga besar untuk laptop gaming; kuat untuk game dan kerja berat sesekali, tapi boros baterai dan butuh charger besar.</t>
  </si>
  <si>
    <t xml:space="preserve">AMD: https://www.amd.com/en/products/processors/laptop/ryzen/7000-series/amd-ryzen-7-7435hs.html</t>
  </si>
  <si>
    <t xml:space="preserve">Core generasi ke-13 (HX)</t>
  </si>
  <si>
    <t xml:space="preserve">Raptor Lake-HX</t>
  </si>
  <si>
    <t xml:space="preserve">16 inti (8 performa + 8 hemat daya), 24 thread, hingga 5,0 GHz, daya dasar 55 W dengan puncak 157 W. Kelas HX adalah kelas tenaga terbesar untuk laptop, cocok untuk render, kompilasi besar, dan game berat.</t>
  </si>
  <si>
    <t xml:space="preserve">Prosesor laptop kelas tenaga besar dengan banyak inti; sangat kuat untuk kerja berat terus-menerus, tapi panas dan boros daya.</t>
  </si>
  <si>
    <t xml:space="preserve">Intel ARK: https://www.intel.com/content/www/us/en/products/sku/232166.html</t>
  </si>
  <si>
    <t xml:space="preserve">10 inti (6 performa + 4 hemat daya), 16 thread, hingga 4,6 GHz, daya dasar 55 W dengan puncak 157 W. Kelas HX, satu tingkat di bawah i7-13700HX tetapi jauh di atas seri U untuk kerja berat sesekali dan game.</t>
  </si>
  <si>
    <t xml:space="preserve">Prosesor laptop gaming kelas menengah-atas; kuat untuk game dan kerja berat sesekali, tapi lebih boros daya daripada laptop tipis.</t>
  </si>
  <si>
    <t xml:space="preserve">Intel ARK: https://www.intel.com/content/www/us/en/products/sku/232132.html</t>
  </si>
  <si>
    <t xml:space="preserve">Core generasi ke-13 (H)</t>
  </si>
  <si>
    <t xml:space="preserve">Raptor Lake-H</t>
  </si>
  <si>
    <t xml:space="preserve">10 inti (6 performa + 4 hemat daya), 16 thread, hingga 4,9 GHz, daya dasar 45 W dengan puncak 115 W. Kelas H jauh lebih bertenaga daripada seri U (15 W) untuk kompilasi program atau edit video menengah.</t>
  </si>
  <si>
    <t xml:space="preserve">Prosesor bertenaga untuk laptop gaming kelas menengah; kuat untuk game dan kerja berat sesekali.</t>
  </si>
  <si>
    <t xml:space="preserve">Intel ARK: https://www.intel.com/content/www/us/en/products/sku/232130.html</t>
  </si>
  <si>
    <t xml:space="preserve">10 inti (6 performa + 4 hemat daya), 16 thread, hingga 5,2 GHz, daya dasar 45 W dengan puncak 115 W. Hampir sama dengan Core i7-13620H dengan kecepatan puncak sedikit lebih tinggi; kelas H jauh di atas seri U untuk kerja berat sesekali.</t>
  </si>
  <si>
    <t xml:space="preserve">Prosesor bertenaga untuk laptop gaming kelas menengah; hampir setara Core i7 generasi 13 yang lebih dikenal.</t>
  </si>
  <si>
    <t xml:space="preserve">Intel ARK: https://www.intel.com/content/www/us/en/products/sku/241653/intel-core-7-processor-240h-24m-cache-up-to-5-20-ghz/specifications.html</t>
  </si>
  <si>
    <t xml:space="preserve">Core generasi ke-10</t>
  </si>
  <si>
    <t xml:space="preserve">Comet Lake</t>
  </si>
  <si>
    <t xml:space="preserve">4 inti 8 thread (1,7 GHz dasar, 4,4 GHz turbo), daya 15 W, mendukung vPro. Cukup untuk dokumen, internet, dan kuliah; intinya lebih sedikit dan lebih tua daripada prosesor generasi ke-13 (i5-1335U: 10 inti).</t>
  </si>
  <si>
    <t xml:space="preserve">Otak laptop kelas menengah dari generasi lama (2020), dengan fitur pengelolaan jarak jauh untuk kantor (vPro). Masih cukup untuk tugas harian, tetapi lebih lambat daripada prosesor baru.</t>
  </si>
  <si>
    <t xml:space="preserve">Intel ARK: https://www.intel.com/content/www/us/en/products/sku/201892/intel-core-i510310u-processor-6m-cache-up-to-4-40-ghz/specifications.html Windows 11: https://learn.microsoft.com/en-us/windows-hardware/design/minimum/supported/windows-11-supported-intel-processors (baris 10th Generation Core i5; daftar Microsoft menulis per seri, bukan per tipe).</t>
  </si>
  <si>
    <t xml:space="preserve">8 inti (4 performa + 4 hemat daya) dengan 12 thread, kecepatan puncak 4,6 GHz, daya dasar 45 W. Susunan intinya sama dengan Core i5-12450H (tingkat 3), jadi lega untuk kuliah, kantor, banyak aplikasi sekaligus, dan main game.</t>
  </si>
  <si>
    <t xml:space="preserve">Prosesor kelas menengah untuk laptop gaming murah; cepat untuk game dan tugas kuliah, tetapi tidak sekuat Core i7.</t>
  </si>
  <si>
    <t xml:space="preserve">Intel ARK: https://www.intel.com/content/www/us/en/products/sku/232173/intel-core-i513420h-processor-12m-cache-up-to-4-60-ghz/specifications.html</t>
  </si>
  <si>
    <t xml:space="preserve">Ryzen seri 8000 (HX)</t>
  </si>
  <si>
    <t xml:space="preserve">Dragon Range (Zen 4)</t>
  </si>
  <si>
    <t xml:space="preserve">16 inti dan 32 thread (Zen 4), 2,4 GHz dasar hingga 5,3 GHz, daya dasar 55 W (bisa diatur sampai 75 W). Jumlah inti dan kelas dayanya sama dengan Core i7-13700HX (tingkat 5), jadi kuat untuk render, kompilasi besar, dan game berat sekaligus.</t>
  </si>
  <si>
    <t xml:space="preserve">Prosesor sangat kencang untuk laptop gaming kelas atas; terasa lega untuk kerja berat dan game.</t>
  </si>
  <si>
    <t xml:space="preserve">AMD: https://www.amd.com/en/products/processors/laptop/ryzen/8000-series/amd-ryzen-9-8940hx.html</t>
  </si>
  <si>
    <t xml:space="preserve">14 inti (6 inti performa + 8 inti hemat daya) dan 20 thread, turbo sampai 4,9 GHz, daya dasar 55 W dan bisa naik sampai 157 W. Jauh di atas prosesor kelas U untuk kerja berat, tetapi punya 2 inti lebih sedikit daripada i7-13700HX (16 inti, tingkat 5), jadi dipasang di tingkat 4 sesuai patokan kelas H/HX 10-14 inti.</t>
  </si>
  <si>
    <t xml:space="preserve">Prosesor laptop gaming generasi 2023 yang bertenaga besar: lancar untuk game, edit video, dan banyak aplikasi sekaligus, tetapi boros daya dan menghasilkan panas.</t>
  </si>
  <si>
    <t xml:space="preserve">Intel ARK: https://www.intel.com/content/www/us/en/products/sku/232101/intel-core-i713650hx-processor-24m-cache-up-to-4-90-ghz/specifications.html ; Windows 11: laptop ini dijual dengan Windows 11 (Lenovo PSREF dan listing toko resmi Lenovo), daftar dukungan Microsoft tidak dibuka.</t>
  </si>
  <si>
    <t xml:space="preserve">Intel Core seri N (Twin Lake)</t>
  </si>
  <si>
    <t xml:space="preserve">Twin Lake</t>
  </si>
  <si>
    <t xml:space="preserve">8 inti hemat daya (tanpa inti performa) dengan 8 thread, turbo sampai 3,9 GHz, daya 15 W, hanya 1 jalur memori (maks 16 GB). Dipasang di tingkat 2 (kuliah dan kantor cukup lancar), di bawah prosesor kelas U 10 inti campuran seperti i5-1335U (tingkat 3).</t>
  </si>
  <si>
    <t xml:space="preserve">Otak laptop kelas hemat dan murah: cukup untuk dokumen, internet, dan video, tetapi bukan untuk kerja berat.</t>
  </si>
  <si>
    <t xml:space="preserve">Intel ARK: https://www.intel.com/content/www/us/en/products/sku/241639/intel-core-3-processor-n355-6m-cache-up-to-3-90-ghz/specifications.html ; Windows 11: Acer memasang Windows 11 pada laptop ini (https://www.acer.com/id-en/laptops/aspire/aspire-lite/pdp/NX.D3KSN.001), daftar Microsoft tidak dibuka.</t>
  </si>
  <si>
    <t xml:space="preserve">Core generasi ke-12 (U)</t>
  </si>
  <si>
    <t xml:space="preserve">Alder Lake-U</t>
  </si>
  <si>
    <t xml:space="preserve">10 inti (2 inti performa + 8 inti hemat daya) dan 12 thread, turbo sampai 4,4 GHz, daya dasar 15 W dan bisa naik sampai 55 W, mendukung RAM 2 jalur. Sama kelas dengan i5-1335U (10 inti, tingkat 3): lega untuk kuliah, kantor, dan banyak aplikasi sekaligus.</t>
  </si>
  <si>
    <t xml:space="preserve">Prosesor kelas menengah generasi 2022 yang hemat daya; cukup kencang untuk kuliah, kantor, dan pemrograman umum.</t>
  </si>
  <si>
    <t xml:space="preserve">Intel: https://www.intel.com/content/www/us/en/products/sku/226261/intel-core-i51235u-processor-12m-cache-up-to-4-40-ghz/specifications.html ; Windows 11: laptop Axioo ini dijual dengan pilihan Windows 11 (https://axiooworld.com/product/hype-5-gen-12-v2/specifications), daftar Microsoft tidak dibuka.</t>
  </si>
  <si>
    <t xml:space="preserve">Ryzen seri 200 (Hawk Point, Zen 4)</t>
  </si>
  <si>
    <t xml:space="preserve">Hawk Point-H</t>
  </si>
  <si>
    <t xml:space="preserve">8 inti dan 16 thread Zen 4, kecepatan dasar sekitar 3,8 GHz dan bisa naik sampai sekitar 5 GHz, daya 35-54 W (daftar Notebookcheck menulis 45 W). Kelasnya sama dengan Ryzen 7 7435HS (tingkat 4), jadi kuat untuk kompilasi dan edit video menengah.</t>
  </si>
  <si>
    <t xml:space="preserve">Prosesor 8 inti yang kencang untuk kerja berat sesekali, tapi lebih boros baterai daripada prosesor irit daya.</t>
  </si>
  <si>
    <t xml:space="preserve">https://www.notebookcheck.com/AMD-Ryzen-7-255-Prozessor-Benchmarks-und-Specs.1169505.0.html</t>
  </si>
  <si>
    <t xml:space="preserve">Core generasi ke-13 (U)</t>
  </si>
  <si>
    <t xml:space="preserve">Raptor Lake-U</t>
  </si>
  <si>
    <t xml:space="preserve">6 inti (2 inti kencang + 4 inti hemat), 8 thread, sampai 4,5 GHz, daya dasar 15 W dan puncak sekitar 55 W. Lebih lemah dari Core i5-1335U (10 inti, tingkat 3), sepadan dengan prosesor kelas U yang cukup untuk kuliah dan kantor.</t>
  </si>
  <si>
    <t xml:space="preserve">Prosesor irit daya yang cukup lancar untuk dokumen, internet, dan video, tapi tidak untuk kerja berat.</t>
  </si>
  <si>
    <t xml:space="preserve">https://techpowerup.com/cpu-specs/core-i3-1315u.c3063</t>
  </si>
  <si>
    <t xml:space="preserve">Apple M seri ke-1</t>
  </si>
  <si>
    <t xml:space="preserve">M1 (proses 5 nm)</t>
  </si>
  <si>
    <t xml:space="preserve">8 inti (4 inti performa + 4 inti hemat daya) dengan kecepatan tertinggi sekitar 3,2 GHz menurut Wikipedia; di MacBook Air dipasang tanpa kipas. Cukup lega untuk kuliah, kantor, pemrograman umum, dan edit ringan. Saya taruh di tingkat 3, satu tingkat di bawah M5 (10 inti, tingkat 4), karena intinya lebih sedikit dan tanpa kipas sehingga kerja berat yang lama bisa melambat.</t>
  </si>
  <si>
    <t xml:space="preserve">Otak laptop buatan Apple generasi pertama (2020): hemat baterai dan masih cepat untuk kerja sehari-hari. Memakai macOS, bukan Windows.</t>
  </si>
  <si>
    <t xml:space="preserve">Apple Support, spesifikasi MacBook Air (M1, 2020): https://support.apple.com/en-us/111883 ; Wikipedia Apple M1: https://en.wikipedia.org/wiki/Apple_M1</t>
  </si>
  <si>
    <t xml:space="preserve">Core generasi ke-7</t>
  </si>
  <si>
    <t xml:space="preserve">Kaby Lake</t>
  </si>
  <si>
    <t xml:space="preserve">2 inti 4 thread (2,5 GHz dasar, 3,1 GHz turbo), daya 15 W. Intinya hanya separuh dari i5 generasi ke-8 (4 inti, tingkat 2), jadi cukup untuk dokumen, internet, dan video, tetapi terasa berat bila banyak tab atau aplikasi dibuka bersamaan.</t>
  </si>
  <si>
    <t xml:space="preserve">Otak laptop kelas menengah dari generasi lama (2016) dengan 2 inti. Masih bisa untuk tugas ringan, tetapi lebih lambat dari prosesor baru dan tidak didukung resmi Windows 11.</t>
  </si>
  <si>
    <t xml:space="preserve">Intel ARK: https://www.intel.com/content/www/us/en/products/sku/95443/intel-core-i57200u-processor-3m-cache-up-to-3-10-ghz/specifications.html ; Windows 11: https://learn.microsoft.com/en-us/windows-hardware/design/minimum/supported/windows-11-supported-intel-processors (daftar Microsoft tidak memuat prosesor Core generasi ke-7; yang terawal generasi ke-8).</t>
  </si>
  <si>
    <t xml:space="preserve">6 inti (2 inti kencang + 4 inti hemat), 8 thread, turbo sampai 4,7 GHz, daya dasar 15 W (puncak 55 W). Susunan intinya sama dengan Core i3-1315U yang sudah bertingkat 2, jadi cukup untuk kuliah dan kantor tetapi di bawah kelas 10 inti (tingkat 3).</t>
  </si>
  <si>
    <t xml:space="preserve">Prosesor irit daya untuk kerja ringan: dokumen, internet, dan rapat online lancar, tapi tidak untuk kerja berat.</t>
  </si>
  <si>
    <t xml:space="preserve">Intel ARK (jadwal rilis Q1'24, 6 inti/8 thread, 4,7 GHz, 15 W): https://www.intel.com/content/www/us/en/products/sku/236776/intel-core-3-processor-100u-10m-cache-up-to-4-70-ghz/specifications.html ; penamaan 'Raptor Lake-U Refresh' mengikuti baris Core 5 120U yang sudah ada (ARK menulis 'formerly Raptor Lake'). Windows 11: Lenovo PSREF mencatat unit 21T9S00B00 berisi Windows 11 Pro: https://psref.lenovo.com/Detail/ThinkPad/ThinkPad_E14_Gen_7_Intel?M=21T9S00B00</t>
  </si>
  <si>
    <t xml:space="preserve">10 inti (2 inti kencang + 8 inti hemat), 12 thread, turbo sampai 5,0 GHz, daya dasar 15 W (puncak 55 W). Sekelas Core i5-1335U (tingkat 3) dengan clock sedikit lebih tinggi, tetap kelas irit daya untuk kuliah dan kantor.</t>
  </si>
  <si>
    <t xml:space="preserve">Prosesor irit daya yang lancar untuk banyak aplikasi sekaligus di kuliah dan kantor; belum untuk render berat.</t>
  </si>
  <si>
    <t xml:space="preserve">Intel ARK: https://www.intel.com/content/www/us/en/products/sku/232160/intel-core-i71355u-processor-12m-cache-up-to-5-00-ghz/specifications.html ; unit Dell ini memakai Windows 11 Home (listing Dell Technologies by Yolori).</t>
  </si>
  <si>
    <t xml:space="preserve">Core Ultra seri 2 (H)</t>
  </si>
  <si>
    <t xml:space="preserve">Arrow Lake-H</t>
  </si>
  <si>
    <t xml:space="preserve">16 inti (6 inti performa sampai 5,4 GHz, 8 inti hemat, 2 inti sangat hemat) dan 16 thread, daya dasar 45 W dengan puncak sampai 115 W. Ini kelas H paling atas, lebih banyak inti daripada Core Ultra 5 125H (tingkat 4); diusulkan tingkat 4 karena tingkat 5 di database dipakai untuk kelas HX.</t>
  </si>
  <si>
    <t xml:space="preserve">Prosesor kencang untuk kerja berat sesekali seperti edit video dan kompilasi besar, tetapi lebih haus daya daripada prosesor irit.</t>
  </si>
  <si>
    <t xml:space="preserve">https://www.intel.com/content/www/us/en/products/sku/241747/intel-core-ultra-9-processor-285h-24m-cache-up-to-5-40-ghz/specifications.html</t>
  </si>
  <si>
    <t xml:space="preserve">Qualcomm</t>
  </si>
  <si>
    <t xml:space="preserve">Snapdragon X (ARM)</t>
  </si>
  <si>
    <t xml:space="preserve">Oryon (Purwa)</t>
  </si>
  <si>
    <t xml:space="preserve">8 inti Oryon (8 thread) sampai sekitar 3,0 GHz dengan daya berkelanjutan sekitar 15-30 W. Di uji Cinebench R23 multi-inti skornya sekitar 7.300, sama dengan Ryzen 5 7430U (sekitar 7.000, tingkat 3), dan sekitar 7 persen di atas Core Ultra 5 325 di Cinebench 2024, jadi dinilai tingkat 3.</t>
  </si>
  <si>
    <t xml:space="preserve">Prosesor ARM hemat daya dengan tenaga setara laptop kantor kelas menengah dan baterai awet; banyak aplikasi Windows lama jalan lewat emulasi, tetapi tidak semuanya.</t>
  </si>
  <si>
    <t xml:space="preserve">https://www.notebookcheck.com/Qualcomm-Snapdragon-X1-26-100-Prozessor-Benchmarks-und-Specs.942258.0.html</t>
  </si>
  <si>
    <t xml:space="preserve">Core Ultra seri 2 (V)</t>
  </si>
  <si>
    <t xml:space="preserve">Lunar Lake</t>
  </si>
  <si>
    <t xml:space="preserve">8 inti (4 inti performa sampai 4,8 GHz + 4 inti sangat hemat) dan 8 thread, daya dasar 17 W dengan puncak 37 W. Jumlah inti dan daya setara kelas U 6-10 inti (Core 5 120U, Ryzen 5 7430U = tingkat 3); jumlah thread lebih sedikit, jadi tidak lebih tinggi dari 3.</t>
  </si>
  <si>
    <t xml:space="preserve">Prosesor irit daya yang lancar untuk kuliah dan kantor dengan banyak aplikasi; baterainya awet, tetapi bukan untuk kerja berat terus-menerus.</t>
  </si>
  <si>
    <t xml:space="preserve">https://www.intel.com/content/www/us/en/products/sku/240957/intel-core-ultra-7-processor-258v-12m-cache-up-to-4-80-ghz/specifications.html</t>
  </si>
  <si>
    <t xml:space="preserve">GPU: satu baris untuk satu kartu grafis</t>
  </si>
  <si>
    <t xml:space="preserve">Grafis bawaan juga ditulis di sini. Tingkat 1-5 adalah penilaian kita sendiri (usulan awal); alasannya wajib diisi.</t>
  </si>
  <si>
    <t xml:space="preserve">Nama kartu grafis
nama</t>
  </si>
  <si>
    <t xml:space="preserve">Jenis
jenis</t>
  </si>
  <si>
    <t xml:space="preserve">Arsitektur
arsitektur</t>
  </si>
  <si>
    <t xml:space="preserve">VRAM (GB, isi 0 bila bawaan)
vram</t>
  </si>
  <si>
    <t xml:space="preserve">bawaan</t>
  </si>
  <si>
    <t xml:space="preserve">Xe-LP</t>
  </si>
  <si>
    <t xml:space="preserve">(CONTOH) Cukup untuk video dan game ringan; tidak untuk game berat.</t>
  </si>
  <si>
    <t xml:space="preserve">(CONTOH) Pengolah gambar yang menyatu dengan CPU dan berbagi memori dengan RAM.</t>
  </si>
  <si>
    <t xml:space="preserve">Grafis bawaan Ryzen 5 7430U dengan 7 inti grafis (1800 MHz), berbagi memori dengan RAM. Cukup untuk video, desain ringan, dan game ringan.</t>
  </si>
  <si>
    <t xml:space="preserve">Pengolah gambar yang menyatu dengan prosesor dan memakai sebagian memori RAM. Cukup untuk menonton video, desain ringan, dan game ringan.</t>
  </si>
  <si>
    <t xml:space="preserve">AMD: https://www.amd.com/en/products/processors/laptop/ryzen/7000-series/amd-ryzen-5-7430u.html</t>
  </si>
  <si>
    <t xml:space="preserve">Grafis bawaan i5-1335U dengan 80 unit eksekusi, berbagi memori dengan RAM. Cukup untuk video, desain ringan, dan game ringan.</t>
  </si>
  <si>
    <t xml:space="preserve">Intel ARK: https://www.intel.com/content/www/us/en/products/sku/232153/specifications.html</t>
  </si>
  <si>
    <t xml:space="preserve">Grafis bawaan paling dasar pada Celeron N4020, tanpa kartu grafis terpisah. Untuk tampilan, dokumen, dan video biasa.</t>
  </si>
  <si>
    <t xml:space="preserve">Pengolah gambar paling dasar yang menyatu dengan prosesor. Cukup untuk tampilan, dokumen, dan menonton video; tidak untuk game berat.</t>
  </si>
  <si>
    <t xml:space="preserve">Intel ARK: https://www.intel.com/content/www/us/en/products/sku/197310/specifications.html</t>
  </si>
  <si>
    <t xml:space="preserve">Grafis bawaan prosesor Core generasi ke-8, tanpa kartu grafis terpisah. Untuk tampilan, dokumen, dan video biasa.</t>
  </si>
  <si>
    <t xml:space="preserve">Pengolah gambar dasar yang menyatu dengan prosesor. Cukup untuk tampilan, dokumen, dan menonton video; tidak untuk game berat.</t>
  </si>
  <si>
    <t xml:space="preserve">Intel ARK: https://www.intel.com/content/www/us/en/products/sku/124969/specifications.html; Dell Latitude 5400: UHD Graphics 620 bawaan (atau AMD Radeon 540X pada konfigurasi tertentu)</t>
  </si>
  <si>
    <t xml:space="preserve">Xe-LPG</t>
  </si>
  <si>
    <t xml:space="preserve">Grafis bawaan dengan 7 inti Xe yang memakai RAM sistem sebagai memori grafis. Karena bukan kartu grafis terpisah, tingkatnya mentok di 2 walau arsitekturnya lebih baru daripada Iris Xe 80 EU. ASUS menyebut kinerja grafis penuh membutuhkan RAM dua jalur (dual channel).</t>
  </si>
  <si>
    <t xml:space="preserve">Grafis bawaan generasi baru Intel; cukup untuk nonton, desain ringan, dan game ringan, tetapi bukan untuk game berat.</t>
  </si>
  <si>
    <t xml:space="preserve">Notebookcheck (mengutip spek Intel): https://www.notebookcheck.net/Intel-Core-Ultra-5-125H-Processor-Benchmarks-and-Specs.783325.0.html ; ASUS: https://www.asus.com/laptops/for-home/zenbook/asus-zenbook-14-oled-ux3405/techspec</t>
  </si>
  <si>
    <t xml:space="preserve">RDNA 2</t>
  </si>
  <si>
    <t xml:space="preserve">Hanya 2 unit komputasi (compute unit) dengan kecepatan sampai 1900 MHz, dan memakai RAM laptop bersama (tanpa VRAM sendiri). Cukup untuk layar, video, dan game sangat ringan.</t>
  </si>
  <si>
    <t xml:space="preserve">Grafis bawaan paling dasar; aman untuk menonton dan kerja kantor, bukan untuk game atau edit video.</t>
  </si>
  <si>
    <t xml:space="preserve">https://www.amd.com/en/products/processors/laptop/ryzen/7000-series/amd-ryzen-5-7520u.html ; https://askgeek.io/fr/gpus/AMD/AMD-Radeon-610M-Mendocino</t>
  </si>
  <si>
    <t xml:space="preserve">Xe-LP (Alder Lake-H)</t>
  </si>
  <si>
    <t xml:space="preserve">Grafis bawaan generasi 12 Intel dengan 48 execution unit, memakai RAM laptop bersama. Lebih kecil dari Iris Xe 80 EU, jadi berada di batas bawah tingkat 2.</t>
  </si>
  <si>
    <t xml:space="preserve">Grafis bawaan yang cukup untuk video dan edit foto ringan; game berat tidak cocok.</t>
  </si>
  <si>
    <t xml:space="preserve">Intel Xe, kelas Iris Xe (80 EU)</t>
  </si>
  <si>
    <t xml:space="preserve">80 unit grafis (EU) dengan kecepatan maksimal 1,3 GHz menurut Intel ARK, memakai RAM sistem sebagai memori grafis. Kinerjanya turun bila RAM hanya satu keping (satu jalur).</t>
  </si>
  <si>
    <t xml:space="preserve">Grafis bawaan untuk tampilan, video, dan aplikasi kantor; lebih lancar kalau RAM-nya dua keping.</t>
  </si>
  <si>
    <t xml:space="preserve">Intel ARK: https://www.intel.com/content/www/us/en/products/sku/236796/intel-core-5-processor-120u-12m-cache-up-to-5-00-ghz/specifications.html ; ASUS: https://www.asus.com/id/laptops/for-home/vivobook/asus-vivobook-15-a1504/techspec/</t>
  </si>
  <si>
    <t xml:space="preserve">Grafis bawaan Raptor Lake (rincian arsitektur tidak disebut di Intel ARK)</t>
  </si>
  <si>
    <t xml:space="preserve">48 unit grafis (EU) dengan kecepatan maksimal 1,4 GHz menurut Intel ARK, memakai RAM sistem sebagai memori grafis. Jumlah unitnya lebih sedikit daripada grafis 80 EU seperti Iris Xe, jadi berada di batas bawah tingkat 2.</t>
  </si>
  <si>
    <t xml:space="preserve">Grafis bawaan untuk tampilan, video, dan aplikasi kantor; bukan untuk game berat.</t>
  </si>
  <si>
    <t xml:space="preserve">Intel ARK: https://www.intel.com/content/www/us/en/products/sku/241652/intel-core-5-processor-210h-12m-cache-up-to-4-80-ghz/specifications.html</t>
  </si>
  <si>
    <t xml:space="preserve">Xe3 (menurut Notebookcheck; Intel ARK hanya menulis 4 inti Xe)</t>
  </si>
  <si>
    <t xml:space="preserve">Grafis bawaan dengan 4 inti Xe, kecepatan maksimal 2,5 GHz menurut Intel ARK, memakai RAM sistem sebagai memori grafis. Generasi baru sehingga masuk tingkat 2 (grafis bawaan), tetapi tetap bukan kartu grafis terpisah.</t>
  </si>
  <si>
    <t xml:space="preserve">Pengolah gambar yang menyatu dengan prosesor. Cukup untuk video, desain ringan, dan game ringan; bukan untuk game berat.</t>
  </si>
  <si>
    <t xml:space="preserve">Intel ARK: https://www.intel.com/content/www/us/en/products/sku/245722/intel-core-ultra-7-processor-355-12m-cache-up-to-4-70-ghz/specifications.html ; Notebookcheck: https://www.notebookcheck.net/Intel-Core-Ultra-7-355-Processor-Benchmarks-and-Specs.1196950.0.html</t>
  </si>
  <si>
    <t xml:space="preserve">RDNA 3.5 (menurut Notebookcheck; halaman AMD tidak menyebut arsitektur)</t>
  </si>
  <si>
    <t xml:space="preserve">Grafis bawaan dengan 4 inti grafis berkecepatan 2.900 MHz menurut halaman AMD, memakai RAM sistem sebagai memori grafis. Generasi baru sehingga masuk tingkat 2 (grafis bawaan), tetapi jumlah inti grafisnya sedikit dan bukan kartu grafis terpisah.</t>
  </si>
  <si>
    <t xml:space="preserve">AMD: https://www.amd.com/en/products/processors/laptop/ryzen/ai-300-series/amd-ryzen-ai-5-340.html ; Notebookcheck: https://www.notebookcheck.it/AMD-Ryzen-AI-5-340-Notebook-Processor.951970.0.html</t>
  </si>
  <si>
    <t xml:space="preserve">Grafis Apple generasi M5 (rincian arsitektur tidak dijelaskan di halaman spek Apple)</t>
  </si>
  <si>
    <t xml:space="preserve">Grafis bawaan dengan 8 inti pada model 16 GB/512 GB (model 10 inti grafis tersedia di konfigurasi lain), berbagi memori gabungan dengan CPU dengan bandwidth 153 GB/s. Masuk tingkat 2 karena bukan kartu grafis terpisah; belum ada data uji kecepatan yang dipakai di sini.</t>
  </si>
  <si>
    <t xml:space="preserve">Pengolah gambar yang menyatu dengan chip dan berbagi memori dengan RAM. Cukup untuk video, desain, dan edit foto atau video ringan.</t>
  </si>
  <si>
    <t xml:space="preserve">Apple Indonesia: https://www.apple.com/id/macbook-air/specs/</t>
  </si>
  <si>
    <t xml:space="preserve">NVIDIA</t>
  </si>
  <si>
    <t xml:space="preserve">terpisah</t>
  </si>
  <si>
    <t xml:space="preserve">Ada Lovelace</t>
  </si>
  <si>
    <t xml:space="preserve">2.560 inti CUDA, memori grafis sendiri 6 GB GDDR6 (jalur memori 96-bit), daya grafis bisa diatur 35-115 W menurut NVIDIA. Kelas pemula untuk game di layar Full HD.</t>
  </si>
  <si>
    <t xml:space="preserve">Kartu grafis terpisah tingkat pemula untuk main game di layar Full HD; punya memori sendiri 6 GB.</t>
  </si>
  <si>
    <t xml:space="preserve">https://www.nvidia.com/en-us/geforce/laptops/compare/</t>
  </si>
  <si>
    <t xml:space="preserve">3.072 inti CUDA, memori grafis sendiri 8 GB GDDR6 (jalur memori 128-bit), daya grafis bisa diatur 35-115 W menurut NVIDIA. Satu tingkat di atas RTX 4050, kelas menengah untuk game Full HD.</t>
  </si>
  <si>
    <t xml:space="preserve">Kartu grafis terpisah kelas menengah; lebih lancar untuk game baru di layar Full HD daripada RTX 4050.</t>
  </si>
  <si>
    <t xml:space="preserve">Blackwell</t>
  </si>
  <si>
    <t xml:space="preserve">2.560 inti CUDA (sama dengan RTX 4050), tetapi memori grafis 8 GB GDDR7 dengan jalur 128-bit, daya grafis bisa diatur 35-100 W menurut NVIDIA. Kelas pemula generasi baru; memori lebih lega daripada RTX 4050 yang 6 GB.</t>
  </si>
  <si>
    <t xml:space="preserve">Kartu grafis terpisah tingkat pemula generasi terbaru; memori sendiri 8 GB, cukup untuk game di layar Full HD.</t>
  </si>
  <si>
    <t xml:space="preserve">Grafis bawaan Core i5-10310U dengan 24 unit eksekusi (EU) dan kecepatan maksimal 1,15 GHz menurut Intel ARK, memakai RAM sistem sebagai memori grafis. Untuk tampilan, dokumen, dan video biasa.</t>
  </si>
  <si>
    <t xml:space="preserve">https://www.intel.com/content/www/us/en/products/sku/201892/intel-core-i510310u-processor-6m-cache-up-to-4-40-ghz/specifications.html ; Lenovo PSREF: https://psref.lenovo.com/syspool/Sys/PDF/ThinkPad/ThinkPad_T14_Gen_1_Intel/ThinkPad_T14_Gen_1_Intel_Spec.PDF</t>
  </si>
  <si>
    <t xml:space="preserve">Ampere</t>
  </si>
  <si>
    <t xml:space="preserve">2.560 inti CUDA, memori grafis 6 GB GDDR6 (jalur 96-bit), daya grafis 35-80 W menurut Notebookcheck. Kelas pemula untuk game Full HD di pengaturan sedang sampai tinggi; ray tracing (efek cahaya realistis) terbatas.</t>
  </si>
  <si>
    <t xml:space="preserve">Kartu grafis terpisah tingkat pemula; cukup untuk game populer di layar Full HD, tetapi bukan untuk game terberat.</t>
  </si>
  <si>
    <t xml:space="preserve">Notebookcheck: https://www.notebookcheck.net/NVIDIA-GeForce-RTX-3050-6GB-Laptop-GPU-GPU-Benchmarks-and-Specs.692276.0.html</t>
  </si>
  <si>
    <t xml:space="preserve">2.048 inti CUDA, memori grafis 4 GB GDDR6 (jalur 128-bit), daya grafis 35-80 W menurut Notebookcheck; di MSI Thin 15 B13UC dibatasi 45 W termasuk Dynamic Boost. Kelas pemula untuk game Full HD; memori 4 GB mulai sempit untuk game baru dengan tekstur tinggi.</t>
  </si>
  <si>
    <t xml:space="preserve">Kartu grafis terpisah tingkat pemula; cukup untuk game populer di pengaturan sedang, tetapi memorinya kecil untuk game terbaru.</t>
  </si>
  <si>
    <t xml:space="preserve">Notebookcheck: https://www.notebookcheck.com/NVIDIA-GeForce-RTX-3050-Mobile-Grafikkarte-Benchmarks-und-Spezifikationen.509230.0.html ; MSI: https://id.msi.com/Laptop/Thin-15-B13UX/Specification</t>
  </si>
  <si>
    <t xml:space="preserve">3.328 inti CUDA, memori grafis 8 GB GDDR7 (jalur 128-bit), daya grafis 45-100 W menurut Notebookcheck (ASUS menulis 115 W dengan ROG Boost). Di uji sintetis sedikit di atas RTX 4070 Laptop; sasarannya game QHD.</t>
  </si>
  <si>
    <t xml:space="preserve">Kartu grafis terpisah kelas menengah generasi terbaru; kuat untuk game berat di layar 2,5K.</t>
  </si>
  <si>
    <t xml:space="preserve">Notebookcheck: https://www.notebookcheck.net/Nvidia-GeForce-RTX-5060-Laptop-Benchmarks-and-Specs.934941.0.html</t>
  </si>
  <si>
    <t xml:space="preserve">Intel Xe-LP (Twin Lake)</t>
  </si>
  <si>
    <t xml:space="preserve">32 unit pemroses grafis (EU) dengan kecepatan sampai 1,35 GHz, memakai RAM bersama dan hanya 1 jalur memori. Satu keluarga dengan Iris Xe tetapi hanya 32 dari 80 unit, jadi berada di bagian bawah tingkat 2 (grafis bawaan generasi baru).</t>
  </si>
  <si>
    <t xml:space="preserve">Grafis bawaan sederhana: cukup untuk video, dokumen, dan game ringan, tidak untuk game berat atau edit video besar.</t>
  </si>
  <si>
    <t xml:space="preserve">Intel ARK: https://www.intel.com/content/www/us/en/products/sku/241639/intel-core-3-processor-n355-6m-cache-up-to-3-90-ghz/specifications.html</t>
  </si>
  <si>
    <t xml:space="preserve">RDNA 3</t>
  </si>
  <si>
    <t xml:space="preserve">Grafis bawaan dengan 12 unit hitung (768 shader) dan kecepatan sampai sekitar 2.600 MHz, salah satu grafis bawaan terkuat; tetap memakai RAM biasa sehingga masuk tingkat 2, bukan GPU terpisah.</t>
  </si>
  <si>
    <t xml:space="preserve">Grafis bawaan yang cukup kuat untuk game ringan dan video, tapi bukan untuk game berat.</t>
  </si>
  <si>
    <t xml:space="preserve">Xe-LP (Gen12)</t>
  </si>
  <si>
    <t xml:space="preserve">Grafis bawaan dengan 64 unit eksekusi (EU), sama generasi dengan Iris Xe tapi lebih sedikit unitnya (Iris Xe 80 EU), memakai RAM biasa, jadi masuk tingkat 2 seperti grafis bawaan baru lainnya.</t>
  </si>
  <si>
    <t xml:space="preserve">Grafis bawaan cukup untuk menonton video dan kerja kantor, tapi tidak untuk game berat.</t>
  </si>
  <si>
    <t xml:space="preserve">Grafis Apple generasi M1 (rincian arsitektur tidak dijelaskan di halaman spek Apple)</t>
  </si>
  <si>
    <t xml:space="preserve">Grafis bawaan dengan 7 atau 8 inti; halaman spek Apple menulis kedua pilihan tanpa memetakannya ke kapasitas SSD, jadi unit bekas bisa salah satunya. Berbagi memori gabungan dengan CPU (bandwidth 68,3 GB/s menurut Wikipedia). Masuk tingkat 2 karena bukan kartu grafis terpisah; belum ada data uji kecepatan yang dipakai di sini.</t>
  </si>
  <si>
    <t xml:space="preserve">Pengolah gambar yang menyatu dengan chip dan berbagi memori dengan RAM. Cukup untuk menonton video, desain, dan edit foto atau video ringan.</t>
  </si>
  <si>
    <t xml:space="preserve">Apple Support: https://support.apple.com/en-us/111883 ; Wikipedia Apple M1: https://en.wikipedia.org/wiki/Apple_M1</t>
  </si>
  <si>
    <t xml:space="preserve">Grafis bawaan prosesor Core generasi ke-7 (i5-7200U), tanpa kartu grafis terpisah dan memakai RAM bersama. Untuk tampilan, dokumen, dan video biasa.</t>
  </si>
  <si>
    <t xml:space="preserve">Intel ARK i5-7200U: https://www.intel.com/content/www/us/en/products/sku/95443/intel-core-i57200u-processor-3m-cache-up-to-3-10-ghz/specifications.html ; Dell XPS 13 9360 Setup and Specifications: https://dl.dell.com/topicspdf/xps-13-9360-laptop_setup-guide_en-us.pdf</t>
  </si>
  <si>
    <t xml:space="preserve">Grafis bawaan Intel dengan 64 unit eksekusi (nama arsitektur tidak disebut di Intel ARK)</t>
  </si>
  <si>
    <t xml:space="preserve">64 unit grafis (EU) dengan kecepatan maksimal 1,25 GHz menurut Intel ARK, memakai RAM sistem sebagai memori grafis. Unitnya lebih sedikit daripada Iris Xe 80 atau 96 EU, jadi berada di batas bawah tingkat 2 seperti grafis bawaan lain.</t>
  </si>
  <si>
    <t xml:space="preserve">https://www.intel.com/content/www/us/en/products/sku/236776/intel-core-3-processor-100u-10m-cache-up-to-4-70-ghz/specifications.html</t>
  </si>
  <si>
    <t xml:space="preserve">Intel Xe, kelas Iris Xe (96 EU)</t>
  </si>
  <si>
    <t xml:space="preserve">96 unit grafis (EU) dengan kecepatan maksimal 1,3 GHz menurut Intel ARK, memakai RAM sistem sebagai memori grafis. Grafis bawaan terkuat di kelas U ini, tetapi tetap tingkat 2 karena masih grafis bawaan.</t>
  </si>
  <si>
    <t xml:space="preserve">Grafis bawaan yang cukup untuk video, desain ringan, dan game ringan; paling lancar bila RAM terpasang dua keping.</t>
  </si>
  <si>
    <t xml:space="preserve">https://www.intel.com/content/www/us/en/products/sku/232160/intel-core-i71355u-processor-12m-cache-up-to-5-00-ghz/specifications.html</t>
  </si>
  <si>
    <t xml:space="preserve">Adreno X1</t>
  </si>
  <si>
    <t xml:space="preserve">Grafis bawaan di prosesor Snapdragon X, sekitar 1,7 TFLOPS dengan kecepatan sampai 1.250 MHz; di uji Notebookcheck sedikit di bawah GeForce MX350 lama dan hanya cukup untuk game lama di bawah resolusi 900p. Grafis bawaan maksimal tingkat 2. Halaman ASUS hanya menulis 'Qualcomm Adreno GPU' tanpa nomor model; nama X1-45 dari Notebookcheck.</t>
  </si>
  <si>
    <t xml:space="preserve">Grafis bawaan yang cukup untuk video, kantor, dan game ringan; bukan untuk game berat atau edit video besar.</t>
  </si>
  <si>
    <t xml:space="preserve">Xe2 (Lunar Lake)</t>
  </si>
  <si>
    <t xml:space="preserve">Grafis bawaan di prosesor dengan 8 inti Xe2 dan kecepatan sampai sekitar 1,95 GHz. Menurut uji Notebookcheck umumnya mengungguli Radeon 890M pada daya yang sama. Tetap grafis bawaan yang memakai RAM utama, jadi tingkat 2 (maksimal untuk bawaan).</t>
  </si>
  <si>
    <t xml:space="preserve">Grafis bawaan yang cukup kuat untuk video, edit foto ringan, dan game ringan; bukan pengganti kartu grafis terpisah.</t>
  </si>
  <si>
    <t xml:space="preserve">https://www.notebookcheck.net/Intel-Lunar-Lake-iGPU-analysis-Arc-Graphics-140V-is-faster-and-more-efficient-than-Radeon-890M.894167.0.html</t>
  </si>
  <si>
    <t xml:space="preserve">Harga: satu baris untuk satu pengamatan harga pada satu tanggal</t>
  </si>
  <si>
    <t xml:space="preserve">Jangan menimpa harga lama; tambahkan baris baru setiap kali harga dicek, supaya riwayatnya terlihat.</t>
  </si>
  <si>
    <t xml:space="preserve">Kondisi
kondisi</t>
  </si>
  <si>
    <t xml:space="preserve">Harga terendah (Rp)
hmin</t>
  </si>
  <si>
    <t xml:space="preserve">Harga tertinggi (Rp)
hmaks</t>
  </si>
  <si>
    <t xml:space="preserve">Harga tengah (Rp) · otomatis
tengah</t>
  </si>
  <si>
    <t xml:space="preserve">Jenis sumber
jenis_sumber</t>
  </si>
  <si>
    <t xml:space="preserve">Sumber (tautan atau nama toko)
sumber</t>
  </si>
  <si>
    <t xml:space="preserve">Tanggal dicek
tgl</t>
  </si>
  <si>
    <t xml:space="preserve">Catatan
catatan</t>
  </si>
  <si>
    <t xml:space="preserve">baru</t>
  </si>
  <si>
    <t xml:space="preserve">marketplace</t>
  </si>
  <si>
    <t xml:space="preserve">(contoh) halaman pencarian marketplace</t>
  </si>
  <si>
    <t xml:space="preserve">(CONTOH) Rentang dari lima penjual teratas.</t>
  </si>
  <si>
    <t xml:space="preserve">https://poinxtra.cimbniaga.co.id/TD/29907030/Asus-Vivobook-14-Ryzen-5-7430U-16-512GB-Cool-Silver-M1405YA-VIPS555</t>
  </si>
  <si>
    <t xml:space="preserve">Poin Xtra CIMB Niaga. Harga daftar Rp8.999.000. Stok habis saat dicek.</t>
  </si>
  <si>
    <t xml:space="preserve">https://ekatalog.its.ac.id/shop/product/asus-m1405ya-vips555-non-tkdn-5972?page=3</t>
  </si>
  <si>
    <t xml:space="preserve">Katalog pengadaan ITS. Penjual: PT Megastar Electronics. Stok tidak tertulis.</t>
  </si>
  <si>
    <t xml:space="preserve">https://www.tokopedia.com/decacom/asus-vivobook-14-oled-m1405ya-ryzen-7-7730u-ryzen-5-7430u-16gb-512ssd-1tb-w11-ohs-1730850621135292383</t>
  </si>
  <si>
    <t xml:space="preserve">Tokopedia, toko decacom, pilihan Ryzen 5 16GB/512GB. Harga coret Rp9.199.000. Stok 83 unit.</t>
  </si>
  <si>
    <t xml:space="preserve">https://www.tokopedia.com/find/asus-vivobook-14-m1405ya-ryzen-5-7430u-16gb-512gb</t>
  </si>
  <si>
    <t xml:space="preserve">Hasil pencarian Tokopedia. Enam dari sepuluh listing dipakai (tiga di antaranya sama di Rp7.729.000). Empat listing Rp15,8-26,6 juta tidak dipakai karena jauh di atas harga toko lain.</t>
  </si>
  <si>
    <t xml:space="preserve">toko_resmi</t>
  </si>
  <si>
    <t xml:space="preserve">Toko resmi HP Indonesia. Status 'Kehabisan persediaan' saat dicek.</t>
  </si>
  <si>
    <t xml:space="preserve">https://www.tokopedia.com/find/laptop-hp-pavilion-x360-core-i5-1335u-16gb-512gb</t>
  </si>
  <si>
    <t xml:space="preserve">Tokopedia, penjual Raharja Notebook (Malang). Stok tidak tertulis. Satu listing lain di Rp8.500.000 tidak dipakai karena judulnya memuat kode model yang tidak cocok (ek100STU).</t>
  </si>
  <si>
    <t xml:space="preserve">https://www.erablue.id/laptop/laptop-axioo-slimbook-hype-10-celeron-n4020-8gb-256gb-win11-midnight-black</t>
  </si>
  <si>
    <t xml:space="preserve">Erablue. Harga coret Rp5.299.000; promo sampai 31/10. Stok tidak tertulis.</t>
  </si>
  <si>
    <t xml:space="preserve">https://www.tokopedia.com/find/axioo-hype-10</t>
  </si>
  <si>
    <t xml:space="preserve">Hasil pencarian Tokopedia, dua listing Windows 11 (SOFTCOM Official Store Rp5.459.000; HOSANA COMPUTER Rp5.499.000). Lima listing Rp7.999.000-Rp14.099.000 di halaman yang sama tidak dipakai karena jauh di atas harga toko lain.</t>
  </si>
  <si>
    <t xml:space="preserve">https://poinxtra.cimbniaga.co.id/TD/29772632/AXIOO-HYPE-10-N4020-8GB-256GB-W10-14-0-244C08HNR0-MIDNIGHT-BLACK</t>
  </si>
  <si>
    <t xml:space="preserve">Poin Xtra CIMB Niaga. Harga daftar Rp6.199.000. Stok habis saat dicek.</t>
  </si>
  <si>
    <t xml:space="preserve">Hasil pencarian Tokopedia, dua listing Windows 10 (GO LAPTOP JAKARTA Rp4.849.000, Windows 10 Pro; ROYAL COM Rp4.909.000).</t>
  </si>
  <si>
    <t xml:space="preserve">bekas</t>
  </si>
  <si>
    <t xml:space="preserve">https://www.tokopedia.com/find/thinkpad-t480-i5-8350u-8gb-256gb</t>
  </si>
  <si>
    <t xml:space="preserve">Hasil pencarian Tokopedia. Enam listing i5-8350U 8GB/256GB tanpa kata 'sentuh' (median Rp3.500.000). Tiga listing layar sentuh (Rp3.435.000-Rp4.718.000) dan satu listing 'RAM 8GB/16GB' tidak dihitung.</t>
  </si>
  <si>
    <t xml:space="preserve">https://www.tokopedia.com/tiercom/laptop-lenovo-thinkpad-t480-intel-core-i5-gen-8th-ram-8gb-ssd-256gb-99-like-new-laptop-second-murah-berkualitas-bergaransi</t>
  </si>
  <si>
    <t xml:space="preserve">Tokopedia, toko tiercom. Layar FHD, sidik jari, kondisi bodi 98%, stok 102 unit. Lebih mahal daripada rentang di atas.</t>
  </si>
  <si>
    <t xml:space="preserve">https://www.tokopedia.com/find/thinkpad-t480-i5-8350u-16gb-512gb</t>
  </si>
  <si>
    <t xml:space="preserve">Tokopedia, toko Computer Murah 2021. Satu-satunya listing yang muncul. Windows 10 Pro, keyboard US. Terjual 100+.</t>
  </si>
  <si>
    <t xml:space="preserve">https://www.tokopedia.com/find/dell-latitude-5400-i5-8265u</t>
  </si>
  <si>
    <t xml:space="preserve">Hasil pencarian Tokopedia, dua listing (Shoozay Rp3.000.000; Sakumi shop Rp3.100.000, NVMe). Listing bertanda '#DualVga' (Rp3.240.000) tidak dihitung karena grafisnya mungkin berbeda.</t>
  </si>
  <si>
    <t xml:space="preserve">https://www.tokopedia.com/find/dell-latitude-5400-i5-8365u-8gb-256gb</t>
  </si>
  <si>
    <t xml:space="preserve">Hasil pencarian Tokopedia, empat listing tanpa kata 'sentuh' (Rp3.500.000; Rp3.550.000; Rp3.650.000; Rp4.212.000 dengan NVMe dan layar IPS FHD). Dua listing layar sentuh (Rp3.447.000) tidak dihitung.</t>
  </si>
  <si>
    <t xml:space="preserve">https://ekatalog.its.ac.id/shop/product/asus-zenbook-ux3405ma-intel-ultra-5-125h-16gb-1tb-ssd-14-oled-ohs-win-11-no-bag-4706?page=47</t>
  </si>
  <si>
    <t xml:space="preserve">Katalog pengadaan ITS (pembelian institusi), spek sama persis: Ultra 5 125H, 16 GB, 1 TB, OLED 3K. Halaman menulis 'opsi tidak tersedia' sehingga stok tidak jelas, jadi harga ini hanya patokan.</t>
  </si>
  <si>
    <t xml:space="preserve">https://www.tokopedia.com/sinarmulia/asus-zenbook-14-oled-ux3405ma-intel-ultra-5-125h-1tb-ssd-16gb-3k-120hz-ponder-blue-tanpa-antigores-c6af6</t>
  </si>
  <si>
    <t xml:space="preserve">Toko sinarmulia di Tokopedia, warna Ponder Blue, termasuk Office Home &amp; Student 2021. Stok tertulis HABIS saat dibuka, jadi harga ini hanya patokan.</t>
  </si>
  <si>
    <t xml:space="preserve">https://www.tokopedia.com/ex1st/acer-aspire-slim-3-a314-23m-r7vj-silver-r5-7520u-8gb-512gb-w11-ohs</t>
  </si>
  <si>
    <t xml:space="preserve">Toko Ex1st Com (Medan), sisa stok 3, tertulis garansi resmi minimal 1 tahun. Kondisi tidak ditulis eksplisit 'baru'. Listing kembar 'Ori' dari toko yang sama (Rp6.886.000) tidak dihitung ulang.</t>
  </si>
  <si>
    <t xml:space="preserve">https://www.tokopedia.com/zencom/acer-aspire-3-a314-23m-r7vj-silver</t>
  </si>
  <si>
    <t xml:space="preserve">Toko Zen Com (Kab. Tangerang), sisa stok 3, tertulis Garansi Resmi Acer Indonesia plus perpanjangan 1 tahun. Kondisi tidak ditulis eksplisit; harga terendah di antara listing baru yang dibuka.</t>
  </si>
  <si>
    <t xml:space="preserve">https://www.tokopedia.com/vjcomp/acer-aspire-3-slim-a314-23m-r7vj</t>
  </si>
  <si>
    <t xml:space="preserve">Toko VJ Comp (Jakarta Pusat), stok tertulis 99, garansi dan kondisi tidak dijelaskan di halaman. Halaman butuh JavaScript sehingga spek tidak terbaca penuh.</t>
  </si>
  <si>
    <t xml:space="preserve">https://www.tokopedia.com/orbitcomputer/acer-aspire-3-a314-23m-r7vj-ryzen-5-7520u-8gb-ssd-512gb-w11-ohs</t>
  </si>
  <si>
    <t xml:space="preserve">Toko OrbitComputer (Semarang), sisa stok 2, garansi tidak dinyatakan. Deskripsi listing bertabrakan (menyebut Celeron dan Windows 10) tetapi judul dan daftar spek cocok dengan Ryzen 5 7520U; harga dipakai dengan catatan itu. Tidak dipakai: FIRE TECH Rp8.399.000 dan Tunas Gajayana Rp8.525.000 (halaman produk tidak terbaca), Cosmo Electro Rp6.839.050 (varian terpilih 8GB/256GB), Juragan Digital dan Tekno Digital (unit display store, judul RAM 16 GB tidak cocok).</t>
  </si>
  <si>
    <t xml:space="preserve">https://www.tokopedia.com/rikomp23/acer-aspire-3-a314-23m-amd-ryzen-5-7520u-ram-8gb-ssd-512gb</t>
  </si>
  <si>
    <t xml:space="preserve">Toko Ri Komputer (Medan), sisa 1; deskripsi menyebut fisik 95% mulus dan baterai 2-3 jam sehingga ini unit bekas. Tanpa keterangan garansi. Deskripsi menyebut layar Full HD IPS, bertentangan dengan spek resmi (HD).</t>
  </si>
  <si>
    <t xml:space="preserve">https://www.tokopedia.com/bonneslaptop/acer-aspire-3-a314-23m-ryzen-laptop-gen-11-slim-editing-grafis-siap-kuliah-skripsi-zoom-ram-8gb-ssd-512gb-1737368676948805447</t>
  </si>
  <si>
    <t xml:space="preserve">Toko bonnes laptop (Palembang), sisa 1; menulis 'laptop terbaru' tetapi juga fisik 95% mulus dan sudah terisi film, jadi dianggap bekas. Tanpa keterangan garansi.</t>
  </si>
  <si>
    <t xml:space="preserve">https://www.tokopedia.com/promota-store/acer-aspire-3-slim-a314-23m-r24x-amd-ryzen-3-7320u-8gb-512gb-ssd-14</t>
  </si>
  <si>
    <t xml:space="preserve">Toko Promota-Store (Surabaya), sisa 1, tertulis Garansi Resmi Acer 1 Tahun. Kondisi tidak ditulis eksplisit.</t>
  </si>
  <si>
    <t xml:space="preserve">https://www.tokopedia.com/jduacomputer-/acer-aspire-3-slim-a314-23m-r24x-amd-ryzen-3-7320u-8gb-512gb-ssd-14-hd-win-11-home-ohs-2021-pure-silver-1731160792447682478</t>
  </si>
  <si>
    <t xml:space="preserve">Toko JDUACOMPUTER (Jakarta Pusat), sisa 2, tertulis Garansi Resmi Acer 1 Tahun plus bonus tas. Kondisi tidak ditulis eksplisit.</t>
  </si>
  <si>
    <t xml:space="preserve">https://store.acer.com/en-id/aspire-3-a314-23m-ryzen-3-silver-nx-kexsn-001</t>
  </si>
  <si>
    <t xml:space="preserve">Toko resmi Acer Indonesia (ref NX.KEXSN.001): harga khusus Rp6.699.000, harga normal Rp8.649.000. Halaman menandai STOK HABIS saat dibuka, jadi harga ini hanya patokan, bukan bukti barang tersedia.</t>
  </si>
  <si>
    <t xml:space="preserve">https://www.tokopedia.com/philosophy-computer/lenovo-ideapad-slim-3-14-i5-12450h-16gb-512gb-w11-ohs-14-0full-hd-ips-blit-2y-unit-bonus-grey-ram-16gb-bdd45</t>
  </si>
  <si>
    <t xml:space="preserve">Toko Philosophy Computer (Jakarta Selatan), stok 30, tertulis 100% original baru dan garansi resmi 2 tahun; pilihan 'Unit + Bonus', warna Grey, RAM 16GB.</t>
  </si>
  <si>
    <t xml:space="preserve">https://www.tokopedia.com/tunggal-jaya-perwita/lenovo-ideapad-slim-3-14iah8-core-i5-12450h-16gb-512gb-ssd-win-11-home-1732029220502078987</t>
  </si>
  <si>
    <t xml:space="preserve">Toko Tunggal Jaya Perwita (Ponorogo), sisa 1, Garansi Resmi Lenovo Indonesia 1 tahun, bonus tas. Kondisi tidak ditulis eksplisit.</t>
  </si>
  <si>
    <t xml:space="preserve">https://www.tokopedia.com/sumber-berkat-abadi/ideapad-slim-3-14iah8-i5-12450h-16gb-512gb-ssd-windows-11-home-ohs-2021-83eq003jid-abyss-blue-83eq003kid-arctic-grey-lenovo-intel-core-lpddr5</t>
  </si>
  <si>
    <t xml:space="preserve">Toko Sumber Berkat Abadi (Jakarta Pusat), sisa 2, garansi resmi Lenovo Indonesia 2 tahun Premium Care, bonus tas. Harga tertinggi di antara pengamatan; kondisi tidak ditulis eksplisit.</t>
  </si>
  <si>
    <t xml:space="preserve">https://www.tokopedia.com/rainsbag/laptop-lenovo-ideapad-slim-3-14iah8-intel-core-i5-12450h-16gb-512gb-win11-83eq0077id-grey-1734466870035711970</t>
  </si>
  <si>
    <t xml:space="preserve">Toko Rains Aks (Jakarta Barat), sisa 1, kode 83EQ0077ID; garansi dan kondisi tidak dinyatakan. Tidak dipakai: ThisPC.Techstore Rp8.650.000 (judul 16GB tetapi bagian spek menulis 8GB) dan Malik Jaya Rp7.129.000 (judul ambigu 8GB/16GB, halaman tidak dibuka).</t>
  </si>
  <si>
    <t xml:space="preserve">https://www.tokopedia.com/harrismadewataja/laptop-lenovo-ideapad-slim-3-14iah8-83eq005aid-ip-s3-5aid-i5-12450h-8gb-512gb-w11-ohs-14-fhdips-bl-2y-arctic-grey-1731113200592848747</t>
  </si>
  <si>
    <t xml:space="preserve">Toko Harrisma Dewata Jaya (Denpasar), sisa 1, kode 83EQ005AID; garansi 2Y hanya tertulis di judul. Kondisi tidak ditulis eksplisit; halaman butuh JavaScript sehingga deskripsi minim.</t>
  </si>
  <si>
    <t xml:space="preserve">https://www.tokopedia.com/medangrosir2020/lenovo-ideapad-slim-3-14iah8-5aid-i5-12450h-8gb-512gb-ssd-14-fhd-w11</t>
  </si>
  <si>
    <t xml:space="preserve">Toko MEDANGROSIR 2020 (Medan), sisa 5, Garansi Resmi Lenovo 2 tahun; toko meminta pembeli menanyakan stok dulu. Tidak dipakai: SPACECOMP Rp7.599.000 (varian terpilih tertulis 256GB SSD, tidak konsisten) dan Greencomputer Rp8.990.000 (spek menawarkan 8GB atau 16GB).</t>
  </si>
  <si>
    <t xml:space="preserve">https://www.tokopedia.com/kingsgate-laptop/lenovo-ideapad-slim-3-14iah8-intel-core-i5-12450h-ram-8gb-ssd-512gb-14-inch-fhd-ips-windows-11-microsoft-office-1737390639102067963</t>
  </si>
  <si>
    <t xml:space="preserve">Toko KingsGate Laptop (Jakarta Barat), sisa 1; unit ex-display kondisi 95-97% mulus (Grade A), garansi toko 1 tahun servis dan 1 bulan sparepart. Harga ex-display hampir sama dengan unit baru termurah, jadi kurang menarik.</t>
  </si>
  <si>
    <t xml:space="preserve">ASUS Store Indonesia, kode E1404FA-FHD352 (Cool Silver): harga khusus Rp6.249.000, harga normal Rp6.349.000. Halaman tidak menampilkan status stok sehingga ketersediaan belum pasti; jauh di bawah harga Tokopedia, kemungkinan harga promo toko sendiri.</t>
  </si>
  <si>
    <t xml:space="preserve">https://www.tokopedia.com/asus-indonesia-official/asus-vivobook-go-14-e1404fa-fhd3853m-cool-silver-amd-ryzen-3-7320u-amd-radeon-graphics-8gb-512gb-14inch-win11-ohs24-m365-1733464086227748650</t>
  </si>
  <si>
    <t xml:space="preserve">Toko resmi Asus Indonesia Official di Tokopedia, kode E1404FA-FHD3853M, harga coret Rp12.499.000 (-30%), stok 60, bonus mouse/TWS, Office 2024 + Microsoft 365 Basic. Harga daftar Rp10.999.000 di Poin Xtra (stok habis) tidak dipakai.</t>
  </si>
  <si>
    <t xml:space="preserve">https://www.tokopedia.com/asus-authorized-by-dgi/asus-vivobook-go-14-e1404fa-vips3851m-amd-ryzen-3-7320u-8gb-512gb-w11-ohs-microsoft-365-basic-mixed-black-1734345456227288507</t>
  </si>
  <si>
    <t xml:space="preserve">Toko Asus authorized by DGI (Mall, Jakarta Pusat), kode E1404FA-VIPS3851M (Mixed Black, panel IPS-level), harga coret Rp10.999.000, stok 11, Garansi Resmi 2 Tahun, bonus tas.</t>
  </si>
  <si>
    <t xml:space="preserve">https://www.tokopedia.com/asus-indonesia-official/asus-vivobook-15-a1504vap-vips5503-quiet-blue-intel-core-5-processor-120u-intel-graphics-8gb-512gb-15-6inch-win11-ohs-1734958377662711594-1734958555669235498</t>
  </si>
  <si>
    <t xml:space="preserve">Toko Asus Indonesia Official (Mall) di Tokopedia. Harga coret Rp17.499.000, diskon 20%, sisa stok 3. Judul memakai kode VIPS5503 tetapi judul dan spek toko menyebut 8 GB + 8 GB DDR5 (16 GB), jadi dicatat ke varian 16 GB; kode di judul tidak sama dengan kode varian 16 GB di toko lain.</t>
  </si>
  <si>
    <t xml:space="preserve">https://www.tokopedia.com/protechcom/asus-vivobook-15-touch-a1504vap-core-5-120u-16gb-512gb-15-6fhd-ips-vips-w11-ohs-m365b-1731191884479236000-1735347327186470816</t>
  </si>
  <si>
    <t xml:space="preserve">Toko ProTech Com di Tokopedia. Harga varian FLASHSALE, harga coret Rp16.999.000 (diskon 19%); harga promo bisa berubah cepat. Garansi resmi ASUS 2 tahun menurut toko.</t>
  </si>
  <si>
    <t xml:space="preserve">https://www.tokopedia.com/intelgamingid/asus-vivobook-15-touch-a1504vap-core-5-120u-ram-16gb-512gb-w11-ohs-15-6-fhd-ips-1731185335029237056-1737386981385405760</t>
  </si>
  <si>
    <t xml:space="preserve">Toko Intel Gaming ID di Tokopedia. Harga coret Rp21.099.000 (diskon 33%, terlihat dilebih-lebihkan), stok 10. Harga dicatat untuk paket Normal (tanpa antigores/aksesoris).</t>
  </si>
  <si>
    <t xml:space="preserve">https://rimaslaptop.com/product/asus-vivobook-15-a1504va-i5-1335u-512gb-ssd-8gb-ips-touch-win11-ohs</t>
  </si>
  <si>
    <t xml:space="preserve">Situs toko Rimaslaptop (bukan marketplace besar). Harga coret Rp15.300.000; stok tidak tertulis. Hanya satu pengamatan: listing Tokopedia ZX Computer untuk A1504VA i5-1335U (Rp14.999.000) menampilkan harga untuk pilihan 16 GB, bukan 8 GB, jadi tidak dipakai.</t>
  </si>
  <si>
    <t xml:space="preserve">Toko resmi HP Indonesia. Status Dalam Stok, harga termasuk PPN 11%. Ada bonus bundel keterampilan (promo sampai 31 Oktober 2026) tetapi tidak ada Office.</t>
  </si>
  <si>
    <t xml:space="preserve">https://www.erablue.id/laptop/laptop-hp-14-ep1177tu-intel-core-5-120u-8gb-512gb-c7sd0pa-ar6</t>
  </si>
  <si>
    <t xml:space="preserve">Toko online retail Erablue (bukan toko pabrikan). Harga coret Rp11.249.000 (diskon 8%), promo tertulis berlaku sampai 11 Oktober pukul 16.59; stok tidak tertulis. Dapat bonus voucher dan tas.</t>
  </si>
  <si>
    <t xml:space="preserve">https://plazait.co.id/product/hp-14-ep1177tu-c7sd0pa-core-5-120u-intel-graphics-silver</t>
  </si>
  <si>
    <t xml:space="preserve">Toko online retail Plazait (bukan toko pabrikan). Harga coret Rp11.499.000 (diskon 4%). Stok tertulis habis pada saat halaman dibuka, jadi harga hanya patokan. Toko menyebut garansi resmi HP 2 tahun dan paket Office.</t>
  </si>
  <si>
    <t xml:space="preserve">https://www.hp.com/id-id/shop/hp-laptop-14-ep1155tu-c7sc8pa.html</t>
  </si>
  <si>
    <t xml:space="preserve">Toko resmi HP Indonesia. Stok habis (Kehabisan persediaan). Harga coret yang tertera Rp15.415.308 (diskon 22%) tampak tidak wajar sehingga diabaikan; harga Rp12.000.000 dicatat apa adanya sebagai patokan.</t>
  </si>
  <si>
    <t xml:space="preserve">https://plazait.co.id/product/hp-14-ep1155tu-c7sc8pa-core-5-120u-intel-graphics-silver</t>
  </si>
  <si>
    <t xml:space="preserve">Toko online retail Plazait (bukan toko pabrikan). Harga coret Rp11.499.000 (diskon 5%). Stok habis di semua cabang yang tertera, jadi harga hanya patokan.</t>
  </si>
  <si>
    <t xml:space="preserve">https://www.tokopedia.com/lenovo-official/lenovo-ideapad-slim-5-14irh10r-intel-core-5-210h-16gb-512gb-ssd-w11-oh24-1732653431766353056</t>
  </si>
  <si>
    <t xml:space="preserve">Lenovo Official (Mall) di Tokopedia, kode 83J0005GID (biru) / 83J0005EID (abu). Sisa stok 3, tidak ada harga coret. Harga sudah termasuk paket Office Home 2024 + Microsoft 365 Basic serta ADP dan Premium Care 2 tahun, sehingga lebih tinggi dari toko lain.</t>
  </si>
  <si>
    <t xml:space="preserve">https://www.tokopedia.com/spacetech/lenovo-ideapad-slim-5-core-5-210h-16gb-512gb-ssd-14-wuxga-ips-win11-ohs-1731343236347233913</t>
  </si>
  <si>
    <t xml:space="preserve">Space Tech Store (Mall) di Tokopedia, kode 83J00003ID / 83J00006ID. Harga coret Rp18.799.000 (diskon 12%), stok 198, bonus ransel. Alamat URL menulis ips tetapi isi halaman menyebut OLED.</t>
  </si>
  <si>
    <t xml:space="preserve">https://www.tokopedia.com/jagonotebook/lenovo-ideapad-slim-5-14-oled-core-5-210h-16gb-512gb-14-0-wuxga-w11-ohs-1734545931180934888</t>
  </si>
  <si>
    <t xml:space="preserve">JAGO Notebook (Mall) di Tokopedia, kode 83J00003ID / 83J00006ID. Harga dicatat untuk pilihan PLUS ANTIGORES (sudah termasuk pelindung layar); sisa stok 1.</t>
  </si>
  <si>
    <t xml:space="preserve">https://www.tokopedia.com/lenovo-official/lenovo-thinkbook-14-gen-9-1737733642175218848</t>
  </si>
  <si>
    <t xml:space="preserve">Lenovo Official di Tokopedia, kode 21UX00AEID, stok 5, tanpa harga coret. Sudah termasuk Windows 11 Home dan Office Home 2024, garansi 2 tahun onsite.</t>
  </si>
  <si>
    <t xml:space="preserve">https://www.tokopedia.com/amtitstore/lenovo-thinkbook-14-gen-9-core-ultra-7-355-16gb-1tb-w11-oh24-1737884509543433863</t>
  </si>
  <si>
    <t xml:space="preserve">AMT IT Store di Tokopedia, kode 21UX00AEID, stok 5, garansi 2 tahun onsite, tanpa harga coret.</t>
  </si>
  <si>
    <t xml:space="preserve">https://www.tokopedia.com/itgaleri/lenovo-nb-thinkbook-21ux00aeid-ultra-7-355-16gb-1tb-14-0-wuxga-win11-ohs2024-artic-grey-1737890652219409578</t>
  </si>
  <si>
    <t xml:space="preserve">IT Galeri (Mall) di Tokopedia, kode 21UX00AEID, stok 5, tanpa harga coret. Halaman hanya menyebut garansi toko 7 hari; jenis garansi pabrik tidak dijelaskan.</t>
  </si>
  <si>
    <t xml:space="preserve">https://www.tokopedia.com/flixx-id/lenovo-thinkbook-14-gen-9-ultra-7-355-16gb-1tb-14-win11-ohs24-1737728086463317606</t>
  </si>
  <si>
    <t xml:space="preserve">FLIXX.ID (Mall) di Tokopedia, kode 21UX00AEID, sisa stok 1, garansi dasar 1 tahun dengan opsi peningkatan ke 2 tahun onsite. Listing Vortexindo (32 GB, Rp31.189.000) dan THINK-ID (Rp31.300.000, alamat URL menyebut model lain) tidak dipakai karena konfigurasi atau data tidak cocok.</t>
  </si>
  <si>
    <t xml:space="preserve">https://www.tokopedia.com/spacetech/acer-swift-go-14-ai-oled-sfg14-ryzen-5-ai-340-32gb-512gb-ssd-14-3k-oled-w11-ohs-1732777432648353401</t>
  </si>
  <si>
    <t xml:space="preserve">Space Tech Store (Mall) di Tokopedia, kode SFG14-64-R9FP, pilihan TANPA ANTIGORES. Harga coret Rp19.799.000 (diskon 10%), stok 200, garansi resmi Acer Indonesia ditulis 3 tahun. Harga pilihan berantigores lebih tinggi (sekitar Rp18,5 juta pada hasil pencarian) tidak dipakai.</t>
  </si>
  <si>
    <t xml:space="preserve">https://www.tokopedia.com/wei-1/acer-swift-go-14-ai-oled-sfg14-ryzen-5-ai-340-32gb-512gb-ssd-14-3k-oled-w11-ohs-1732777775535392219</t>
  </si>
  <si>
    <t xml:space="preserve">We Itech di Tokopedia, kode SFG14-64-R9FP, pilihan TANPA ANTIGORES. Harga coret Rp19.799.000 (diskon 10%), stok 200, garansi resmi Acer Indonesia ditulis 3 tahun.</t>
  </si>
  <si>
    <t xml:space="preserve">https://www.tokopedia.com/artomoro-co/acer-swift-go-14-ai-oled-sfg14-ryzen-5-ai-340-32gb-512gb-w11-ohs-m365b-14-0-3k-1734572032305498010-1735390044167440282</t>
  </si>
  <si>
    <t xml:space="preserve">Artomoro Comp di Tokopedia, harga coret Rp19.699.000, sisa stok 1, garansi resmi ditulis 2 tahun. Paket sudah memuat Microsoft 365 Basic 1 tahun; halaman menulis charger hanya ikut pada pilihan 'Unit Set', jadi pastikan dulu isi paketnya. Paling mahal dari tiga listing Tokopedia yang dibuka.</t>
  </si>
  <si>
    <t xml:space="preserve">https://plazait.co.id/product/acer-swift-go-14-ai-sfg14-64-r9fp-ryzen-ai-5-340-amd-radeon-graphics-sparkly-silver</t>
  </si>
  <si>
    <t xml:space="preserve">Situs Plaza IT (toko komputer, bukan marketplace), kode NX.JCHSN.002 / SFG14-64-R9FP, harga coret Rp17.499.000 (diskon 5%). Stok tertulis HABIS di semua cabang saat dibuka, jadi harga ini belum tentu bisa dibeli. Garansi resmi Acer ditulis 3/3/0 ditambah ADP 1 tahun.</t>
  </si>
  <si>
    <t xml:space="preserve">https://www.digimap.co.id/products/13-inch-macbook-air-m5-1</t>
  </si>
  <si>
    <t xml:space="preserve">Digimap (penjual resmi Apple di Indonesia), warna Silver, SKU 0788-APPMDH74ID-A. Harga daftar Rp25.249.000, diskon Rp300.000. Tombol beli menunjukkan HABIS (stok kosong) saat dibuka, jadi harga ini belum tentu bisa dibeli. Metadata halaman menulis Rp24.999.000 (diabaikan, tampilan halaman Rp24.949.000).</t>
  </si>
  <si>
    <t xml:space="preserve">https://www.tokopedia.com/ismile-indonesia/apple-macbook-air-m5-chip-2026-13-10-10core-10-8core-ssd-512gb-1tb-ram-16gb-24gb-1734524970305292171</t>
  </si>
  <si>
    <t xml:space="preserve">iSmile Indonesia (Mall) di Tokopedia, varian 10 inti CPU / 8 inti GPU 16/512 GB warna Midnight. Harga coret Rp29.999.000 (diskon 19%), stok 5. Halaman hanya menulis 'produk bergaransi' tanpa menyebut jenis garansi.</t>
  </si>
  <si>
    <t xml:space="preserve">https://www.tokopedia.com/distriponsel/apple-macbook-pro-2023-m3-chip-14-inch-1tb-512gb-ssd-8gb-grey-silver-1737332606479730086</t>
  </si>
  <si>
    <t xml:space="preserve">Distributorponselshop (Mall) di Tokopedia, judul MacBook Air 13 M5 10 inti CPU / 8 inti GPU 16/512 GB garansi resmi, warna Midnight, stok 9. Harga coret Rp51.472.000 (diskon 53%) jelas tidak wajar dan diabaikan; alamat URL menyebut MacBook Pro M3 tetapi isi halaman MacBook Air M5.</t>
  </si>
  <si>
    <t xml:space="preserve">https://www.tokopedia.com/laptopmurahid/special-creator-macbook-air-m5-13-inci-16gb-512gb-10c-cpu-8c-gpu-garansi-resmi-apple-indonesia-ibox-gdn-digimap-1737326002652218646-1737325972780254486</t>
  </si>
  <si>
    <t xml:space="preserve">Laptop Murah ID (Mall) di Tokopedia, 16/512 GB 10 inti CPU / 8 inti GPU, warna Sky Blue, garansi resmi Apple Indonesia 1 tahun lewat iBox/GDN/Digimap, sisa stok 5, tanpa harga coret.</t>
  </si>
  <si>
    <t xml:space="preserve">https://www.tokopedia.com/applegearid/apple-new-macbook-air-m5-13-inch-2026-garansi-resmi-apple-indonesia-1735814404225205984-1735814416920250080</t>
  </si>
  <si>
    <t xml:space="preserve">APPLE GEAR JOGJA di Tokopedia, varian 16/512 GB warna Sky Blue, garansi resmi Apple Indonesia 1 tahun, sisa stok 1, tanpa harga coret. Harga di marketplace berkisar Rp24,3 juta sampai Rp26 juta, lebih tinggi daripada harga resmi Rp20.499.000 yang ditulis berita peluncuran Mei 2026 (detik, Gizmologi, CariSinyal); Digimap hari ini mencantumkan Rp24.949.000 sehingga kemungkinan harga resmi sudah naik, tetapi itu belum dipastikan.</t>
  </si>
  <si>
    <t xml:space="preserve">https://www.tokopedia.com/berjayaonlinestore/laptop-asus-tuf-a15-fa507nur-ryzen-7-7435hs-16gb-ram-512gb-ssd-rtx4050-6gb-1730839168069830536</t>
  </si>
  <si>
    <t xml:space="preserve">Toko BERJAYA COM (Medan), stok tertulis 49 tetapi diminta tanya stok dulu; tanpa harga coret; garansi tertulis 2 tahun tanpa menyebut jenisnya. Listing lain untuk kode yang sama tidak dipakai: Deca Computer Rp22.769.010 (paket 'non bundle', jauh di atas toko lain) dan INFONET Mal PoinSquare Rp21.799.000 (stok habis). Harga sekitar Rp16,1-16,3 juta terlihat di Plaza IT dan Poin Xtra (Dinomarket) tetapi stoknya habis saat dibuka.</t>
  </si>
  <si>
    <t xml:space="preserve">https://www.tokopedia.com/abadi-notebook/asus-tuf-a15-fa507nur-r745k6m-om-amd-ryzen-7-7435hs-16gb-512gb-ssd-rtx4050-6gb-15-6-fhd-144hz-win-11-home-ohs-2021-m365-1730707752704706164</t>
  </si>
  <si>
    <t xml:space="preserve">Toko Abadi Notebook (Semarang), sisa 5 unit, tanpa harga coret; garansi resmi ASUS 2 tahun (tahun pertama Perfect Warranty); bonus tas dan mouse.</t>
  </si>
  <si>
    <t xml:space="preserve">https://www.tokopedia.com/heterokucom/asus-tuf-gaming-a15-fa507nur-r745k6m-om-ryzen-7-7435hs-16gb-512gb-4050-w11-ohs-mechagray</t>
  </si>
  <si>
    <t xml:space="preserve">Toko Heteroku Computer Bali (Denpasar), sisa 10 unit, tanpa harga coret; garansi tertulis 2 tahun global tanpa menyebut apakah toko resmi; bonus tas.</t>
  </si>
  <si>
    <t xml:space="preserve">https://www.tokopedia.com/jduacomputer-/asus-tuf-a15-fa507nvr-r746k6m-om-amd-ryzen-7-7435hs-16gb-512gb-ssd-rtx4060-8gb-15-6-144hz-win-11-home-ohs-2021-m365-mecha-gray-1731421758572627886</t>
  </si>
  <si>
    <t xml:space="preserve">Toko JDUACOMPUTER (Jakarta Pusat), sisa 3 unit, tanpa harga coret; garansi resmi ASUS 2 tahun global; bonus tas dan mouse TUF.</t>
  </si>
  <si>
    <t xml:space="preserve">https://www.tokopedia.com/jiifokom/asus-tuf-gaming-a15-fa507nvr-r746k6m-om-r7-7435hs-rtx4060-8gb</t>
  </si>
  <si>
    <t xml:space="preserve">Toko jiifo komputer (Jakarta Pusat), sisa 5 unit, tanpa harga coret; garansi resmi ASUS 2 tahun; bonus tas. Listing lain tidak dipakai: Deca Computer Rp26.136.000 (paket 'non bundling', sekitar 50% di atas toko lain) dan Hathor Computer Rp19.990.000 (sisa 1 unit, lebih tinggi dari rata-rata).</t>
  </si>
  <si>
    <t xml:space="preserve">https://www.tokopedia.com/abadi-notebook/asus-tuf-a15-fa507nvr-r746k6m-om-amd-ryzen-7-7435hs-16gb-512gb-ssd-rtx4060-8gb-15-6-144hz-win-11-home-ohs-2021-m365-1731175435776198260</t>
  </si>
  <si>
    <t xml:space="preserve">Toko Abadi Notebook (Semarang), sisa 5 unit, tanpa harga coret; garansi resmi ASUS 2 tahun; bonus tas dan mouse.</t>
  </si>
  <si>
    <t xml:space="preserve">https://www.tokopedia.com/lenovolegion/lenovo-loq-15irx10-geforce-rtx5050-8gb-i7-13700hx-16gb-512gb-w11-ohs-m365b-15-6fhd-144hz-100srgb-24zrgb-1732985176150542028</t>
  </si>
  <si>
    <t xml:space="preserve">Toko Lenovo Legion Official (Official Mall Tokopedia), stok tertulis 285, harga coret Rp27.999.000 (diskon 10%); kode 83JE00QDID; garansi yang tertulis di halaman hanya '7 hari' toko, garansi pabrikan tidak dijelaskan. Listing lain tidak dipakai: Lenovo Official Mall (kode 83JE00KAID, RAM 12 GB) Rp28.499.000 karena konfigurasi RAM berbeda; Plaza IT Rp25.999.000 (stok habis). Beberapa listing lebih mahal (Rp32,5-35 juta, mis. Deca Computer dan TeknoTrend) terlihat di hasil pencarian Tokopedia dan tidak dibuka satu per satu.</t>
  </si>
  <si>
    <t xml:space="preserve">https://www.tokopedia.com/agresidbandung/lenovo-loq-15irx10-i7-13700hx-rtx5050-16gb-512gb-15-6-fhd-ips-144hz-1732867096146511032</t>
  </si>
  <si>
    <t xml:space="preserve">Toko Agres ID Bandung, sisa 4 unit, harga coret Rp38.398.800 (tidak dianggap harga daftar); paket 'NO PAKET, NO UPGRADE'; garansi 2 tahun + 2 tahun asuransi kerusakan (ADP) dari Lenovo Indonesia.</t>
  </si>
  <si>
    <t xml:space="preserve">https://www.tokopedia.com/lenovo-authorized-medan-barat/lenovo-loq-15irx10-qdid-ci7-13700hx-16gb-512gb-rtx5050-w11hsl-oh24-m365-1y-24zonergb-2y-adp-15-6-fhd-ips-1732833844835550226</t>
  </si>
  <si>
    <t xml:space="preserve">Toko Lenovo Authorized Medan Barat (Mall), sisa 1 unit, harga coret Rp25.999.000; garansi 2 tahun resmi Lenovo + 2 tahun ADP; bonus mouse M210.</t>
  </si>
  <si>
    <t xml:space="preserve">https://www.tokopedia.com/lenovo-authorized-balikpapan/lenovo-loq-15irx10-qcid-geforce-rtx5050-intel-core-i5-13450hx-16gb-512gb-rtx5050-8gb-15-6-fhd-100-srgb-144hz-win11-ohs-1732654701579699608</t>
  </si>
  <si>
    <t xml:space="preserve">Toko Lenovo Authorized Balikpapan, sisa 2 unit, tanpa harga coret; kode 83JE00QCID; garansi resmi Lenovo 2 tahun + ADP; bonus mouse dan tas. Listing lain tidak dipakai: Plaza IT Rp17.819.000 (dibuka, stok 8, tetapi sekitar 16-25% di bawah semua toko lain sehingga tidak dapat dipastikan wajar); Lenovo Store by IMD Rp30.499.000 terlihat di hasil pencarian (tidak dibuka) dan jauh di atas toko lain.</t>
  </si>
  <si>
    <t xml:space="preserve">https://www.tokopedia.com/anugerahdigital/lenovo-loq-15irx10-83je00qcid-i5-13450hx-rtx5050-8gb-ram-16gb-512ssd-w11-ohs-m365b-15-6-fhd-144hz-100srgb-24rgb-2year-1734323220644660567</t>
  </si>
  <si>
    <t xml:space="preserve">Toko Anugerah Digital Lestari (Mall, Jakarta Pusat), sisa 4 unit, tanpa harga coret; garansi resmi Lenovo 2 tahun Premium Care + 2 tahun ADP; barang hanya bisa diambil di toko (tidak dikirim).</t>
  </si>
  <si>
    <t xml:space="preserve">https://www.tokopedia.com/techspeed/lenovo-loq-15irx10-rtx-5050-8gb-intel-i5-13450hx-16gb-512gb-w11-ohs-15-6-fhd-ips-300nits-100-srgb-144hz-2y-prem-2adp-qcid-1736824070273861599</t>
  </si>
  <si>
    <t xml:space="preserve">Toko Tech Speed IT (Semarang), sisa 5 unit, tanpa harga coret; tertulis bergaransi resmi dengan 2 tahun Premium Care dan 2 tahun ADP.</t>
  </si>
  <si>
    <t xml:space="preserve">https://store.acer.com/en-id/acer-nitro-v15-nh-qz9sn-002</t>
  </si>
  <si>
    <t xml:space="preserve">Toko resmi Acer Indonesia (store.acer.com), harga khusus Rp23.699.000 dari harga normal Rp25.799.000, stok tersedia; halaman menyebut spanduk garansi 3 tahun.</t>
  </si>
  <si>
    <t xml:space="preserve">https://www.tokopedia.com/acer-jakarta/acer-nitro-v-15-anv15-52-7783-rtx5050-8gb-intel-core-i7-13620h-16-512gb-ssd-windows-11-ohs-15-6-full-hd-180hz-100srgb-obsidian-black-1734136738266711188</t>
  </si>
  <si>
    <t xml:space="preserve">Toko Acer Authorized Store Jakarta, stok 899; harga coret Rp34.000.000 tidak dianggap harga daftar (toko Acer memajang Rp25.799.000); garansi resmi Acer Indonesia 3 tahun + 1 tahun Priority Care AADP. Di hasil pencarian Tokopedia juga terlihat listing berjudul bertentangan (spek i9/RTX 4060) dan satu berharga Rp28,9 juta berlabel promo 'CO'; keduanya tidak dibuka dan tidak dipakai.</t>
  </si>
  <si>
    <t xml:space="preserve">https://www.tokopedia.com/infonet-harco-mangga-dua/acer-nitro-v-15-anv15-52-7783-i7-13620h-16gb-512gb-ssd-rtx5050-8gb-gddr7-15-6-ips-fhd-180hz-w11h-oh2024-m365-1y-black-bp-1732780791842309975</t>
  </si>
  <si>
    <t xml:space="preserve">Toko INFONET Harco Mangga Dua, sisa 2 unit, tanpa harga coret; garansi resmi Acer 3 tahun; paket 'unit only' (unit + tas). Spek RAM di halaman (2x8 GB DDR5) bertentangan dengan Acer sehingga hanya harganya yang dipakai.</t>
  </si>
  <si>
    <t xml:space="preserve">https://store.acer.com/en-id/acer-nitro-v15-core-7-rtx-5050</t>
  </si>
  <si>
    <t xml:space="preserve">Toko resmi Acer Indonesia (store.acer.com), harga khusus Rp23.699.000 dari harga normal Rp25.799.000, stok tersedia.</t>
  </si>
  <si>
    <t xml:space="preserve">https://www.tokopedia.com/acer-jakarta/acer-nitro-v-15-anv15-52-777r-rtx5050-8gb-intel-core-7-240h-16-512gb-ssd-windows-11-ohs-15-6-full-hd-180hz-100srgb-obsidian-black-1734390983418414228</t>
  </si>
  <si>
    <t xml:space="preserve">Toko Acer Authorized Store Jakarta, stok 899; harga coret Rp34.000.000 tidak dianggap harga daftar; garansi resmi Acer Indonesia 3 tahun + 1 tahun Priority Care AADP. Di hasil pencarian Tokopedia, toko lain untuk kode yang sama terlihat sekitar Rp20,2-21,8 juta dan satu listing berlabel promo 'CO' Rp29,7 juta; semuanya tidak dibuka dan tidak dipakai.</t>
  </si>
  <si>
    <t xml:space="preserve">https://www.tokopedia.com/starcomp-semarang/acer-nitro-v-15-anv15-52-777r-intel-core-7-240h-16gb-512gb-rtx5050-15-6-fhd-win11-ohs-1735760346577405674</t>
  </si>
  <si>
    <t xml:space="preserve">Toko Starcomp Semarang (Mall), sisa 5 unit, tanpa harga coret; garansi pabrikan tidak dituliskan (hanya 'garansi 7 hari' toko).</t>
  </si>
  <si>
    <t xml:space="preserve">https://www.tokopedia.com/timoho29/lenovo-thinkpad-t14-gen-1-core-i5-10310u-ram-16gb-ssd-256gb-t14-g1-i5-16gb-256gb-98b2a</t>
  </si>
  <si>
    <t xml:space="preserve">Tokopedia, toko Hosea Timoho29 (Yogyakarta). Rp5.000.000, harga coret Rp5.500.000; etalase menampilkan 5.030+ terjual (angka etalase, belum tentu unit ini saja). Halaman produk hanya tampil sebagian (butuh JavaScript), jadi harga dibaca dari kartu hasil pencarian Tokopedia tanggal ini. Kondisi tidak tertulis di kartu, tetapi model rilisan 2020 pada harga ini jelas unit bekas. Dibuang dari varian ini: listing grosir yang satu harganya mencakup banyak konfigurasi (Glory Computerr, Captain Comp, Forest Computer, Island Comp, Pusat Grosir Laptop Bandung), listing MRMN (CPU i5-10210U di judul vs i5-10310U di deskripsi, SSD 256 vs 512 GB saling bertentangan), listing PCBuiltUp (judul 16/512 tetapi varian terpilih 8/256 Rp4.800.000 dan layar tertulis 1366x768), serta Jagonya Notebook (i5-10210U 16/256 Rp5.292.000, CPU beda).</t>
  </si>
  <si>
    <t xml:space="preserve">https://www.tokopedia.com/grahakomputa/thinkpad-t14-gen-1-intel-core-i5-10310u-ram-16gb-ssd-256gb-14-full-hd-ips-1737481322056288218</t>
  </si>
  <si>
    <t xml:space="preserve">Tokopedia, toko Graha Komputa (Kab. Sleman). Rp4.650.000, judul menyebut layar 14 inci Full HD IPS. Dibaca dari kartu hasil pencarian Tokopedia (halaman produk gagal dibuka saat dicoba), kondisi tidak tertulis di kartu tetapi jelas unit bekas karena modelnya rilisan 2020.</t>
  </si>
  <si>
    <t xml:space="preserve">https://www.tokopedia.com/cipta-quantum-solution/lenovo-thinkpad-t14-gen-1-i5-10310u-16gb-512gb-ssd-14-fhd-windows-11-pro-1732091959369368658</t>
  </si>
  <si>
    <t xml:space="preserve">Tokopedia, toko Cipta Quantum Solution (Jakarta Barat). Rp5.200.000, stok 10, layar FHD 14 inci, Windows 11 Pro. Halaman produk dibuka; kondisi dan garansi tidak tertulis, tetapi harga dan model menunjukkan unit bekas. Hanya satu listing yang cocok persis (i5-10310U, 16 GB, 512 GB) yang bisa dipastikan hari ini.</t>
  </si>
  <si>
    <t xml:space="preserve">https://www.tokopedia.com/innolaptech/dell-latitude-7490-i5-8350u-8gb-ram-256gb-ssd-14-full-hd-windows-10-11-slim-business-laptop-garansi-1-bulan-1731979738015434678</t>
  </si>
  <si>
    <t xml:space="preserve">Tokopedia, toko InnoLapTech (Jakarta Pusat). Rp3.950.000, stok 10, bekas kondisi 97-99% menurut penjual, garansi toko 1 bulan, SSD NVMe, FHD, sidik jari dan lampu keyboard ada menurut penjual. Halaman dibuka; label varian tertulis 'i7 GEN8' padahal deskripsi dan judul i5-8350U. Dibuang dari varian ini: Rumah Komputer kita (Batam) Rp7.000.000 karena jauh di atas pasar, MART TOLS (satu harga untuk beberapa kombinasi RAM/SSD), Pusat Komputer (CPU tertulis i7-7600U dan RAM tertulis tidak konsisten), serta listing 'i5/i7' tanpa tipe CPU yang jelas.</t>
  </si>
  <si>
    <t xml:space="preserve">https://www.tokopedia.com/jagonyanotebookstore/dell-latitude-7490-i5-8350u-ram-8gb-ssd-256gb-nvme-layar-14-ips-fhd-1731194296328750467</t>
  </si>
  <si>
    <t xml:space="preserve">Tokopedia, toko jagonya notebook (Bandung). Rp4.214.000, judul menyebut SSD NVMe dan layar 14 inci IPS FHD. Dibaca dari kartu hasil pencarian Tokopedia tanggal ini (halaman produk tidak dibuka); kondisi tidak tertulis di kartu, tetapi model rilisan 2018 jelas unit bekas.</t>
  </si>
  <si>
    <t xml:space="preserve">https://www.tokopedia.com/laptopbandu/dell-latitude-7490-core-i5-8350u-ram-8gb-ssd-256gb</t>
  </si>
  <si>
    <t xml:space="preserve">Tokopedia, toko LAPTOPJKID (Bandung). Rp3.300.000, judul i5-8350U, RAM 8 GB, SSD 256 GB. Dibaca dari kartu hasil pencarian Tokopedia (halaman produk tidak dibuka); kondisi tidak tertulis di kartu, tetapi model rilisan 2018 jelas unit bekas.</t>
  </si>
  <si>
    <t xml:space="preserve">https://www.tokopedia.com/kajoedstore17/laptop-dell-latitude-7490-cor-i5-8350u-gen8-ram-8gb-ssd-256gb-fhd-slim</t>
  </si>
  <si>
    <t xml:space="preserve">Tokopedia, toko kajoedstore17 (Jakarta Barat). Rp3.500.000, judul menyebut FHD slim. Dibaca dari kartu hasil pencarian Tokopedia (halaman produk tidak dibuka); kondisi tidak tertulis di kartu, tetapi model rilisan 2018 jelas unit bekas.</t>
  </si>
  <si>
    <t xml:space="preserve">https://www.tokopedia.com/dissant/hp-elitebook-840-g6-i5-8365u-8gb-ram-256gb-ssd-fhd-backlit-slim-mulus</t>
  </si>
  <si>
    <t xml:space="preserve">Tokopedia, toko DissantsStore (Jakarta Timur). Rp4.250.000, stok 1, bekas dengan lecet pemakaian wajar, FHD IPS, sidik jari dan lampu keyboard ada menurut penjual, tanpa garansi tertulis. Halaman dibuka. Toko yang sama juga menjual unit berspek sama Rp3.900.000 (judul 'murah'), tidak dihitung agar satu toko tidak dobel. Dibuang dari varian ini: kajoedstore17 (layar sentuh, spek di judul bertentangan: tertulis Intel HD Graphics 520), Platinum Power dan INOTECH (satu harga untuk beberapa model/konfigurasi), serta ColeTech dan Studio Laptop Official (tertulis G5/G6 atau RAM/SSD pilihan ganda).</t>
  </si>
  <si>
    <t xml:space="preserve">https://www.tokopedia.com/bengkel-notebook-medan/laptop-hp-elitebook-840-g6-intel-core-i5-8365u-1-60ghz-gen8-ram-8gb-ssd-256gb-silver-second</t>
  </si>
  <si>
    <t xml:space="preserve">Tokopedia, toko Bengkel Notebook Medan (Medan). Rp3.950.000, judul menyebut i5-8365U 1,60 GHz, RAM 8 GB, SSD 256 GB, warna silver, second. Dibaca dari kartu hasil pencarian Tokopedia tanggal ini (halaman produk tidak dibuka).</t>
  </si>
  <si>
    <t xml:space="preserve">https://www.tokopedia.com/queencellshop/hp-elitebook-840-g6-intel-core-i5-8365u-ram-8gb-ssd-256gb-14-fhd-second-fullset-1732165187840411229</t>
  </si>
  <si>
    <t xml:space="preserve">Tokopedia, toko Queen Cellshop (Jakarta Barat). Rp3.799.000, judul menyebut layar 14 inci FHD dan 'second fullset'. Dibaca dari kartu hasil pencarian Tokopedia tanggal ini (halaman produk tidak dibuka).</t>
  </si>
  <si>
    <t xml:space="preserve">https://www.tokopedia.com/dissant/hp-elitebook-840-g6-i5-8265u-16gb-ram-512gb-ssd-fhd-cam-backlit-mulus</t>
  </si>
  <si>
    <t xml:space="preserve">Tokopedia, toko DissantsStore (Jakarta Timur). Rp4.900.000, stok 1, bekas pemakaian wajar, FHD IPS, sidik jari dan lampu keyboard ada menurut penjual, tanpa garansi tertulis. Halaman dibuka. Hanya satu listing yang cocok persis (i5-8265U, 16 GB, 512 GB); Technology Store (Rp5.199.000) dan MART TOLS (Rp4.900.000) tidak menyebut tipe CPU i5-nya sehingga tidak dihitung, dan Graha Komputa (i5-8265U 8/256) memiliki alamat produk yang menyebut G8, jadi dibuang.</t>
  </si>
  <si>
    <t xml:space="preserve">Toko resmi HP Indonesia: Rp17.499.000, harga coret Rp18.499.000 (PPN 11% sudah termasuk), status dalam stok, ongkir standar gratis. Halaman hanya menulis uji coba Microsoft 365 1 bulan, tanpa Office.</t>
  </si>
  <si>
    <t xml:space="preserve">https://plazait.co.id/product/hp-victus-15-fa2666tx-b6nr1pa-core-i5-13420h-rtx3050-6gb-mica-silver</t>
  </si>
  <si>
    <t xml:space="preserve">Plaza IT (PT Primajaya Multi Technology, web toko sendiri): Rp16.020.000, harga coret Rp17.499.000, stok ada di beberapa cabang. Judul menyebut paket Office Home 2024 + Microsoft 365 dan tas. Halaman menulis ada harga khusus setelah login; angka itu tidak dicatat karena tidak terlihat.</t>
  </si>
  <si>
    <t xml:space="preserve">https://www.tokopedia.com/agresidsukabumi/hp-victus-15-i5-13420h-rtx3050-6gb-16gb-512gb-w11-ohs-15-6fhd-144hz-blit-2y-2adp-1730910358694758192-1735164457618671408</t>
  </si>
  <si>
    <t xml:space="preserve">Tokopedia, toko Agres ID Sukabumi: Rp16.829.000, stok 20, tanpa harga coret. Deskripsi toko menulis kode fa2716TX (kembaran dengan CPU, GPU, RAM, dan SSD sama), bukan fa2666TX; garansi resmi HP Indonesia 2 tahun menurut penjual.</t>
  </si>
  <si>
    <t xml:space="preserve">https://www.tokopedia.com/wei-1/hp-victus-15-fa2716tx-i5-13420h-rtx3050-512gb-15-6-fhd-ips-144hz-win11-ohs-1731073566075684315-1734931064460051931</t>
  </si>
  <si>
    <t xml:space="preserve">Tokopedia, toko We Itech: Rp16.349.000, harga coret Rp18.799.000 (bukan harga normal), stok 200. Kode fa2716TX (kembaran dengan CPU, GPU, RAM 16 GB, dan SSD 512 GB sama); deskripsi toko menulis RAM 2 x 8 GB, berbeda dari halaman HP fa2666TX yang menulis 1 x 16 GB.</t>
  </si>
  <si>
    <t xml:space="preserve">https://www.tokopedia.com/gameridbandung/msi-thin-15-b13uc-core-i7-13620h-rtx3050-8gb-512gb-15-6-inch-full-hd-ips-144hz-1731201390111065347</t>
  </si>
  <si>
    <t xml:space="preserve">Tokopedia, toko Gamer ID Bandung (cabang AGRES.ID): B13UC-2407, i7-13620H, RTX 3050 4 GB, RAM 1x8 GB, 512 GB. Harga di halaman produk Rp14.849.000, harga coret Rp19.186.250 (bukan harga normal); kartu hasil pencarian sempat menampilkan Rp15.349.000. Stok tersisa 1; garansi MSI Indonesia 2 tahun menurut penjual; judul menulis 'RTX3050 8GB' padahal memori grafisnya 4 GB.</t>
  </si>
  <si>
    <t xml:space="preserve">https://www.tokopedia.com/wei-1/msi-thin-15-b13uc-i7-13620h-rtx3050-512gb-ssd-15-6-fhd-ips-144hz-win11-1733447249383294427</t>
  </si>
  <si>
    <t xml:space="preserve">Tokopedia, toko We Itech: opsi RAM 8 GB yang terpilih (opsi 16 dan 32 GB harganya berbeda dan tidak dicatat), kode B13UC-2407. Harga Rp14.649.000, harga coret Rp17.799.000 (bukan harga normal), stok 200, garansi resmi 2 tahun menurut penjual.</t>
  </si>
  <si>
    <t xml:space="preserve">https://www.tokopedia.com/protechcom/msi-thin-b13uc-15-i7-13620h-rtx3050-8gb-512gb-w11-15-6-fhd-144hz-blit-1735350451665668000</t>
  </si>
  <si>
    <t xml:space="preserve">Tokopedia, toko ProTech Com: B13UC-2407 (SKU 9S7-16R831-2407), opsi RAM 8 GB. Harga flash sale di halaman produk Rp14.849.000, harga coret Rp18.999.000 (bukan harga normal); kartu hasil pencarian menampilkan Rp15.349.000 pada waktu lain. Stok sekitar 1.138; garansi resmi 2 tahun menurut penjual.</t>
  </si>
  <si>
    <t xml:space="preserve">https://rog.asus.com/id/laptops/rog-strix/rog-strix-g16-2025-g614/</t>
  </si>
  <si>
    <t xml:space="preserve">Halaman produk ROG Indonesia: kartu G614PM (Ryzen 9 8940HX, RTX 5060, 1 TB, 2,5K) tertulis Rp30.999.000. Kartu itu memuat model G614PM, bukan kode C6G secara khusus; halaman tidak menampilkan stok atau tombol beli langsung untuk kode ini (tombol 'Hubungi kami').</t>
  </si>
  <si>
    <t xml:space="preserve">https://www.tokopedia.com/itgaleripoinssquare/laptop-asus-rog-strix-g16-g614pm-r9n56c6g-hm-amd-ryzen-9-8940hx-rtx5060-8gb-ram-16gb-ssd-1tb-layar-16-inch-2-5k-ips-240hz-windows-11-home-microsoft-office-home-2024-1731857981189031138</t>
  </si>
  <si>
    <t xml:space="preserve">Tokopedia, toko IT Galeri Poins Square: kode G614PM-R9N56C6G-HM, Rp30.999.000 (PPN sudah termasuk), stok 9, tanpa harga coret; garansi resmi ASUS 2 tahun dan Office Home 2024 menurut penjual.</t>
  </si>
  <si>
    <t xml:space="preserve">https://plazait.co.id/product/asus-rog-strix-g16-g614pm-r9n56c6g-hm-eclipse-gray</t>
  </si>
  <si>
    <t xml:space="preserve">Plaza IT (PT Primajaya Multi Technology, web toko sendiri): kode G614PM-R9N56C6G-HM, Rp30.999.000, harga coret Rp31.299.000. Halaman menandai stok habis di semua cabang (terjual 10+), dicatat sebagai patokan harga saja; paket menyertakan tas ransel dan mouse ROG.</t>
  </si>
  <si>
    <t xml:space="preserve">https://www.tokopedia.com/nvidiageforcelt/asus-rog-strix-g16-g614pm-geforce-rtx-5060-ryzen-9-8940hx-16gb-1tb-16-owqxga-240hz-100dcip3-1731500504830608803</t>
  </si>
  <si>
    <t xml:space="preserve">Tokopedia, toko NVIDIA GeForce Laptop: opsi G614PM-R9N56C6G-HM (16 GB, 1 TB, 240 Hz), Rp35.019.000, harga coret Rp45.999.000 (bukan harga normal), stok 216. Sekitar Rp4 juta di atas harga resmi dan toko lain; tetap dicatat karena itu harga nyata yang tampil di marketplace, tetapi ini batas atas.</t>
  </si>
  <si>
    <t xml:space="preserve">https://plazait.co.id/product/lenovo-legion-5-15irx10-83ly00e9id-eclipse-black-3y</t>
  </si>
  <si>
    <t xml:space="preserve">Toko online retail Plazait (bukan toko pabrikan), kode 83LY00E9ID, Eclipse Black. Harga Rp20.299.000 dari harga daftar Rp20.499.000 (-1%), stok 4, tertulis garansi resmi Lenovo 3 tahun + ADP, 3 unit terjual. HARGA INI JAUH DI BAWAH tiga listing lain (sekitar Rp27,8-28,6 juta untuk konfigurasi yang sama); tidak bisa dipastikan apakah promo asli atau salah harga. Dicatat apa adanya, editor bisa menimbangnya sebagai pencilan.</t>
  </si>
  <si>
    <t xml:space="preserve">https://www.tokopedia.com/kios-komputer/lenovo-legion-5-15irx10-core-i7-13650hx-16gb-ddr5-512gb-nvme-rtx-5050-8gb-15-3-wuxga-ips-100-srgb-165hz-dolby-win-11-office-1735285387359651014-1735285473136313542</t>
  </si>
  <si>
    <t xml:space="preserve">Tokopedia, toko Kios Komputer (Malang). Rp27.825.000, tanpa harga coret, sisa 2, tertulis 'brand new original' dan 'produk bergaransi' tanpa menyebut lama garansi. Judul tidak menyebut kode 83LY00E9ID tetapi spesifikasinya cocok (i7-13650HX, 16 GB DDR5, 512 GB, RTX 5050, layar IPS 15,3 inci).</t>
  </si>
  <si>
    <t xml:space="preserve">https://www.tokopedia.com/starcomp-semarang/lenovo-legion-5-15irx10-e9id-intel-core-i7-13650hx-16gb-512gb-rtx-5050-8gb-15-3-wuxga-ips-w11-ohs24-m365-1732794131840861930</t>
  </si>
  <si>
    <t xml:space="preserve">Tokopedia, toko Starcomp Semarang. Rp28.390.000, tanpa harga coret di halaman, sisa 5; penjual menulis '3 tahun garansi resmi Lenovo Indonesia + ADP' (klaim penjual, tidak dipakai untuk kolom garansi). Kode E9ID (83LY00E9ID).</t>
  </si>
  <si>
    <t xml:space="preserve">https://www.tokopedia.com/lenovo-official/lenovo-legion-5-15irx10-core-i7-13650hx-16gb-512gb-ssd-rtx-5050-8gb-gddr7-w11-oh-2024-1732190303858099360</t>
  </si>
  <si>
    <t xml:space="preserve">Toko Lenovo Official di Tokopedia, kode 83LY00E9ID. Rp28.649.000, tanpa harga coret, tetapi stok HABIS saat dibuka (patokan harga saja). Garansi dasar 1 tahun (antar/kurir) dengan paket 3 tahun ADP dan Legion Ultimate Support. Penjual lain yang sempat dibuka dan tidak dicatat karena batas 4 baris: FLIXX.ID Rp28.148.000 (stok habis) dan AGRES ID Medan Rp28.899.000 (sisa 1).</t>
  </si>
  <si>
    <t xml:space="preserve">https://www.tokopedia.com/infonet-official-store/acer-aspire-lite-al14-32p-38re-core-3-n355-8gb-512gb-uma-14-ips-wuxga-w11-oh2024-1732147548773254856</t>
  </si>
  <si>
    <t xml:space="preserve">Tokopedia, toko Infonet Official Store (toko penjual, bukan toko resmi Acer), kode 38RE Light Silver, opsi UNIT ONLY, sisa 5. Harga coret Rp12.999.000 tidak dianggap harga daftar (jauh terlalu tinggi). Penjual menulis 'Garansi Resmi Acer 1/3/0'.</t>
  </si>
  <si>
    <t xml:space="preserve">https://www.tokopedia.com/acer-moi/acer-aspire-lite-14-core-3-n355-8gb-512gb-ssd-w11-ohs2021-14-al14-32p-1732730005887551090</t>
  </si>
  <si>
    <t xml:space="preserve">Tokopedia, toko Acer Exclusive Store Mall of Indonesia. Halaman produk butuh JavaScript dan tidak terbuka, jadi harga dibaca dari kartu hasil pencarian Tokopedia (laman 'find' tanggal ini): Rp8.649.757, harga coret Rp9.159.757. Judul menulis Office 2021, sedangkan Acer Indonesia menulis Office 2024; stok dan kode warna tidak terlihat.</t>
  </si>
  <si>
    <t xml:space="preserve">https://www.erablue.id/laptop/acer-aspire-lite-14-intel-core-3-n355-8gb-512gb-al14-32p-37ce-blue</t>
  </si>
  <si>
    <t xml:space="preserve">Toko online retail Erablue (bukan toko pabrikan), kode AL14-32P-37CE warna Blue, harga coret Rp9.349.000 (diskon 8%). Stok HABIS saat dibuka, jadi hanya patokan harga.</t>
  </si>
  <si>
    <t xml:space="preserve">https://plazait.co.id/product/acer-aspire-lite-14-al14-32p-38re-core-3-n355-intel-uhd-graphics-silver</t>
  </si>
  <si>
    <t xml:space="preserve">Toko online retail Plazait (bukan toko pabrikan), kode 38RE Light Silver, harga coret Rp7.699.000. Stok HABIS (0 di semua cabang). Harganya sekitar 1 juta di bawah listing Tokopedia yang masih ada stok; tidak bisa dicek silang. Di toko yang sama, warna Rose Sakura (359Z) Rp5.999.000 juga habis dan tidak dicatat. Penjual menulis 'Garansi Resmi Acer 3/3/0 + 1 tahun ADP'.</t>
  </si>
  <si>
    <t xml:space="preserve">https://www.axiooworld.com/product/hype-5-gen-12-v2/features</t>
  </si>
  <si>
    <t xml:space="preserve">Situs resmi Axioo (axiooworld.com), Hype 5 Gen 12 v2 8 GB / 256 GB. Harga Rp8.249.000 dibaca dari metadata halaman (tidak tampil di teks) dan status 'in stock'. Tidak disebut apakah harga itu untuk versi DOS atau Windows 11.</t>
  </si>
  <si>
    <t xml:space="preserve">https://www.tokopedia.com/laptoponeitcsby/axioo-hype-5-ryzen-5-5500-8gb-16gb-256gb-w11-14-0fhd-blu-1735487378418599537</t>
  </si>
  <si>
    <t xml:space="preserve">Tokopedia, toko Laptop ONE ITC SBY (Surabaya), judul 'Hype 5 G12 V2 i5 1235 8GB 256GB W11 1.25KG', paket UNIT SET, sisa 7. Alamat (slug) listing menyebut Ryzen 5 5500, tetapi judul dan deskripsi menulis i5-1235U v2; dipakai judul/deskripsi. Penjual menulis garansi resmi Axioo 1 tahun + ADP 1 tahun (klaim penjual).</t>
  </si>
  <si>
    <t xml:space="preserve">https://www.tokopedia.com/notebookmurah/laptop-axioo-hype-5-g12-v2-i5-1235-ram-8gb-ssd-256gb-w11-14-0-1-25kg-1737667345305011777-1737667353871550017</t>
  </si>
  <si>
    <t xml:space="preserve">Tokopedia, toko Notebook Murah ID (Bandung), judul 'Hype 5 G12 V2 i5 1235 8GB 256GB W11 1.25KG', pilihan Normal / Black, sisa 5. Deskripsi menulis Windows 11 Home dan garansi resmi Axioo 1 tahun (klaim penjual).</t>
  </si>
  <si>
    <t xml:space="preserve">https://www.tokopedia.com/haercom/best-seller-axioo-hype-5-g12-v2-intel-i5-1235-8gb-256gb-windows-11-pro-layar-14-inch-ips-full-hd-1-25kg-1737396819243796329-1737396773698766697</t>
  </si>
  <si>
    <t xml:space="preserve">Tokopedia, toko GADGET SULTAN ID (Mall), pilihan BONUS STANDARD, sisa 5. Judul menulis Windows 11 Pro tetapi deskripsi menulis Home (tidak konsisten). Tanpa harga coret. Listing lain yang dibuka dan tidak dicatat: Artomoro Comp Rp7.389.000 (varian DOS yang terpilih) dan ProStoreComputer Rp7.649.000 (harga coret Rp20.398.000 tidak dianggap harga daftar; deskripsi menulis berat 1,4 kg dan 1,25 kg sekaligus).</t>
  </si>
  <si>
    <t xml:space="preserve">Toko resmi ADVAN NOTEBOOK di Tokopedia. Harga aktif Rp10.399.000, harga coret Rp15.999.000 (diskon 35%) tidak dipakai karena tidak realistis. Stok 54, garansi resmi 2 tahun, cicilan GoPayLater 0%.</t>
  </si>
  <si>
    <t xml:space="preserve">https://www.tokopedia.com/advanstore/advan-workplus-ai-ryzen-7-255-8gb-512gb-14-inch-fhd-16-10-ips-dual-cooling-system-laptop-notebook-free-windows-11-garansi-resmi-2-tahun-1734453368957732711</t>
  </si>
  <si>
    <t xml:space="preserve">Toko resmi ADVAN INDONESIA (Mall) di Tokopedia, listing berbeda dari toko ADVAN NOTEBOOK tapi harga sama. Harga coret Rp15.999.000 tidak dipakai. Stok 54.</t>
  </si>
  <si>
    <t xml:space="preserve">https://www.tokopedia.com/advan-authorized-bogor/advan-workplus-ai-amd-r7-225-8-gb-512gb-14-ssd-windows-11-1736765761262421881-1736890468622043001</t>
  </si>
  <si>
    <t xml:space="preserve">Toko Advan Authorized Bogor di Tokopedia, unit saja dengan garansi default resmi Advan 2 tahun. Harga coret Rp12.869.000 tidak dipakai. Stok tersisa 5. Judul menulis 'Ryzen AI 7 225' tapi bagian spesifikasi menulis Ryzen 7 255 (judul salah ketik).</t>
  </si>
  <si>
    <t xml:space="preserve">https://www.tokopedia.com/infonetmallambasador/advan-workplus-heritage-ryzen-5-7535hs-8gb-512gb-14-wuxga-w11-1731498010158859415-1736788231569245335</t>
  </si>
  <si>
    <t xml:space="preserve">Toko INFONET Mall Ambasador di Tokopedia, garansi resmi Advan 2 tahun, stok 19. Harga coret Rp9.549.000. Judul/deskripsi memuat salah ketik ('R7 225') dan slug URL menyebut Ryzen 5 7535HS, tapi spesifikasi di halaman tertulis Ryzen 7 255 8GB/512GB.</t>
  </si>
  <si>
    <t xml:space="preserve">https://www.tokopedia.com/anugerahdigital/infinix-xbook-14-neo-xl453-i3-1315u-i5-1335u-8gb-256g-512b-w11-14-0-wuxga-ips-2year-1737551708527625559-1737551489172866391</t>
  </si>
  <si>
    <t xml:space="preserve">Anugerah Digital Lestari (Mall) di Tokopedia. Harga untuk varian terpilih i3-1315U 8/256GB warna Twilight Purple; stok 5; tidak ada harga coret. Harga daftar peluncuran Rp7.999.000 (Selular/Bisnis), jadi listing ini sedikit di bawah daftar. Toko tidak menerima retur.</t>
  </si>
  <si>
    <t xml:space="preserve">https://www.tokopedia.com/agresidjaktim/laptop-lenovo-loq-15-intel-i5-gen-13-rtx-3050-6gb-24gb-512gb-win-11-plus-office-15-6-inch-full-hd-1731150466462484256-1737698100622952224</t>
  </si>
  <si>
    <t xml:space="preserve">AGRES ID Jakarta Timur di Tokopedia (mitra ritel resmi Infinix). Varian terpilih 8GB/256GB laptop saja, stok 67. Slug URL menyebut produk lain (Lenovo LOQ) tetapi isi halaman adalah Infinix XBOOK 14 NEO.</t>
  </si>
  <si>
    <t xml:space="preserve">https://www.tokopedia.com/herlinacom/laptop-infinix-xbook-14-neo-i3-1315u-8gb-256gb-w11-14-0-wuxga-1737699334095930766-1737699540528235918</t>
  </si>
  <si>
    <t xml:space="preserve">Herlinacom (Depok) di Tokopedia. Varian terpilih 8GB/256GB non-paket warna Charcoal, stok 100. Bagian spesifikasi di halaman menyebut 512GB tetapi judul dan varian terpilih 256GB; harga dicatat untuk 256GB.</t>
  </si>
  <si>
    <t xml:space="preserve">https://www.tokopedia.com/gasol-laptop/infinix-xbook-14-neo-core-i3-1315u-256gb-ssd-8gb-ram-volcano-grey-notebook-laptop-1737750657868071983</t>
  </si>
  <si>
    <t xml:space="preserve">Gasol WTC Surabaya di Tokopedia, satu-satunya konfigurasi i3-1315U 8GB/256GB warna Volcano Grey. Stok tertulis 10.000 (angka yang tidak lazim). Tidak dicatat: listing Agres ID Jakarta Utara Rp7.888.020 dan Agres ID Depok Rp8.102.430 (varian 256GB yang sama) karena batas 4 baris; dan listing 512GB serta i5-1335U (varian lain).</t>
  </si>
  <si>
    <t xml:space="preserve">https://www.tokopedia.com/anugerahdigital/tkdn-acer-chromebook-touch-c733t-0041-intel-n4020-4gb-32gb-emmc-11-6-touch-chrome-os-1731057918061020503</t>
  </si>
  <si>
    <t xml:space="preserve">Anugerah Digital Lestari (Mall) di Tokopedia, 'TKDN Acer Chromebook C733T/0041', stok 5, tanpa harga coret di halaman (di halaman pencarian tertulis coret Rp6.499.000). Garansi resmi Acer Indonesia 1 tahun menurut penjual, tanpa garansi toko. Deskripsi menyebut ambil di toko. Tidak dicatat: LifeTech IDN Rp4.799.000 (C733, layar sentuh tidak disebut, mungkin versi non-sentuh), devinayeo Rp4.999.999 (non-sentuh, kondisi tidak jelas, garansi 2 minggu), dan banyak listing Rp1,2-2,4 juta yang ternyata bekas/like new.</t>
  </si>
  <si>
    <t xml:space="preserve">https://www.tokopedia.com/levtop/laptop-second-used-apple-macbook-air-m1-13-inch-silver-2020-ram-8-gb-ssd-256-gb-retina-display-touch-id-true-tone-berkualitas-1733208703815157195</t>
  </si>
  <si>
    <t xml:space="preserve">Tokopedia, toko LevtopID (Bandung menurut kartu pencarian). Rp9.315.000, tanpa harga coret, sisa stok 5, warna Silver, kesehatan baterai 93% (176 siklus), charger gratis tetapi tanpa dus, garansi toko 7 hari (tidak mencakup layar dan baterai). Halaman dibuka. Tidak dicatat dari varian ini: Unex shop Rp8.500.000 (judul 8/256 tetapi menjanjikan paket aplikasi bundling), smartphonemall Rp8.999.000 (halaman 'Tidak Dijual', baterai 83%/474 siklus), MozaPolos Rp9.700.000 (halaman 'Habis'), DiGihead Rp655.000 (jelas salah harga), listing '14 inch 3K' Rp17.500.000 (alamat produknya laptop HP, tidak cocok), serta Megan Boutigue Rp7.800.000 dan ManzcStore Rp8.500.000 (halaman gagal dibuka). IDLCQ2LLRL (Rp10.000.000) sempat dibuka, tetapi kartu pencarian kemudian menampilkan toko dan harga lain untuk ID produk yang sama, jadi tidak dicatat.</t>
  </si>
  <si>
    <t xml:space="preserve">https://www.tokopedia.com/natan3item/macbook-air-m1-8-256-second-mulus-1733582735820883380</t>
  </si>
  <si>
    <t xml:space="preserve">Tokopedia, toko NATAN3ITEM (Surabaya menurut kartu pencarian). Rp9.500.000, tanpa harga coret, sisa stok 1, fisik 99% mulus, kesehatan baterai 93%, fullset original, semua fungsi normal menurut penjual, tanpa garansi tertulis. Halaman dibuka.</t>
  </si>
  <si>
    <t xml:space="preserve">https://www.tokopedia.com/fanboy-apple/macbook-air-m1-8-256gb-13in-second-like-new-1736102342497437158</t>
  </si>
  <si>
    <t xml:space="preserve">Tokopedia, toko FanboyApple (Surakarta menurut kartu pencarian). Rp9.828.000, tanpa harga coret, sisa stok 1, 'second like new'. Halaman tidak menulis kesehatan baterai, garansi, atau isi paket. Halaman dibuka.</t>
  </si>
  <si>
    <t xml:space="preserve">https://www.tokopedia.com/bursalaptopefek/lenovo-thinkpad-x1-carbon-core-i5-10310u-ram-16-256gb-backlight-ips-lengkap-black-1734361004919522793</t>
  </si>
  <si>
    <t xml:space="preserve">Tokopedia, toko Bursa laptop efek (Jakarta Barat menurut kartu pencarian). Rp5.000.000, tanpa harga coret, sisa stok 1, 'like new 97%' menurut penjual, termasuk charger, tas, dan dus, tanpa garansi tertulis. Halaman dibuka. Deskripsi penjual menulis layar 13,5 inci dan 'USB 2' yang tidak cocok dengan spek resmi (14 inci), jadi hanya harga dan CPU/RAM/SSD dari judul yang dipakai. Tidak dicatat dari varian ini: InnoLapTech Rp6.850.000 (alamat produk menyebut ThinkPad P14s dan SSD tertulis 256-512 GB), KAK LAPTOP ID Rp4.800.000 ('i5 gen 8' tidak jelas), Sparta Electronic Rp4.100.000 dan MrHanzo Rp4.500.000 (SSD 1 TB), Bursa laptop efek/ataracom/murahstore20 Rp5.500.000-5.650.000 (RAM 8 GB, layar sentuh), GROSLAP Rp5.800.000 (menulis DDR4 dan AMD Radeon, tidak cocok spek resmi), Duos Laptop/Lily laptop Rp5.460.000 (SSD 512 GB dan hanya 'i5 gen 10', tipe CPU tidak disebut).</t>
  </si>
  <si>
    <t xml:space="preserve">https://www.tokopedia.com/fa-computer/thinkpad-x1-carbon-intel-core-i5-10310u-ram-16gb-ssd-256gb-win-11-pro-64-bit-original-1736014071177184291</t>
  </si>
  <si>
    <t xml:space="preserve">Tokopedia, toko F&amp;A Computer (Jakarta Pusat). Rp5.500.000; judul menyebut i5-10310U, RAM 16 GB, SSD 256 GB, Windows 11 Pro. Halaman produk gagal dibuka (butuh JavaScript), jadi harga dibaca dari kartu hasil pencarian Tokopedia tanggal ini; kondisi tidak tertulis di kartu, tetapi model rilisan 2020 jelas unit bekas.</t>
  </si>
  <si>
    <t xml:space="preserve">https://www.tokopedia.com/kajoedstore17/laptop-dell-xps-13-9360-touchscreen-intel-i5-7200u-gen-7th-ram-8gb-ssd-256gb-keyboard-backlight-design-super-slim-ringan-banged-1731701466657621844</t>
  </si>
  <si>
    <t xml:space="preserve">Tokopedia, toko kajoedstore17 (Jakarta Barat menurut kartu pencarian). Rp3.900.000, tanpa harga coret, sisa stok 9, layar sentuh, kondisi 'ok 93%' menurut penjual, termasuk charger, tas, dan dus. Halaman dibuka. Deskripsinya menulis baterai 46 Wh dan charger 30 W (tidak cocok dengan Dell: 60 Wh dan 45 W), jadi hanya harga dan CPU/RAM/SSD yang dipakai.</t>
  </si>
  <si>
    <t xml:space="preserve">https://www.tokopedia.com/bursalaptopefek/laptop-scn-laptop-dell-xps-13-9360-intel-core-i5-7200u-8-256gb-silver-black-1731726204217951721</t>
  </si>
  <si>
    <t xml:space="preserve">Tokopedia, toko Bursa laptop efek (Jakarta Barat menurut kartu pencarian). Rp4.150.000, tanpa harga coret, sisa stok 3, kondisi 'ok 93%' menurut penjual, termasuk charger, tas, dan dus. Halaman dibuka. Deskripsi menulis CPU i5-7200U sekaligus 'I5-7300U', layar QHD+ 3200x1800, baterai 46 Wh, dan charger 30 W; yang dipakai hanya harga dan CPU/RAM/SSD dari judul.</t>
  </si>
  <si>
    <t xml:space="preserve">https://www.tokopedia.com/syifarezza/dell-laptop-xps-13-9360-core-i5-7200u-ram8gb-ssd256gb-touchscreen-1731802119908263429</t>
  </si>
  <si>
    <t xml:space="preserve">Tokopedia, toko SR.Laptop.Store (Tangerang). Rp4.250.000; judul menyebut i5-7200U, RAM 8 GB, SSD 256 GB, layar sentuh. Halaman produk gagal dibuka (butuh JavaScript), jadi harga dibaca dari kartu hasil pencarian Tokopedia tanggal ini; kondisi tidak tertulis di kartu, tetapi model rilisan 2016 jelas unit bekas.</t>
  </si>
  <si>
    <t xml:space="preserve">https://www.tokopedia.com/dissant/dell-xps-13-9360-i5-7200u-8gb-ram-256gb-ssd-fhd-backlite-mulus-murah</t>
  </si>
  <si>
    <t xml:space="preserve">Tokopedia, toko DissantsStore (Jakarta Timur). Rp4.500.000; judul menyebut i5-7200U, RAM 8 GB, SSD 256 GB, FHD, backlit, 'mulus'. Halaman produk gagal dibuka (butuh JavaScript), jadi harga dibaca dari kartu hasil pencarian Tokopedia tanggal ini; kondisi tidak tertulis di kartu. Tidak dicatat dari varian ini: listing kedua DissantsStore (judul 'I7 7560U' tetapi alamat produk i5-7200U, Rp4.650.000), unit i5-7300U (DrCom Rp5.000.000, Camp.ALS Rp4.500.000), i5-8250U (Gemini Computer Rp7.000.000), i7 (Rp5.200.000-6.450.000), unit 'kanibalan' tanpa RAM dan SSD (Rp1.800.000), serta Planet Venus Rp2.850.000 yang berjudul 'terbaru' (tidak wajar untuk unit bekas).</t>
  </si>
  <si>
    <t xml:space="preserve">https://www.tokopedia.com/bluechip-computer/lenovo-thinkpad-e14-gen-7-intel-core-3-100u-8gb-512gb-ssd-w11-pro-1732247760855467698</t>
  </si>
  <si>
    <t xml:space="preserve">Bluechip Computer (Tokopedia, Jakarta Pusat), pilihan RAM 8GB. Harga Rp12.074.000 (coret Rp12.099.000), stok 5. Deskripsi penjual memuat kode 21T9S00B00 dan garansi resmi Lenovo Indonesia 1 tahun (klaim penjual, tidak dipakai untuk kolom garansi). Penjual yang sama juga menjual versi Windows 11 Home + Office dengan harga lebih rendah; versi itu tidak dicatat karena edisi Windows beda.</t>
  </si>
  <si>
    <t xml:space="preserve">https://www.tokopedia.com/lenovo-official/lenovo-thinkpad-e14-gen-7-intel-core-3-100u-8gb-512gb-ssd-w11-pro-1731759484324381856</t>
  </si>
  <si>
    <t xml:space="preserve">Toko resmi Lenovo Official di Tokopedia. Harga Rp18.649.000 (coret Rp18.721.250), stok 7, terjual 70+. Spek di deskripsi sama dengan PSREF kode 21T9S00B00. Jauh di atas harga penjual lain untuk kode yang sama; dicatat apa adanya sebagai harga toko resmi.</t>
  </si>
  <si>
    <t xml:space="preserve">https://www.blibli.com/p/lenovo-thinkpad-e14-gen-7-intel-core-3-100u-8gb-512ssd-w11p-black/ps--LEY-70016-00915</t>
  </si>
  <si>
    <t xml:space="preserve">Lenovo Yoga Flagship Store di Blibli. Harga Rp18.141.035 (coret Rp18.799.000, diskon 4%), sisa stok 5. Judul listing cocok dengan Core 3 100U / 8GB / 512GB / Windows 11 Pro; kode 21T9S00B00 tidak ditulis di halaman yang dibuka, jadi kecocokan kode belum terkonfirmasi.</t>
  </si>
  <si>
    <t xml:space="preserve">https://www.tokopedia.com/dell-technologies-by-yolori/laptop-dell-inspiron-3530-core-i7-1355u-16gb-512gb-uma-windows-11-home-ohs-dell-official-1730257845881308266-1735678164774454378</t>
  </si>
  <si>
    <t xml:space="preserve">Dell Technologies by Yolori (Dell Authorized, tampil di filter toko resmi Tokopedia), pilihan 16GB/512GB. Harga Rp16.999.000, stok 10, terjual 23. Paket menyertakan tas Dell. Termahal di antara penjual yang dibuka.</t>
  </si>
  <si>
    <t xml:space="preserve">https://www.tokopedia.com/authorizedtechnology/dell-inspiron-3530-intel-i7-1355u-16gb-ddr4-512gbssd-w11home-ohs2024-notebook-1730850002183751616</t>
  </si>
  <si>
    <t xml:space="preserve">Authorized Technology (Tokopedia, Jakarta Pusat; menyebut diri mitra resmi Dell Indonesia). Harga Rp10.865.000 (coret Rp10.890.000), stok 20. Deskripsi: RAM 2 x 8 GB DDR4 2666 MHz, Windows 11 Home, Office Home &amp; Student 2024, garansi 2 tahun, sudah termasuk tas. Klaim 'mitra resmi' berasal dari penjual.</t>
  </si>
  <si>
    <t xml:space="preserve">https://www.tokopedia.com/columbiadusit/dell-inspiron-3530-i7-1355u-16gb-512gb-uma-15-6fhd-win11-ohs</t>
  </si>
  <si>
    <t xml:space="preserve">Columbia Computer Dusit (Tokopedia, Jakarta Pusat). Harga Rp12.974.051 (coret Rp12.999.051), stok 30. Deskripsi menyebut bodi logam berwarna Platinum Silver dengan webcam 1080p, sedangkan listing Dell resmi berwarna Carbon Black; spek inti (i7-1355U, 2 x 8 GB, 512 GB) sama.</t>
  </si>
  <si>
    <t xml:space="preserve">https://www.tokopedia.com/pratama-24/hp-pavilion-plus-14-i5-1335-16gb-512gb-ssd-w11-ohs21-14-0wuxga-ips-blit-2y-blu-ew0021tu</t>
  </si>
  <si>
    <t xml:space="preserve">Pratama Distribusi (Tokopedia, Jakarta Pusat). Harga Rp11.170.000, stok 88. Deskripsi: i5-1335, RAM 16GB LPDDR5x, SSD 512GB NVMe PCIe 4.0, Windows 11 Home + Office 2021, 'Warranty 2 Years' (klaim penjual).</t>
  </si>
  <si>
    <t xml:space="preserve">https://www.tokopedia.com/laptopproject/hp-pavilion-plus-14-i5-1335-16gb-512gb-w11-ohs-14-0wuxga-ips-blit-2y-blu-ew0021tu-1732345243172373911</t>
  </si>
  <si>
    <t xml:space="preserve">Laptop Project (Tokopedia, Jakarta Pusat), pilihan 'UNIT ONLY, BLUE'. Harga Rp12.065.000, sisa stok 5. Memuat kutipan lembar spek HP lengkap; garansi resmi 2 tahun adalah klaim penjual. Paket bundling (mouse, tas, dll.) tidak dicatat.</t>
  </si>
  <si>
    <t xml:space="preserve">https://www.erablue.id/laptop/hp-pavilion-plus-14-ew0021tu-intel-core-i5-1335u-8r291pa-ar6-blue</t>
  </si>
  <si>
    <t xml:space="preserve">Erablue (situs toko sendiri), kode 8R291PA#AR6 warna Blue. Harga Rp13.099.000 (coret Rp14.099.000, diskon 7%) tetapi halaman menandai 'Stok Habis', jadi dicatat sebagai patokan saja. Listing ASBC komputer (Tokopedia) sekitar Rp11,66 juta sengaja tidak dicatat karena deskripsinya salah (menulis i5-1355U dan DDR4-3200, tidak cocok dengan spek HP).</t>
  </si>
  <si>
    <t xml:space="preserve">https://www.tokopedia.com/asus-expertbook-official-store/asus-expertbook-p1-p1403cva-s65852ws-intel-5-210h-ddr5-8g-512g-2280-pcie-g4-14-0-vips-fhd-1920x1080-win-11-home-ohs-m365-50wh-wifi6-3y-1y-adp-fingerprint-backpack-mcafee-1y-expertme-1735047157213267080</t>
  </si>
  <si>
    <t xml:space="preserve">ASUS ExpertBook Official Store (Tokopedia, Jakarta Pusat). Harga Rp13.294.000 (coret Rp13.299.000), stok 113. Kode P1403CVA-S65852WS, garansi 3 tahun (1 tahun ADP) ditulis di judul, termasuk tas dan McAfee 1 tahun.</t>
  </si>
  <si>
    <t xml:space="preserve">https://www.tokopedia.com/asus-authorized-by-dgi/asus-expertbook-p1403cva-s65852ws-intel-core-5-210h-8gb-512gb-14-fhd-windows-11-home-ohs-1732629942667740603</t>
  </si>
  <si>
    <t xml:space="preserve">ASUS Authorized by DGI (Tokopedia), pilihan 8GB. Harga Rp12.137.000 (coret Rp13.199.000, diskon 8%), stok 32, terjual 80+. Penjual resmi ASUS (bukan toko ASUS sendiri); deskripsi memakai spek ASUS yang sama.</t>
  </si>
  <si>
    <t xml:space="preserve">https://www.tokopedia.com/rajaonline18/asus-expertbook-p1403cva-s65852ws-intel-core-5-210h-8gb-512gb-14-fhd-windows-11-home-ohs-8gb-1734619488671138823</t>
  </si>
  <si>
    <t xml:space="preserve">Best Buy Notebook Store (Tokopedia, Jakarta Pusat), pilihan 8GB. Harga Rp13.450.000, stok 20. Halaman sempat gagal dibuka di percobaan pertama dan terbuka normal di percobaan kedua.</t>
  </si>
  <si>
    <t xml:space="preserve">https://www.tokopedia.com/royalltech/asus-vivobook-pro-15-oled-n6506cu-intel-ultra-9-285h-rtx4050-6gb-24gb-1tb-ssd-w11-ohs-m365b-15-6-3k-120hz-1731688142460454391</t>
  </si>
  <si>
    <t xml:space="preserve">Tokopedia, toko royalltech (Mall), stok 124. Harga jual Rp36.499.000 (di halaman pencarian tertulis juga Rp36.999.000, dianggap harga coret). Judul 'W11+OHS+M365B' = Windows + Office Home 2024 + Microsoft 365 Basic. Garansi resmi 2 tahun menurut toko; harga paling tinggi dari 4 yang dibuka.</t>
  </si>
  <si>
    <t xml:space="preserve">https://www.tokopedia.com/laptoponeitcsby/asus-vivobook-pro-15-oled-n6506cu-ultra-9-285h-rtx4050-6gb-24gb-1tb-w11-ohs-m365b-15-6-3k-120hz-gry-oleds9211m-1734487864364271217-1735367937630766705</t>
  </si>
  <si>
    <t xml:space="preserve">Tokopedia, toko Laptop ONE ITC SBY, judul memuat kode OLEDS9211M dan 'CAMPAIGN', stok 'Sisa 2'. Harga Rp32.809.000 (halaman pencarian menampilkan juga Rp33.319.000, dianggap harga coret). Toko menulis garansi resmi ASUS Indonesia 2 tahun.</t>
  </si>
  <si>
    <t xml:space="preserve">https://www.tokopedia.com/agres-id-malang/asus-vivobook-pro-15-oled-n6506cu-ultra-9-285h-rtx4050-6gb-24gb-1tb-w11-ohs-m365b-15-3k-120hz-1734415170202994285-1735312039384417901</t>
  </si>
  <si>
    <t xml:space="preserve">Tokopedia, toko Agres ID Malang, judul 'CAMPAIGN', stok 100. Harga Rp31.489.000 (halaman pencarian juga menampilkan Rp31.999.000, dianggap harga coret). Garansi resmi 2 tahun menurut toko.</t>
  </si>
  <si>
    <t xml:space="preserve">https://www.tokopedia.com/envicstore/asus-vivobook-pro-15-oled-n6506cu-ultra-9-285h-rtx4050-24gb-1tb-w11-ohs-15-6-3k-120hz-1731696756141163778</t>
  </si>
  <si>
    <t xml:space="preserve">Tokopedia, ENVICSTORE, judul 'NON BUNDLING', stok 99. Harga Rp30.499.000 (halaman pencarian juga menampilkan Rp30.999.000, dianggap harga coret). Garansi resmi ASUS 2 tahun + garansi toko 5 hari menurut toko. Harga terendah yang dibuka dan masih ada stok.</t>
  </si>
  <si>
    <t xml:space="preserve">https://www.tokopedia.com/expocomp/asus-vivobook-s14-s3407qa-oledp151m-oledp152m-snapdragon-x-x126100-16gb-512-gb-ssd-oled-win-11-home-office-home-2024-m-365-1-year-1735012887316366677-1735013149597926741</t>
  </si>
  <si>
    <t xml:space="preserve">Tokopedia, toko Expocomp, varian Matte Gray non-bundle, stok 'Sisa 7'. Harga Rp15.394.000 (halaman pencarian juga menampilkan Rp15.894.000, dianggap harga coret). Toko menulis garansi resmi 3 tahun + garansi toko 5 hari.</t>
  </si>
  <si>
    <t xml:space="preserve">https://www.tokopedia.com/teknotrend/laptop-asus-vivobook-s14-s3407qa-snapdragon-x1-16gb-512gb-ssd-14-fhd-oled-1732221824892766146</t>
  </si>
  <si>
    <t xml:space="preserve">Tokopedia, TeknoTrend ID (Mall), Matte Gray non-bundling, stok 'Sisa 1'. Harga Rp14.073.999; halaman menulis 'sebelum diskon Rp19.980.000' (30 persen), angka coret itu tidak dipakai sebagai harga. Toko menulis garansi resmi ASUS 3 tahun.</t>
  </si>
  <si>
    <t xml:space="preserve">https://www.tokopedia.com/asus-indonesia-official/free-mouse-asus-vivobook-s14-s3407qa-oledp152m-cool-silver-snapdragon-x-x1-26-100-qualcomm-adreno-gpu-16gb-512gb-14inch-win11-ohs24-m365-1732207150195115818</t>
  </si>
  <si>
    <t xml:space="preserve">Tokopedia, Asus Indonesia Official Mall, Cool Silver (OLEDP152M) dengan bonus mouse. Harga Rp14.869.000 (sebelum diskon 7 persen tertulis Rp15.999.000). Stok di halaman 'Habis' saat dibuka; dicatat hanya sebagai patokan harga toko resmi. Garansi toko tertulis 7 hari; garansi resmi tidak tertulis di halaman.</t>
  </si>
  <si>
    <t xml:space="preserve">https://www.tokopedia.com/hosetech/lenovo-yoga-7-2-in-1-14ill10-7cid-touch-ultra-7-258v-32gb-1tb-ssd-intel-arc-1736042216062289876</t>
  </si>
  <si>
    <t xml:space="preserve">Tokopedia, toko Hosetech, stok 50, judul '7CID Touch Ultra 7 258V 32GB 1TB'. Harga Rp24.150.590, tanpa harga coret. Halaman tidak menulis garansi. Deskripsi memuat layar sentuh 360 derajat, Wi-Fi 7, Bluetooth 5.4.</t>
  </si>
  <si>
    <t xml:space="preserve">https://www.tokopedia.com/archietech/lenovo-yoga-7-oled-2-in-1-14ill10-83jq007cid-touch-core-ultra-7-258v-32gb-1tb-w11-ohs-m365-seashell-1736045670019794724</t>
  </si>
  <si>
    <t xml:space="preserve">Tokopedia, Archie Tech Computer Bali, kode 83JQ007CID Seashell, stok 'Sisa 3'. Harga Rp27.100.000, tanpa harga coret. Toko menulis '3Y ADP &amp; 3Y Premium Care'. Harga tertinggi dari tiga yang dibuka.</t>
  </si>
  <si>
    <t xml:space="preserve">https://poinxtra.cimbniaga.co.id/TD/32396246/Lenovo-Yoga-7-2-in-1-14-Ultra-7-258V-32GB-1TB/1071</t>
  </si>
  <si>
    <t xml:space="preserve">Poin Xtra CIMB Niaga, dijual dan dikirim oleh Dinomarket.com, kode PR-LAP-LE-83JQ007CID Seashell. Harga Rp22.699.000 (coret Rp25.199.000, diskon 18 persen). Stok 'Out Of Stock' saat dibuka, jadi hanya patokan harga. Garansi distributor Indonesia 1 tahun menurut listing.</t>
  </si>
  <si>
    <t xml:space="preserve">Catatan pengisian: sumber, hambatan, dan temuan tiap laptop</t>
  </si>
  <si>
    <t xml:space="preserve">Sumber, hambatan, dan temuan untuk tiap laptop. Lima laptop awal dikerjakan dari situs pabrikan dan situs besar pada 8 Oktober 2026; laptop berikutnya diriset pada 10 Oktober 2026 dengan aturan yang sama (halaman spek resmi dulu, tidak menebak, harga dari listing yang benar-benar dibuka). Kolom waktu diisi saat kamu memeriksa ulang datanya.</t>
  </si>
  <si>
    <t xml:space="preserve">Laptop · otomatis</t>
  </si>
  <si>
    <t xml:space="preserve">Peran · otomatis</t>
  </si>
  <si>
    <t xml:space="preserve">Waktu pemeriksaan (menit)</t>
  </si>
  <si>
    <t xml:space="preserve">Kolom yang sulit dicari</t>
  </si>
  <si>
    <t xml:space="preserve">Sumber yang dipakai</t>
  </si>
  <si>
    <t xml:space="preserve">Kolom yang akhirnya unknown</t>
  </si>
  <si>
    <t xml:space="preserve">Temuan penting</t>
  </si>
  <si>
    <t xml:space="preserve">Tahun rilis varian. Tipe Wi-Fi dan Bluetooth (ASUS memuat dua pilihan tanpa menyebut varian). Kecepatan RAM tidak ditulis ASUS.</t>
  </si>
  <si>
    <t xml:space="preserve">ASUS techspec M1405 (RAM, penyimpanan, layar, port, baterai). The FPS Review, 10 Februari 2023 (pengumuman seri M1405). Poin Xtra CIMB, e-katalog ITS, dan Tokopedia (kode varian, harga). AMD (7430U). Daftar Windows 11 milik Microsoft.</t>
  </si>
  <si>
    <t xml:space="preserve">Tahun rilis varian (tahun seri 2023 dari pengumuman ASUS), kecepatan RAM, Wi-Fi, Bluetooth, bahan bodi, kemampuan USB-C, isi daya lewat USB-C.</t>
  </si>
  <si>
    <t xml:space="preserve">RAM setengah menempel: 8 GB di papan utama ditambah 1 slot, maksimal 16 GB. SSD hanya cocok yang satu sisi (catatan resmi ASUS). Prosesor 7430U tidak ada di daftar AMD milik Microsoft, tetapi AMD mencantumkan Windows 11 dan ASUS menjual laptop ini dengan Windows 11. Di Tokopedia, 4 dari 10 listing berharga Rp15,8-26,6 juta (tidak dipakai).</t>
  </si>
  <si>
    <t xml:space="preserve">Manual servis seri ek1000 tidak ditemukan. Halaman dukungan HP butuh JavaScript sehingga tidak terbaca. Halaman produk ek2333TU dan ek0160TU di HP Indonesia hanya mengarah ke daftar toko.</t>
  </si>
  <si>
    <t xml:space="preserve">Halaman produk HP Indonesia 14-ek1005TU (spesifikasi, harga, stok). Kingston (slot RAM). Forum HP (seri ek0000, SSD). Notebookcheck (ek1000ng, pembanding). Intel ARK (i5-1335U). Tokopedia (harga).</t>
  </si>
  <si>
    <t xml:space="preserve">Bentuk SSD (2280 atau lain), jumlah slot M.2, bisa tidaknya SSD diganti (belum ada manual servis), channel RAM, refresh rate, bahan bodi, isi daya lewat USB-C, status penjualan.</t>
  </si>
  <si>
    <t xml:space="preserve">RAM 16 GB menempel (HP menulis 'onboard'; Kingston: 0 slot). Toko resmi HP Indonesia kehabisan stok saat dicek (Rp13.499.000). Tokopedia: Rp17.365.000 dari satu penjual; listing Rp8.500.000 diabaikan karena kode modelnya tidak cocok. Tahun rilis 2023 adalah perkiraan dari tahun rilis prosesor (Q1 2023).</t>
  </si>
  <si>
    <t xml:space="preserve">Nama Hype 10 tidak ada di daftar produk situs Axioo. Spesifikasi resmi hanya ditemukan di halaman perbandingan Hype 1 Intel, yang tidak memuat bobot, baterai, Wi-Fi, Bluetooth, dan charger.</t>
  </si>
  <si>
    <t xml:space="preserve">Situs Axioo (halaman perbandingan Hype 1 Intel; siaran pers 15 November 2024). Erablue (spesifikasi dan harga). Poin Xtra CIMB (spesifikasi dan harga varian Windows 10). Tokopedia. Intel ARK (N4020).</t>
  </si>
  <si>
    <t xml:space="preserve">Tahun rilis, status penjualan, charger, sidik jari, keyboard berlampu, webcam, versi HDMI, bahan bodi, jumlah slot M.2 yang kosong. Wi-Fi dan Bluetooth hanya ada di halaman Poin Xtra (varian Windows 10); bobot 1,4 kg dari halaman toko, bukan dari Axioo.</t>
  </si>
  <si>
    <t xml:space="preserve">Di situs Axioo, laptop dengan spesifikasi sama tertulis Hype 1 Intel dan tidak ada di daftar produk saat ini. Halaman Poin Xtra untuk Hype 10 memakai kalimat spesifikasi layar yang sama dengan situs Axioo, jadi keduanya kemungkinan besar produk yang sama (belum dikonfirmasi Axioo). RAM: 1 slot SODIMM, maksimal 8 GB. Penyimpanan: 2 slot M.2 2280 SATA. Kedua USB-C hanya untuk data. Ada versi Windows 10 dan Windows 11. Di Tokopedia, 5 dari 10 listing berharga Rp8-14,1 juta (tidak dipakai).</t>
  </si>
  <si>
    <t xml:space="preserve">Lenovo menulis rentang (bobot, baterai, layar) tanpa menyebut konfigurasi bekas. Manual servis (HMM) terlalu besar untuk dibuka. Banyak listing mencampur beberapa seri (T460, T470, T480).</t>
  </si>
  <si>
    <t xml:space="preserve">Lenovo PSREF T480 (spesifikasi resmi). Windows Central (ulasan). ITmedia (pengumuman CES 2018). Intel ARK (i5-8350U). Tokopedia (harga bekas).</t>
  </si>
  <si>
    <t xml:space="preserve">Kode varian, tipe SSD (NVMe atau SATA), jenis dan resolusi layar, layar sentuh, baterai, charger, sidik jari, keyboard berlampu, sistem operasi, lama garansi toko.</t>
  </si>
  <si>
    <t xml:space="preserve">Menurut Lenovo, penyimpanan utama memakai satu slot HDD 2,5 inci atau satu slot M.2 2280. RAM 2 slot, maksimal 32 GB. Windows Central: baterai luar bisa diganti saat laptop menyala. Status bekas_saja adalah dugaan (yang ditemukan hanya listing bekas). Harga i5-8350U 8/256: Rp3,15-4,16 juta (median Rp3,5 juta).</t>
  </si>
  <si>
    <t xml:space="preserve">Panduan spesifikasi Dell ada dalam banyak salinan dengan tanggal berbeda. Halaman listing perorangan di Tokopedia tidak bisa dibuka (butuh JavaScript), jadi harga diambil dari halaman hasil pencarian.</t>
  </si>
  <si>
    <t xml:space="preserve">Dell (panduan spesifikasi, manual servis, panduan visual port). LaptopMedia (ulasan 6 Agustus 2019). Intel ARK (i5-8265U, i5-8365U). Tokopedia (harga bekas).</t>
  </si>
  <si>
    <t xml:space="preserve">Kode varian, tipe SSD (NVMe atau SATA), jenis dan resolusi layar, layar sentuh, baterai, charger, Wi-Fi, sidik jari, keyboard berlampu, webcam, sistem operasi, lama garansi toko, isi daya lewat USB-C.</t>
  </si>
  <si>
    <t xml:space="preserve">Dua slot RAM (maksimal 32 GB), satu slot M.2. Pada unit baterai 4-sel (68 Wh), ruang hard disk 2,5 inci tidak bisa dipakai (catatan manual servis Dell). Bodi serat karbon. Tahun 2019 dari tanggal ulasan LaptopMedia. Harga i5-8265U 8/256: Rp3,0-3,1 juta; i5-8365U 8/256: Rp3,5-4,2 juta.</t>
  </si>
  <si>
    <t xml:space="preserve">Halaman spek ASUS menggabungkan beberapa varian tanpa menyebut mana yang milik UX3405MA; kode SKU berbeda-beda di tiap toko; kedua listing harga menandai stok habis.</t>
  </si>
  <si>
    <t xml:space="preserve">Halaman spek ASUS (techspec UX3405), Notebookcheck untuk CPU/GPU, listing Tokopedia dan katalog ITS untuk harga dan keterangan layar.</t>
  </si>
  <si>
    <t xml:space="preserve">Bahan bodi, bobot, Wi-Fi, Bluetooth, layar sentuh, sidik jari, lampu keyboard, charger, kecepatan RAM, jumlah slot M.2, edisi Windows, lama garansi (tidak tertulis untuk kode ini di sumber yang dibuka).</t>
  </si>
  <si>
    <t xml:space="preserve">Port, wifi, baterai, dan resolusi layar versi Indonesia: halaman resmi tidak menuliskannya sehingga memakai deskripsi toko yang saling bertentangan (versi Vietnam Full HD IPS, versi Indonesia HD). Bongkaran khusus A314-23M tidak ada. Harga resmi Acer tidak tampil di halaman untuk Ryzen 5. Blibli menolak akses robot dan satu pencarian toko Acer tidak dibuka (izin tidak keluar), tidak dicari jalan lain.</t>
  </si>
  <si>
    <t xml:space="preserve">Toko resmi Acer Indonesia (store.acer.com/en-id, halaman NX.KEXSN.001/.009), halaman spek acer.com/id-id A314-42P (dibuka, tidak dipakai untuk data), Kingston, LaptopMedia, Notebookcheck, Hoang Ha Mobile (Vietnam), AMD (CPU), listing Tokopedia untuk harga dan keterangan layar/port.</t>
  </si>
  <si>
    <t xml:space="preserve">bahan, hdmi_versi, sd, st_form, st_25_kosong, sentuh, sidik_jari, kb_lampu, charger_w, ram_mts, baterai_wh dan bluetooth (varian Ryzen 5). Tahun rilis 2023 dari artikel Notebookcheck A314-23P (13 Sep 2023) dan brosur A314-23M (diunggah Des 2023). Perhatian: st_bisa_diganti='ya' hanya dari saudara satu keluarga (belum terverifikasi); panel TN hanya dari satu toko (Ex1st).</t>
  </si>
  <si>
    <t xml:space="preserve">Tidak diganti ke model lain. Halaman Aspire di acer.com/id-id tidak lagi menampilkan A314/A315 (hanya Aspire Lite/Go/AI) dan kategori Aspire 3 di toko resmi tampak kosong saat dibuka, tetapi A314-23M masih dijual baru oleh beberapa reseller Tokopedia pada 2026-10-10, jadi status 'dijual' dipertahankan. A314-42P (Ryzen 7 5700U 16 GB) ada di acer.com/id-id tetapi tidak dicakup.</t>
  </si>
  <si>
    <t xml:space="preserve">Halaman resmi lenovo.com/id untuk 14IAH8 tidak ketemu (hanya halaman IdeaPad Slim 3i Gen 9 15 inci); halaman PSREF 14IRH10 tidak terbaca (JavaScript). Poin Xtra dan Blibli tidak bisa dibuka (halaman kategori/robot ditolak). Tahun rilis tidak tertulis resmi.</t>
  </si>
  <si>
    <t xml:space="preserve">Lenovo PSREF (PDF spek 14IAH8), Intel ARK (CPU/GPU), Notebookcheck (refresh 60 Hz, tahun), listing Tokopedia (kode Indonesia 83EQ003KID/JID dan 83EQ005AID, garansi, harga).</t>
  </si>
  <si>
    <t xml:space="preserve">sidik_jari (varian 16 GB), tersedia_bekas. Tahun rilis 2023 adalah perkiraan dari kode generasi 8 dan tanggal ulasan keluarga Slim 3 gen 8 di Notebookcheck (2023). Refresh 60 Hz dari Notebookcheck, bukan PSREF. Lenovo PSREF menyebut Wi-Fi 5/6 dan Bluetooth 5.1/5.2 sebagai opsi; yang dipakai Wi-Fi 6 + 5.2 sesuai listing Indonesia.</t>
  </si>
  <si>
    <t xml:space="preserve">Tidak diganti. Dipilih 14IAH8 (i5-12450H) karena paling banyak dijual di Tokopedia (sekitar 99-125 hasil) dan termurah. Generasi lebih baru ada di toko (14IRH10 Core 5 13420H sekitar Rp11,3 juta, 14IWC11 Core 5 320 sekitar Rp13,5 juta, 14IPH11 Core Ultra 5 322 sekitar Rp15,8 juta) tetapi tidak dicakup di sini.</t>
  </si>
  <si>
    <t xml:space="preserve">Halaman spek asus.com/id untuk E1404FA hanya mengalihkan ke daftar Vivobook lain. Halaman ASUS Store tidak konsisten (Ryzen 3/5, Home/Pro, RAM 8/16 GB). Tipe panel dan material bodi tidak tertulis resmi. Poin Xtra halaman produk terbaca tetapi stok habis; beberapa listing Tokopedia butuh JavaScript.</t>
  </si>
  <si>
    <t xml:space="preserve">ASUS Indonesia Store (halaman spek E1404FA-FHD352), AMD (CPU), detik Inet (3 Nov 2023, tipe panel TN), Notebookcheck (tahun), Plaza IT (spek varian VIPS dan Ryzen 5), listing Tokopedia ASUS Indonesia Official dan DGI untuk harga.</t>
  </si>
  <si>
    <t xml:space="preserve">bahan, usbc_jenis, usbc_charge, ram_channel, ram_mts, sidik_jari, kb_lampu (keduanya opsional di footnote ASUS), tersedia_bekas. Panel TN hanya dari artikel media, bukan ASUS.</t>
  </si>
  <si>
    <t xml:space="preserve">Tidak diganti. E1404FA masih dijual (ASUS Store Indonesia dan Tokopedia). Varian Ryzen 5 7520U (kode VIPS5xxx; judul sebagian toko menulis 'Ryzen 5 40') tidak dimasukkan karena penamaan CPU di listing tidak konsisten dan harga hanya 1 sumber. ASUS global menampilkan tautan seri E1404G (tidak diperiksa).</t>
  </si>
  <si>
    <t xml:space="preserve">Pemetaan RAM DDR4/DDR5 dan slot ke kode varian (tabel ASUS datar), harga varian i5-1335U 8 GB (hanya 1 listing), usbc_jenis/usbc_charge (ASUS tidak menulis PD/DisplayPort untuk port USB-C-nya), kebenaran layar sentuh per kode varian (halaman ASUS hanya menyebut sebagian konfigurasi berlayar sentuh; diambil dari deskripsi toko).</t>
  </si>
  <si>
    <t xml:space="preserve">Halaman spek resmi ASUS Indonesia dan Malaysia (techspec A1504), Detik 23 Okt 2025 (peluncuran A1504VAP di Indonesia), Intel ARK Core 5 120U, Kingston dan LaptopMedia (RAM/SSD X1504), etalase Tokopedia (ASUS Indonesia Official, ProTech Com, Intel Gaming ID, Space Komputer Medan, MJ Computer), Rimaslaptop, Poin Xtra/Dinomarket.</t>
  </si>
  <si>
    <t xml:space="preserve">usbc_jenis, usbc_charge, ram_mts, segmen_resmi, target_resmi, garansi_baterai, tersedia_bekas, tersedia_baru varian i5-1335U.</t>
  </si>
  <si>
    <t xml:space="preserve">Jumlah slot M.2 dan jenis panel/refresh rate layar (tidak ditulis HP), panduan servis khusus 14-ep1xxx tidak ditemukan, harga marketplace Tokopedia/Shopee tidak bisa dibuka (halaman pencarian butuh JavaScript).</t>
  </si>
  <si>
    <t xml:space="preserve">Halaman produk toko resmi HP Indonesia (hp.com/id-id) untuk 14-ep1177TU dan 14-ep1155TU, katalog HP id-id (daftar produk), panduan servis HP 14-ep0xxx (kaas.hpcloud.hp.com), forum HP Support, Intel ARK Core 5 120U, Erablue, Plazait.</t>
  </si>
  <si>
    <t xml:space="preserve">panel, refresh_hz, st_m2_total, st_m2_kosong, st_25_kosong, office (varian 16 GB), tahun_rilis, segmen_resmi, target_resmi, garansi_baterai, tersedia_baru (varian 16 GB), tersedia_bekas.</t>
  </si>
  <si>
    <t xml:space="preserve">Seri 14s lama (misalnya 14s-dq5227TU) hanya ditemukan di toko online dengan stok habis; toko resmi HP Indonesia kini menjual HP 14 inch Laptop 14-ep1xxx (Core 5 120U) dan 14-em0xxx (Ryzen, port USB-C berbeda), jadi dipakai 14-ep1xxx. HP 15s tidak diteliti. Core 5 120U dan GPU-nya sama dengan di objek ASUS (boleh digabung). Harga 14-em0530AU (Ryzen 5) di halaman HP berbeda antar halaman (Rp9.999.000 vs Rp11.999.000) sehingga tidak dimasukkan.</t>
  </si>
  <si>
    <t xml:space="preserve">Tahun rilis varian Indonesia, garansi pasti (toko resmi dan reseller menulis berbeda), halaman toko resmi Lenovo Indonesia (lenovo.com/id) tidak dibuka, listing Tokopedia AMD Official Store untuk Ryzen AI 5 330 tidak bisa dibuka (butuh JavaScript).</t>
  </si>
  <si>
    <t xml:space="preserve">Lenovo PSREF 14IRH10R dan 14AKP10 (spek resmi), Intel ARK Core 5 210H, etalase Tokopedia (Lenovo Official, Space Tech Store, JAGO Notebook), halaman pencarian Tokopedia untuk melihat sebaran harga, Poin Xtra/Dinomarket.</t>
  </si>
  <si>
    <t xml:space="preserve">tahun_rilis, segmen_resmi, target_resmi, garansi_baterai, tersedia_bekas.</t>
  </si>
  <si>
    <t xml:space="preserve">Diminta Slim 5 Ryzen 5 atau Core i5. Di Indonesia Oktober 2026 yang beredar adalah Slim 5 generasi 10: versi Intel Core 5 210H (14IRH10R, setara kelas Core i5) dan versi AMD Ryzen AI 5 330 (14AKP10, kode 83HX00B0ID). Dipilih versi Intel karena spek resmi (PSREF) dan tiga harga dari listing yang terbuka tersedia. Versi Ryzen AI 5 330 tidak dimasukkan karena listing Poin Xtra bertentangan (judul Ryzen tapi spek tertulis Core Ultra 5 225H, harga Rp11,5 juta jauh di bawah sekitar Rp25 juta di Tokopedia) dan listing Tokopedia tidak bisa dibuka. Di hasil pencarian Tokopedia juga terlihat harga ekstrem Rp31 juta untuk Core 5 210H (kemungkinan paket bundel); tidak dibuka dan tidak dipakai.</t>
  </si>
  <si>
    <t xml:space="preserve">Halaman lenovo.com/id tidak memuat spek model ini, tahun rilis resmi model Indonesia (tahun 2026 diisi karena prosesornya baru diluncurkan kuartal pertama 2026 menurut Intel ARK, bukan dari pernyataan Lenovo), segmen/target resmi, kejelasan garansi (toko beda tulis 1 atau 2 tahun), halaman pencarian Tokopedia yang kadang memuat judul dan alamat URL yang tidak cocok.</t>
  </si>
  <si>
    <t xml:space="preserve">Lenovo PSREF ThinkBook 14 G9 IPL (spek resmi), Lenovo PSREF G8 IAL (sebagai pembanding), Intel ARK Core Ultra 7 355 dan 225U, Notebookcheck Core Ultra 7 355, etalase Tokopedia (Lenovo Official, AMT IT Store, IT Galeri, FLIXX.ID), halaman pencarian Tokopedia.</t>
  </si>
  <si>
    <t xml:space="preserve">segmen_resmi, target_resmi, garansi_baterai, tersedia_bekas.</t>
  </si>
  <si>
    <t xml:space="preserve">Diminta ThinkBook 14 generasi terbaru yang dijual di Indonesia. Per 2026-10-10 generasi terbaru yang terlihat adalah Gen 9 (G9 IPL, Core Ultra 7 355, kode 21UX00AEID) sehingga itu yang dipakai. Gen 8 (G8 IAL, Core Ultra 5 225U, 8 GB/512 GB, kode 21SJ00A1ID) masih dijual di Tokopedia sekitar Rp23 juta (Lenovo Official Rp23.227.000) tetapi tidak dimasukkan; kalau mau, bisa jadi model terpisah. Satu varian saja karena hanya konfigurasi 16 GB/1 TB yang punya kode dan harga konsisten di beberapa toko.</t>
  </si>
  <si>
    <t xml:space="preserve">Letak dan jumlah slot SSD serta bukti RAM disolder dari manual servis atau video bongkar (tidak ada), halaman produk acer.com/id-id untuk SFG14-64 (tidak memuat model ini), berat resmi di halaman Indonesia, keseragaman garansi (2 atau 3 tahun), harga varian Ryzen AI 7 350 (listing sangat beragam dari Rp16,3 juta sampai Rp27,4 juta, ada yang jelas tidak wajar).</t>
  </si>
  <si>
    <t xml:space="preserve">Etalase Acer Store Indonesia (store.acer.com/en-id) untuk NX.JCHSN.002 dan NX.JCHSN.001, Acer Store Malaysia (SFG14-64-R3UG), AMD (Ryzen AI 5 340), Notebookcheck, NanoReview, Sparepartworld, Plaza IT, etalase Tokopedia (Space Tech Store, We Itech, Artomoro Comp), berita Gizmologi tentang Acer Day 2026.</t>
  </si>
  <si>
    <t xml:space="preserve">webcam (kamera QHD 1440p tidak ada di daftar pilihan), segmen_resmi, target_resmi, garansi_baterai, tersedia_bekas.</t>
  </si>
  <si>
    <t xml:space="preserve">Diminta Swift Go 14 atau Swift 14 AI. Yang dijual resmi di Indonesia dan punya banyak listing adalah Swift Go 14 AI SFG14-64 (versi AMD), dipilih konfigurasi Ryzen AI 5 340/32 GB/512 GB. Swift Air 14 AI (baru, prapesan Agustus 2026) dan Swift Go 14 AI versi Intel (SFG14-75) serta versi Ryzen AI 7 350 (NX.JCHSN.001) tidak dimasukkan.</t>
  </si>
  <si>
    <t xml:space="preserve">Bukti resmi Apple bahwa RAM/SSD tidak bisa di-upgrade (hanya dari EveryMac), jenis RAM resmi (Apple tidak menulis LPDDR di halaman spek), laman toko iBox dan Apple Indonesia (tidak bisa dibuka), Blibli (diblokir), Erafone dan iBox (gagal dibuka), perbedaan harga resmi (Rp20,5 juta di berita vs Rp25 juta di Digimap), kode varian per warna.</t>
  </si>
  <si>
    <t xml:space="preserve">Halaman spek dan halaman utama Apple Indonesia (apple.com/id/macbook-air), support.apple.com/126320, Wikipedia Apple M5, TheAppleWiki, EveryMac, Digimap, etalase Tokopedia (iSmile Indonesia, Distributorponselshop, Laptop Murah ID, Apple Gear Jogja), berita harga (detik, Gizmologi, CariSinyal, Kumparan). Tahun rilis 2026: diumumkan 3 Maret 2026 menurut TheAppleWiki dan dijual resmi di Indonesia sejak 22 Mei 2026 menurut CariSinyal.</t>
  </si>
  <si>
    <t xml:space="preserve">st_antarmuka, st_form, ram_channel, segmen_resmi, target_resmi, garansi_baterai, tersedia_bekas; resolusi 2560x1664 tidak ada di daftar pilihan sehingga ditulis 'lainnya'.</t>
  </si>
  <si>
    <t xml:space="preserve">Diminta MacBook Air 13 inci chip M3 atau M4. Apple Indonesia per 2026-10-10 hanya menampilkan generasi chip M5 (dijual resmi sejak 22 Mei 2026), jadi dipakai MacBook Air 13 inci M5. M3/M4 mungkin masih ada sisa stok di toko tetapi tidak dicek. Satu varian saja (16 GB/512 GB, 8 inti GPU) karena varian 16 GB/1 TB (10 inti GPU) hanya ketemu satu harga (Rp30.859.000 BestComp46, deskripsi GPU tidak konsisten) yang tidak dibuka sebagai harga resmi.</t>
  </si>
  <si>
    <t xml:space="preserve">Halaman ASUS Indonesia untuk A15 2023 dialihkan ke daftar TUF (tidak ada lagi), sehingga lembar spek global yang dipakai dan penafsirannya per kode (NUR/NVR) tidak pasti. Susunan RAM 16 GB (1 keping atau 2 keping) tidak ditulis di sumber mana pun. Jenis USB-C kedua (USB4 atau USB 3.2) saling bertentangan antar sumber.</t>
  </si>
  <si>
    <t xml:space="preserve">Halaman spek global ASUS (asus.com techspec A15 2023, ringkasan mesin tidak memisahkan kolom per kode, dipakai hanya untuk fakta umum yang konsisten), halaman ASUS Exclusive Store Indonesia (store-id.asus.com, kode FA507NUR-R745K6M-OM) untuk spek per varian, AMD (CPU), NVIDIA (GPU), ulasan Expert Reviews dan LaptopMedia (FA507 2022/2023) untuk cakupan, bukaan, bahan, dan keluhan, serta listing Tokopedia untuk harga dan kode varian Indonesia.</t>
  </si>
  <si>
    <t xml:space="preserve">ram_channel, ram_slot_kosong, segmen_resmi, target_resmi, tersedia_bekas, garansi_baterai. Bahan 'Campuran' (tutup aluminium, badan plastik) dari ulasan LaptopMedia atas FA507 versi 2022 yang bodinya sama, bukan dari halaman 2023. gpu_tgp 140 W = 115 W dasar + 25 W Dynamic Boost sesuai ASUS; editor boleh memilih 115 W bila ingin sebanding dengan laptop lain. Bluetooth 5.3 dari halaman ASUS Exclusive Store; sumber lain menulis 5.2.</t>
  </si>
  <si>
    <t xml:space="preserve">Tidak diganti: A15 FA507N (2023) masih dijual di toko resmi ASUS dan marketplace pada 2026-10-10 walau tidak lagi ada di situs ASUS Indonesia. Penggantinya (TUF Gaming A16/F16 2025 dengan RTX 5050-5070, dan TUF Gaming 16 2026) tidak dicatat di sini. Varian A15 lain di marketplace (FA507NU Ryzen 5 7535HS, FA507UV Ryzen 9 8945H, FA507NUG layar 16 inci) tidak dicakup.</t>
  </si>
  <si>
    <t xml:space="preserve">Halaman lenovo.com/id dan PSREF versi web tidak terbaca mesin (konten dimuat JavaScript); PDF PSREF terbaca tetapi tidak memuat daftar kode model, sehingga kaitan kode 83JE00QDID/QCID ke konfigurasinya berasal dari listing toko resmi/terotorisasi. Susunan RAM varian i5 (1 atau 2 keping) bertentangan antar toko.</t>
  </si>
  <si>
    <t xml:space="preserve">Lembar spek Lenovo PSREF (PDF LOQ_15IRX10_Spec), halaman Lenovo Official di Tokopedia (kode 83JE00KAID) dan listing Plaza IT/Tokopedia untuk kode varian, Intel ARK (CPU), NVIDIA (GPU), ringkasan Notebookcheck dan NanoReview untuk keluhan dan layar.</t>
  </si>
  <si>
    <t xml:space="preserve">ram_channel dan ram_slot_kosong varian i5; segmen_resmi, target_resmi, tersedia_bekas, garansi_baterai. Ukuran M.2: PSREF menulis 2242 dan 2280 sekaligus, SSD bawaan 2242 menurut listing. Garansi 24 bulan: halaman Lenovo Official menulis 1 tahun dasar + upgrade 2 tahun, listing lain menulis 2 tahun resmi.</t>
  </si>
  <si>
    <t xml:space="preserve">Tidak diganti. Dipilih LOQ 15IRX10 (Intel) karena paling banyak ditemukan di Tokopedia (sekitar 177 hasil). Varian lain tidak dicakup: LOQ 15AHP10 (Ryzen 7 250, layar 15,3 inci WUXGA 165 Hz), LOQ 15ARP10E, varian dengan RTX 5060, dan LOQ dengan RAM 12 GB (83JE00KAID).</t>
  </si>
  <si>
    <t xml:space="preserve">Halaman acer.com/id-id untuk NH.QZ9SN.005 (kode 777R) tidak bisa dibuka, jadi spek 777R memakai toko Acer Indonesia dan toko Acer Singapura. Port USB-C, HDMI 2.1, dan webcam tidak tertulis di halaman Acer Indonesia sehingga diambil dari toko Acer Singapura dan LaptopMedia. Susunan RAM, jenis RAM, dan jumlah slot M.2 saling bertentangan antar penjual.</t>
  </si>
  <si>
    <t xml:space="preserve">Halaman produk Acer Indonesia NH.QZ9SN.002 (acer.com/id-id), toko resmi Acer Indonesia (store.acer.com/en-id, dua kode), toko Acer Singapura (kode saudara), ulasan LaptopMedia dan ringkasan Notebookcheck untuk port, bahan, slot, dan keluhan, Intel ARK (CPU), NVIDIA (GPU), listing Tokopedia untuk harga dan keterangan penjual.</t>
  </si>
  <si>
    <t xml:space="preserve">bluetooth (Acer menulis 'versi 5.1 atau lebih baru', toko Singapura 5.2-5.4, LaptopMedia 5.2-5.3), st_m2_total, st_m2_kosong, ram_slot_kosong dan ram_channel varian 777R, segmen_resmi, target_resmi, tersedia_bekas, garansi_baterai. Garansi 36 bulan dari keterangan toko Acer Authorized dan INFONET (3 tahun, termasuk 2 tahun suku cadang), spanduk toko Acer menyebut 3 tahun. usbc_jenis 'Thunderbolt 4' dan usbc_charge dari toko Acer Singapura/LaptopMedia, bertentangan dengan Acer Indonesia yang hanya menulis 'USB 3.2 Gen 2 Type-C'. Halaman Acer menulis memori kartu grafis GDDR6 sedangkan NVIDIA dan toko Acer menulis GDDR7 (dipakai GDDR7). gpu_tgp 75 W = 'maximum graphics power' menurut Acer.</t>
  </si>
  <si>
    <t xml:space="preserve">Tidak diganti. Dipilih Nitro V 15 ANV15-52 (RTX 5050) sebagai konfigurasi Intel yang paling banyak dijual resmi; Nitro V 15 lama (ANV15-41/42/51 dengan Ryzen 7 7445HS RTX 4050 atau Core i5-13420H) masih terlihat di Tokopedia tetapi tidak dicakup, begitu juga halaman Acer Indonesia yang menonjolkan Core 7 240H dengan RTX 5060.</t>
  </si>
  <si>
    <t xml:space="preserve">Pembagian RAM menempel vs slot untuk unit 16 GB (PSREF hanya memberi angka maksimal), listing bekas dengan CPU dan RAM/SSD tertulis konsisten, harga 16/512 (hanya satu listing), manual servis Lenovo (tidak bisa dibuka).</t>
  </si>
  <si>
    <t xml:space="preserve">Lenovo PSREF T14 Gen 1 Intel (spek lengkap), Intel ARK i5-10310U, daftar prosesor Windows 11 Microsoft, iFixit T14 dan Notebookcheck (tahun rilis 2020), LaptopMedia (RAM/SSD), judul video panduan Lenovo (penggantian SSD M.2), etalase Tokopedia (Hosea Timoho29, Graha Komputa, Cipta Quantum Solution, dan beberapa lain yang dibuang).</t>
  </si>
  <si>
    <t xml:space="preserve">ram_disolder_gb, ram_slot_kosong, ram_maks_gb, ram_channel, panel, resolusi, refresh_hz, sentuh, sidik_jari, kb_lampu, charger_w, os, os_edisi, office, garansi_bulan, tersedia_baru, pasar.</t>
  </si>
  <si>
    <t xml:space="preserve">Dipilih T14 Gen 1 (Intel) karena di Tokopedia banyak listing bekasnya yang menyebut CPU, RAM, dan SSD dengan jelas. T490 tidak dibandingkan jumlah listingnya karena halaman pencariannya tidak tampil saat dicoba (butuh JavaScript), dan T14 Gen 2 tidak diselidiki.</t>
  </si>
  <si>
    <t xml:space="preserve">Spek resmi yang jelas soal RAM (manual memuat dua pernyataan yang saling bertentangan), tipe SSD per unit, listing 16 GB dengan tipe CPU yang tertulis jelas (kebanyakan memakai 'i5/i7 gen 8' tanpa tipe), baterai dan sentuh per unit.</t>
  </si>
  <si>
    <t xml:space="preserve">Dell Latitude 7490 Owner's Manual (PDF resmi, dl.dell.com), iFixit dan Kingston (jumlah slot RAM), Notebookcheck (bahan bodi, uji unit i5-8350U), etalase Tokopedia (InnoLapTech, jagonya notebook, LAPTOPJKID, kajoedstore17, dan beberapa lain yang dibuang). Halaman dell.com biasa tidak bisa dibuka; yang terbaca hanya PDF manualnya.</t>
  </si>
  <si>
    <t xml:space="preserve">usbc_charge, sd, ram_slot_kosong, ram_channel, st_tipe, st_antarmuka, panel, resolusi, refresh_hz, sentuh, baterai_wh, charger_w, bluetooth, sidik_jari, kb_lampu, os, os_edisi, office, garansi_bulan, tersedia_baru, pasar.</t>
  </si>
  <si>
    <t xml:space="preserve">Dipilih Latitude 7490 (bukan 7420 atau 5420) karena paling banyak listing khusus modelnya di Tokopedia (16 hasil untuk 'dell latitude 7490 second', sedangkan 7420 hanya 4 hasil dan hasil 5420 banyak bercampur dengan seri lain). Varian 16 GB tidak dimasukkan karena tidak ada listing 16 GB dengan tipe CPU yang pasti; listing Computer Murah 2021 (i5-8350U 16/256, Rp6.250.000) dibuang karena jauh di atas listing sekelas. Bahan bodi (magnesium) berasal dari ulasan Notebookcheck, bukan halaman resmi Dell.</t>
  </si>
  <si>
    <t xml:space="preserve">Sumber resmi HP yang bisa dibuka (hp.com ditolak; hanya salinan distributor), jumlah slot M.2, dukungan charge lewat USB-C, listing 16 GB dengan tipe CPU yang tertulis jelas, harga 16/512.</t>
  </si>
  <si>
    <t xml:space="preserve">Lembar data resmi HP EliteBook 840 G6 (dokumen 4AA7-4866) lewat salinan Ingram Micro, tabel produk HP Maintenance and Service Guide (via manualsnet.com), Kingston (slot RAM), Intel ARK dan daftar CPU yang sudah ada di database, etalase Tokopedia (DissantsStore, Bengkel Notebook Medan, Queen Cellshop, dan beberapa lain yang dibuang). Halaman hp.com menolak pengambilan otomatis (robots), jadi tidak dipakai.</t>
  </si>
  <si>
    <t xml:space="preserve">usbc_charge, ram_slot_kosong, ram_channel, st_tipe, st_antarmuka, st_m2_total, st_m2_kosong, resolusi, refresh_hz, sentuh, charger_w, sidik_jari, kb_lampu, os, os_edisi, office, garansi_bulan, tersedia_baru, pasar.</t>
  </si>
  <si>
    <t xml:space="preserve">Dipilih generasi G6 (bukan G5/G7/G8) karena paling banyak listing khusus G6 dengan CPU, RAM, dan SSD yang tertulis jelas di Tokopedia; G8 hanya muncul sebagai unit baru berharga Rp17-19 juta, G7 satu listing, G5 tidak tampil (butuh JavaScript). Jenis port Thunderbolt ditulis 'Thunderbolt 3' karena lembar data HP hanya menyebut 'Thunderbolt' pada konektor USB-C dan versi 4 baru muncul setelah laptop ini; ini kesimpulan, bukan kutipan.</t>
  </si>
  <si>
    <t xml:space="preserve">Ukuran M.2 dan apakah slot M.2 kedua kosong; batas maksimal RAM; TGP kartu grafis; sidik jari; tahun rilis seri fa2xxx (artikel LaptopMag soal penyegaran Victus 15 CES 2025 tidak menyebut kode fa2000); garansi (halaman HP menulis 1 tahun dan 2 tahun sekaligus). Link leads lama (fa1788tx, fb2556ax, fb2557ax, fb2999ax) mengarah ke daftar laptop, bukan halaman produk.</t>
  </si>
  <si>
    <t xml:space="preserve">Halaman produk toko resmi HP Indonesia fa2666TX (spek dan harga), daftar laptop HP Indonesia (fa2666TX, fa2785TX, fa2145TX), Intel ARK (i5-13420H), Notebookcheck (RTX 3050 6 GB), manual servis HP 15-fa2 (manualslib), LaptopMedia Victus 15 fb0000 (bahan dan keluhan, model saudara), Plaza IT, Tokopedia (Agres ID Sukabumi, We Itech).</t>
  </si>
  <si>
    <t xml:space="preserve">tahun_rilis, usbc_charge, gpu_tgp, ram_maks_gb, st_form, st_m2_kosong, st_25_kosong, sidik_jari, garansi_bulan, tersedia_bekas.</t>
  </si>
  <si>
    <t xml:space="preserve">Bluetooth (5.3 vs 5.4 antar sumber MSI), bahan bodi, ukuran M.2, hubungan kabel/braket dudukan 2,5 inci, Office, sidik jari, versi HDMI. Blibli dan Poin Xtra CIMB tidak menampilkan harga di halaman yang terbaca, jadi tidak dipakai.</t>
  </si>
  <si>
    <t xml:space="preserve">Halaman spek MSI Indonesia (id.msi.com Thin 15 B13U) dan lembar spek MSI Indonesia B13UC-1430ID (PDF), halaman global msi.com/vn.msi.com dan lembar spek MSI Malaysia (pembanding), Notebookcheck (RTX 3050 4 GB, ringkasan keluarga Thin 15), berita MSI CES 2024 (tahun rilis), Tokopedia (Gamer ID Bandung, We Itech, ProTech Com, Deca Computer), Blibli (hanya spek, harga tidak tampil).</t>
  </si>
  <si>
    <t xml:space="preserve">bahan, usbc_charge, hdmi_versi, st_form, sentuh, bluetooth, sidik_jari, office, segmen_resmi, target_resmi, tersedia_bekas.</t>
  </si>
  <si>
    <t xml:space="preserve">Dari pilihan Thin 15 / Cyborg 15 dipilih Thin 15 B13UC karena paling banyak dijual di Tokopedia (ratusan listing, sedangkan Cyborg 15 tidak muncul di 10 hasil teratas). Satu varian saja: i7-13620H + RTX 3050 4 GB + 8 GB + 512 GB (kode B13UC-2407, ada di halaman MSI Indonesia). Varian i5-13420H dan RAM 16 GB juga dijual, tetapi tidak ditambahkan.</t>
  </si>
  <si>
    <t xml:space="preserve">Halaman spek ROG Indonesia menggabung 11 kode dalam satu tabel tanpa judul kolom, sehingga layar 2,5K 240 Hz dan SSD 1 TB untuk kode C6G dipetakan dari urutan dan dicocokkan dengan tiga listing toko berkode sama; charger (240 W vs 280 W vs 330 W), jumlah keping RAM, slot M.2 kosong, dan garansi resmi tidak jelas. Halaman toko ASUS Exclusive Store dari leads hanya menampilkan G634JY (Intel, lain model).</t>
  </si>
  <si>
    <t xml:space="preserve">Halaman produk dan spek ROG Indonesia (rog.asus.com/id, G614 2025), halaman spek ROG India (pembanding kode saudara), AMD (Ryzen 9 8940HX), Notebookcheck (RTX 5060 Laptop), ulasan LaptopMedia G614 (2025) (bahan, sidik jari, M.2), Tokopedia (IT Galeri Poins Square, NVIDIA GeForce Laptop, daftar ROG Strix G16), Plaza IT.</t>
  </si>
  <si>
    <t xml:space="preserve">sentuh, ram_channel, ram_slot_kosong, st_m2_kosong, charger_w, garansi_bulan, tersedia_bekas, segmen_resmi, target_resmi.</t>
  </si>
  <si>
    <t xml:space="preserve">Halaman lenovo.com/id tidak bisa dibuka (robots), PSREF versi HTML kosong (hanya PDF yang terbaca), manual servis tidak ketemu. Blibli gagal dibuka. Harga Plazait (Rp20,3 juta) berbeda jauh dari marketplace (Rp27,8-28,9 juta) dan tidak bisa dicek silang. Tahun rilis hanya dari tanggal ubah PSREF (Mei 2025).</t>
  </si>
  <si>
    <t xml:space="preserve">Lenovo PSREF PDF 15IRX10 (spek lengkap, RAM/SSD, berat), Intel ARK i7-13650HX, listing Plazait dan Lenovo Official di Tokopedia (kode 83LY00E9ID: baterai, charger, Wi-Fi, Bluetooth, keyboard, kamera), laman 'find' Tokopedia dan 4 listing marketplace untuk harga, LaptopMedia (teardown saudara 15IRHX10), PCWorld dan Notebookcheck (keluhan, bahan).</t>
  </si>
  <si>
    <t xml:space="preserve">ram_channel dan ram_slot_kosong (16 GB: 1x16 atau 2x8 tidak dirinci), webcam (720p vs 5 MP bertentangan), garansi_bulan (hanya 1 tahun dasar yang terlihat resmi), tersedia_bekas.</t>
  </si>
  <si>
    <t xml:space="preserve">Port, baterai, dan Bluetooth tidak ada di halaman Acer Indonesia (diambil dari salinan spek di listing toko). RAM: jumlah slot dan batas maksimum bertentangan antar halaman Acer. SSD: bisa diganti atau tidak, ukuran M.2 tidak ditemukan. Harga di Acer Store untuk kode 38RE/NX.D3KSN.001 tidak tampil di teks halaman. Acer Exclusive Store (Tokopedia) tidak bisa dibuka (JavaScript). Blibli gagal dibuka.</t>
  </si>
  <si>
    <t xml:space="preserve">acer.com/id-en (spek NX.D3KSN.001), Acer Store Indonesia (store.acer.com, 3 halaman Aspire Lite 14 dan daftar kategori), Intel ARK N355, halaman garansi Acer Indonesia, listing Plazait, Infonet Official Store (Tokopedia), Erablue, laman 'find' Tokopedia; lembar spek Acer Eropa (NX.D2TEK.002) dan kelaptop (NX.D3KET.001) hanya untuk baterai/berat kode saudara.</t>
  </si>
  <si>
    <t xml:space="preserve">bahan, ram_slot_total, ram_slot_kosong, ram_disolder_gb, ram_maks_gb, ram_mts, st_bisa_diganti, st_form, st_m2_total, st_m2_kosong, st_25_kosong, garansi_bulan, garansi_baterai, tersedia_bekas.</t>
  </si>
  <si>
    <t xml:space="preserve">Dipilih Aspire Lite 14 AL14-32P (N355) karena ini yang paling banyak ada di listing Tokopedia/Erablue/Plazait; Acer Store Indonesia justru menjual AL14-42P (Ryzen 3 5300U, Rp9.149.000) dan Aspire Go 14 AG14-72P (Core 5 120U, Rp11.499.000, 8 GB DDR4 bisa di-upgrade), tidak dipilih. Di Acer Store kode saudara NX.D4NSN.001 (256 GB) tertulis Rp5.749.000 (stok habis, harga khusus Acer Day) dan tidak dipakai karena SSD berbeda. Tier CPU/GPU yang diusulkan (2 dan 2) perlu diseragamkan editor.</t>
  </si>
  <si>
    <t xml:space="preserve">Axioo tidak punya kode varian di halaman resmi v2. Tidak ada tahun rilis. Versi HDMI, sidik jari, lampu keyboard, sentuh tidak disebut. Pembagian RAM 8 GB (1 keping vs 2x4) tidak dirinci resmi dan penjual bertentangan. Listing marketplace mencampur Hype 5 G12 lama dan v2; hanya listing yang menulis 'V2' dan 1,25 kg yang dipakai. Edisi Windows bertentangan antar penjual. Blibli dan KING COMP tidak terbuka.</t>
  </si>
  <si>
    <t xml:space="preserve">axiooworld.com (spek dan fitur Hype 5 Gen 12 v2, spek Hype 5 Gen 12 lama, blog garansi dan FAQ), Intel (halaman i5-1235U), laman 'find' Tokopedia dan 7 listing Tokopedia/Blibli yang dibuka untuk harga dan deskripsi RAM/SSD.</t>
  </si>
  <si>
    <t xml:space="preserve">tahun_rilis, kode_varian, hdmi_versi, ram_channel, ram_slot_kosong, st_25_kosong, sentuh, sidik_jari, kb_lampu, os_edisi, garansi_baterai, tersedia_bekas.</t>
  </si>
  <si>
    <t xml:space="preserve">Model diganti dari 'MyBook 14 / MyBook Pro' ke Hype 5 Gen 12 v2 karena MyBook 14 dan MyBook Pro tidak ditemukan sebagai produk yang sedang dijual (artikel resmi tentangnya berasal dari 2021, dan 10 listing teratas Tokopedia untuk 'axioo mybook' tidak memuatnya); yang aktif dijual adalah lini Hype (Hype 5 G12/v2, Hype 5 AMD, Hype AI 5 yang diumumkan 2026). Hype 5 AMD X5 (Ryzen 5 7430U) juga dijual tetapi tidak dipilih demi satu model.</t>
  </si>
  <si>
    <t xml:space="preserve">Halaman spek resmi di situs Advan (advan.id) tidak bisa dibuka/ditemukan; slot RAM dan SSD; bobot angka pasti; refresh rate; sidik jari; layar sentuh; bahan bodi; jumlah pasti port USB-C.</t>
  </si>
  <si>
    <t xml:space="preserve">Listing toko resmi Advan di Tokopedia (2 toko), listing penjual resmi Bogor dan Infonet, artikel Detik/Teknologi.id/Sumbar Bisnis (spek peluncuran Maret 2026), Notebookcheck untuk CPU Ryzen 7 255 dan Radeon 780M.</t>
  </si>
  <si>
    <t xml:space="preserve">bahan, usbc_jenis, usb_c (null), ram_layout/slot/maks, ram_channel, ram_mts, st_antarmuka, st_form, st_bisa_diganti, bobot_kg, refresh_hz, sentuh, sidik_jari, office. Peringatan validator (bila ada) terkait banyak kolom unknown wajar untuk merek lokal.</t>
  </si>
  <si>
    <t xml:space="preserve">Petunjuk awal (Workplus Ryzen 7 sekitar Rp8 juta) cocok dengan Workplus AI Ryzen 7 255 yang rilis Maret 2026 (harga peluncuran Rp8,999 juta). Soulmate X dan Workpro Lite i5-12450H tidak diteliti (batas 1 model Advan). Varian 16GB/1TB tidak dicatat.</t>
  </si>
  <si>
    <t xml:space="preserve">Halaman spek resmi Infinix (wap.id.infinixmobility.com/specs/xbook-14-neo) dimuat lewat JavaScript sehingga tidak terbaca; jenis SSD (NVMe/SATA), bentuk SSD, jumlah slot M.2, sidik jari, edisi OS resmi, lama garansi resmi.</t>
  </si>
  <si>
    <t xml:space="preserve">Artikel peluncuran Selular, Gizmologi, Merahputih, Bisnis.com, Detik/GizGuide; listing Tokopedia Anugerah Digital, Agres ID (Jakarta Timur, Jakarta Utara, Depok), Herlinacom, Gasol; TechPowerUp untuk Core i3-1315U.</t>
  </si>
  <si>
    <t xml:space="preserve">usbc_jenis, st_tipe, st_antarmuka, st_form, st_25_kosong, ram_mts, sidik_jari, office, garansi_bulan (null), segmen_resmi/target_resmi (null), kode_varian (null). Banyak kolom dari artikel/penjual (belum terverifikasi resmi).</t>
  </si>
  <si>
    <t xml:space="preserve">Lini Inbook sudah diganti XBOOK; yang dicatat adalah Infinix XBOOK 14 NEO (rilis 23 September 2026), varian termurah i3-1315U 8GB/256GB. Varian i3-1315U 8/512 (Rp8,999 juta daftar) dan i5-1335U 8/512 (Rp10,49 juta daftar) tidak dicatat (batas 1 varian). Artikel berbeda soal jumlah USB-C: Selular/Gizmologi 1, Merahputih dan listing 2 (satu data saja); dipakai 2.</t>
  </si>
  <si>
    <t xml:space="preserve">Spek resmi lengkap Acer Indonesia C733T (halaman hanya pemasaran); tahun rilis; bobot, baterai, Bluetooth; tipe RAM; hanya satu listing baru dengan varian sentuh yang jelas.</t>
  </si>
  <si>
    <t xml:space="preserve">Halaman Acer Indonesia untuk C733/C733U/C733T (tanpa tabel spek), listing Tokopedia Anugerah Digital dan LifeTech IDN, listing Bhinneka (saudara N4120, hanya sebagai pembanding, tidak dipakai untuk angka), halaman Acer Indonesia untuk C725 dan Spin 311, flyer Acer ID.</t>
  </si>
  <si>
    <t xml:space="preserve">bahan, hdmi, hdmi_versi, lan, usbc_jenis, tahun_rilis, ram_tipe, bobot_kg, refresh_hz, baterai_wh, bluetooth, sidik_jari, kb_lampu, garansi_bulan.</t>
  </si>
  <si>
    <t xml:space="preserve">Chromebook yang diminta tidak disebut merek spesifik. Acer Chromebook 311 C725/C725T dan Spin 311 R725T (MediaTek Kompanio 540, rilis 2026) adalah pilihan terbaru di Acer Indonesia tetapi MediaTek tidak ada di enum 'Produsen CPU' (Intel/AMD/Qualcomm/Apple), jadi diganti C733T (Intel Celeron N4020, CPU dan GPU sudah ada di database). Data R725T/C725 disimpan di w3c/notes_w3c.md. Hanya 1 baris harga (1 varian, 1 listing baru yang jelas).</t>
  </si>
  <si>
    <t xml:space="preserve">Pernyataan tegas Apple bahwa RAM/SSD tidak bisa di-upgrade (hanya 'unified memory' dan opsi saat pesan; iFixit galat); pemetaan GPU 7/8 inti ke kapasitas SSD; beberapa halaman produk Tokopedia gagal dibuka (galat server). Semua harga memakai tgl 2026-10-15 (tanggal sebenarnya listing dibuka; brief menulis 2026-10-10), jadi validator memberi peringatan tgl.</t>
  </si>
  <si>
    <t xml:space="preserve">Apple Support spek MacBook Air (M1, 2020) support.apple.com/en-us/111883 (chip, RAM, SSD, layar, port, baterai, charger, Wi-Fi, Bluetooth, kamera, Touch ID, keyboard, bobot, bahan aluminium daur ulang); Wikipedia Apple M1 dan TheAppleWiki (jenis/kecepatan RAM, 60 Hz, SSD PCIe); EveryMac (tidak bisa di-upgrade); Tokopedia: halaman /find/ macbook-air-m1-second, -bekas, -8-256-second dan 3 halaman produk yang dibuka. Harga dibaca dari halaman produk yang dibuka tanggal 2026-10-15.</t>
  </si>
  <si>
    <t xml:space="preserve">pasar, ram_channel, st_antarmuka, st_form, tersedia_baru, segmen_resmi/target_resmi (kosong), garansi (beda tiap toko), win11 pada CPU (macOS).</t>
  </si>
  <si>
    <t xml:space="preserve">Pemilihan generasi: dari kartu pencarian Tokopedia tanggal ini, listing yang menyebut tipe CPU secara tegas paling banyak untuk Gen 8 (i5-10310U), sedangkan Gen 7 dan Gen 9 lebih sedikit/lebih tercampur; ini hitungan dari kartu yang tampil, bukan total resmi. Banyak judul listing tidak menyebut tipe CPU atau salah (mis. 'Gen 8' bisa berarti Intel gen 8 atau X1 Gen 8), sehingga hanya dua harga yang cocok persis (i5-10310U, 16 GB, 256 GB); satu dari kartu pencarian karena halaman butuh JavaScript. Tanggal harga memakai 2026-10-15 (tanggal sebenarnya listing dibuka; brief menulis 2026-10-10), jadi validator memberi peringatan tgl.</t>
  </si>
  <si>
    <t xml:space="preserve">Lenovo PSREF X1 Carbon Gen 8 (PDF, direvisi 20 April 2022) untuk hampir semua kolom; LaptopMedia (bongkar: RAM disolder, satu slot M.2) dan Notebookcheck (tahun 2020, 60 Hz, bobot); Tokopedia: halaman /find/ pencarian X1 Carbon (gen 7/8, i5-10310U, i7, 16-256) dan 1 halaman produk dibuka. Harga dibaca 2026-10-15.</t>
  </si>
  <si>
    <t xml:space="preserve">pasar, resolusi, sentuh, os/os_edisi/office (unit bekas diinstal ulang), charger_w, garansi, tersedia_baru (tidak dicek di Lenovo Indonesia); refresh_hz 60 dari Notebookcheck, bukan dari PSREF.</t>
  </si>
  <si>
    <t xml:space="preserve">Dell tidak menulis nomor prosesor, jenis panel, ukuran M.2, maupun bahan bodi; panel/M.2/bahan dari Notebookcheck dan LaptopMedia. Dua dari empat harga dibaca dari kartu pencarian karena halaman Tokopedia butuh JavaScript. Tanggal harga memakai 2026-10-15 (tanggal sebenarnya listing dibuka; brief menulis 2026-10-10), jadi validator memberi peringatan tgl.</t>
  </si>
  <si>
    <t xml:space="preserve">Dell XPS 13 Setup and Specifications 9360 (PDF dl.dell.com, Rev. A02 2017) dan manual servis Dell (langkah mengganti SSD) untuk RAM/SSD/port/baterai/charger/layar/Wi-Fi; Intel ARK i5-7200U; Notebookcheck (sampel i5-7200U Full HD: IPS, LPDDR3-1866, 60 Wh, tahun 2016); LaptopMedia (bahan, M.2 2280); iFixit; Microsoft (daftar CPU Windows 11 dan akhir dukungan Windows 10 pada 14 Oktober 2025, https://www.microsoft.com/en-us/windows/end-of-support); Tokopedia /find/ pencarian XPS 13 dan 2 halaman produk dibuka. Harga dibaca 2026-10-15.</t>
  </si>
  <si>
    <t xml:space="preserve">pasar, usbc_charge, ram_channel, resolusi, sentuh, sidik_jari (opsional), os/os_edisi/office (unit bekas diinstal ulang), garansi, tersedia_baru, segmen_resmi/target_resmi.</t>
  </si>
  <si>
    <t xml:space="preserve">Brief menyebut XPS 13 9310/9305/9380 dan mengizinkan EliteBook 830 G7/G8 bila datanya terlalu sedikit. Pengecekan Tokopedia 2026-10-15: XPS 13 9310 dan 9305 hampir tanpa listing bekas (satu 9305 Rp11.997.000 dan satu 9310 dengan judul 'payment with CC'), 9380 hanya satu listing 'Tidak Dijual' Rp15.499.000, 9370 satu listing Rp9.000.000; EliteBook 830 G7/G8 juga tipis (hanya satu listing i5-10310U 16/256 yang bersih, selebihnya i7 atau 2-in-1 x360). Yang paling banyak dan konsisten adalah XPS 13 9360 (i5-7200U 8/256, empat listing Rp3,9-4,5 juta), jadi dipakai walau di luar daftar brief; ini model 2016 dengan CPU yang tidak didukung resmi Windows 11. Keputusan akhir (tetap 9360 atau ganti ke EliteBook 830) ada pada editor.</t>
  </si>
  <si>
    <t xml:space="preserve">Ulasan atau teardown untuk Core 3 100U (hanya ada untuk Core Ultra dan AMD); halaman Lenovo Indonesia tidak memuat konfigurasi Core 3 100U (berisi Core Ultra dan status ganda 'sementara tidak tersedia'/'dihentikan'); WebFetch tidak bisa membaca Tokopedia sehingga dipakai Chrome.</t>
  </si>
  <si>
    <t xml:space="preserve">Lenovo PSREF halaman model 21T9S00B00 (dibuka lewat browser; lembar spek platform dan PDF tidak dipakai karena menggabung banyak platform), Intel ARK untuk Core 3 100U, listing Tokopedia (Lenovo Official, Bluechip Computer), Blibli (Lenovo Yoga Flagship Store), halaman Lenovo Indonesia untuk E14 Gen 7, hasil pencarian Notebookcheck.</t>
  </si>
  <si>
    <t xml:space="preserve">tersedia_bekas. Tidak ada kolom lain yang dikosongkan; Office diisi 'tidak ada' karena daftar perangkat lunak bawaan PSREF hanya menyebut Bufferzone.</t>
  </si>
  <si>
    <t xml:space="preserve">Diminta ThinkPad E14 Gen 5/6/7 atau L14. Dipilih E14 Gen 7 versi Core 3 100U (21T9S00B00) karena itu satu-satunya kode E14 Gen 7 Intel yang tercatat PSREF untuk Indonesia dengan platform Raptor Lake (RAM slot SODIMM); Gen 8 tidak dipakai karena belum ketemu listing nyata. GPU baru 'Intel Graphics (Raptor Lake-U Refresh, 64 EU)' dibuat terpisah dari 'Intel UHD Graphics (Raptor Lake-U, 64 EU)' (milik i3-1315U) karena Intel menamai grafis Core 3 100U 'Intel Graphics'; editor boleh menggabungkan keduanya bila dianggap sama. Peringatan validator soal tgl harga: semua harga dicatat 2026-10-15 (hari pengamatan), bukan 2026-10-10.</t>
  </si>
  <si>
    <t xml:space="preserve">Halaman toko resmi Dell Indonesia dan halaman produk Dell Indonesia tidak ketemu; halaman 'Ports' dan 'Storage' di buku panduan Dell kosong saat dibuka (data tidak tersedia), jadi port diambil dari PDF spek; jenis bodi (plastik/aluminium) dan fungsi USB-C unit di pasaran; ulasan khusus varian i7.</t>
  </si>
  <si>
    <t xml:space="preserve">Lembar spek resmi Dell (PDF tech specs Inspiron 15 3530/3535), buku panduan resmi Dell (memori, slot dalam, riwayat revisi), Intel ARK untuk Core i7-1355U, ringkasan Notebookcheck, Kingston (pembanding batas RAM), listing Tokopedia (Dell Technologies by Yolori, Authorized Technology, Columbia Computer Dusit).</t>
  </si>
  <si>
    <t xml:space="preserve">bahan, usbc_jenis, usbc_charge, st_form (slot menerima 2230 atau 2280), st_25_kosong, bluetooth, sidik_jari, webcam, kode_varian, segmen_resmi, target_resmi, tersedia_bekas.</t>
  </si>
  <si>
    <t xml:space="preserve">Diminta Inspiron 14/15 atau Vostro 14/15. Dipilih Inspiron 15 3530 versi Core i7-1355U karena itu yang paling banyak ditawarkan di Tokopedia (mis. aura technology dengan penjualan 50+, Dell Technologies by Yolori); tahun rilis 2023 diambil dari revisi pertama manual Dell (Maret 2023) dan manual terbaru Agustus 2026 menunjukkan produk masih didukung. GPU baru 'Intel Iris Xe Graphics (96 EU)' dibuat karena i7-1355U punya 96 EU, bukan 80 EU seperti baris yang sudah ada. Peringatan validator soal tgl harga: semua harga dicatat 2026-10-15 (hari pengamatan), bukan 2026-10-10. Garansi 24 bulan berasal dari listing toko Dell resmi/authorized, bukan dari halaman Dell langsung.</t>
  </si>
  <si>
    <t xml:space="preserve">Buku servis atau teardown 14-ew0000 (slot SSD, apakah SSD bisa diganti, bentuk SSD); refresh rate layar; sidik jari; layar sentuh; Office bawaan; garansi dari HP; halaman produk di toko resmi HP Indonesia (sudah tidak memajang Pavilion Plus). RTINGS tidak bisa dibaca isinya.</t>
  </si>
  <si>
    <t xml:space="preserve">Halaman dukungan resmi HP (spesifikasi seri 14-ew0000, situs Australia karena halaman Indonesia tidak ada), toko HP Indonesia (hanya untuk memeriksa apakah model masih dipajang), listing Tokopedia (Pratama Distribusi, Laptop Project), Erablue, ulasan TechRadar dan PCWorld (versi OLED saudara), ringkasan LaptopMedia.</t>
  </si>
  <si>
    <t xml:space="preserve">pasar, segmen_resmi, target_resmi, st_form, st_bisa_diganti, st_m2_total, st_m2_kosong, st_25_kosong, bobot_kg, refresh_hz, sentuh, sidik_jari, office, garansi_jenis, garansi_bulan, garansi_baterai, tersedia_bekas, tahun_dihentikan. Peringatan validator soal banyaknya kolom unknown (bila muncul) wajar untuk model yang sudah tidak ada di toko resmi.</t>
  </si>
  <si>
    <t xml:space="preserve">Diminta HP Pavilion 14/15 atau Pavilion Plus 14. Dipilih Pavilion Plus 14-ew0021TU (Core i5-1335U) karena unit ini masih tersedia baru di beberapa penjual, walaupun toko resmi HP Indonesia sudah menggantinya dengan OmniBook. Status tetap 'dijual' karena ada stok baru di penjual. Peringatan validator soal tgl harga: semua harga dicatat 2026-10-15 (hari pengamatan), bukan 2026-10-10.</t>
  </si>
  <si>
    <t xml:space="preserve">Halaman spek ASUS Indonesia untuk ExpertBook B1 (tidak ada di situs, dan WebFetch ke halaman filter ASUS ditolak dengan pesan PROVENANCE_REQUIRED sehingga tidak diulang); tahun rilis P1403CVA; lampu keyboard kode ini; bobot pasti kode ini; ulasan khusus Core 5 210H.</t>
  </si>
  <si>
    <t xml:space="preserve">Halaman spek ASUS Indonesia dan global ExpertBook P1 (P1403) (halaman gabungan, dipakai hati-hati), lembar spek ASUS di listing ASUS ExpertBook Official Store Tokopedia, listing penjual resmi ASUS lain di Tokopedia, artikel Detik (Maret 2026) dan Bisnis.com (2 Oktober 2026, harga resmi Core 5 210H Rp12.999.000 sebagai pembanding, tidak dicatat sebagai baris harga), ulasan 91mobiles dan ringkasan Notebookcheck (versi saudara).</t>
  </si>
  <si>
    <t xml:space="preserve">tahun_rilis, kb_lampu, bobot_kg, target_resmi, tersedia_bekas, tahun_dihentikan.</t>
  </si>
  <si>
    <t xml:space="preserve">Diminta ExpertBook B1 (B1402/B1502) atau seri B/P lain. B1 tidak ada di situs ASUS Indonesia dan listing Tokopedia B1403CVA (SOFTCOM Official Store, Rp17.259.000) stoknya habis, jadi diganti ExpertBook P1 P1403CVA-S65852WS (Core 5 210H, 8GB, 512GB) yang tampil di situs ASUS Indonesia dan banyak dijual resmi. Slot RAM kosong (1) dan mode satu jalur disimpulkan dari RAM 8 GB satu keping. Peringatan validator soal tgl harga: semua harga dicatat 2026-10-15 (hari pengamatan), bukan 2026-10-10.</t>
  </si>
  <si>
    <t xml:space="preserve">Watt kartu grafis (TGP) tidak ada di halaman ASUS; sidik jari dan layar sentuh tidak disebut; garansi (ASUS Indonesia 3 tahun vs penjual 2 tahun); listing resmi ASUS ROG Indonesia di Tokopedia tidak bisa dibuka (butuh JavaScript, hanya terlihat Rp39.999.000 di halaman pencarian, tidak dicatat sebagai harga); Tokopedia FLIXX.ID Mall Rp26.498.000 stok habis dan jauh di bawah toko lain, tidak dicatat.</t>
  </si>
  <si>
    <t xml:space="preserve">Halaman spek ASUS Indonesia N6506 (asus.com/id), Intel ARK Core Ultra 9 285H, Notebookcheck N6506CU (ringkasan ulasan + lampu keyboard), 4 listing Tokopedia yang dibuka (royalltech, Laptop ONE ITC SBY, Agres ID Malang, ENVICSTORE), Poin Xtra/Dinomarket dan PlazaIT (hanya untuk N6506MU, stok habis).</t>
  </si>
  <si>
    <t xml:space="preserve">gpu_tgp, ram_mts, ram_channel, sentuh, sidik_jari, garansi_bulan, garansi_baterai, tersedia_bekas.</t>
  </si>
  <si>
    <t xml:space="preserve">Diminta 'Vivobook Pro 15/16 OLED (K6502/N6506/M6500) atau ProArt'. Dipilih Vivobook Pro 15 OLED N6506 (kode CU), model yang masih ada di situs ASUS Indonesia dan dijual di Tokopedia. K6502/M6500/K6602 tidak dicari lebih jauh karena sudah generasi lama dan ProArt P16 jauh lebih mahal.</t>
  </si>
  <si>
    <t xml:space="preserve">Pemetaan kode ke panel (halaman ASUS menggabung OLED dan IPS); sidik jari, layar sentuh, bahan bodi tidak disebut; halaman Qualcomm tidak bisa dibuka (izin ditolak), jadi data CPU/GPU dari Notebookcheck; beberapa judul listing di halaman pencarian Tokopedia tidak cocok dengan URL-nya sehingga tidak dipakai.</t>
  </si>
  <si>
    <t xml:space="preserve">Halaman spek ASUS Indonesia S3407Q(A), halaman berita resmi ASUS Indonesia (garansi), Notebookcheck (CPU X1-26-100, Adreno X1-45, halaman model S3407QA), Microsoft Learn (emulasi x86/x64 di Windows on Arm), Detik (peluncuran 15 Mei 2025, Rp12.299.000 untuk IPS 2.5K), 3 listing Tokopedia yang dibuka (Expocomp, TeknoTrend ID, Asus Indonesia Official Mall).</t>
  </si>
  <si>
    <t xml:space="preserve">bahan, ram_mts, ram_channel, gpu_tgp, sentuh, sidik_jari, garansi_baterai, tersedia_bekas.</t>
  </si>
  <si>
    <t xml:space="preserve">Halaman Lenovo Indonesia tidak berisi tabel spek (port, bobot, garansi kosong); PSREF menggabung banyak pilihan (layar, kamera, sidik jari, pena); garansi resmi Indonesia tidak tertulis di sumber resmi; listing Tokopedia lain di halaman pencarian punya judul yang tidak cocok dengan URL sehingga tidak dibuka.</t>
  </si>
  <si>
    <t xml:space="preserve">Lenovo PSREF Yoga 7 2-in-1 14ILL10 (spek resmi), halaman Lenovo Indonesia (hanya ringkasan seri, tanpa tabel spek), Intel ARK Core Ultra 7 258V, Notebookcheck (ulasan unit 83JQ0013GE dan analisis Arc 140V), Detik (peluncuran Indonesia), listing Hosetech dan Archie Tech (Tokopedia), Poin Xtra/Dinomarket.</t>
  </si>
  <si>
    <t xml:space="preserve">webcam, sidik_jari, garansi_bulan, garansi_baterai, gpu_tgp, tersedia_bekas.</t>
  </si>
  <si>
    <t xml:space="preserve">Ringkasan waktu</t>
  </si>
  <si>
    <t xml:space="preserve">Jumlah laptop yang sudah dicatat waktunya</t>
  </si>
  <si>
    <t xml:space="preserve">Rata-rata menit per laptop</t>
  </si>
  <si>
    <t xml:space="preserve">Target jumlah model (batas bawah)</t>
  </si>
  <si>
    <t xml:space="preserve">Target jumlah model (batas atas)</t>
  </si>
  <si>
    <t xml:space="preserve">Perkiraan total jam (batas bawah)</t>
  </si>
  <si>
    <t xml:space="preserve">Perkiraan total jam (batas atas)</t>
  </si>
  <si>
    <t xml:space="preserve">Tingkat 1-5 untuk CPU dan GPU di tab CPU dan GPU adalah usulan awal dari saya, bukan skor resmi. Tinjau alasannya sebelum dipakai untuk aturan penilaian.</t>
  </si>
  <si>
    <t xml:space="preserve">Aturan penilaian: usulan awal (Draf 2)</t>
  </si>
  <si>
    <t xml:space="preserve">Ubah angka di kolom kuning untuk mencoba aturan lain; tab Perhitungan dan Hasil ikut berubah. Semua angka di sini adalah penilaian awal kita dan belum diuji ke pengguna.</t>
  </si>
  <si>
    <t xml:space="preserve">1. Cara membaca hasil</t>
  </si>
  <si>
    <t xml:space="preserve">Status tiap kriteria</t>
  </si>
  <si>
    <t xml:space="preserve">Artinya</t>
  </si>
  <si>
    <t xml:space="preserve">Nyaman</t>
  </si>
  <si>
    <t xml:space="preserve">Nilai sudah mencapai batas nyaman.</t>
  </si>
  <si>
    <t xml:space="preserve">Cukup</t>
  </si>
  <si>
    <t xml:space="preserve">Nilai sudah mencapai batas minimal, tetapi belum mencapai batas nyaman.</t>
  </si>
  <si>
    <t xml:space="preserve">Kurang</t>
  </si>
  <si>
    <t xml:space="preserve">Nilai masih di bawah batas minimal.</t>
  </si>
  <si>
    <t xml:space="preserve">Belum ada data</t>
  </si>
  <si>
    <t xml:space="preserve">Nilainya masih kosong atau unknown di tab Varian, jadi belum bisa dinilai. Data yang kosong tidak dianggap bagus dan tidak dianggap jelek.</t>
  </si>
  <si>
    <t xml:space="preserve">Tidak dinilai</t>
  </si>
  <si>
    <t xml:space="preserve">Batas minimal dan batas nyaman sama-sama dikosongkan, jadi kriteria ini tidak dipakai untuk kebutuhan tersebut.</t>
  </si>
  <si>
    <t xml:space="preserve">Hasil akhir</t>
  </si>
  <si>
    <t xml:space="preserve">Syaratnya (dari atas ke bawah)</t>
  </si>
  <si>
    <t xml:space="preserve">Kurang cocok</t>
  </si>
  <si>
    <t xml:space="preserve">Ada satu kriteria atau lebih yang berstatus Kurang.</t>
  </si>
  <si>
    <t xml:space="preserve">Data belum lengkap</t>
  </si>
  <si>
    <t xml:space="preserve">Tidak ada yang Kurang, tetapi ada kriteria yang berstatus Belum ada data. Hasil ditahan sampai datanya lengkap.</t>
  </si>
  <si>
    <t xml:space="preserve">Bisa, dengan catatan</t>
  </si>
  <si>
    <t xml:space="preserve">Tidak ada yang Kurang dan data lengkap, tetapi ada kriteria yang baru Cukup. Alasannya ditulis di tab Hasil.</t>
  </si>
  <si>
    <t xml:space="preserve">Cocok</t>
  </si>
  <si>
    <t xml:space="preserve">Semua kriteria yang dinilai berstatus Nyaman.</t>
  </si>
  <si>
    <t xml:space="preserve">Semua batas untuk kebutuhan itu dikosongkan, jadi tidak ada yang bisa dinilai (dicek paling awal).</t>
  </si>
  <si>
    <t xml:space="preserve">2. Kebutuhan yang dinilai (nama boleh diubah; tab lain ikut berubah)</t>
  </si>
  <si>
    <t xml:space="preserve">Kebutuhan</t>
  </si>
  <si>
    <t xml:space="preserve">Contoh pemakaian</t>
  </si>
  <si>
    <t xml:space="preserve">Kuliah dan kantor</t>
  </si>
  <si>
    <t xml:space="preserve">Mengetik tugas dan laporan, Word, Excel, dan PowerPoint, membuka banyak tab browser, rapat lewat Zoom atau Meet, menonton video kuliah.</t>
  </si>
  <si>
    <t xml:space="preserve">Desain grafis</t>
  </si>
  <si>
    <t xml:space="preserve">Photoshop, Illustrator, Figma, atau Canva; edit foto, desain poster, dan edit video ringan.</t>
  </si>
  <si>
    <t xml:space="preserve">Pemrograman</t>
  </si>
  <si>
    <t xml:space="preserve">Menulis kode di VS Code atau IDE lain, menjalankan server lokal, Docker atau mesin virtual, Android Studio, dan membuka banyak halaman dokumentasi.</t>
  </si>
  <si>
    <t xml:space="preserve">Game ringan</t>
  </si>
  <si>
    <t xml:space="preserve">Game yang tidak terlalu menuntut, seperti Minecraft, Valorant, atau Dota 2 pada pengaturan grafis rendah sampai sedang.</t>
  </si>
  <si>
    <t xml:space="preserve">Game berat</t>
  </si>
  <si>
    <t xml:space="preserve">Game 3D baru yang menuntut (sering disebut AAA) pada pengaturan sedang sampai tinggi.</t>
  </si>
  <si>
    <t xml:space="preserve">3. Batas penilaian per kebutuhan</t>
  </si>
  <si>
    <t xml:space="preserve">Batas minimal: di bawah angka ini berstatus Kurang. Batas nyaman: dari angka ini berstatus Nyaman. Kosongkan kedua batas bila kriteria itu tidak dinilai untuk kebutuhan tersebut.</t>
  </si>
  <si>
    <t xml:space="preserve">Kriteria</t>
  </si>
  <si>
    <t xml:space="preserve">Batas minimal</t>
  </si>
  <si>
    <t xml:space="preserve">Batas nyaman</t>
  </si>
  <si>
    <t xml:space="preserve">Satuan</t>
  </si>
  <si>
    <t xml:space="preserve">Alasan (bahasa awam)</t>
  </si>
  <si>
    <t xml:space="preserve">Dasar angka</t>
  </si>
  <si>
    <t xml:space="preserve">Prosesor (tingkat 1-5)</t>
  </si>
  <si>
    <t xml:space="preserve">tingkat</t>
  </si>
  <si>
    <t xml:space="preserve">Dokumen dan internet berjalan di prosesor dasar, tetapi terasa lambat bila banyak tab dan aplikasi dibuka bersamaan. Tingkat 2 sudah cukup lancar untuk kuliah dan kantor.</t>
  </si>
  <si>
    <t xml:space="preserve">Penilaian awal</t>
  </si>
  <si>
    <t xml:space="preserve">Kartu grafis (tingkat 1-5)</t>
  </si>
  <si>
    <t xml:space="preserve">Tidak dinilai: grafis bawaan apa pun cukup untuk dokumen, internet, dan video.</t>
  </si>
  <si>
    <t xml:space="preserve">-</t>
  </si>
  <si>
    <t xml:space="preserve">RAM</t>
  </si>
  <si>
    <t xml:space="preserve">GB</t>
  </si>
  <si>
    <t xml:space="preserve">4 GB adalah syarat minimum Windows 11, tetapi cepat penuh bila banyak tab terbuka. 8 GB terasa lega untuk kuliah dan kantor.</t>
  </si>
  <si>
    <t xml:space="preserve">Batas minimal: syarat minimum Windows 11 (Microsoft). Batas nyaman: penilaian awal.</t>
  </si>
  <si>
    <t xml:space="preserve">Penyimpanan</t>
  </si>
  <si>
    <t xml:space="preserve">Windows 11 meminta minimal 64 GB. 128 GB cukup untuk Windows, Office, dan tugas, tetapi cepat penuh bila banyak video. 256 GB lebih lega.</t>
  </si>
  <si>
    <t xml:space="preserve">Dasar: syarat Windows 11 (64 GB, Microsoft). Angka 128 dan 256: penilaian awal.</t>
  </si>
  <si>
    <t xml:space="preserve">Jenis layar (peringkat)</t>
  </si>
  <si>
    <t xml:space="preserve">peringkat</t>
  </si>
  <si>
    <t xml:space="preserve">Tidak dinilai: jenis layar tidak menentukan cocok atau tidaknya untuk dokumen. Panel TN dan resolusi rendah tetap muncul sebagai peringatan.</t>
  </si>
  <si>
    <t xml:space="preserve">Refresh rate layar</t>
  </si>
  <si>
    <t xml:space="preserve">Hz</t>
  </si>
  <si>
    <t xml:space="preserve">Tidak dinilai: refresh rate hanya penting untuk game.</t>
  </si>
  <si>
    <t xml:space="preserve">Aplikasi desain terasa lancar mulai tingkat 3. Tingkat 2 masih bisa untuk berkas kecil, tetapi lambat saat berkas besar atau banyak lapisan (layer).</t>
  </si>
  <si>
    <t xml:space="preserve">Penilaian awal; belum dicocokkan dengan syarat sistem aplikasinya</t>
  </si>
  <si>
    <t xml:space="preserve">Grafis bawaan generasi baru (tingkat 2) membantu mempercepat tampilan dan filter. Grafis paling dasar (tingkat 1) tetap bisa dipakai, tetapi lebih lambat.</t>
  </si>
  <si>
    <t xml:space="preserve">Aplikasi desain memakai banyak RAM, apalagi untuk berkas besar. 8 GB cukup untuk belajar dan berkas kecil; 16 GB lebih nyaman.</t>
  </si>
  <si>
    <t xml:space="preserve">Berkas desain, foto, dan video cepat memenuhi penyimpanan. 512 GB lebih lega.</t>
  </si>
  <si>
    <t xml:space="preserve">Jenis layar dipakai sebagai perkiraan kasar mutu warna, karena cakupan warna (sRGB atau DCI-P3) belum dicatat. TN dan VA umumnya kalah dalam ketepatan warna, IPS cukup, OLED umumnya mencakup warna lebih luas. Nanti diganti dengan data cakupan warna.</t>
  </si>
  <si>
    <t xml:space="preserve">Tidak dinilai: refresh rate tidak menentukan untuk desain.</t>
  </si>
  <si>
    <t xml:space="preserve">Kompilasi dan alat pengembang lebih cepat di tingkat 3. Tingkat 2 masih bisa untuk proyek kuliah, tetapi lebih lama saat proyek besar.</t>
  </si>
  <si>
    <t xml:space="preserve">Tidak dinilai: pemrograman umum tidak bergantung pada kartu grafis. Pekerjaan khusus seperti pembelajaran mesin (machine learning) yang butuh GPU belum dinilai.</t>
  </si>
  <si>
    <t xml:space="preserve">Editor kode, browser, dan server lokal masih muat di 8 GB. Docker, mesin virtual, atau Android Studio terasa lebih lega di 16 GB.</t>
  </si>
  <si>
    <t xml:space="preserve">Alat pengembang, repositori, dan image Docker cepat memakan ruang. 512 GB lebih lega.</t>
  </si>
  <si>
    <t xml:space="preserve">Tidak dinilai: jenis layar tidak menentukan untuk pemrograman.</t>
  </si>
  <si>
    <t xml:space="preserve">Tidak dinilai: refresh rate tidak menentukan untuk pemrograman.</t>
  </si>
  <si>
    <t xml:space="preserve">Game, bahkan yang ringan, butuh prosesor lebih kuat daripada untuk dokumen. Prosesor tingkat 1 (dua inti, sangat hemat daya) cenderung tersendat.</t>
  </si>
  <si>
    <t xml:space="preserve">Syarat minimum Valorant memakai grafis setara Intel HD 3000, jadi grafis bawaan paling dasar masih bisa untuk game sangat ringan di pengaturan rendah. Grafis bawaan generasi baru (tingkat 2) memberi ruang lebih.</t>
  </si>
  <si>
    <t xml:space="preserve">Batas minimal: persyaratan Valorant yang dikutip Shacknews (2020); cek ulang di situs Riot. Batas nyaman: penilaian awal.</t>
  </si>
  <si>
    <t xml:space="preserve">Valorant meminta 4 GB. Karena Windows dan browser juga memakai RAM, 8 GB lebih nyaman.</t>
  </si>
  <si>
    <t xml:space="preserve">Game ringan tidak besar, tetapi beberapa judul cepat memenuhi 128 GB bersama Windows dan aplikasi lain.</t>
  </si>
  <si>
    <t xml:space="preserve">Tidak dinilai: jenis layar tidak menentukan untuk game ringan.</t>
  </si>
  <si>
    <t xml:space="preserve">Tidak dinilai: refresh rate tidak menentukan untuk game ringan.</t>
  </si>
  <si>
    <t xml:space="preserve">Game baru menuntut prosesor yang kuat. Tingkat 3 cukup menemani kartu grafis kelas pemula; tingkat 4 (kelas performa) memberi ruang lebih.</t>
  </si>
  <si>
    <t xml:space="preserve">Game baru butuh kartu grafis terpisah. Tingkat 3 cukup untuk pengaturan sedang; tingkat 4 untuk pengaturan tinggi.</t>
  </si>
  <si>
    <t xml:space="preserve">Contoh: Baldur's Gate 3 meminta minimal 8 GB dan menyarankan 16 GB.</t>
  </si>
  <si>
    <t xml:space="preserve">Persyaratan Baldur's Gate 3 (Trusted Reviews).</t>
  </si>
  <si>
    <t xml:space="preserve">Satu game baru bisa memakan puluhan sampai ratusan GB (Baldur's Gate 3 meminta 150 GB). 512 GB cepat penuh; 1000 GB (1 TB) lebih lega.</t>
  </si>
  <si>
    <t xml:space="preserve">Contoh Baldur's Gate 3 (Trusted Reviews). Angka 512 dan 1000: penilaian awal.</t>
  </si>
  <si>
    <t xml:space="preserve">Tidak dinilai: jenis layar tidak menentukan untuk game berat.</t>
  </si>
  <si>
    <t xml:space="preserve">Layar 60 Hz cukup untuk bermain; 120 Hz atau lebih membuat gerakan terasa lebih halus.</t>
  </si>
  <si>
    <t xml:space="preserve">4. Peringkat jenis layar</t>
  </si>
  <si>
    <t xml:space="preserve">Jenis panel</t>
  </si>
  <si>
    <t xml:space="preserve">Peringkat</t>
  </si>
  <si>
    <t xml:space="preserve">Catatan</t>
  </si>
  <si>
    <t xml:space="preserve">Murah; warna cenderung pucat dan sudut pandang sempit.</t>
  </si>
  <si>
    <t xml:space="preserve">VA</t>
  </si>
  <si>
    <t xml:space="preserve">Kontras bagus, tetapi warna dan kecerahan bergeser bila dilihat dari samping.</t>
  </si>
  <si>
    <t xml:space="preserve">Warna dan sudut pandang baik; mutunya tetap berbeda-beda antarlaptop.</t>
  </si>
  <si>
    <t xml:space="preserve">Warna pekat dan kontras tinggi; umumnya mencakup warna lebih luas.</t>
  </si>
  <si>
    <t xml:space="preserve">Peringkat ini kasar. Cakupan warna (sRGB atau DCI-P3) belum dicatat; nanti peringkat diganti dengan data itu. Jenis panel yang tidak ada di daftar ini (misalnya unknown) dianggap Belum ada data.</t>
  </si>
  <si>
    <t xml:space="preserve">5. Peringatan umum (tidak mengubah hasil kecocokan)</t>
  </si>
  <si>
    <t xml:space="preserve">Kode</t>
  </si>
  <si>
    <t xml:space="preserve">Muncul bila</t>
  </si>
  <si>
    <t xml:space="preserve">Teks peringatan</t>
  </si>
  <si>
    <t xml:space="preserve">P1</t>
  </si>
  <si>
    <t xml:space="preserve">Sistem operasi bawaan Windows 10.</t>
  </si>
  <si>
    <t xml:space="preserve">Memakai Windows 10: dukungan resmi Microsoft sudah berakhir pada 14 Oktober 2025. Siapkan naik ke Windows 11.</t>
  </si>
  <si>
    <t xml:space="preserve">P2</t>
  </si>
  <si>
    <t xml:space="preserve">Prosesor tidak resmi mendukung Windows 11 (kolom Windows 11 resmi? di tab Varian bernilai tidak).</t>
  </si>
  <si>
    <t xml:space="preserve">Prosesor tidak resmi mendukung Windows 11, sehingga sulit naik ke versi Windows yang lebih baru.</t>
  </si>
  <si>
    <t xml:space="preserve">P3</t>
  </si>
  <si>
    <t xml:space="preserve">Info upgrade belum terverifikasi atau tidak diketahui.</t>
  </si>
  <si>
    <t xml:space="preserve">Info RAM dan penyimpanan (bisa diganti atau tidak) belum terverifikasi. Periksa lagi sebelum membeli.</t>
  </si>
  <si>
    <t xml:space="preserve">P4</t>
  </si>
  <si>
    <t xml:space="preserve">Resolusi layar 1366x768.</t>
  </si>
  <si>
    <t xml:space="preserve">Layar beresolusi rendah (1366x768): ruang kerja sempit dan tulisan kurang tajam.</t>
  </si>
  <si>
    <t xml:space="preserve">P5</t>
  </si>
  <si>
    <t xml:space="preserve">Jenis panel layar TN.</t>
  </si>
  <si>
    <t xml:space="preserve">Panel TN: warna cenderung pucat dan sudut pandang sempit.</t>
  </si>
  <si>
    <t xml:space="preserve">P6</t>
  </si>
  <si>
    <t xml:space="preserve">RAM menempel (disolder) dan ukurannya 8 GB atau kurang.</t>
  </si>
  <si>
    <t xml:space="preserve">RAM menempel di papan utama dan tidak bisa ditambah, padahal ukurannya kecil (8 GB atau kurang).</t>
  </si>
  <si>
    <t xml:space="preserve">Teks boleh diubah. Syarat munculnya tertulis di rumus tab Perhitungan (kolom Peringatan), jadi mengubah syarat berarti mengubah rumus.</t>
  </si>
  <si>
    <t xml:space="preserve">6. Arti tingkat 1-5 untuk prosesor dan kartu grafis</t>
  </si>
  <si>
    <t xml:space="preserve">Tingkat</t>
  </si>
  <si>
    <t xml:space="preserve">Prosesor (CPU)</t>
  </si>
  <si>
    <t xml:space="preserve">Kartu grafis (GPU)</t>
  </si>
  <si>
    <t xml:space="preserve">Dokumen dan internet ringan. Terasa lambat bila banyak tab atau aplikasi dibuka.</t>
  </si>
  <si>
    <t xml:space="preserve">Tampilan, dokumen, dan video biasa (grafis bawaan paling dasar).</t>
  </si>
  <si>
    <t xml:space="preserve">Kuliah dan kantor cukup lancar (contoh: Core i5 generasi ke-8, empat inti).</t>
  </si>
  <si>
    <t xml:space="preserve">Video, desain ringan, dan game ringan (grafis bawaan generasi baru).</t>
  </si>
  <si>
    <t xml:space="preserve">Kuliah, kantor, dan banyak aplikasi sekaligus dengan lega; pemrograman umum dan edit ringan.</t>
  </si>
  <si>
    <t xml:space="preserve">Game populer pada pengaturan sedang (kartu grafis terpisah kelas pemula).</t>
  </si>
  <si>
    <t xml:space="preserve">Kerja berat sesekali: kompilasi besar, edit video menengah (umumnya prosesor kelas performa).</t>
  </si>
  <si>
    <t xml:space="preserve">Game baru pada pengaturan tinggi (kartu grafis terpisah kelas menengah).</t>
  </si>
  <si>
    <t xml:space="preserve">Kerja berat terus-menerus: render, simulasi, game kelas atas.</t>
  </si>
  <si>
    <t xml:space="preserve">Game dan render berat (kartu grafis terpisah kelas atas).</t>
  </si>
  <si>
    <t xml:space="preserve">Tingkat tiap prosesor dan kartu grafis diisi di tab CPU dan GPU. Itu penilaian kita sendiri, bukan skor resmi.</t>
  </si>
  <si>
    <t xml:space="preserve">7. Yang belum dinilai</t>
  </si>
  <si>
    <t xml:space="preserve">Hal</t>
  </si>
  <si>
    <t xml:space="preserve">Keterangan</t>
  </si>
  <si>
    <t xml:space="preserve">Mutu warna layar</t>
  </si>
  <si>
    <t xml:space="preserve">Cakupan sRGB dan DCI-P3 belum dicatat di tab Varian. Sementara ini dipakai jenis panel sebagai perkiraan kasar.</t>
  </si>
  <si>
    <t xml:space="preserve">Resolusi, kecerahan, dan ukuran layar</t>
  </si>
  <si>
    <t xml:space="preserve">Belum ada aturan. Resolusi rendah (1366x768) baru muncul sebagai peringatan.</t>
  </si>
  <si>
    <t xml:space="preserve">Bobot, baterai, dan kualitas keyboard</t>
  </si>
  <si>
    <t xml:space="preserve">Datanya sebagian ada di tab Varian, tetapi belum ada aturan per kebutuhan.</t>
  </si>
  <si>
    <t xml:space="preserve">Harga dan nilai uang</t>
  </si>
  <si>
    <t xml:space="preserve">Harga bertanggal ada di tab Harga, tetapi aturan wajar atau mahal belum disusun.</t>
  </si>
  <si>
    <t xml:space="preserve">Kondisi laptop bekas</t>
  </si>
  <si>
    <t xml:space="preserve">Baterai, engsel, dan bodi laptop bekas butuh panduan tersendiri (rencana tahap panduan bekas).</t>
  </si>
  <si>
    <t xml:space="preserve">Kebutuhan khusus</t>
  </si>
  <si>
    <t xml:space="preserve">Pembelajaran mesin yang butuh GPU NVIDIA, simulasi teknik, dan edit video 4K belum dibuat sebagai kebutuhan sendiri.</t>
  </si>
  <si>
    <t xml:space="preserve">Perhitungan: satu baris untuk satu pasangan varian dan kebutuhan</t>
  </si>
  <si>
    <t xml:space="preserve">Semuanya rumus dari tab Varian, CPU, GPU, dan Aturan, jadi tidak ada yang diketik di sini. Dipakai untuk menelusuri bagaimana tiap hasil didapat. Tiap varian memakai lima baris berurutan (satu per kebutuhan).</t>
  </si>
  <si>
    <t xml:space="preserve">Pasangan yang dihitung</t>
  </si>
  <si>
    <t xml:space="preserve">Nilai dari tab Varian</t>
  </si>
  <si>
    <t xml:space="preserve">Info upgrade</t>
  </si>
  <si>
    <t xml:space="preserve">Hasil</t>
  </si>
  <si>
    <t xml:space="preserve">Kalimat alasan per kriteria</t>
  </si>
  <si>
    <t xml:space="preserve">Alasan</t>
  </si>
  <si>
    <t xml:space="preserve">Peringatan umum (baris pertama tiap varian)</t>
  </si>
  <si>
    <t xml:space="preserve">Varian
id_varian</t>
  </si>
  <si>
    <t xml:space="preserve">Kebutuhan
kebutuhan</t>
  </si>
  <si>
    <t xml:space="preserve">Prosesor · tingkat
cpu_tier</t>
  </si>
  <si>
    <t xml:space="preserve">Grafis · tingkat
gpu_tier</t>
  </si>
  <si>
    <t xml:space="preserve">RAM (GB)
ram_gb</t>
  </si>
  <si>
    <t xml:space="preserve">Penyimpanan (GB)
st_gb</t>
  </si>
  <si>
    <t xml:space="preserve">Layar · peringkat
layar_rank</t>
  </si>
  <si>
    <t xml:space="preserve">Refresh (Hz)
refresh_hz</t>
  </si>
  <si>
    <t xml:space="preserve">Catatan upgrade RAM
catatan_ram</t>
  </si>
  <si>
    <t xml:space="preserve">Catatan upgrade penyimpanan
catatan_st</t>
  </si>
  <si>
    <t xml:space="preserve">Status · prosesor
status_cpu</t>
  </si>
  <si>
    <t xml:space="preserve">Status · grafis
status_gpu</t>
  </si>
  <si>
    <t xml:space="preserve">Status · RAM
status_ram</t>
  </si>
  <si>
    <t xml:space="preserve">Status · penyimpanan
status_st</t>
  </si>
  <si>
    <t xml:space="preserve">Status · layar
status_layar</t>
  </si>
  <si>
    <t xml:space="preserve">Status · refresh
status_refresh</t>
  </si>
  <si>
    <t xml:space="preserve">Hasil
hasil</t>
  </si>
  <si>
    <t xml:space="preserve">Kalimat · prosesor
kal_cpu</t>
  </si>
  <si>
    <t xml:space="preserve">Kalimat · grafis
kal_gpu</t>
  </si>
  <si>
    <t xml:space="preserve">Kalimat · RAM
kal_ram</t>
  </si>
  <si>
    <t xml:space="preserve">Kalimat · penyimpanan
kal_st</t>
  </si>
  <si>
    <t xml:space="preserve">Kalimat · layar
kal_layar</t>
  </si>
  <si>
    <t xml:space="preserve">Kalimat · refresh
kal_refresh</t>
  </si>
  <si>
    <t xml:space="preserve">Daftar masalah (mentah)
masalah</t>
  </si>
  <si>
    <t xml:space="preserve">Daftar yang nyaman (mentah)
nyaman</t>
  </si>
  <si>
    <t xml:space="preserve">Alasan
alasan</t>
  </si>
  <si>
    <t xml:space="preserve">Peringatan (mentah)
peringatan_mentah</t>
  </si>
  <si>
    <t xml:space="preserve">Peringatan
peringatan</t>
  </si>
  <si>
    <t xml:space="preserve">Jumlah peringatan
peringatan_jml</t>
  </si>
  <si>
    <t xml:space="preserve">Hasil: kecocokan tiap varian untuk lima kebutuhan</t>
  </si>
  <si>
    <t xml:space="preserve">Hasil percobaan aturan awal pada data yang ada. Pilih satu varian untuk membaca alasannya. Angka batas ada di tab Aturan; langkah hitungnya di tab Perhitungan.</t>
  </si>
  <si>
    <t xml:space="preserve">Pilih varian</t>
  </si>
  <si>
    <t xml:space="preserve">No. urut (otomatis)</t>
  </si>
  <si>
    <t xml:space="preserve">Laptop</t>
  </si>
  <si>
    <t xml:space="preserve">Peringatan umum</t>
  </si>
  <si>
    <t xml:space="preserve">Semua varian sekaligus</t>
  </si>
  <si>
    <t xml:space="preserve">Arti warna:</t>
  </si>
  <si>
    <t xml:space="preserve">Varian</t>
  </si>
  <si>
    <t xml:space="preserve">Ringkasan</t>
  </si>
  <si>
    <t xml:space="preserve">Jumlah peringatan</t>
  </si>
  <si>
    <t xml:space="preserve">Status model</t>
  </si>
  <si>
    <t xml:space="preserve">Status penjualan varian</t>
  </si>
  <si>
    <t xml:space="preserve">Pasar</t>
  </si>
  <si>
    <t xml:space="preserve">ya / tidak / unknown</t>
  </si>
  <si>
    <t xml:space="preserve">Peran laptop</t>
  </si>
  <si>
    <t xml:space="preserve">Bahan bodi</t>
  </si>
  <si>
    <t xml:space="preserve">Jenis panel layar</t>
  </si>
  <si>
    <t xml:space="preserve">Resolusi layar</t>
  </si>
  <si>
    <t xml:space="preserve">Webcam</t>
  </si>
  <si>
    <t xml:space="preserve">Wi-Fi</t>
  </si>
  <si>
    <t xml:space="preserve">Kemampuan USB-C</t>
  </si>
  <si>
    <t xml:space="preserve">Versi HDMI</t>
  </si>
  <si>
    <t xml:space="preserve">Tipe RAM</t>
  </si>
  <si>
    <t xml:space="preserve">Channel RAM</t>
  </si>
  <si>
    <t xml:space="preserve">Letak RAM</t>
  </si>
  <si>
    <t xml:space="preserve">Tipe penyimpanan</t>
  </si>
  <si>
    <t xml:space="preserve">Bentuk penyimpanan</t>
  </si>
  <si>
    <t xml:space="preserve">Status verifikasi</t>
  </si>
  <si>
    <t xml:space="preserve">Sistem operasi</t>
  </si>
  <si>
    <t xml:space="preserve">Edisi OS</t>
  </si>
  <si>
    <t xml:space="preserve">Office bawaan</t>
  </si>
  <si>
    <t xml:space="preserve">Jenis garansi</t>
  </si>
  <si>
    <t xml:space="preserve">Kondisi</t>
  </si>
  <si>
    <t xml:space="preserve">Jenis sumber harga</t>
  </si>
  <si>
    <t xml:space="preserve">Kelas daya CPU</t>
  </si>
  <si>
    <t xml:space="preserve">Jenis GPU</t>
  </si>
  <si>
    <t xml:space="preserve">Tingkat (1-5)</t>
  </si>
  <si>
    <t xml:space="preserve">Produsen CPU</t>
  </si>
  <si>
    <t xml:space="preserve">Produsen GPU</t>
  </si>
  <si>
    <t xml:space="preserve">Wi-Fi 4</t>
  </si>
  <si>
    <t xml:space="preserve">DDR3</t>
  </si>
  <si>
    <t xml:space="preserve">dihentikan</t>
  </si>
  <si>
    <t xml:space="preserve">Impor/paralel</t>
  </si>
  <si>
    <t xml:space="preserve">DDR3L</t>
  </si>
  <si>
    <t xml:space="preserve">Distributor</t>
  </si>
  <si>
    <t xml:space="preserve">HDMI 2.0</t>
  </si>
  <si>
    <t xml:space="preserve">hdd</t>
  </si>
  <si>
    <t xml:space="preserve">M.2 2230</t>
  </si>
  <si>
    <t xml:space="preserve">tidak diketahui</t>
  </si>
  <si>
    <t xml:space="preserve">Tanpa OS (FreeDOS)</t>
  </si>
  <si>
    <t xml:space="preserve">toko_bekas</t>
  </si>
  <si>
    <t xml:space="preserve">2560x1440</t>
  </si>
  <si>
    <t xml:space="preserve">2,5 inci</t>
  </si>
  <si>
    <t xml:space="preserve">Linux</t>
  </si>
  <si>
    <t xml:space="preserve">S mode</t>
  </si>
  <si>
    <t xml:space="preserve">Internasional</t>
  </si>
  <si>
    <t xml:space="preserve">perorangan</t>
  </si>
  <si>
    <t xml:space="preserve">eMMC (disolder)</t>
  </si>
  <si>
    <t xml:space="preserve">Education</t>
  </si>
  <si>
    <t xml:space="preserve">Tanpa garansi</t>
  </si>
  <si>
    <t xml:space="preserve">LPDDR4</t>
  </si>
  <si>
    <t xml:space="preserve">3840x2160</t>
  </si>
</sst>
</file>

<file path=xl/styles.xml><?xml version="1.0" encoding="utf-8"?>
<styleSheet xmlns="http://schemas.openxmlformats.org/spreadsheetml/2006/main">
  <numFmts count="7">
    <numFmt numFmtId="164" formatCode="General"/>
    <numFmt numFmtId="165" formatCode="yyyy\-mm\-dd"/>
    <numFmt numFmtId="166" formatCode="0"/>
    <numFmt numFmtId="167" formatCode="&quot;Rp&quot;#,##0"/>
    <numFmt numFmtId="168" formatCode="0.0"/>
    <numFmt numFmtId="169" formatCode="General"/>
    <numFmt numFmtId="170" formatCode="0&quot; peringatan&quot;"/>
  </numFmts>
  <fonts count="21">
    <font>
      <sz val="10"/>
      <name val="Arial"/>
      <family val="2"/>
      <charset val="1"/>
    </font>
    <font>
      <sz val="10"/>
      <name val="Arial"/>
      <family val="0"/>
    </font>
    <font>
      <sz val="10"/>
      <name val="Arial"/>
      <family val="0"/>
    </font>
    <font>
      <sz val="10"/>
      <name val="Arial"/>
      <family val="0"/>
    </font>
    <font>
      <b val="true"/>
      <sz val="14"/>
      <color rgb="FF1F3864"/>
      <name val="Arial"/>
      <family val="0"/>
      <charset val="1"/>
    </font>
    <font>
      <b val="true"/>
      <sz val="10"/>
      <color rgb="FFFFFFFF"/>
      <name val="Arial"/>
      <family val="0"/>
      <charset val="1"/>
    </font>
    <font>
      <b val="true"/>
      <sz val="10"/>
      <color rgb="FF000000"/>
      <name val="Arial"/>
      <family val="0"/>
      <charset val="1"/>
    </font>
    <font>
      <sz val="10"/>
      <color rgb="FF000000"/>
      <name val="Arial"/>
      <family val="0"/>
      <charset val="1"/>
    </font>
    <font>
      <b val="true"/>
      <i val="true"/>
      <sz val="10"/>
      <color rgb="FF7F7F7F"/>
      <name val="Arial"/>
      <family val="0"/>
      <charset val="1"/>
    </font>
    <font>
      <sz val="10"/>
      <color rgb="FF404040"/>
      <name val="Arial"/>
      <family val="0"/>
      <charset val="1"/>
    </font>
    <font>
      <i val="true"/>
      <sz val="10"/>
      <color rgb="FF7F7F7F"/>
      <name val="Arial"/>
      <family val="0"/>
      <charset val="1"/>
    </font>
    <font>
      <u val="single"/>
      <sz val="10"/>
      <color rgb="FF0563C1"/>
      <name val="Arial"/>
      <family val="0"/>
      <charset val="1"/>
    </font>
    <font>
      <sz val="10"/>
      <name val="Arial"/>
      <family val="2"/>
    </font>
    <font>
      <b val="true"/>
      <sz val="11"/>
      <color rgb="FF1F3864"/>
      <name val="Arial"/>
      <family val="0"/>
      <charset val="1"/>
    </font>
    <font>
      <i val="true"/>
      <sz val="10"/>
      <color rgb="FF595959"/>
      <name val="Arial"/>
      <family val="0"/>
      <charset val="1"/>
    </font>
    <font>
      <sz val="10"/>
      <color rgb="FF7F7F7F"/>
      <name val="Arial"/>
      <family val="0"/>
      <charset val="1"/>
    </font>
    <font>
      <sz val="10"/>
      <color rgb="FF595959"/>
      <name val="Arial"/>
      <family val="0"/>
      <charset val="1"/>
    </font>
    <font>
      <b val="true"/>
      <sz val="10"/>
      <color rgb="FF006100"/>
      <name val="Arial"/>
      <family val="0"/>
      <charset val="1"/>
    </font>
    <font>
      <b val="true"/>
      <sz val="10"/>
      <color rgb="FF7F6000"/>
      <name val="Arial"/>
      <family val="0"/>
      <charset val="1"/>
    </font>
    <font>
      <b val="true"/>
      <sz val="10"/>
      <color rgb="FF1F3864"/>
      <name val="Arial"/>
      <family val="0"/>
      <charset val="1"/>
    </font>
    <font>
      <b val="true"/>
      <sz val="10"/>
      <color rgb="FF9C0006"/>
      <name val="Arial"/>
      <family val="0"/>
      <charset val="1"/>
    </font>
  </fonts>
  <fills count="21">
    <fill>
      <patternFill patternType="none"/>
    </fill>
    <fill>
      <patternFill patternType="gray125"/>
    </fill>
    <fill>
      <patternFill patternType="solid">
        <fgColor rgb="FF1F3864"/>
        <bgColor rgb="FF404040"/>
      </patternFill>
    </fill>
    <fill>
      <patternFill patternType="solid">
        <fgColor rgb="FFFFF2CC"/>
        <bgColor rgb="FFF2F2F2"/>
      </patternFill>
    </fill>
    <fill>
      <patternFill patternType="solid">
        <fgColor rgb="FFE7E6E6"/>
        <bgColor rgb="FFEDEDED"/>
      </patternFill>
    </fill>
    <fill>
      <patternFill patternType="solid">
        <fgColor rgb="FFF2F2F2"/>
        <bgColor rgb="FFEDEDED"/>
      </patternFill>
    </fill>
    <fill>
      <patternFill patternType="solid">
        <fgColor rgb="FF2E75B6"/>
        <bgColor rgb="FF1B7F79"/>
      </patternFill>
    </fill>
    <fill>
      <patternFill patternType="solid">
        <fgColor rgb="FFC55A11"/>
        <bgColor rgb="FF7F6000"/>
      </patternFill>
    </fill>
    <fill>
      <patternFill patternType="solid">
        <fgColor rgb="FF833C0B"/>
        <bgColor rgb="FF7F6000"/>
      </patternFill>
    </fill>
    <fill>
      <patternFill patternType="solid">
        <fgColor rgb="FF404040"/>
        <bgColor rgb="FF44546A"/>
      </patternFill>
    </fill>
    <fill>
      <patternFill patternType="solid">
        <fgColor rgb="FF548235"/>
        <bgColor rgb="FF595959"/>
      </patternFill>
    </fill>
    <fill>
      <patternFill patternType="solid">
        <fgColor rgb="FF7030A0"/>
        <bgColor rgb="FFA23E6F"/>
      </patternFill>
    </fill>
    <fill>
      <patternFill patternType="solid">
        <fgColor rgb="FF1B7F79"/>
        <bgColor rgb="FF008B8B"/>
      </patternFill>
    </fill>
    <fill>
      <patternFill patternType="solid">
        <fgColor rgb="FFA23E6F"/>
        <bgColor rgb="FF7030A0"/>
      </patternFill>
    </fill>
    <fill>
      <patternFill patternType="solid">
        <fgColor rgb="FF7F6000"/>
        <bgColor rgb="FF833C0B"/>
      </patternFill>
    </fill>
    <fill>
      <patternFill patternType="solid">
        <fgColor rgb="FF44546A"/>
        <bgColor rgb="FF595959"/>
      </patternFill>
    </fill>
    <fill>
      <patternFill patternType="solid">
        <fgColor rgb="FF7F7F7F"/>
        <bgColor rgb="FF8497B0"/>
      </patternFill>
    </fill>
    <fill>
      <patternFill patternType="solid">
        <fgColor rgb="FFDDEBF7"/>
        <bgColor rgb="FFE7E6E6"/>
      </patternFill>
    </fill>
    <fill>
      <patternFill patternType="solid">
        <fgColor rgb="FFC6EFCE"/>
        <bgColor rgb="FFDDEBF7"/>
      </patternFill>
    </fill>
    <fill>
      <patternFill patternType="solid">
        <fgColor rgb="FFFFEB9C"/>
        <bgColor rgb="FFFFF2CC"/>
      </patternFill>
    </fill>
    <fill>
      <patternFill patternType="solid">
        <fgColor rgb="FFFFC7CE"/>
        <bgColor rgb="FFE7E6E6"/>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center" vertical="top" textRotation="0" wrapText="false" indent="0" shrinkToFit="false"/>
      <protection locked="true" hidden="false"/>
    </xf>
    <xf numFmtId="164" fontId="8" fillId="5" borderId="1" xfId="0" applyFont="true" applyBorder="true" applyAlignment="true" applyProtection="false">
      <alignment horizontal="center" vertical="top"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true" applyProtection="false">
      <alignment horizontal="left"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top" textRotation="0" wrapText="tru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left" vertical="top" textRotation="0" wrapText="true" indent="0" shrinkToFit="false"/>
      <protection locked="true" hidden="false"/>
    </xf>
    <xf numFmtId="164" fontId="11" fillId="3" borderId="1" xfId="0" applyFont="true" applyBorder="true" applyAlignment="true" applyProtection="false">
      <alignment horizontal="left"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12" borderId="1" xfId="0" applyFont="true" applyBorder="true" applyAlignment="true" applyProtection="false">
      <alignment horizontal="center" vertical="center" textRotation="0" wrapText="true" indent="0" shrinkToFit="false"/>
      <protection locked="true" hidden="false"/>
    </xf>
    <xf numFmtId="164" fontId="5" fillId="13" borderId="1" xfId="0" applyFont="true" applyBorder="true" applyAlignment="true" applyProtection="false">
      <alignment horizontal="center" vertical="center" textRotation="0" wrapText="true" indent="0" shrinkToFit="false"/>
      <protection locked="true" hidden="false"/>
    </xf>
    <xf numFmtId="164" fontId="5" fillId="14" borderId="1" xfId="0" applyFont="true" applyBorder="true" applyAlignment="true" applyProtection="false">
      <alignment horizontal="center" vertical="center" textRotation="0" wrapText="true" indent="0" shrinkToFit="false"/>
      <protection locked="true" hidden="false"/>
    </xf>
    <xf numFmtId="164" fontId="5" fillId="15" borderId="1" xfId="0" applyFont="true" applyBorder="true" applyAlignment="true" applyProtection="false">
      <alignment horizontal="center" vertical="center" textRotation="0" wrapText="true" indent="0" shrinkToFit="false"/>
      <protection locked="true" hidden="false"/>
    </xf>
    <xf numFmtId="164" fontId="5" fillId="16" borderId="1" xfId="0" applyFont="true" applyBorder="true" applyAlignment="true" applyProtection="false">
      <alignment horizontal="center" vertical="center"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7" fontId="10" fillId="5" borderId="1" xfId="0" applyFont="true" applyBorder="true" applyAlignment="true" applyProtection="false">
      <alignment horizontal="right" vertical="center" textRotation="0" wrapText="false" indent="0" shrinkToFit="false"/>
      <protection locked="true" hidden="false"/>
    </xf>
    <xf numFmtId="167" fontId="10" fillId="5" borderId="1" xfId="0" applyFont="true" applyBorder="true" applyAlignment="true" applyProtection="false">
      <alignment horizontal="left" vertical="center" textRotation="0" wrapText="false" indent="0" shrinkToFit="false"/>
      <protection locked="true" hidden="false"/>
    </xf>
    <xf numFmtId="167" fontId="7" fillId="3" borderId="1" xfId="0" applyFont="true" applyBorder="true" applyAlignment="true" applyProtection="false">
      <alignment horizontal="right" vertical="center" textRotation="0" wrapText="false" indent="0" shrinkToFit="false"/>
      <protection locked="true" hidden="false"/>
    </xf>
    <xf numFmtId="167" fontId="7" fillId="4" borderId="1" xfId="0" applyFont="true" applyBorder="true" applyAlignment="true" applyProtection="false">
      <alignment horizontal="left" vertical="center" textRotation="0" wrapText="false" indent="0" shrinkToFit="false"/>
      <protection locked="true" hidden="false"/>
    </xf>
    <xf numFmtId="164" fontId="11" fillId="3" borderId="1" xfId="0" applyFont="true" applyBorder="true" applyAlignment="true" applyProtection="false">
      <alignment horizontal="left" vertical="top" textRotation="0" wrapText="true" indent="0"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5" fillId="9"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3" fillId="17" borderId="0" xfId="0" applyFont="true" applyBorder="false" applyAlignment="true" applyProtection="false">
      <alignment horizontal="left" vertical="center" textRotation="0" wrapText="false" indent="0" shrinkToFit="false"/>
      <protection locked="true" hidden="false"/>
    </xf>
    <xf numFmtId="164" fontId="7" fillId="17" borderId="0" xfId="0" applyFont="true" applyBorder="fals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4" fillId="0" borderId="0" xfId="0" applyFont="true" applyBorder="true" applyAlignment="true" applyProtection="false">
      <alignment horizontal="left" vertical="top" textRotation="0" wrapText="true" indent="0" shrinkToFit="false"/>
      <protection locked="true" hidden="false"/>
    </xf>
    <xf numFmtId="164" fontId="7" fillId="4"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0"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left" vertical="top" textRotation="0" wrapText="true" indent="0" shrinkToFit="false"/>
      <protection locked="true" hidden="false"/>
    </xf>
    <xf numFmtId="164" fontId="7" fillId="4" borderId="1"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5" fillId="6" borderId="1" xfId="0" applyFont="true" applyBorder="true" applyAlignment="true" applyProtection="false">
      <alignment horizontal="center" vertical="center" textRotation="0" wrapText="false" indent="0" shrinkToFit="false"/>
      <protection locked="true" hidden="false"/>
    </xf>
    <xf numFmtId="164" fontId="5" fillId="10" borderId="1" xfId="0" applyFont="true" applyBorder="true" applyAlignment="true" applyProtection="false">
      <alignment horizontal="center" vertical="center" textRotation="0" wrapText="false" indent="0" shrinkToFit="false"/>
      <protection locked="true" hidden="false"/>
    </xf>
    <xf numFmtId="164" fontId="5" fillId="16" borderId="1" xfId="0" applyFont="true" applyBorder="true" applyAlignment="true" applyProtection="false">
      <alignment horizontal="center" vertical="center" textRotation="0" wrapText="false" indent="0" shrinkToFit="false"/>
      <protection locked="true" hidden="false"/>
    </xf>
    <xf numFmtId="164" fontId="5" fillId="7" borderId="1" xfId="0" applyFont="true" applyBorder="true" applyAlignment="true" applyProtection="false">
      <alignment horizontal="center" vertical="center" textRotation="0" wrapText="false" indent="0" shrinkToFit="false"/>
      <protection locked="true" hidden="false"/>
    </xf>
    <xf numFmtId="164" fontId="7" fillId="4" borderId="2" xfId="0" applyFont="true" applyBorder="true" applyAlignment="true" applyProtection="false">
      <alignment horizontal="left" vertical="center" textRotation="0" wrapText="false" indent="0" shrinkToFit="false"/>
      <protection locked="true" hidden="false"/>
    </xf>
    <xf numFmtId="169" fontId="7" fillId="4" borderId="2" xfId="0" applyFont="true" applyBorder="true" applyAlignment="true" applyProtection="false">
      <alignment horizontal="center" vertical="center" textRotation="0" wrapText="false" indent="0" shrinkToFit="false"/>
      <protection locked="true" hidden="false"/>
    </xf>
    <xf numFmtId="164" fontId="7" fillId="4" borderId="2"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4" borderId="2"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6" fillId="4"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70" fontId="7" fillId="4" borderId="1" xfId="0" applyFont="true" applyBorder="true" applyAlignment="true" applyProtection="false">
      <alignment horizontal="center" vertical="top"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right" vertical="center" textRotation="0" wrapText="false" indent="0" shrinkToFit="false"/>
      <protection locked="true" hidden="false"/>
    </xf>
    <xf numFmtId="164" fontId="17" fillId="18" borderId="1" xfId="0" applyFont="true" applyBorder="true" applyAlignment="true" applyProtection="false">
      <alignment horizontal="center" vertical="center" textRotation="0" wrapText="true" indent="0" shrinkToFit="false"/>
      <protection locked="true" hidden="false"/>
    </xf>
    <xf numFmtId="164" fontId="18" fillId="19" borderId="1" xfId="0" applyFont="true" applyBorder="true" applyAlignment="true" applyProtection="false">
      <alignment horizontal="center" vertical="center" textRotation="0" wrapText="true" indent="0" shrinkToFit="false"/>
      <protection locked="true" hidden="false"/>
    </xf>
    <xf numFmtId="164" fontId="19" fillId="17" borderId="1" xfId="0" applyFont="true" applyBorder="true" applyAlignment="true" applyProtection="false">
      <alignment horizontal="center" vertical="center" textRotation="0" wrapText="true" indent="0" shrinkToFit="false"/>
      <protection locked="true" hidden="false"/>
    </xf>
    <xf numFmtId="164" fontId="20" fillId="2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F3864"/>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000000"/>
          <bgColor rgb="FF000000"/>
        </patternFill>
      </fill>
    </dxf>
    <dxf>
      <fill>
        <patternFill patternType="solid">
          <fgColor rgb="FF7F7F7F"/>
          <bgColor rgb="FF000000"/>
        </patternFill>
      </fill>
    </dxf>
    <dxf>
      <fill>
        <patternFill patternType="solid">
          <fgColor rgb="FFFFFFFF"/>
          <bgColor rgb="FF000000"/>
        </patternFill>
      </fill>
    </dxf>
    <dxf>
      <fill>
        <patternFill patternType="solid">
          <fgColor rgb="FF2E75B6"/>
          <bgColor rgb="FF000000"/>
        </patternFill>
      </fill>
    </dxf>
    <dxf>
      <fill>
        <patternFill patternType="solid">
          <fgColor rgb="FFC55A11"/>
          <bgColor rgb="FF000000"/>
        </patternFill>
      </fill>
    </dxf>
    <dxf>
      <fill>
        <patternFill patternType="solid">
          <fgColor rgb="FF833C0B"/>
          <bgColor rgb="FF000000"/>
        </patternFill>
      </fill>
    </dxf>
    <dxf>
      <fill>
        <patternFill patternType="solid">
          <fgColor rgb="FF404040"/>
          <bgColor rgb="FF000000"/>
        </patternFill>
      </fill>
    </dxf>
    <dxf>
      <fill>
        <patternFill patternType="solid">
          <fgColor rgb="FF0563C1"/>
          <bgColor rgb="FF000000"/>
        </patternFill>
      </fill>
    </dxf>
    <dxf>
      <fill>
        <patternFill patternType="solid">
          <fgColor rgb="FF548235"/>
          <bgColor rgb="FF000000"/>
        </patternFill>
      </fill>
    </dxf>
    <dxf>
      <fill>
        <patternFill patternType="solid">
          <fgColor rgb="FF7030A0"/>
          <bgColor rgb="FF000000"/>
        </patternFill>
      </fill>
    </dxf>
    <dxf>
      <fill>
        <patternFill patternType="solid">
          <fgColor rgb="FF1B7F79"/>
          <bgColor rgb="FF000000"/>
        </patternFill>
      </fill>
    </dxf>
    <dxf>
      <fill>
        <patternFill patternType="solid">
          <fgColor rgb="FFA23E6F"/>
          <bgColor rgb="FF000000"/>
        </patternFill>
      </fill>
    </dxf>
    <dxf>
      <fill>
        <patternFill patternType="solid">
          <fgColor rgb="FF7F6000"/>
          <bgColor rgb="FF000000"/>
        </patternFill>
      </fill>
    </dxf>
    <dxf>
      <fill>
        <patternFill patternType="solid">
          <fgColor rgb="FF44546A"/>
          <bgColor rgb="FF000000"/>
        </patternFill>
      </fill>
    </dxf>
    <dxf>
      <fill>
        <patternFill patternType="solid">
          <fgColor rgb="FFE7E6E6"/>
          <bgColor rgb="FF000000"/>
        </patternFill>
      </fill>
    </dxf>
    <dxf>
      <font>
        <b val="1"/>
        <color rgb="FF006100"/>
      </font>
      <fill>
        <patternFill>
          <bgColor rgb="FFC6EFCE"/>
        </patternFill>
      </fill>
    </dxf>
    <dxf>
      <font>
        <b val="1"/>
        <color rgb="FF7F6000"/>
      </font>
      <fill>
        <patternFill>
          <bgColor rgb="FFFFEB9C"/>
        </patternFill>
      </fill>
    </dxf>
    <dxf>
      <font>
        <b val="1"/>
        <color rgb="FF9C0006"/>
      </font>
      <fill>
        <patternFill>
          <bgColor rgb="FFFFC7CE"/>
        </patternFill>
      </fill>
    </dxf>
    <dxf>
      <font>
        <b val="1"/>
        <color rgb="FF1F3864"/>
      </font>
      <fill>
        <patternFill>
          <bgColor rgb="FFDDEBF7"/>
        </patternFill>
      </fill>
    </dxf>
    <dxf>
      <font>
        <b val="1"/>
        <color rgb="FF7F7F7F"/>
      </font>
      <fill>
        <patternFill>
          <bgColor rgb="FFEDEDED"/>
        </patternFill>
      </fill>
    </dxf>
    <dxf>
      <font>
        <b val="1"/>
        <color rgb="FF595959"/>
      </font>
      <fill>
        <patternFill>
          <bgColor rgb="FFEDEDED"/>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B8B"/>
      <rgbColor rgb="FFBFBFBF"/>
      <rgbColor rgb="FF7F7F7F"/>
      <rgbColor rgb="FF9999FF"/>
      <rgbColor rgb="FFA23E6F"/>
      <rgbColor rgb="FFFFF2CC"/>
      <rgbColor rgb="FFDDEBF7"/>
      <rgbColor rgb="FF660066"/>
      <rgbColor rgb="FFFF8080"/>
      <rgbColor rgb="FF0563C1"/>
      <rgbColor rgb="FFE7E6E6"/>
      <rgbColor rgb="FF000080"/>
      <rgbColor rgb="FFFF00FF"/>
      <rgbColor rgb="FFFFFF00"/>
      <rgbColor rgb="FF00FFFF"/>
      <rgbColor rgb="FF800080"/>
      <rgbColor rgb="FF800000"/>
      <rgbColor rgb="FF1B7F79"/>
      <rgbColor rgb="FF0000FF"/>
      <rgbColor rgb="FF00CCFF"/>
      <rgbColor rgb="FFF2F2F2"/>
      <rgbColor rgb="FFC6EFCE"/>
      <rgbColor rgb="FFFFEB9C"/>
      <rgbColor rgb="FFEDEDED"/>
      <rgbColor rgb="FFFF99CC"/>
      <rgbColor rgb="FFCC99FF"/>
      <rgbColor rgb="FFFFC7CE"/>
      <rgbColor rgb="FF2E75B6"/>
      <rgbColor rgb="FF33CCCC"/>
      <rgbColor rgb="FF99CC00"/>
      <rgbColor rgb="FFFFCC00"/>
      <rgbColor rgb="FFBF8F00"/>
      <rgbColor rgb="FFC55A11"/>
      <rgbColor rgb="FF595959"/>
      <rgbColor rgb="FF8497B0"/>
      <rgbColor rgb="FF1F3864"/>
      <rgbColor rgb="FF548235"/>
      <rgbColor rgb="FF003300"/>
      <rgbColor rgb="FF333300"/>
      <rgbColor rgb="FF833C0B"/>
      <rgbColor rgb="FF7030A0"/>
      <rgbColor rgb="FF44546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asus.com/laptops/for-home/vivobook/asus-vivobook-14-oled-m1405/techspec" TargetMode="External"/><Relationship Id="rId3" Type="http://schemas.openxmlformats.org/officeDocument/2006/relationships/hyperlink" Target="https://hp.com/id-id/shop/hp-pavilion-x360-2-in-1-laptop-14-ek1005tu-7n725pa.html" TargetMode="External"/><Relationship Id="rId4" Type="http://schemas.openxmlformats.org/officeDocument/2006/relationships/hyperlink" Target="https://axiooworld.com/product/compare/hype-1-intel/pongo-735" TargetMode="External"/><Relationship Id="rId5" Type="http://schemas.openxmlformats.org/officeDocument/2006/relationships/hyperlink" Target="https://psref.lenovo.com/syspool/Sys/PDF/ThinkPad/ThinkPad_T480/ThinkPad_T480_Spec.PDF" TargetMode="External"/><Relationship Id="rId6" Type="http://schemas.openxmlformats.org/officeDocument/2006/relationships/hyperlink" Target="https://www.dell.com/support/product-details/en-us/product/latitude-14-5400-laptop/resources/manuals" TargetMode="External"/><Relationship Id="rId7" Type="http://schemas.openxmlformats.org/officeDocument/2006/relationships/drawing" Target="../drawings/drawing1.xml"/><Relationship Id="rId8"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4.xml"/><Relationship Id="rId3"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poinxtra.cimbniaga.co.id/TD/29907030/Asus-Vivobook-14-Ryzen-5-7430U-16-512GB-Cool-Silver-M1405YA-VIPS555" TargetMode="External"/><Relationship Id="rId3" Type="http://schemas.openxmlformats.org/officeDocument/2006/relationships/hyperlink" Target="https://ekatalog.its.ac.id/shop/product/asus-m1405ya-vips555-non-tkdn-5972?page=3" TargetMode="External"/><Relationship Id="rId4" Type="http://schemas.openxmlformats.org/officeDocument/2006/relationships/hyperlink" Target="https://www.tokopedia.com/decacom/asus-vivobook-14-oled-m1405ya-ryzen-7-7730u-ryzen-5-7430u-16gb-512ssd-1tb-w11-ohs-1730850621135292383" TargetMode="External"/><Relationship Id="rId5" Type="http://schemas.openxmlformats.org/officeDocument/2006/relationships/hyperlink" Target="https://www.tokopedia.com/find/asus-vivobook-14-m1405ya-ryzen-5-7430u-16gb-512gb" TargetMode="External"/><Relationship Id="rId6" Type="http://schemas.openxmlformats.org/officeDocument/2006/relationships/hyperlink" Target="https://hp.com/id-id/shop/hp-pavilion-x360-2-in-1-laptop-14-ek1005tu-7n725pa.html" TargetMode="External"/><Relationship Id="rId7" Type="http://schemas.openxmlformats.org/officeDocument/2006/relationships/hyperlink" Target="https://www.tokopedia.com/find/laptop-hp-pavilion-x360-core-i5-1335u-16gb-512gb" TargetMode="External"/><Relationship Id="rId8" Type="http://schemas.openxmlformats.org/officeDocument/2006/relationships/hyperlink" Target="https://www.erablue.id/laptop/laptop-axioo-slimbook-hype-10-celeron-n4020-8gb-256gb-win11-midnight-black" TargetMode="External"/><Relationship Id="rId9" Type="http://schemas.openxmlformats.org/officeDocument/2006/relationships/hyperlink" Target="https://www.tokopedia.com/find/axioo-hype-10" TargetMode="External"/><Relationship Id="rId10" Type="http://schemas.openxmlformats.org/officeDocument/2006/relationships/hyperlink" Target="https://poinxtra.cimbniaga.co.id/TD/29772632/AXIOO-HYPE-10-N4020-8GB-256GB-W10-14-0-244C08HNR0-MIDNIGHT-BLACK" TargetMode="External"/><Relationship Id="rId11" Type="http://schemas.openxmlformats.org/officeDocument/2006/relationships/hyperlink" Target="https://www.tokopedia.com/find/axioo-hype-10" TargetMode="External"/><Relationship Id="rId12" Type="http://schemas.openxmlformats.org/officeDocument/2006/relationships/hyperlink" Target="https://www.tokopedia.com/find/thinkpad-t480-i5-8350u-8gb-256gb" TargetMode="External"/><Relationship Id="rId13" Type="http://schemas.openxmlformats.org/officeDocument/2006/relationships/hyperlink" Target="https://www.tokopedia.com/tiercom/laptop-lenovo-thinkpad-t480-intel-core-i5-gen-8th-ram-8gb-ssd-256gb-99-like-new-laptop-second-murah-berkualitas-bergaransi" TargetMode="External"/><Relationship Id="rId14" Type="http://schemas.openxmlformats.org/officeDocument/2006/relationships/hyperlink" Target="https://www.tokopedia.com/find/thinkpad-t480-i5-8350u-16gb-512gb" TargetMode="External"/><Relationship Id="rId15" Type="http://schemas.openxmlformats.org/officeDocument/2006/relationships/hyperlink" Target="https://www.tokopedia.com/find/dell-latitude-5400-i5-8265u" TargetMode="External"/><Relationship Id="rId16" Type="http://schemas.openxmlformats.org/officeDocument/2006/relationships/hyperlink" Target="https://www.tokopedia.com/find/dell-latitude-5400-i5-8365u-8gb-256gb" TargetMode="External"/><Relationship Id="rId17" Type="http://schemas.openxmlformats.org/officeDocument/2006/relationships/drawing" Target="../drawings/drawing5.xml"/><Relationship Id="rId18"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B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12"/>
  </cols>
  <sheetData>
    <row r="1" customFormat="false" ht="17.25" hidden="false" customHeight="true" outlineLevel="0" collapsed="false">
      <c r="A1" s="2" t="s">
        <v>0</v>
      </c>
    </row>
    <row r="3" customFormat="false" ht="15" hidden="false" customHeight="true" outlineLevel="0" collapsed="false">
      <c r="A3" s="3" t="s">
        <v>1</v>
      </c>
      <c r="B3" s="3"/>
    </row>
    <row r="4" customFormat="false" ht="43.5" hidden="false" customHeight="true" outlineLevel="0" collapsed="false">
      <c r="A4" s="4"/>
      <c r="B4" s="5" t="s">
        <v>2</v>
      </c>
    </row>
    <row r="6" customFormat="false" ht="15" hidden="false" customHeight="true" outlineLevel="0" collapsed="false">
      <c r="A6" s="3" t="s">
        <v>3</v>
      </c>
      <c r="B6" s="3"/>
    </row>
    <row r="7" customFormat="false" ht="16.5" hidden="false" customHeight="true" outlineLevel="0" collapsed="false">
      <c r="A7" s="4" t="n">
        <v>1</v>
      </c>
      <c r="B7" s="5" t="s">
        <v>4</v>
      </c>
    </row>
    <row r="8" customFormat="false" ht="30" hidden="false" customHeight="true" outlineLevel="0" collapsed="false">
      <c r="A8" s="4" t="n">
        <v>2</v>
      </c>
      <c r="B8" s="5" t="s">
        <v>5</v>
      </c>
    </row>
    <row r="9" customFormat="false" ht="30" hidden="false" customHeight="true" outlineLevel="0" collapsed="false">
      <c r="A9" s="4" t="n">
        <v>3</v>
      </c>
      <c r="B9" s="5" t="s">
        <v>6</v>
      </c>
    </row>
    <row r="10" customFormat="false" ht="16.5" hidden="false" customHeight="true" outlineLevel="0" collapsed="false">
      <c r="A10" s="4" t="n">
        <v>4</v>
      </c>
      <c r="B10" s="5" t="s">
        <v>7</v>
      </c>
    </row>
    <row r="11" customFormat="false" ht="30" hidden="false" customHeight="true" outlineLevel="0" collapsed="false">
      <c r="A11" s="4" t="n">
        <v>5</v>
      </c>
      <c r="B11" s="5" t="s">
        <v>8</v>
      </c>
    </row>
    <row r="13" customFormat="false" ht="15" hidden="false" customHeight="true" outlineLevel="0" collapsed="false">
      <c r="A13" s="3" t="s">
        <v>9</v>
      </c>
      <c r="B13" s="3"/>
    </row>
    <row r="14" customFormat="false" ht="16.5" hidden="false" customHeight="true" outlineLevel="0" collapsed="false">
      <c r="A14" s="6" t="s">
        <v>10</v>
      </c>
      <c r="B14" s="5" t="s">
        <v>11</v>
      </c>
    </row>
    <row r="15" customFormat="false" ht="16.5" hidden="false" customHeight="true" outlineLevel="0" collapsed="false">
      <c r="A15" s="7" t="s">
        <v>12</v>
      </c>
      <c r="B15" s="5" t="s">
        <v>13</v>
      </c>
    </row>
    <row r="16" customFormat="false" ht="16.5" hidden="false" customHeight="true" outlineLevel="0" collapsed="false">
      <c r="A16" s="8" t="s">
        <v>14</v>
      </c>
      <c r="B16" s="5" t="s">
        <v>15</v>
      </c>
    </row>
    <row r="18" customFormat="false" ht="15" hidden="false" customHeight="true" outlineLevel="0" collapsed="false">
      <c r="A18" s="3" t="s">
        <v>16</v>
      </c>
      <c r="B18" s="3"/>
    </row>
    <row r="19" customFormat="false" ht="30" hidden="false" customHeight="true" outlineLevel="0" collapsed="false">
      <c r="A19" s="4" t="n">
        <v>1</v>
      </c>
      <c r="B19" s="5" t="s">
        <v>17</v>
      </c>
    </row>
    <row r="20" customFormat="false" ht="16.5" hidden="false" customHeight="true" outlineLevel="0" collapsed="false">
      <c r="A20" s="4" t="n">
        <v>2</v>
      </c>
      <c r="B20" s="5" t="s">
        <v>18</v>
      </c>
    </row>
    <row r="21" customFormat="false" ht="30" hidden="false" customHeight="true" outlineLevel="0" collapsed="false">
      <c r="A21" s="4" t="n">
        <v>3</v>
      </c>
      <c r="B21" s="5" t="s">
        <v>19</v>
      </c>
    </row>
    <row r="22" customFormat="false" ht="16.5" hidden="false" customHeight="true" outlineLevel="0" collapsed="false">
      <c r="A22" s="4" t="n">
        <v>4</v>
      </c>
      <c r="B22" s="5" t="s">
        <v>20</v>
      </c>
    </row>
    <row r="23" customFormat="false" ht="16.5" hidden="false" customHeight="true" outlineLevel="0" collapsed="false">
      <c r="A23" s="4" t="n">
        <v>5</v>
      </c>
      <c r="B23" s="5" t="s">
        <v>21</v>
      </c>
    </row>
    <row r="24" customFormat="false" ht="16.5" hidden="false" customHeight="true" outlineLevel="0" collapsed="false">
      <c r="A24" s="4" t="n">
        <v>6</v>
      </c>
      <c r="B24" s="5" t="s">
        <v>22</v>
      </c>
    </row>
    <row r="25" customFormat="false" ht="16.5" hidden="false" customHeight="true" outlineLevel="0" collapsed="false">
      <c r="A25" s="4" t="n">
        <v>7</v>
      </c>
      <c r="B25" s="5" t="s">
        <v>23</v>
      </c>
    </row>
    <row r="27" customFormat="false" ht="15" hidden="false" customHeight="true" outlineLevel="0" collapsed="false">
      <c r="A27" s="3" t="s">
        <v>24</v>
      </c>
      <c r="B27" s="3"/>
    </row>
    <row r="28" customFormat="false" ht="30" hidden="false" customHeight="true" outlineLevel="0" collapsed="false">
      <c r="A28" s="4"/>
      <c r="B28" s="5" t="s">
        <v>25</v>
      </c>
    </row>
    <row r="30" customFormat="false" ht="15" hidden="false" customHeight="true" outlineLevel="0" collapsed="false">
      <c r="A30" s="3" t="s">
        <v>26</v>
      </c>
      <c r="B30" s="3"/>
    </row>
    <row r="31" customFormat="false" ht="30" hidden="false" customHeight="true" outlineLevel="0" collapsed="false">
      <c r="A31" s="4" t="n">
        <v>1</v>
      </c>
      <c r="B31" s="5" t="s">
        <v>27</v>
      </c>
    </row>
    <row r="32" customFormat="false" ht="30" hidden="false" customHeight="true" outlineLevel="0" collapsed="false">
      <c r="A32" s="4" t="n">
        <v>2</v>
      </c>
      <c r="B32" s="5" t="s">
        <v>28</v>
      </c>
    </row>
    <row r="33" customFormat="false" ht="16.5" hidden="false" customHeight="true" outlineLevel="0" collapsed="false">
      <c r="A33" s="4" t="n">
        <v>3</v>
      </c>
      <c r="B33" s="5" t="s">
        <v>29</v>
      </c>
    </row>
    <row r="34" customFormat="false" ht="30" hidden="false" customHeight="true" outlineLevel="0" collapsed="false">
      <c r="A34" s="4" t="n">
        <v>4</v>
      </c>
      <c r="B34" s="5"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U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2"/>
    <col collapsed="false" customWidth="true" hidden="false" outlineLevel="0" max="3" min="3" style="1" width="26"/>
    <col collapsed="false" customWidth="true" hidden="false" outlineLevel="0" max="4" min="4" style="1" width="24"/>
    <col collapsed="false" customWidth="true" hidden="false" outlineLevel="0" max="5" min="5" style="1" width="13"/>
    <col collapsed="false" customWidth="true" hidden="false" outlineLevel="0" max="6" min="6" style="1" width="14"/>
    <col collapsed="false" customWidth="true" hidden="false" outlineLevel="0" max="7" min="7" style="1" width="24"/>
    <col collapsed="false" customWidth="true" hidden="false" outlineLevel="0" max="8" min="8" style="1" width="12"/>
    <col collapsed="false" customWidth="true" hidden="false" outlineLevel="0" max="10" min="9" style="1" width="11"/>
    <col collapsed="false" customWidth="true" hidden="false" outlineLevel="0" max="11" min="11" style="1" width="20"/>
    <col collapsed="false" customWidth="true" hidden="false" outlineLevel="0" max="12" min="12" style="1" width="13"/>
    <col collapsed="false" customWidth="true" hidden="false" outlineLevel="0" max="13" min="13" style="1" width="9"/>
    <col collapsed="false" customWidth="true" hidden="false" outlineLevel="0" max="14" min="14" style="1" width="12"/>
    <col collapsed="false" customWidth="true" hidden="false" outlineLevel="0" max="15" min="15" style="1" width="10"/>
    <col collapsed="false" customWidth="true" hidden="false" outlineLevel="0" max="16" min="16" style="1" width="11"/>
    <col collapsed="false" customWidth="true" hidden="false" outlineLevel="0" max="17" min="17" style="1" width="50"/>
    <col collapsed="false" customWidth="true" hidden="false" outlineLevel="0" max="18" min="18" style="1" width="56"/>
    <col collapsed="false" customWidth="true" hidden="false" outlineLevel="0" max="19" min="19" style="1" width="40"/>
    <col collapsed="false" customWidth="true" hidden="false" outlineLevel="0" max="20" min="20" style="1" width="34"/>
    <col collapsed="false" customWidth="true" hidden="false" outlineLevel="0" max="21" min="21" style="1" width="12"/>
  </cols>
  <sheetData>
    <row r="1" customFormat="false" ht="17.25" hidden="false" customHeight="true" outlineLevel="0" collapsed="false">
      <c r="A1" s="2" t="s">
        <v>31</v>
      </c>
    </row>
    <row r="2" customFormat="false" ht="15" hidden="false" customHeight="true" outlineLevel="0" collapsed="false">
      <c r="A2" s="9" t="s">
        <v>32</v>
      </c>
    </row>
    <row r="3" customFormat="false" ht="70.5" hidden="false" customHeight="true" outlineLevel="0" collapsed="false">
      <c r="A3" s="10" t="s">
        <v>33</v>
      </c>
      <c r="B3" s="10" t="s">
        <v>34</v>
      </c>
      <c r="C3" s="10" t="s">
        <v>35</v>
      </c>
      <c r="D3" s="10" t="s">
        <v>36</v>
      </c>
      <c r="E3" s="10" t="s">
        <v>37</v>
      </c>
      <c r="F3" s="10" t="s">
        <v>38</v>
      </c>
      <c r="G3" s="11" t="s">
        <v>39</v>
      </c>
      <c r="H3" s="11" t="s">
        <v>40</v>
      </c>
      <c r="I3" s="12" t="s">
        <v>41</v>
      </c>
      <c r="J3" s="12" t="s">
        <v>42</v>
      </c>
      <c r="K3" s="12" t="s">
        <v>43</v>
      </c>
      <c r="L3" s="12" t="s">
        <v>44</v>
      </c>
      <c r="M3" s="12" t="s">
        <v>45</v>
      </c>
      <c r="N3" s="12" t="s">
        <v>46</v>
      </c>
      <c r="O3" s="12" t="s">
        <v>47</v>
      </c>
      <c r="P3" s="12" t="s">
        <v>48</v>
      </c>
      <c r="Q3" s="13" t="s">
        <v>49</v>
      </c>
      <c r="R3" s="13" t="s">
        <v>50</v>
      </c>
      <c r="S3" s="13" t="s">
        <v>51</v>
      </c>
      <c r="T3" s="14" t="s">
        <v>52</v>
      </c>
      <c r="U3" s="14" t="s">
        <v>53</v>
      </c>
    </row>
    <row r="4" customFormat="false" ht="39.75" hidden="false" customHeight="true" outlineLevel="0" collapsed="false">
      <c r="A4" s="15" t="s">
        <v>54</v>
      </c>
      <c r="B4" s="15" t="s">
        <v>55</v>
      </c>
      <c r="C4" s="15" t="s">
        <v>56</v>
      </c>
      <c r="D4" s="15" t="s">
        <v>57</v>
      </c>
      <c r="E4" s="16" t="n">
        <v>2023</v>
      </c>
      <c r="F4" s="15" t="s">
        <v>58</v>
      </c>
      <c r="G4" s="15" t="s">
        <v>59</v>
      </c>
      <c r="H4" s="16" t="n">
        <v>14</v>
      </c>
      <c r="I4" s="16" t="n">
        <v>2</v>
      </c>
      <c r="J4" s="16" t="n">
        <v>1</v>
      </c>
      <c r="K4" s="15" t="s">
        <v>60</v>
      </c>
      <c r="L4" s="15" t="s">
        <v>61</v>
      </c>
      <c r="M4" s="15" t="s">
        <v>61</v>
      </c>
      <c r="N4" s="15" t="s">
        <v>62</v>
      </c>
      <c r="O4" s="15" t="s">
        <v>61</v>
      </c>
      <c r="P4" s="15" t="s">
        <v>63</v>
      </c>
      <c r="Q4" s="17" t="s">
        <v>64</v>
      </c>
      <c r="R4" s="17" t="s">
        <v>65</v>
      </c>
      <c r="S4" s="17" t="s">
        <v>66</v>
      </c>
      <c r="T4" s="15" t="s">
        <v>67</v>
      </c>
      <c r="U4" s="18" t="n">
        <v>46303</v>
      </c>
    </row>
    <row r="5" customFormat="false" ht="45.75" hidden="false" customHeight="true" outlineLevel="0" collapsed="false">
      <c r="A5" s="19" t="s">
        <v>68</v>
      </c>
      <c r="B5" s="19" t="s">
        <v>69</v>
      </c>
      <c r="C5" s="19" t="s">
        <v>70</v>
      </c>
      <c r="D5" s="19" t="s">
        <v>57</v>
      </c>
      <c r="E5" s="20" t="n">
        <v>2023</v>
      </c>
      <c r="F5" s="19" t="s">
        <v>58</v>
      </c>
      <c r="G5" s="19" t="s">
        <v>71</v>
      </c>
      <c r="H5" s="20" t="n">
        <v>14</v>
      </c>
      <c r="I5" s="20" t="n">
        <v>3</v>
      </c>
      <c r="J5" s="20" t="n">
        <v>1</v>
      </c>
      <c r="K5" s="19" t="s">
        <v>71</v>
      </c>
      <c r="L5" s="19" t="s">
        <v>71</v>
      </c>
      <c r="M5" s="19" t="s">
        <v>61</v>
      </c>
      <c r="N5" s="19" t="s">
        <v>62</v>
      </c>
      <c r="O5" s="19" t="s">
        <v>63</v>
      </c>
      <c r="P5" s="19" t="s">
        <v>63</v>
      </c>
      <c r="Q5" s="21" t="s">
        <v>72</v>
      </c>
      <c r="R5" s="21" t="s">
        <v>73</v>
      </c>
      <c r="S5" s="21"/>
      <c r="T5" s="22" t="s">
        <v>74</v>
      </c>
      <c r="U5" s="23" t="n">
        <v>46303</v>
      </c>
    </row>
    <row r="6" customFormat="false" ht="23.25" hidden="false" customHeight="true" outlineLevel="0" collapsed="false">
      <c r="A6" s="19" t="s">
        <v>75</v>
      </c>
      <c r="B6" s="19" t="s">
        <v>76</v>
      </c>
      <c r="C6" s="19" t="s">
        <v>77</v>
      </c>
      <c r="D6" s="19" t="s">
        <v>78</v>
      </c>
      <c r="E6" s="20" t="n">
        <v>2023</v>
      </c>
      <c r="F6" s="19" t="s">
        <v>71</v>
      </c>
      <c r="G6" s="19" t="s">
        <v>71</v>
      </c>
      <c r="H6" s="20" t="n">
        <v>14</v>
      </c>
      <c r="I6" s="20" t="n">
        <v>2</v>
      </c>
      <c r="J6" s="20" t="n">
        <v>1</v>
      </c>
      <c r="K6" s="19" t="s">
        <v>60</v>
      </c>
      <c r="L6" s="19" t="s">
        <v>71</v>
      </c>
      <c r="M6" s="19" t="s">
        <v>61</v>
      </c>
      <c r="N6" s="19" t="s">
        <v>79</v>
      </c>
      <c r="O6" s="19" t="s">
        <v>61</v>
      </c>
      <c r="P6" s="19" t="s">
        <v>63</v>
      </c>
      <c r="Q6" s="21" t="s">
        <v>80</v>
      </c>
      <c r="R6" s="21" t="s">
        <v>81</v>
      </c>
      <c r="S6" s="21"/>
      <c r="T6" s="22" t="s">
        <v>82</v>
      </c>
      <c r="U6" s="23" t="n">
        <v>46303</v>
      </c>
    </row>
    <row r="7" customFormat="false" ht="57" hidden="false" customHeight="true" outlineLevel="0" collapsed="false">
      <c r="A7" s="19" t="s">
        <v>83</v>
      </c>
      <c r="B7" s="19" t="s">
        <v>84</v>
      </c>
      <c r="C7" s="19" t="s">
        <v>85</v>
      </c>
      <c r="D7" s="19" t="s">
        <v>86</v>
      </c>
      <c r="E7" s="20"/>
      <c r="F7" s="19" t="s">
        <v>71</v>
      </c>
      <c r="G7" s="19" t="s">
        <v>71</v>
      </c>
      <c r="H7" s="20" t="n">
        <v>14.1</v>
      </c>
      <c r="I7" s="20" t="n">
        <v>3</v>
      </c>
      <c r="J7" s="20" t="n">
        <v>2</v>
      </c>
      <c r="K7" s="19" t="s">
        <v>87</v>
      </c>
      <c r="L7" s="19" t="s">
        <v>63</v>
      </c>
      <c r="M7" s="19" t="s">
        <v>61</v>
      </c>
      <c r="N7" s="19" t="s">
        <v>71</v>
      </c>
      <c r="O7" s="19" t="s">
        <v>63</v>
      </c>
      <c r="P7" s="19" t="s">
        <v>63</v>
      </c>
      <c r="Q7" s="21" t="s">
        <v>88</v>
      </c>
      <c r="R7" s="21" t="s">
        <v>89</v>
      </c>
      <c r="S7" s="21"/>
      <c r="T7" s="22" t="s">
        <v>90</v>
      </c>
      <c r="U7" s="23" t="n">
        <v>46303</v>
      </c>
    </row>
    <row r="8" customFormat="false" ht="57" hidden="false" customHeight="true" outlineLevel="0" collapsed="false">
      <c r="A8" s="19" t="s">
        <v>91</v>
      </c>
      <c r="B8" s="19" t="s">
        <v>92</v>
      </c>
      <c r="C8" s="19" t="s">
        <v>93</v>
      </c>
      <c r="D8" s="19" t="s">
        <v>94</v>
      </c>
      <c r="E8" s="20" t="n">
        <v>2018</v>
      </c>
      <c r="F8" s="19" t="s">
        <v>95</v>
      </c>
      <c r="G8" s="19" t="s">
        <v>96</v>
      </c>
      <c r="H8" s="20" t="n">
        <v>14</v>
      </c>
      <c r="I8" s="20" t="n">
        <v>2</v>
      </c>
      <c r="J8" s="20" t="n">
        <v>2</v>
      </c>
      <c r="K8" s="19" t="s">
        <v>97</v>
      </c>
      <c r="L8" s="19" t="s">
        <v>61</v>
      </c>
      <c r="M8" s="19" t="s">
        <v>61</v>
      </c>
      <c r="N8" s="19" t="s">
        <v>62</v>
      </c>
      <c r="O8" s="19" t="s">
        <v>61</v>
      </c>
      <c r="P8" s="19" t="s">
        <v>61</v>
      </c>
      <c r="Q8" s="21" t="s">
        <v>98</v>
      </c>
      <c r="R8" s="21" t="s">
        <v>99</v>
      </c>
      <c r="S8" s="21"/>
      <c r="T8" s="22" t="s">
        <v>100</v>
      </c>
      <c r="U8" s="23" t="n">
        <v>46303</v>
      </c>
    </row>
    <row r="9" customFormat="false" ht="57" hidden="false" customHeight="true" outlineLevel="0" collapsed="false">
      <c r="A9" s="19" t="s">
        <v>101</v>
      </c>
      <c r="B9" s="19" t="s">
        <v>102</v>
      </c>
      <c r="C9" s="19" t="s">
        <v>103</v>
      </c>
      <c r="D9" s="19" t="s">
        <v>104</v>
      </c>
      <c r="E9" s="20" t="n">
        <v>2019</v>
      </c>
      <c r="F9" s="19" t="s">
        <v>95</v>
      </c>
      <c r="G9" s="19" t="s">
        <v>105</v>
      </c>
      <c r="H9" s="20" t="n">
        <v>14</v>
      </c>
      <c r="I9" s="20" t="n">
        <v>3</v>
      </c>
      <c r="J9" s="20" t="n">
        <v>1</v>
      </c>
      <c r="K9" s="19" t="s">
        <v>60</v>
      </c>
      <c r="L9" s="19" t="s">
        <v>71</v>
      </c>
      <c r="M9" s="19" t="s">
        <v>61</v>
      </c>
      <c r="N9" s="19" t="s">
        <v>62</v>
      </c>
      <c r="O9" s="19" t="s">
        <v>61</v>
      </c>
      <c r="P9" s="19" t="s">
        <v>61</v>
      </c>
      <c r="Q9" s="21" t="s">
        <v>106</v>
      </c>
      <c r="R9" s="21" t="s">
        <v>107</v>
      </c>
      <c r="S9" s="21"/>
      <c r="T9" s="22" t="s">
        <v>108</v>
      </c>
      <c r="U9" s="23" t="n">
        <v>46303</v>
      </c>
    </row>
    <row r="10" customFormat="false" ht="15" hidden="false" customHeight="true" outlineLevel="0" collapsed="false">
      <c r="A10" s="19" t="s">
        <v>109</v>
      </c>
      <c r="B10" s="19" t="s">
        <v>69</v>
      </c>
      <c r="C10" s="19" t="s">
        <v>110</v>
      </c>
      <c r="D10" s="19"/>
      <c r="E10" s="20" t="n">
        <v>2024</v>
      </c>
      <c r="F10" s="19" t="s">
        <v>58</v>
      </c>
      <c r="G10" s="19" t="s">
        <v>71</v>
      </c>
      <c r="H10" s="20" t="n">
        <v>14</v>
      </c>
      <c r="I10" s="20" t="n">
        <v>1</v>
      </c>
      <c r="J10" s="20" t="n">
        <v>2</v>
      </c>
      <c r="K10" s="19" t="s">
        <v>111</v>
      </c>
      <c r="L10" s="19" t="s">
        <v>71</v>
      </c>
      <c r="M10" s="19" t="s">
        <v>61</v>
      </c>
      <c r="N10" s="19" t="s">
        <v>79</v>
      </c>
      <c r="O10" s="19" t="s">
        <v>63</v>
      </c>
      <c r="P10" s="19" t="s">
        <v>63</v>
      </c>
      <c r="Q10" s="21" t="s">
        <v>112</v>
      </c>
      <c r="R10" s="21" t="s">
        <v>113</v>
      </c>
      <c r="S10" s="21" t="s">
        <v>114</v>
      </c>
      <c r="T10" s="19" t="s">
        <v>115</v>
      </c>
      <c r="U10" s="23" t="n">
        <v>46305</v>
      </c>
    </row>
    <row r="11" customFormat="false" ht="15" hidden="false" customHeight="true" outlineLevel="0" collapsed="false">
      <c r="A11" s="19" t="s">
        <v>116</v>
      </c>
      <c r="B11" s="19" t="s">
        <v>117</v>
      </c>
      <c r="C11" s="19" t="s">
        <v>118</v>
      </c>
      <c r="D11" s="19"/>
      <c r="E11" s="20" t="n">
        <v>2023</v>
      </c>
      <c r="F11" s="19" t="s">
        <v>58</v>
      </c>
      <c r="G11" s="19" t="s">
        <v>71</v>
      </c>
      <c r="H11" s="20" t="n">
        <v>14</v>
      </c>
      <c r="I11" s="20" t="n">
        <v>2</v>
      </c>
      <c r="J11" s="20" t="n">
        <v>1</v>
      </c>
      <c r="K11" s="19" t="s">
        <v>60</v>
      </c>
      <c r="L11" s="19" t="s">
        <v>61</v>
      </c>
      <c r="M11" s="19" t="s">
        <v>61</v>
      </c>
      <c r="N11" s="19" t="s">
        <v>71</v>
      </c>
      <c r="O11" s="19" t="s">
        <v>71</v>
      </c>
      <c r="P11" s="19" t="s">
        <v>71</v>
      </c>
      <c r="Q11" s="21" t="s">
        <v>119</v>
      </c>
      <c r="R11" s="21" t="s">
        <v>120</v>
      </c>
      <c r="S11" s="21" t="s">
        <v>114</v>
      </c>
      <c r="T11" s="19" t="s">
        <v>121</v>
      </c>
      <c r="U11" s="23" t="n">
        <v>46305</v>
      </c>
    </row>
    <row r="12" customFormat="false" ht="15" hidden="false" customHeight="true" outlineLevel="0" collapsed="false">
      <c r="A12" s="19" t="s">
        <v>122</v>
      </c>
      <c r="B12" s="19" t="s">
        <v>92</v>
      </c>
      <c r="C12" s="19" t="s">
        <v>123</v>
      </c>
      <c r="D12" s="19"/>
      <c r="E12" s="20" t="n">
        <v>2023</v>
      </c>
      <c r="F12" s="19" t="s">
        <v>58</v>
      </c>
      <c r="G12" s="19" t="s">
        <v>59</v>
      </c>
      <c r="H12" s="20" t="n">
        <v>14</v>
      </c>
      <c r="I12" s="20" t="n">
        <v>2</v>
      </c>
      <c r="J12" s="20" t="n">
        <v>1</v>
      </c>
      <c r="K12" s="19" t="s">
        <v>60</v>
      </c>
      <c r="L12" s="19" t="s">
        <v>61</v>
      </c>
      <c r="M12" s="19" t="s">
        <v>61</v>
      </c>
      <c r="N12" s="19" t="s">
        <v>62</v>
      </c>
      <c r="O12" s="19" t="s">
        <v>61</v>
      </c>
      <c r="P12" s="19" t="s">
        <v>63</v>
      </c>
      <c r="Q12" s="21" t="s">
        <v>124</v>
      </c>
      <c r="R12" s="21" t="s">
        <v>125</v>
      </c>
      <c r="S12" s="21" t="s">
        <v>114</v>
      </c>
      <c r="T12" s="19" t="s">
        <v>126</v>
      </c>
      <c r="U12" s="23" t="n">
        <v>46305</v>
      </c>
    </row>
    <row r="13" customFormat="false" ht="15" hidden="false" customHeight="true" outlineLevel="0" collapsed="false">
      <c r="A13" s="19" t="s">
        <v>127</v>
      </c>
      <c r="B13" s="19" t="s">
        <v>69</v>
      </c>
      <c r="C13" s="19" t="s">
        <v>128</v>
      </c>
      <c r="D13" s="19"/>
      <c r="E13" s="20" t="n">
        <v>2023</v>
      </c>
      <c r="F13" s="19" t="s">
        <v>58</v>
      </c>
      <c r="G13" s="19" t="s">
        <v>71</v>
      </c>
      <c r="H13" s="20" t="n">
        <v>14</v>
      </c>
      <c r="I13" s="20" t="n">
        <v>2</v>
      </c>
      <c r="J13" s="20" t="n">
        <v>1</v>
      </c>
      <c r="K13" s="19" t="s">
        <v>71</v>
      </c>
      <c r="L13" s="19" t="s">
        <v>71</v>
      </c>
      <c r="M13" s="19" t="s">
        <v>61</v>
      </c>
      <c r="N13" s="19" t="s">
        <v>62</v>
      </c>
      <c r="O13" s="19" t="s">
        <v>63</v>
      </c>
      <c r="P13" s="19" t="s">
        <v>63</v>
      </c>
      <c r="Q13" s="21" t="s">
        <v>129</v>
      </c>
      <c r="R13" s="21" t="s">
        <v>130</v>
      </c>
      <c r="S13" s="21" t="s">
        <v>114</v>
      </c>
      <c r="T13" s="19" t="s">
        <v>131</v>
      </c>
      <c r="U13" s="23" t="n">
        <v>46305</v>
      </c>
    </row>
    <row r="14" customFormat="false" ht="15" hidden="false" customHeight="true" outlineLevel="0" collapsed="false">
      <c r="A14" s="19" t="s">
        <v>132</v>
      </c>
      <c r="B14" s="19" t="s">
        <v>69</v>
      </c>
      <c r="C14" s="19" t="s">
        <v>133</v>
      </c>
      <c r="D14" s="19"/>
      <c r="E14" s="20" t="n">
        <v>2023</v>
      </c>
      <c r="F14" s="19" t="s">
        <v>58</v>
      </c>
      <c r="G14" s="19" t="s">
        <v>59</v>
      </c>
      <c r="H14" s="20" t="n">
        <v>15.6</v>
      </c>
      <c r="I14" s="20" t="n">
        <v>3</v>
      </c>
      <c r="J14" s="20" t="n">
        <v>1</v>
      </c>
      <c r="K14" s="19" t="s">
        <v>71</v>
      </c>
      <c r="L14" s="19" t="s">
        <v>71</v>
      </c>
      <c r="M14" s="19" t="s">
        <v>61</v>
      </c>
      <c r="N14" s="19" t="s">
        <v>62</v>
      </c>
      <c r="O14" s="19" t="s">
        <v>63</v>
      </c>
      <c r="P14" s="19" t="s">
        <v>63</v>
      </c>
      <c r="Q14" s="21" t="s">
        <v>134</v>
      </c>
      <c r="R14" s="21" t="s">
        <v>135</v>
      </c>
      <c r="S14" s="21" t="s">
        <v>136</v>
      </c>
      <c r="T14" s="19" t="s">
        <v>137</v>
      </c>
      <c r="U14" s="23" t="n">
        <v>46305</v>
      </c>
    </row>
    <row r="15" customFormat="false" ht="15" hidden="false" customHeight="true" outlineLevel="0" collapsed="false">
      <c r="A15" s="19" t="s">
        <v>138</v>
      </c>
      <c r="B15" s="19" t="s">
        <v>76</v>
      </c>
      <c r="C15" s="19" t="s">
        <v>139</v>
      </c>
      <c r="D15" s="19"/>
      <c r="E15" s="20"/>
      <c r="F15" s="19" t="s">
        <v>58</v>
      </c>
      <c r="G15" s="19" t="s">
        <v>59</v>
      </c>
      <c r="H15" s="20" t="n">
        <v>14</v>
      </c>
      <c r="I15" s="20" t="n">
        <v>2</v>
      </c>
      <c r="J15" s="20" t="n">
        <v>1</v>
      </c>
      <c r="K15" s="19" t="s">
        <v>60</v>
      </c>
      <c r="L15" s="19" t="s">
        <v>61</v>
      </c>
      <c r="M15" s="19" t="s">
        <v>61</v>
      </c>
      <c r="N15" s="19" t="s">
        <v>62</v>
      </c>
      <c r="O15" s="19" t="s">
        <v>63</v>
      </c>
      <c r="P15" s="19" t="s">
        <v>63</v>
      </c>
      <c r="Q15" s="21" t="s">
        <v>140</v>
      </c>
      <c r="R15" s="21" t="s">
        <v>141</v>
      </c>
      <c r="S15" s="21" t="s">
        <v>114</v>
      </c>
      <c r="T15" s="19" t="s">
        <v>142</v>
      </c>
      <c r="U15" s="23" t="n">
        <v>46305</v>
      </c>
    </row>
    <row r="16" customFormat="false" ht="15" hidden="false" customHeight="true" outlineLevel="0" collapsed="false">
      <c r="A16" s="19" t="s">
        <v>143</v>
      </c>
      <c r="B16" s="19" t="s">
        <v>92</v>
      </c>
      <c r="C16" s="19" t="s">
        <v>144</v>
      </c>
      <c r="D16" s="19"/>
      <c r="E16" s="20"/>
      <c r="F16" s="19" t="s">
        <v>58</v>
      </c>
      <c r="G16" s="19" t="s">
        <v>145</v>
      </c>
      <c r="H16" s="20" t="n">
        <v>14</v>
      </c>
      <c r="I16" s="20" t="n">
        <v>2</v>
      </c>
      <c r="J16" s="20" t="n">
        <v>2</v>
      </c>
      <c r="K16" s="19" t="s">
        <v>60</v>
      </c>
      <c r="L16" s="19" t="s">
        <v>61</v>
      </c>
      <c r="M16" s="19" t="s">
        <v>61</v>
      </c>
      <c r="N16" s="19" t="s">
        <v>62</v>
      </c>
      <c r="O16" s="19" t="s">
        <v>63</v>
      </c>
      <c r="P16" s="19" t="s">
        <v>63</v>
      </c>
      <c r="Q16" s="21" t="s">
        <v>146</v>
      </c>
      <c r="R16" s="21" t="s">
        <v>147</v>
      </c>
      <c r="S16" s="21" t="s">
        <v>114</v>
      </c>
      <c r="T16" s="19" t="s">
        <v>148</v>
      </c>
      <c r="U16" s="23" t="n">
        <v>46305</v>
      </c>
    </row>
    <row r="17" customFormat="false" ht="15" hidden="false" customHeight="true" outlineLevel="0" collapsed="false">
      <c r="A17" s="19" t="s">
        <v>149</v>
      </c>
      <c r="B17" s="19" t="s">
        <v>92</v>
      </c>
      <c r="C17" s="19" t="s">
        <v>150</v>
      </c>
      <c r="D17" s="19"/>
      <c r="E17" s="20" t="n">
        <v>2026</v>
      </c>
      <c r="F17" s="19" t="s">
        <v>58</v>
      </c>
      <c r="G17" s="19" t="s">
        <v>96</v>
      </c>
      <c r="H17" s="20" t="n">
        <v>14</v>
      </c>
      <c r="I17" s="20" t="n">
        <v>2</v>
      </c>
      <c r="J17" s="20" t="n">
        <v>2</v>
      </c>
      <c r="K17" s="19" t="s">
        <v>111</v>
      </c>
      <c r="L17" s="19" t="s">
        <v>61</v>
      </c>
      <c r="M17" s="19" t="s">
        <v>61</v>
      </c>
      <c r="N17" s="19" t="s">
        <v>79</v>
      </c>
      <c r="O17" s="19" t="s">
        <v>61</v>
      </c>
      <c r="P17" s="19" t="s">
        <v>61</v>
      </c>
      <c r="Q17" s="21" t="s">
        <v>151</v>
      </c>
      <c r="R17" s="21" t="s">
        <v>152</v>
      </c>
      <c r="S17" s="21" t="s">
        <v>114</v>
      </c>
      <c r="T17" s="19" t="s">
        <v>153</v>
      </c>
      <c r="U17" s="23" t="n">
        <v>46305</v>
      </c>
    </row>
    <row r="18" customFormat="false" ht="15" hidden="false" customHeight="true" outlineLevel="0" collapsed="false">
      <c r="A18" s="19" t="s">
        <v>154</v>
      </c>
      <c r="B18" s="19" t="s">
        <v>117</v>
      </c>
      <c r="C18" s="19" t="s">
        <v>155</v>
      </c>
      <c r="D18" s="19"/>
      <c r="E18" s="20" t="n">
        <v>2025</v>
      </c>
      <c r="F18" s="19" t="s">
        <v>58</v>
      </c>
      <c r="G18" s="19" t="s">
        <v>145</v>
      </c>
      <c r="H18" s="20" t="n">
        <v>14</v>
      </c>
      <c r="I18" s="20" t="n">
        <v>2</v>
      </c>
      <c r="J18" s="20" t="n">
        <v>2</v>
      </c>
      <c r="K18" s="19" t="s">
        <v>156</v>
      </c>
      <c r="L18" s="19" t="s">
        <v>61</v>
      </c>
      <c r="M18" s="19" t="s">
        <v>61</v>
      </c>
      <c r="N18" s="19" t="s">
        <v>79</v>
      </c>
      <c r="O18" s="19" t="s">
        <v>63</v>
      </c>
      <c r="P18" s="19" t="s">
        <v>63</v>
      </c>
      <c r="Q18" s="21" t="s">
        <v>157</v>
      </c>
      <c r="R18" s="21" t="s">
        <v>158</v>
      </c>
      <c r="S18" s="21" t="s">
        <v>114</v>
      </c>
      <c r="T18" s="19" t="s">
        <v>159</v>
      </c>
      <c r="U18" s="23" t="n">
        <v>46305</v>
      </c>
    </row>
    <row r="19" customFormat="false" ht="15" hidden="false" customHeight="true" outlineLevel="0" collapsed="false">
      <c r="A19" s="19" t="s">
        <v>160</v>
      </c>
      <c r="B19" s="19" t="s">
        <v>161</v>
      </c>
      <c r="C19" s="19" t="s">
        <v>162</v>
      </c>
      <c r="D19" s="19"/>
      <c r="E19" s="20" t="n">
        <v>2026</v>
      </c>
      <c r="F19" s="19" t="s">
        <v>58</v>
      </c>
      <c r="G19" s="19" t="s">
        <v>145</v>
      </c>
      <c r="H19" s="20" t="n">
        <v>13.6</v>
      </c>
      <c r="I19" s="20" t="n">
        <v>0</v>
      </c>
      <c r="J19" s="20" t="n">
        <v>2</v>
      </c>
      <c r="K19" s="19" t="s">
        <v>111</v>
      </c>
      <c r="L19" s="19" t="s">
        <v>61</v>
      </c>
      <c r="M19" s="19" t="s">
        <v>63</v>
      </c>
      <c r="N19" s="19" t="s">
        <v>163</v>
      </c>
      <c r="O19" s="19" t="s">
        <v>63</v>
      </c>
      <c r="P19" s="19" t="s">
        <v>63</v>
      </c>
      <c r="Q19" s="21" t="s">
        <v>164</v>
      </c>
      <c r="R19" s="21" t="s">
        <v>165</v>
      </c>
      <c r="S19" s="21" t="s">
        <v>114</v>
      </c>
      <c r="T19" s="19" t="s">
        <v>166</v>
      </c>
      <c r="U19" s="23" t="n">
        <v>46305</v>
      </c>
    </row>
    <row r="20" customFormat="false" ht="15" hidden="false" customHeight="true" outlineLevel="0" collapsed="false">
      <c r="A20" s="19" t="s">
        <v>167</v>
      </c>
      <c r="B20" s="19" t="s">
        <v>69</v>
      </c>
      <c r="C20" s="19" t="s">
        <v>168</v>
      </c>
      <c r="D20" s="19"/>
      <c r="E20" s="20" t="n">
        <v>2023</v>
      </c>
      <c r="F20" s="19" t="s">
        <v>58</v>
      </c>
      <c r="G20" s="19" t="s">
        <v>96</v>
      </c>
      <c r="H20" s="20" t="n">
        <v>15.6</v>
      </c>
      <c r="I20" s="20" t="n">
        <v>2</v>
      </c>
      <c r="J20" s="20" t="n">
        <v>2</v>
      </c>
      <c r="K20" s="19" t="s">
        <v>60</v>
      </c>
      <c r="L20" s="19" t="s">
        <v>61</v>
      </c>
      <c r="M20" s="19" t="s">
        <v>61</v>
      </c>
      <c r="N20" s="19" t="s">
        <v>79</v>
      </c>
      <c r="O20" s="19" t="s">
        <v>63</v>
      </c>
      <c r="P20" s="19" t="s">
        <v>61</v>
      </c>
      <c r="Q20" s="21" t="s">
        <v>169</v>
      </c>
      <c r="R20" s="21" t="s">
        <v>170</v>
      </c>
      <c r="S20" s="21" t="s">
        <v>171</v>
      </c>
      <c r="T20" s="19" t="s">
        <v>172</v>
      </c>
      <c r="U20" s="23" t="n">
        <v>46305</v>
      </c>
    </row>
    <row r="21" customFormat="false" ht="15" hidden="false" customHeight="true" outlineLevel="0" collapsed="false">
      <c r="A21" s="19" t="s">
        <v>173</v>
      </c>
      <c r="B21" s="19" t="s">
        <v>92</v>
      </c>
      <c r="C21" s="19" t="s">
        <v>174</v>
      </c>
      <c r="D21" s="19"/>
      <c r="E21" s="20" t="n">
        <v>2025</v>
      </c>
      <c r="F21" s="19" t="s">
        <v>58</v>
      </c>
      <c r="G21" s="19" t="s">
        <v>59</v>
      </c>
      <c r="H21" s="20" t="n">
        <v>15.6</v>
      </c>
      <c r="I21" s="20" t="n">
        <v>3</v>
      </c>
      <c r="J21" s="20" t="n">
        <v>1</v>
      </c>
      <c r="K21" s="19" t="s">
        <v>60</v>
      </c>
      <c r="L21" s="19" t="s">
        <v>61</v>
      </c>
      <c r="M21" s="19" t="s">
        <v>61</v>
      </c>
      <c r="N21" s="19" t="s">
        <v>79</v>
      </c>
      <c r="O21" s="19" t="s">
        <v>63</v>
      </c>
      <c r="P21" s="19" t="s">
        <v>61</v>
      </c>
      <c r="Q21" s="21" t="s">
        <v>175</v>
      </c>
      <c r="R21" s="21" t="s">
        <v>176</v>
      </c>
      <c r="S21" s="21" t="s">
        <v>177</v>
      </c>
      <c r="T21" s="19" t="s">
        <v>178</v>
      </c>
      <c r="U21" s="23" t="n">
        <v>46305</v>
      </c>
    </row>
    <row r="22" customFormat="false" ht="15" hidden="false" customHeight="true" outlineLevel="0" collapsed="false">
      <c r="A22" s="19" t="s">
        <v>179</v>
      </c>
      <c r="B22" s="19" t="s">
        <v>117</v>
      </c>
      <c r="C22" s="19" t="s">
        <v>180</v>
      </c>
      <c r="D22" s="19"/>
      <c r="E22" s="20" t="n">
        <v>2025</v>
      </c>
      <c r="F22" s="19" t="s">
        <v>58</v>
      </c>
      <c r="G22" s="19" t="s">
        <v>59</v>
      </c>
      <c r="H22" s="20" t="n">
        <v>15.6</v>
      </c>
      <c r="I22" s="20" t="n">
        <v>3</v>
      </c>
      <c r="J22" s="20" t="n">
        <v>1</v>
      </c>
      <c r="K22" s="19" t="s">
        <v>111</v>
      </c>
      <c r="L22" s="19" t="s">
        <v>61</v>
      </c>
      <c r="M22" s="19" t="s">
        <v>61</v>
      </c>
      <c r="N22" s="19" t="s">
        <v>79</v>
      </c>
      <c r="O22" s="19" t="s">
        <v>63</v>
      </c>
      <c r="P22" s="19" t="s">
        <v>61</v>
      </c>
      <c r="Q22" s="21" t="s">
        <v>181</v>
      </c>
      <c r="R22" s="21" t="s">
        <v>182</v>
      </c>
      <c r="S22" s="21" t="s">
        <v>183</v>
      </c>
      <c r="T22" s="19" t="s">
        <v>184</v>
      </c>
      <c r="U22" s="23" t="n">
        <v>46305</v>
      </c>
    </row>
    <row r="23" customFormat="false" ht="15" hidden="false" customHeight="true" outlineLevel="0" collapsed="false">
      <c r="A23" s="19" t="s">
        <v>185</v>
      </c>
      <c r="B23" s="19" t="s">
        <v>92</v>
      </c>
      <c r="C23" s="19" t="s">
        <v>186</v>
      </c>
      <c r="D23" s="19"/>
      <c r="E23" s="20" t="n">
        <v>2020</v>
      </c>
      <c r="F23" s="19" t="s">
        <v>95</v>
      </c>
      <c r="G23" s="19" t="s">
        <v>96</v>
      </c>
      <c r="H23" s="20" t="n">
        <v>14</v>
      </c>
      <c r="I23" s="20" t="n">
        <v>2</v>
      </c>
      <c r="J23" s="20" t="n">
        <v>2</v>
      </c>
      <c r="K23" s="19" t="s">
        <v>97</v>
      </c>
      <c r="L23" s="19" t="s">
        <v>61</v>
      </c>
      <c r="M23" s="19" t="s">
        <v>61</v>
      </c>
      <c r="N23" s="19" t="s">
        <v>62</v>
      </c>
      <c r="O23" s="19" t="s">
        <v>63</v>
      </c>
      <c r="P23" s="19" t="s">
        <v>61</v>
      </c>
      <c r="Q23" s="21" t="s">
        <v>187</v>
      </c>
      <c r="R23" s="21" t="s">
        <v>188</v>
      </c>
      <c r="S23" s="21" t="s">
        <v>114</v>
      </c>
      <c r="T23" s="19" t="s">
        <v>189</v>
      </c>
      <c r="U23" s="23" t="n">
        <v>46305</v>
      </c>
    </row>
    <row r="24" customFormat="false" ht="15" hidden="false" customHeight="true" outlineLevel="0" collapsed="false">
      <c r="A24" s="19" t="s">
        <v>190</v>
      </c>
      <c r="B24" s="19" t="s">
        <v>102</v>
      </c>
      <c r="C24" s="19" t="s">
        <v>191</v>
      </c>
      <c r="D24" s="19"/>
      <c r="E24" s="20" t="n">
        <v>2018</v>
      </c>
      <c r="F24" s="19" t="s">
        <v>95</v>
      </c>
      <c r="G24" s="19" t="s">
        <v>192</v>
      </c>
      <c r="H24" s="20" t="n">
        <v>14</v>
      </c>
      <c r="I24" s="20" t="n">
        <v>3</v>
      </c>
      <c r="J24" s="20" t="n">
        <v>1</v>
      </c>
      <c r="K24" s="19" t="s">
        <v>60</v>
      </c>
      <c r="L24" s="19" t="s">
        <v>71</v>
      </c>
      <c r="M24" s="19" t="s">
        <v>61</v>
      </c>
      <c r="N24" s="19" t="s">
        <v>62</v>
      </c>
      <c r="O24" s="19" t="s">
        <v>71</v>
      </c>
      <c r="P24" s="19" t="s">
        <v>61</v>
      </c>
      <c r="Q24" s="21" t="s">
        <v>193</v>
      </c>
      <c r="R24" s="21" t="s">
        <v>194</v>
      </c>
      <c r="S24" s="21" t="s">
        <v>114</v>
      </c>
      <c r="T24" s="19" t="s">
        <v>195</v>
      </c>
      <c r="U24" s="23" t="n">
        <v>46305</v>
      </c>
    </row>
    <row r="25" customFormat="false" ht="15" hidden="false" customHeight="true" outlineLevel="0" collapsed="false">
      <c r="A25" s="19" t="s">
        <v>196</v>
      </c>
      <c r="B25" s="19" t="s">
        <v>76</v>
      </c>
      <c r="C25" s="19" t="s">
        <v>197</v>
      </c>
      <c r="D25" s="19"/>
      <c r="E25" s="20" t="n">
        <v>2019</v>
      </c>
      <c r="F25" s="19" t="s">
        <v>95</v>
      </c>
      <c r="G25" s="19" t="s">
        <v>145</v>
      </c>
      <c r="H25" s="20" t="n">
        <v>14</v>
      </c>
      <c r="I25" s="20" t="n">
        <v>2</v>
      </c>
      <c r="J25" s="20" t="n">
        <v>1</v>
      </c>
      <c r="K25" s="19" t="s">
        <v>97</v>
      </c>
      <c r="L25" s="19" t="s">
        <v>71</v>
      </c>
      <c r="M25" s="19" t="s">
        <v>61</v>
      </c>
      <c r="N25" s="19" t="s">
        <v>62</v>
      </c>
      <c r="O25" s="19" t="s">
        <v>63</v>
      </c>
      <c r="P25" s="19" t="s">
        <v>61</v>
      </c>
      <c r="Q25" s="21" t="s">
        <v>198</v>
      </c>
      <c r="R25" s="21" t="s">
        <v>199</v>
      </c>
      <c r="S25" s="21" t="s">
        <v>114</v>
      </c>
      <c r="T25" s="19" t="s">
        <v>200</v>
      </c>
      <c r="U25" s="23" t="n">
        <v>46305</v>
      </c>
    </row>
    <row r="26" customFormat="false" ht="15" hidden="false" customHeight="true" outlineLevel="0" collapsed="false">
      <c r="A26" s="19" t="s">
        <v>201</v>
      </c>
      <c r="B26" s="19" t="s">
        <v>76</v>
      </c>
      <c r="C26" s="19" t="s">
        <v>202</v>
      </c>
      <c r="D26" s="19"/>
      <c r="E26" s="20"/>
      <c r="F26" s="19" t="s">
        <v>58</v>
      </c>
      <c r="G26" s="19" t="s">
        <v>59</v>
      </c>
      <c r="H26" s="20" t="n">
        <v>15.6</v>
      </c>
      <c r="I26" s="20" t="n">
        <v>2</v>
      </c>
      <c r="J26" s="20" t="n">
        <v>1</v>
      </c>
      <c r="K26" s="19" t="s">
        <v>60</v>
      </c>
      <c r="L26" s="19" t="s">
        <v>71</v>
      </c>
      <c r="M26" s="19" t="s">
        <v>61</v>
      </c>
      <c r="N26" s="19" t="s">
        <v>79</v>
      </c>
      <c r="O26" s="19" t="s">
        <v>63</v>
      </c>
      <c r="P26" s="19" t="s">
        <v>61</v>
      </c>
      <c r="Q26" s="21" t="s">
        <v>203</v>
      </c>
      <c r="R26" s="21" t="s">
        <v>204</v>
      </c>
      <c r="S26" s="21" t="s">
        <v>205</v>
      </c>
      <c r="T26" s="19" t="s">
        <v>206</v>
      </c>
      <c r="U26" s="23" t="n">
        <v>46305</v>
      </c>
    </row>
    <row r="27" customFormat="false" ht="15" hidden="false" customHeight="true" outlineLevel="0" collapsed="false">
      <c r="A27" s="19" t="s">
        <v>207</v>
      </c>
      <c r="B27" s="19" t="s">
        <v>208</v>
      </c>
      <c r="C27" s="19" t="s">
        <v>209</v>
      </c>
      <c r="D27" s="19"/>
      <c r="E27" s="20" t="n">
        <v>2024</v>
      </c>
      <c r="F27" s="19" t="s">
        <v>58</v>
      </c>
      <c r="G27" s="19" t="s">
        <v>71</v>
      </c>
      <c r="H27" s="20" t="n">
        <v>15.6</v>
      </c>
      <c r="I27" s="20" t="n">
        <v>3</v>
      </c>
      <c r="J27" s="20" t="n">
        <v>1</v>
      </c>
      <c r="K27" s="19" t="s">
        <v>60</v>
      </c>
      <c r="L27" s="19" t="s">
        <v>71</v>
      </c>
      <c r="M27" s="19" t="s">
        <v>61</v>
      </c>
      <c r="N27" s="19" t="s">
        <v>71</v>
      </c>
      <c r="O27" s="19" t="s">
        <v>63</v>
      </c>
      <c r="P27" s="19" t="s">
        <v>61</v>
      </c>
      <c r="Q27" s="21" t="s">
        <v>210</v>
      </c>
      <c r="R27" s="21" t="s">
        <v>211</v>
      </c>
      <c r="S27" s="21" t="s">
        <v>212</v>
      </c>
      <c r="T27" s="19" t="s">
        <v>213</v>
      </c>
      <c r="U27" s="23" t="n">
        <v>46305</v>
      </c>
    </row>
    <row r="28" customFormat="false" ht="15" hidden="false" customHeight="true" outlineLevel="0" collapsed="false">
      <c r="A28" s="19" t="s">
        <v>214</v>
      </c>
      <c r="B28" s="19" t="s">
        <v>69</v>
      </c>
      <c r="C28" s="19" t="s">
        <v>215</v>
      </c>
      <c r="D28" s="19"/>
      <c r="E28" s="20" t="n">
        <v>2025</v>
      </c>
      <c r="F28" s="19" t="s">
        <v>58</v>
      </c>
      <c r="G28" s="19" t="s">
        <v>96</v>
      </c>
      <c r="H28" s="20" t="n">
        <v>16</v>
      </c>
      <c r="I28" s="20" t="n">
        <v>2</v>
      </c>
      <c r="J28" s="20" t="n">
        <v>2</v>
      </c>
      <c r="K28" s="19" t="s">
        <v>156</v>
      </c>
      <c r="L28" s="19" t="s">
        <v>61</v>
      </c>
      <c r="M28" s="19" t="s">
        <v>61</v>
      </c>
      <c r="N28" s="19" t="s">
        <v>79</v>
      </c>
      <c r="O28" s="19" t="s">
        <v>63</v>
      </c>
      <c r="P28" s="19" t="s">
        <v>61</v>
      </c>
      <c r="Q28" s="21" t="s">
        <v>216</v>
      </c>
      <c r="R28" s="21" t="s">
        <v>217</v>
      </c>
      <c r="S28" s="21" t="s">
        <v>218</v>
      </c>
      <c r="T28" s="19" t="s">
        <v>219</v>
      </c>
      <c r="U28" s="23" t="n">
        <v>46305</v>
      </c>
    </row>
    <row r="29" customFormat="false" ht="15" hidden="false" customHeight="true" outlineLevel="0" collapsed="false">
      <c r="A29" s="19" t="s">
        <v>220</v>
      </c>
      <c r="B29" s="19" t="s">
        <v>92</v>
      </c>
      <c r="C29" s="19" t="s">
        <v>221</v>
      </c>
      <c r="D29" s="19"/>
      <c r="E29" s="20" t="n">
        <v>2025</v>
      </c>
      <c r="F29" s="19" t="s">
        <v>58</v>
      </c>
      <c r="G29" s="19" t="s">
        <v>96</v>
      </c>
      <c r="H29" s="20" t="n">
        <v>15.3</v>
      </c>
      <c r="I29" s="20" t="n">
        <v>3</v>
      </c>
      <c r="J29" s="20" t="n">
        <v>2</v>
      </c>
      <c r="K29" s="19" t="s">
        <v>60</v>
      </c>
      <c r="L29" s="19" t="s">
        <v>61</v>
      </c>
      <c r="M29" s="19" t="s">
        <v>61</v>
      </c>
      <c r="N29" s="19" t="s">
        <v>79</v>
      </c>
      <c r="O29" s="19" t="s">
        <v>63</v>
      </c>
      <c r="P29" s="19" t="s">
        <v>61</v>
      </c>
      <c r="Q29" s="21" t="s">
        <v>222</v>
      </c>
      <c r="R29" s="21" t="s">
        <v>223</v>
      </c>
      <c r="S29" s="21" t="s">
        <v>224</v>
      </c>
      <c r="T29" s="19" t="s">
        <v>225</v>
      </c>
      <c r="U29" s="23" t="n">
        <v>46305</v>
      </c>
    </row>
    <row r="30" customFormat="false" ht="15" hidden="false" customHeight="true" outlineLevel="0" collapsed="false">
      <c r="A30" s="19" t="s">
        <v>226</v>
      </c>
      <c r="B30" s="19" t="s">
        <v>117</v>
      </c>
      <c r="C30" s="19" t="s">
        <v>227</v>
      </c>
      <c r="D30" s="19"/>
      <c r="E30" s="20" t="n">
        <v>2025</v>
      </c>
      <c r="F30" s="19" t="s">
        <v>58</v>
      </c>
      <c r="G30" s="19" t="s">
        <v>71</v>
      </c>
      <c r="H30" s="20" t="n">
        <v>14</v>
      </c>
      <c r="I30" s="20" t="n">
        <v>1</v>
      </c>
      <c r="J30" s="20" t="n">
        <v>2</v>
      </c>
      <c r="K30" s="19" t="s">
        <v>60</v>
      </c>
      <c r="L30" s="19" t="s">
        <v>61</v>
      </c>
      <c r="M30" s="19" t="s">
        <v>61</v>
      </c>
      <c r="N30" s="19" t="s">
        <v>62</v>
      </c>
      <c r="O30" s="19" t="s">
        <v>63</v>
      </c>
      <c r="P30" s="19" t="s">
        <v>63</v>
      </c>
      <c r="Q30" s="21" t="s">
        <v>228</v>
      </c>
      <c r="R30" s="21" t="s">
        <v>229</v>
      </c>
      <c r="S30" s="21" t="s">
        <v>114</v>
      </c>
      <c r="T30" s="19" t="s">
        <v>230</v>
      </c>
      <c r="U30" s="23" t="n">
        <v>46305</v>
      </c>
    </row>
    <row r="31" customFormat="false" ht="15" hidden="false" customHeight="true" outlineLevel="0" collapsed="false">
      <c r="A31" s="19" t="s">
        <v>231</v>
      </c>
      <c r="B31" s="19" t="s">
        <v>84</v>
      </c>
      <c r="C31" s="19" t="s">
        <v>232</v>
      </c>
      <c r="D31" s="19"/>
      <c r="E31" s="20"/>
      <c r="F31" s="19" t="s">
        <v>58</v>
      </c>
      <c r="G31" s="19" t="s">
        <v>59</v>
      </c>
      <c r="H31" s="20" t="n">
        <v>14</v>
      </c>
      <c r="I31" s="20" t="n">
        <v>3</v>
      </c>
      <c r="J31" s="20" t="n">
        <v>1</v>
      </c>
      <c r="K31" s="19" t="s">
        <v>87</v>
      </c>
      <c r="L31" s="19" t="s">
        <v>63</v>
      </c>
      <c r="M31" s="19" t="s">
        <v>61</v>
      </c>
      <c r="N31" s="19" t="s">
        <v>71</v>
      </c>
      <c r="O31" s="19" t="s">
        <v>63</v>
      </c>
      <c r="P31" s="19" t="s">
        <v>63</v>
      </c>
      <c r="Q31" s="21" t="s">
        <v>233</v>
      </c>
      <c r="R31" s="21" t="s">
        <v>234</v>
      </c>
      <c r="S31" s="21" t="s">
        <v>114</v>
      </c>
      <c r="T31" s="19" t="s">
        <v>235</v>
      </c>
      <c r="U31" s="23" t="n">
        <v>46305</v>
      </c>
    </row>
    <row r="32" customFormat="false" ht="15" hidden="false" customHeight="true" outlineLevel="0" collapsed="false">
      <c r="A32" s="19" t="s">
        <v>236</v>
      </c>
      <c r="B32" s="19" t="s">
        <v>237</v>
      </c>
      <c r="C32" s="19" t="s">
        <v>238</v>
      </c>
      <c r="D32" s="19"/>
      <c r="E32" s="20" t="n">
        <v>2026</v>
      </c>
      <c r="F32" s="19" t="s">
        <v>58</v>
      </c>
      <c r="G32" s="19" t="s">
        <v>71</v>
      </c>
      <c r="H32" s="20" t="n">
        <v>14</v>
      </c>
      <c r="I32" s="20" t="n">
        <v>3</v>
      </c>
      <c r="J32" s="20"/>
      <c r="K32" s="19" t="s">
        <v>71</v>
      </c>
      <c r="L32" s="19" t="s">
        <v>61</v>
      </c>
      <c r="M32" s="19" t="s">
        <v>61</v>
      </c>
      <c r="N32" s="19" t="s">
        <v>79</v>
      </c>
      <c r="O32" s="19" t="s">
        <v>63</v>
      </c>
      <c r="P32" s="19" t="s">
        <v>63</v>
      </c>
      <c r="Q32" s="21" t="s">
        <v>239</v>
      </c>
      <c r="R32" s="21" t="s">
        <v>240</v>
      </c>
      <c r="S32" s="21" t="s">
        <v>114</v>
      </c>
      <c r="T32" s="19" t="s">
        <v>241</v>
      </c>
      <c r="U32" s="23" t="n">
        <v>46305</v>
      </c>
    </row>
    <row r="33" customFormat="false" ht="15" hidden="false" customHeight="true" outlineLevel="0" collapsed="false">
      <c r="A33" s="19" t="s">
        <v>242</v>
      </c>
      <c r="B33" s="19" t="s">
        <v>243</v>
      </c>
      <c r="C33" s="19" t="s">
        <v>244</v>
      </c>
      <c r="D33" s="19"/>
      <c r="E33" s="20" t="n">
        <v>2026</v>
      </c>
      <c r="F33" s="19" t="s">
        <v>58</v>
      </c>
      <c r="G33" s="19" t="s">
        <v>96</v>
      </c>
      <c r="H33" s="20" t="n">
        <v>14</v>
      </c>
      <c r="I33" s="20" t="n">
        <v>3</v>
      </c>
      <c r="J33" s="20" t="n">
        <v>2</v>
      </c>
      <c r="K33" s="19" t="s">
        <v>71</v>
      </c>
      <c r="L33" s="19" t="s">
        <v>61</v>
      </c>
      <c r="M33" s="19" t="s">
        <v>61</v>
      </c>
      <c r="N33" s="19" t="s">
        <v>62</v>
      </c>
      <c r="O33" s="19" t="s">
        <v>63</v>
      </c>
      <c r="P33" s="19" t="s">
        <v>63</v>
      </c>
      <c r="Q33" s="21" t="s">
        <v>245</v>
      </c>
      <c r="R33" s="21" t="s">
        <v>246</v>
      </c>
      <c r="S33" s="21" t="s">
        <v>114</v>
      </c>
      <c r="T33" s="19" t="s">
        <v>247</v>
      </c>
      <c r="U33" s="23" t="n">
        <v>46305</v>
      </c>
    </row>
    <row r="34" customFormat="false" ht="15" hidden="false" customHeight="true" outlineLevel="0" collapsed="false">
      <c r="A34" s="19" t="s">
        <v>248</v>
      </c>
      <c r="B34" s="19" t="s">
        <v>117</v>
      </c>
      <c r="C34" s="19" t="s">
        <v>249</v>
      </c>
      <c r="D34" s="19"/>
      <c r="E34" s="20"/>
      <c r="F34" s="19" t="s">
        <v>58</v>
      </c>
      <c r="G34" s="19" t="s">
        <v>71</v>
      </c>
      <c r="H34" s="20" t="n">
        <v>11.6</v>
      </c>
      <c r="I34" s="20" t="n">
        <v>2</v>
      </c>
      <c r="J34" s="20" t="n">
        <v>2</v>
      </c>
      <c r="K34" s="19" t="s">
        <v>71</v>
      </c>
      <c r="L34" s="19" t="s">
        <v>61</v>
      </c>
      <c r="M34" s="19" t="s">
        <v>71</v>
      </c>
      <c r="N34" s="19" t="s">
        <v>71</v>
      </c>
      <c r="O34" s="19" t="s">
        <v>63</v>
      </c>
      <c r="P34" s="19" t="s">
        <v>71</v>
      </c>
      <c r="Q34" s="21" t="s">
        <v>250</v>
      </c>
      <c r="R34" s="21" t="s">
        <v>251</v>
      </c>
      <c r="S34" s="21" t="s">
        <v>114</v>
      </c>
      <c r="T34" s="19" t="s">
        <v>252</v>
      </c>
      <c r="U34" s="23" t="n">
        <v>46305</v>
      </c>
    </row>
    <row r="35" customFormat="false" ht="15" hidden="false" customHeight="true" outlineLevel="0" collapsed="false">
      <c r="A35" s="19" t="s">
        <v>253</v>
      </c>
      <c r="B35" s="19" t="s">
        <v>161</v>
      </c>
      <c r="C35" s="19" t="s">
        <v>254</v>
      </c>
      <c r="D35" s="19"/>
      <c r="E35" s="20" t="n">
        <v>2020</v>
      </c>
      <c r="F35" s="19" t="s">
        <v>95</v>
      </c>
      <c r="G35" s="19" t="s">
        <v>145</v>
      </c>
      <c r="H35" s="20" t="n">
        <v>13.3</v>
      </c>
      <c r="I35" s="20" t="n">
        <v>0</v>
      </c>
      <c r="J35" s="20" t="n">
        <v>2</v>
      </c>
      <c r="K35" s="19" t="s">
        <v>97</v>
      </c>
      <c r="L35" s="19" t="s">
        <v>61</v>
      </c>
      <c r="M35" s="19" t="s">
        <v>63</v>
      </c>
      <c r="N35" s="19" t="s">
        <v>163</v>
      </c>
      <c r="O35" s="19" t="s">
        <v>63</v>
      </c>
      <c r="P35" s="19" t="s">
        <v>63</v>
      </c>
      <c r="Q35" s="21" t="s">
        <v>255</v>
      </c>
      <c r="R35" s="21" t="s">
        <v>256</v>
      </c>
      <c r="S35" s="21" t="s">
        <v>114</v>
      </c>
      <c r="T35" s="19" t="s">
        <v>257</v>
      </c>
      <c r="U35" s="23" t="n">
        <v>46310</v>
      </c>
    </row>
    <row r="36" customFormat="false" ht="15" hidden="false" customHeight="true" outlineLevel="0" collapsed="false">
      <c r="A36" s="19" t="s">
        <v>258</v>
      </c>
      <c r="B36" s="19" t="s">
        <v>92</v>
      </c>
      <c r="C36" s="19" t="s">
        <v>259</v>
      </c>
      <c r="D36" s="19"/>
      <c r="E36" s="20" t="n">
        <v>2020</v>
      </c>
      <c r="F36" s="19" t="s">
        <v>95</v>
      </c>
      <c r="G36" s="19" t="s">
        <v>96</v>
      </c>
      <c r="H36" s="20" t="n">
        <v>14</v>
      </c>
      <c r="I36" s="20" t="n">
        <v>2</v>
      </c>
      <c r="J36" s="20" t="n">
        <v>2</v>
      </c>
      <c r="K36" s="19" t="s">
        <v>97</v>
      </c>
      <c r="L36" s="19" t="s">
        <v>61</v>
      </c>
      <c r="M36" s="19" t="s">
        <v>61</v>
      </c>
      <c r="N36" s="19" t="s">
        <v>62</v>
      </c>
      <c r="O36" s="19" t="s">
        <v>63</v>
      </c>
      <c r="P36" s="19" t="s">
        <v>63</v>
      </c>
      <c r="Q36" s="21" t="s">
        <v>260</v>
      </c>
      <c r="R36" s="21" t="s">
        <v>261</v>
      </c>
      <c r="S36" s="21" t="s">
        <v>114</v>
      </c>
      <c r="T36" s="19" t="s">
        <v>262</v>
      </c>
      <c r="U36" s="23" t="n">
        <v>46310</v>
      </c>
    </row>
    <row r="37" customFormat="false" ht="15" hidden="false" customHeight="true" outlineLevel="0" collapsed="false">
      <c r="A37" s="19" t="s">
        <v>263</v>
      </c>
      <c r="B37" s="19" t="s">
        <v>102</v>
      </c>
      <c r="C37" s="19" t="s">
        <v>264</v>
      </c>
      <c r="D37" s="19"/>
      <c r="E37" s="20" t="n">
        <v>2016</v>
      </c>
      <c r="F37" s="19" t="s">
        <v>95</v>
      </c>
      <c r="G37" s="19" t="s">
        <v>96</v>
      </c>
      <c r="H37" s="20" t="n">
        <v>13.3</v>
      </c>
      <c r="I37" s="20" t="n">
        <v>2</v>
      </c>
      <c r="J37" s="20" t="n">
        <v>1</v>
      </c>
      <c r="K37" s="19" t="s">
        <v>97</v>
      </c>
      <c r="L37" s="19" t="s">
        <v>71</v>
      </c>
      <c r="M37" s="19" t="s">
        <v>63</v>
      </c>
      <c r="N37" s="19" t="s">
        <v>163</v>
      </c>
      <c r="O37" s="19" t="s">
        <v>61</v>
      </c>
      <c r="P37" s="19" t="s">
        <v>63</v>
      </c>
      <c r="Q37" s="21" t="s">
        <v>265</v>
      </c>
      <c r="R37" s="21" t="s">
        <v>266</v>
      </c>
      <c r="S37" s="21" t="s">
        <v>114</v>
      </c>
      <c r="T37" s="19" t="s">
        <v>267</v>
      </c>
      <c r="U37" s="23" t="n">
        <v>46310</v>
      </c>
    </row>
    <row r="38" customFormat="false" ht="15" hidden="false" customHeight="true" outlineLevel="0" collapsed="false">
      <c r="A38" s="19" t="s">
        <v>268</v>
      </c>
      <c r="B38" s="19" t="s">
        <v>92</v>
      </c>
      <c r="C38" s="19" t="s">
        <v>269</v>
      </c>
      <c r="D38" s="19"/>
      <c r="E38" s="20" t="n">
        <v>2025</v>
      </c>
      <c r="F38" s="19" t="s">
        <v>58</v>
      </c>
      <c r="G38" s="19" t="s">
        <v>145</v>
      </c>
      <c r="H38" s="20" t="n">
        <v>14</v>
      </c>
      <c r="I38" s="20" t="n">
        <v>2</v>
      </c>
      <c r="J38" s="20" t="n">
        <v>2</v>
      </c>
      <c r="K38" s="19" t="s">
        <v>111</v>
      </c>
      <c r="L38" s="19" t="s">
        <v>61</v>
      </c>
      <c r="M38" s="19" t="s">
        <v>61</v>
      </c>
      <c r="N38" s="19" t="s">
        <v>79</v>
      </c>
      <c r="O38" s="19" t="s">
        <v>63</v>
      </c>
      <c r="P38" s="19" t="s">
        <v>61</v>
      </c>
      <c r="Q38" s="21" t="s">
        <v>270</v>
      </c>
      <c r="R38" s="21" t="s">
        <v>271</v>
      </c>
      <c r="S38" s="21" t="s">
        <v>272</v>
      </c>
      <c r="T38" s="19" t="s">
        <v>273</v>
      </c>
      <c r="U38" s="23" t="n">
        <v>46310</v>
      </c>
    </row>
    <row r="39" customFormat="false" ht="15" hidden="false" customHeight="true" outlineLevel="0" collapsed="false">
      <c r="A39" s="19" t="s">
        <v>274</v>
      </c>
      <c r="B39" s="19" t="s">
        <v>102</v>
      </c>
      <c r="C39" s="19" t="s">
        <v>275</v>
      </c>
      <c r="D39" s="19"/>
      <c r="E39" s="20" t="n">
        <v>2023</v>
      </c>
      <c r="F39" s="19" t="s">
        <v>58</v>
      </c>
      <c r="G39" s="19" t="s">
        <v>71</v>
      </c>
      <c r="H39" s="20" t="n">
        <v>15.6</v>
      </c>
      <c r="I39" s="20" t="n">
        <v>2</v>
      </c>
      <c r="J39" s="20" t="n">
        <v>1</v>
      </c>
      <c r="K39" s="19" t="s">
        <v>71</v>
      </c>
      <c r="L39" s="19" t="s">
        <v>71</v>
      </c>
      <c r="M39" s="19" t="s">
        <v>61</v>
      </c>
      <c r="N39" s="19" t="s">
        <v>62</v>
      </c>
      <c r="O39" s="19" t="s">
        <v>61</v>
      </c>
      <c r="P39" s="19" t="s">
        <v>63</v>
      </c>
      <c r="Q39" s="21" t="s">
        <v>276</v>
      </c>
      <c r="R39" s="21" t="s">
        <v>277</v>
      </c>
      <c r="S39" s="21" t="s">
        <v>278</v>
      </c>
      <c r="T39" s="19" t="s">
        <v>279</v>
      </c>
      <c r="U39" s="23" t="n">
        <v>46310</v>
      </c>
    </row>
    <row r="40" customFormat="false" ht="15" hidden="false" customHeight="true" outlineLevel="0" collapsed="false">
      <c r="A40" s="19" t="s">
        <v>280</v>
      </c>
      <c r="B40" s="19" t="s">
        <v>76</v>
      </c>
      <c r="C40" s="19" t="s">
        <v>281</v>
      </c>
      <c r="D40" s="19"/>
      <c r="E40" s="20" t="n">
        <v>2023</v>
      </c>
      <c r="F40" s="19" t="s">
        <v>58</v>
      </c>
      <c r="G40" s="19" t="s">
        <v>96</v>
      </c>
      <c r="H40" s="20" t="n">
        <v>14</v>
      </c>
      <c r="I40" s="20" t="n">
        <v>2</v>
      </c>
      <c r="J40" s="20" t="n">
        <v>2</v>
      </c>
      <c r="K40" s="19" t="s">
        <v>111</v>
      </c>
      <c r="L40" s="19" t="s">
        <v>61</v>
      </c>
      <c r="M40" s="19" t="s">
        <v>61</v>
      </c>
      <c r="N40" s="19" t="s">
        <v>79</v>
      </c>
      <c r="O40" s="19" t="s">
        <v>63</v>
      </c>
      <c r="P40" s="19" t="s">
        <v>63</v>
      </c>
      <c r="Q40" s="21" t="s">
        <v>282</v>
      </c>
      <c r="R40" s="21" t="s">
        <v>283</v>
      </c>
      <c r="S40" s="21" t="s">
        <v>284</v>
      </c>
      <c r="T40" s="19" t="s">
        <v>285</v>
      </c>
      <c r="U40" s="23" t="n">
        <v>46310</v>
      </c>
    </row>
    <row r="41" customFormat="false" ht="15" hidden="false" customHeight="true" outlineLevel="0" collapsed="false">
      <c r="A41" s="19" t="s">
        <v>286</v>
      </c>
      <c r="B41" s="19" t="s">
        <v>69</v>
      </c>
      <c r="C41" s="19" t="s">
        <v>287</v>
      </c>
      <c r="D41" s="19"/>
      <c r="E41" s="20"/>
      <c r="F41" s="19" t="s">
        <v>58</v>
      </c>
      <c r="G41" s="19" t="s">
        <v>59</v>
      </c>
      <c r="H41" s="20" t="n">
        <v>14</v>
      </c>
      <c r="I41" s="20" t="n">
        <v>2</v>
      </c>
      <c r="J41" s="20" t="n">
        <v>2</v>
      </c>
      <c r="K41" s="19" t="s">
        <v>60</v>
      </c>
      <c r="L41" s="19" t="s">
        <v>61</v>
      </c>
      <c r="M41" s="19" t="s">
        <v>61</v>
      </c>
      <c r="N41" s="19" t="s">
        <v>62</v>
      </c>
      <c r="O41" s="19" t="s">
        <v>63</v>
      </c>
      <c r="P41" s="19" t="s">
        <v>61</v>
      </c>
      <c r="Q41" s="21" t="s">
        <v>288</v>
      </c>
      <c r="R41" s="21" t="s">
        <v>289</v>
      </c>
      <c r="S41" s="21" t="s">
        <v>290</v>
      </c>
      <c r="T41" s="19" t="s">
        <v>291</v>
      </c>
      <c r="U41" s="23" t="n">
        <v>46310</v>
      </c>
    </row>
    <row r="42" customFormat="false" ht="15" hidden="false" customHeight="true" outlineLevel="0" collapsed="false">
      <c r="A42" s="19" t="s">
        <v>292</v>
      </c>
      <c r="B42" s="19" t="s">
        <v>69</v>
      </c>
      <c r="C42" s="19" t="s">
        <v>293</v>
      </c>
      <c r="D42" s="19"/>
      <c r="E42" s="20" t="n">
        <v>2025</v>
      </c>
      <c r="F42" s="19" t="s">
        <v>58</v>
      </c>
      <c r="G42" s="19" t="s">
        <v>59</v>
      </c>
      <c r="H42" s="20" t="n">
        <v>15.6</v>
      </c>
      <c r="I42" s="20" t="n">
        <v>2</v>
      </c>
      <c r="J42" s="20" t="n">
        <v>2</v>
      </c>
      <c r="K42" s="19" t="s">
        <v>111</v>
      </c>
      <c r="L42" s="19" t="s">
        <v>61</v>
      </c>
      <c r="M42" s="19" t="s">
        <v>61</v>
      </c>
      <c r="N42" s="19" t="s">
        <v>79</v>
      </c>
      <c r="O42" s="19" t="s">
        <v>61</v>
      </c>
      <c r="P42" s="19" t="s">
        <v>61</v>
      </c>
      <c r="Q42" s="21" t="s">
        <v>294</v>
      </c>
      <c r="R42" s="21" t="s">
        <v>295</v>
      </c>
      <c r="S42" s="21" t="s">
        <v>296</v>
      </c>
      <c r="T42" s="19" t="s">
        <v>297</v>
      </c>
      <c r="U42" s="23" t="n">
        <v>46310</v>
      </c>
    </row>
    <row r="43" customFormat="false" ht="15" hidden="false" customHeight="true" outlineLevel="0" collapsed="false">
      <c r="A43" s="19" t="s">
        <v>298</v>
      </c>
      <c r="B43" s="19" t="s">
        <v>69</v>
      </c>
      <c r="C43" s="19" t="s">
        <v>299</v>
      </c>
      <c r="D43" s="19"/>
      <c r="E43" s="20" t="n">
        <v>2025</v>
      </c>
      <c r="F43" s="19" t="s">
        <v>58</v>
      </c>
      <c r="G43" s="19" t="s">
        <v>71</v>
      </c>
      <c r="H43" s="20" t="n">
        <v>14</v>
      </c>
      <c r="I43" s="20" t="n">
        <v>2</v>
      </c>
      <c r="J43" s="20" t="n">
        <v>2</v>
      </c>
      <c r="K43" s="19" t="s">
        <v>156</v>
      </c>
      <c r="L43" s="19" t="s">
        <v>61</v>
      </c>
      <c r="M43" s="19" t="s">
        <v>61</v>
      </c>
      <c r="N43" s="19" t="s">
        <v>79</v>
      </c>
      <c r="O43" s="19" t="s">
        <v>63</v>
      </c>
      <c r="P43" s="19" t="s">
        <v>63</v>
      </c>
      <c r="Q43" s="21" t="s">
        <v>300</v>
      </c>
      <c r="R43" s="21" t="s">
        <v>301</v>
      </c>
      <c r="S43" s="21" t="s">
        <v>302</v>
      </c>
      <c r="T43" s="19" t="s">
        <v>303</v>
      </c>
      <c r="U43" s="23" t="n">
        <v>46310</v>
      </c>
    </row>
    <row r="44" customFormat="false" ht="15" hidden="false" customHeight="true" outlineLevel="0" collapsed="false">
      <c r="A44" s="19" t="s">
        <v>304</v>
      </c>
      <c r="B44" s="19" t="s">
        <v>92</v>
      </c>
      <c r="C44" s="19" t="s">
        <v>305</v>
      </c>
      <c r="D44" s="19"/>
      <c r="E44" s="20" t="n">
        <v>2025</v>
      </c>
      <c r="F44" s="19" t="s">
        <v>58</v>
      </c>
      <c r="G44" s="19" t="s">
        <v>145</v>
      </c>
      <c r="H44" s="20" t="n">
        <v>14</v>
      </c>
      <c r="I44" s="20" t="n">
        <v>1</v>
      </c>
      <c r="J44" s="20" t="n">
        <v>2</v>
      </c>
      <c r="K44" s="19" t="s">
        <v>111</v>
      </c>
      <c r="L44" s="19" t="s">
        <v>61</v>
      </c>
      <c r="M44" s="19" t="s">
        <v>61</v>
      </c>
      <c r="N44" s="19" t="s">
        <v>62</v>
      </c>
      <c r="O44" s="19" t="s">
        <v>63</v>
      </c>
      <c r="P44" s="19" t="s">
        <v>63</v>
      </c>
      <c r="Q44" s="21" t="s">
        <v>306</v>
      </c>
      <c r="R44" s="21" t="s">
        <v>307</v>
      </c>
      <c r="S44" s="21" t="s">
        <v>308</v>
      </c>
      <c r="T44" s="19" t="s">
        <v>309</v>
      </c>
      <c r="U44" s="23" t="n">
        <v>46310</v>
      </c>
    </row>
    <row r="45" customFormat="false" ht="15" hidden="false" customHeight="true" outlineLevel="0" collapsed="false">
      <c r="A45" s="19"/>
      <c r="B45" s="19"/>
      <c r="C45" s="19"/>
      <c r="D45" s="19"/>
      <c r="E45" s="20"/>
      <c r="F45" s="19"/>
      <c r="G45" s="19"/>
      <c r="H45" s="20"/>
      <c r="I45" s="20"/>
      <c r="J45" s="20"/>
      <c r="K45" s="19"/>
      <c r="L45" s="19"/>
      <c r="M45" s="19"/>
      <c r="N45" s="19"/>
      <c r="O45" s="19"/>
      <c r="P45" s="19"/>
      <c r="Q45" s="21"/>
      <c r="R45" s="21"/>
      <c r="S45" s="21"/>
      <c r="T45" s="19"/>
      <c r="U45" s="23"/>
    </row>
    <row r="46" customFormat="false" ht="15" hidden="false" customHeight="true" outlineLevel="0" collapsed="false">
      <c r="A46" s="19"/>
      <c r="B46" s="19"/>
      <c r="C46" s="19"/>
      <c r="D46" s="19"/>
      <c r="E46" s="20"/>
      <c r="F46" s="19"/>
      <c r="G46" s="19"/>
      <c r="H46" s="20"/>
      <c r="I46" s="20"/>
      <c r="J46" s="20"/>
      <c r="K46" s="19"/>
      <c r="L46" s="19"/>
      <c r="M46" s="19"/>
      <c r="N46" s="19"/>
      <c r="O46" s="19"/>
      <c r="P46" s="19"/>
      <c r="Q46" s="21"/>
      <c r="R46" s="21"/>
      <c r="S46" s="21"/>
      <c r="T46" s="19"/>
      <c r="U46" s="23"/>
    </row>
    <row r="47" customFormat="false" ht="15" hidden="false" customHeight="true" outlineLevel="0" collapsed="false">
      <c r="A47" s="19"/>
      <c r="B47" s="19"/>
      <c r="C47" s="19"/>
      <c r="D47" s="19"/>
      <c r="E47" s="20"/>
      <c r="F47" s="19"/>
      <c r="G47" s="19"/>
      <c r="H47" s="20"/>
      <c r="I47" s="20"/>
      <c r="J47" s="20"/>
      <c r="K47" s="19"/>
      <c r="L47" s="19"/>
      <c r="M47" s="19"/>
      <c r="N47" s="19"/>
      <c r="O47" s="19"/>
      <c r="P47" s="19"/>
      <c r="Q47" s="21"/>
      <c r="R47" s="21"/>
      <c r="S47" s="21"/>
      <c r="T47" s="19"/>
      <c r="U47" s="23"/>
    </row>
    <row r="48" customFormat="false" ht="15" hidden="false" customHeight="true" outlineLevel="0" collapsed="false">
      <c r="A48" s="19"/>
      <c r="B48" s="19"/>
      <c r="C48" s="19"/>
      <c r="D48" s="19"/>
      <c r="E48" s="20"/>
      <c r="F48" s="19"/>
      <c r="G48" s="19"/>
      <c r="H48" s="20"/>
      <c r="I48" s="20"/>
      <c r="J48" s="20"/>
      <c r="K48" s="19"/>
      <c r="L48" s="19"/>
      <c r="M48" s="19"/>
      <c r="N48" s="19"/>
      <c r="O48" s="19"/>
      <c r="P48" s="19"/>
      <c r="Q48" s="21"/>
      <c r="R48" s="21"/>
      <c r="S48" s="21"/>
      <c r="T48" s="19"/>
      <c r="U48" s="23"/>
    </row>
    <row r="49" customFormat="false" ht="15" hidden="false" customHeight="true" outlineLevel="0" collapsed="false">
      <c r="A49" s="19"/>
      <c r="B49" s="19"/>
      <c r="C49" s="19"/>
      <c r="D49" s="19"/>
      <c r="E49" s="20"/>
      <c r="F49" s="19"/>
      <c r="G49" s="19"/>
      <c r="H49" s="20"/>
      <c r="I49" s="20"/>
      <c r="J49" s="20"/>
      <c r="K49" s="19"/>
      <c r="L49" s="19"/>
      <c r="M49" s="19"/>
      <c r="N49" s="19"/>
      <c r="O49" s="19"/>
      <c r="P49" s="19"/>
      <c r="Q49" s="21"/>
      <c r="R49" s="21"/>
      <c r="S49" s="21"/>
      <c r="T49" s="19"/>
      <c r="U49" s="23"/>
    </row>
    <row r="50" customFormat="false" ht="15" hidden="false" customHeight="true" outlineLevel="0" collapsed="false">
      <c r="A50" s="19"/>
      <c r="B50" s="19"/>
      <c r="C50" s="19"/>
      <c r="D50" s="19"/>
      <c r="E50" s="20"/>
      <c r="F50" s="19"/>
      <c r="G50" s="19"/>
      <c r="H50" s="20"/>
      <c r="I50" s="20"/>
      <c r="J50" s="20"/>
      <c r="K50" s="19"/>
      <c r="L50" s="19"/>
      <c r="M50" s="19"/>
      <c r="N50" s="19"/>
      <c r="O50" s="19"/>
      <c r="P50" s="19"/>
      <c r="Q50" s="21"/>
      <c r="R50" s="21"/>
      <c r="S50" s="21"/>
      <c r="T50" s="19"/>
      <c r="U50" s="23"/>
    </row>
    <row r="51" customFormat="false" ht="15" hidden="false" customHeight="true" outlineLevel="0" collapsed="false">
      <c r="A51" s="19"/>
      <c r="B51" s="19"/>
      <c r="C51" s="19"/>
      <c r="D51" s="19"/>
      <c r="E51" s="20"/>
      <c r="F51" s="19"/>
      <c r="G51" s="19"/>
      <c r="H51" s="20"/>
      <c r="I51" s="20"/>
      <c r="J51" s="20"/>
      <c r="K51" s="19"/>
      <c r="L51" s="19"/>
      <c r="M51" s="19"/>
      <c r="N51" s="19"/>
      <c r="O51" s="19"/>
      <c r="P51" s="19"/>
      <c r="Q51" s="21"/>
      <c r="R51" s="21"/>
      <c r="S51" s="21"/>
      <c r="T51" s="19"/>
      <c r="U51" s="23"/>
    </row>
    <row r="52" customFormat="false" ht="15" hidden="false" customHeight="true" outlineLevel="0" collapsed="false">
      <c r="A52" s="19"/>
      <c r="B52" s="19"/>
      <c r="C52" s="19"/>
      <c r="D52" s="19"/>
      <c r="E52" s="20"/>
      <c r="F52" s="19"/>
      <c r="G52" s="19"/>
      <c r="H52" s="20"/>
      <c r="I52" s="20"/>
      <c r="J52" s="20"/>
      <c r="K52" s="19"/>
      <c r="L52" s="19"/>
      <c r="M52" s="19"/>
      <c r="N52" s="19"/>
      <c r="O52" s="19"/>
      <c r="P52" s="19"/>
      <c r="Q52" s="21"/>
      <c r="R52" s="21"/>
      <c r="S52" s="21"/>
      <c r="T52" s="19"/>
      <c r="U52" s="23"/>
    </row>
    <row r="53" customFormat="false" ht="15" hidden="false" customHeight="true" outlineLevel="0" collapsed="false">
      <c r="A53" s="19"/>
      <c r="B53" s="19"/>
      <c r="C53" s="19"/>
      <c r="D53" s="19"/>
      <c r="E53" s="20"/>
      <c r="F53" s="19"/>
      <c r="G53" s="19"/>
      <c r="H53" s="20"/>
      <c r="I53" s="20"/>
      <c r="J53" s="20"/>
      <c r="K53" s="19"/>
      <c r="L53" s="19"/>
      <c r="M53" s="19"/>
      <c r="N53" s="19"/>
      <c r="O53" s="19"/>
      <c r="P53" s="19"/>
      <c r="Q53" s="21"/>
      <c r="R53" s="21"/>
      <c r="S53" s="21"/>
      <c r="T53" s="19"/>
      <c r="U53" s="23"/>
    </row>
    <row r="54" customFormat="false" ht="15" hidden="false" customHeight="true" outlineLevel="0" collapsed="false">
      <c r="A54" s="19"/>
      <c r="B54" s="19"/>
      <c r="C54" s="19"/>
      <c r="D54" s="19"/>
      <c r="E54" s="20"/>
      <c r="F54" s="19"/>
      <c r="G54" s="19"/>
      <c r="H54" s="20"/>
      <c r="I54" s="20"/>
      <c r="J54" s="20"/>
      <c r="K54" s="19"/>
      <c r="L54" s="19"/>
      <c r="M54" s="19"/>
      <c r="N54" s="19"/>
      <c r="O54" s="19"/>
      <c r="P54" s="19"/>
      <c r="Q54" s="21"/>
      <c r="R54" s="21"/>
      <c r="S54" s="21"/>
      <c r="T54" s="19"/>
      <c r="U54" s="23"/>
    </row>
    <row r="55" customFormat="false" ht="15" hidden="false" customHeight="true" outlineLevel="0" collapsed="false">
      <c r="A55" s="19"/>
      <c r="B55" s="19"/>
      <c r="C55" s="19"/>
      <c r="D55" s="19"/>
      <c r="E55" s="20"/>
      <c r="F55" s="19"/>
      <c r="G55" s="19"/>
      <c r="H55" s="20"/>
      <c r="I55" s="20"/>
      <c r="J55" s="20"/>
      <c r="K55" s="19"/>
      <c r="L55" s="19"/>
      <c r="M55" s="19"/>
      <c r="N55" s="19"/>
      <c r="O55" s="19"/>
      <c r="P55" s="19"/>
      <c r="Q55" s="21"/>
      <c r="R55" s="21"/>
      <c r="S55" s="21"/>
      <c r="T55" s="19"/>
      <c r="U55" s="23"/>
    </row>
    <row r="56" customFormat="false" ht="15" hidden="false" customHeight="true" outlineLevel="0" collapsed="false">
      <c r="A56" s="19"/>
      <c r="B56" s="19"/>
      <c r="C56" s="19"/>
      <c r="D56" s="19"/>
      <c r="E56" s="20"/>
      <c r="F56" s="19"/>
      <c r="G56" s="19"/>
      <c r="H56" s="20"/>
      <c r="I56" s="20"/>
      <c r="J56" s="20"/>
      <c r="K56" s="19"/>
      <c r="L56" s="19"/>
      <c r="M56" s="19"/>
      <c r="N56" s="19"/>
      <c r="O56" s="19"/>
      <c r="P56" s="19"/>
      <c r="Q56" s="21"/>
      <c r="R56" s="21"/>
      <c r="S56" s="21"/>
      <c r="T56" s="19"/>
      <c r="U56" s="23"/>
    </row>
    <row r="57" customFormat="false" ht="15" hidden="false" customHeight="true" outlineLevel="0" collapsed="false">
      <c r="A57" s="19"/>
      <c r="B57" s="19"/>
      <c r="C57" s="19"/>
      <c r="D57" s="19"/>
      <c r="E57" s="20"/>
      <c r="F57" s="19"/>
      <c r="G57" s="19"/>
      <c r="H57" s="20"/>
      <c r="I57" s="20"/>
      <c r="J57" s="20"/>
      <c r="K57" s="19"/>
      <c r="L57" s="19"/>
      <c r="M57" s="19"/>
      <c r="N57" s="19"/>
      <c r="O57" s="19"/>
      <c r="P57" s="19"/>
      <c r="Q57" s="21"/>
      <c r="R57" s="21"/>
      <c r="S57" s="21"/>
      <c r="T57" s="19"/>
      <c r="U57" s="23"/>
    </row>
    <row r="58" customFormat="false" ht="15" hidden="false" customHeight="true" outlineLevel="0" collapsed="false">
      <c r="A58" s="19"/>
      <c r="B58" s="19"/>
      <c r="C58" s="19"/>
      <c r="D58" s="19"/>
      <c r="E58" s="20"/>
      <c r="F58" s="19"/>
      <c r="G58" s="19"/>
      <c r="H58" s="20"/>
      <c r="I58" s="20"/>
      <c r="J58" s="20"/>
      <c r="K58" s="19"/>
      <c r="L58" s="19"/>
      <c r="M58" s="19"/>
      <c r="N58" s="19"/>
      <c r="O58" s="19"/>
      <c r="P58" s="19"/>
      <c r="Q58" s="21"/>
      <c r="R58" s="21"/>
      <c r="S58" s="21"/>
      <c r="T58" s="19"/>
      <c r="U58" s="23"/>
    </row>
    <row r="59" customFormat="false" ht="15" hidden="false" customHeight="true" outlineLevel="0" collapsed="false">
      <c r="A59" s="19"/>
      <c r="B59" s="19"/>
      <c r="C59" s="19"/>
      <c r="D59" s="19"/>
      <c r="E59" s="20"/>
      <c r="F59" s="19"/>
      <c r="G59" s="19"/>
      <c r="H59" s="20"/>
      <c r="I59" s="20"/>
      <c r="J59" s="20"/>
      <c r="K59" s="19"/>
      <c r="L59" s="19"/>
      <c r="M59" s="19"/>
      <c r="N59" s="19"/>
      <c r="O59" s="19"/>
      <c r="P59" s="19"/>
      <c r="Q59" s="21"/>
      <c r="R59" s="21"/>
      <c r="S59" s="21"/>
      <c r="T59" s="19"/>
      <c r="U59" s="23"/>
    </row>
    <row r="60" customFormat="false" ht="15" hidden="false" customHeight="true" outlineLevel="0" collapsed="false">
      <c r="A60" s="19"/>
      <c r="B60" s="19"/>
      <c r="C60" s="19"/>
      <c r="D60" s="19"/>
      <c r="E60" s="20"/>
      <c r="F60" s="19"/>
      <c r="G60" s="19"/>
      <c r="H60" s="20"/>
      <c r="I60" s="20"/>
      <c r="J60" s="20"/>
      <c r="K60" s="19"/>
      <c r="L60" s="19"/>
      <c r="M60" s="19"/>
      <c r="N60" s="19"/>
      <c r="O60" s="19"/>
      <c r="P60" s="19"/>
      <c r="Q60" s="21"/>
      <c r="R60" s="21"/>
      <c r="S60" s="21"/>
      <c r="T60" s="19"/>
      <c r="U60" s="23"/>
    </row>
    <row r="61" customFormat="false" ht="15" hidden="false" customHeight="true" outlineLevel="0" collapsed="false">
      <c r="A61" s="19"/>
      <c r="B61" s="19"/>
      <c r="C61" s="19"/>
      <c r="D61" s="19"/>
      <c r="E61" s="20"/>
      <c r="F61" s="19"/>
      <c r="G61" s="19"/>
      <c r="H61" s="20"/>
      <c r="I61" s="20"/>
      <c r="J61" s="20"/>
      <c r="K61" s="19"/>
      <c r="L61" s="19"/>
      <c r="M61" s="19"/>
      <c r="N61" s="19"/>
      <c r="O61" s="19"/>
      <c r="P61" s="19"/>
      <c r="Q61" s="21"/>
      <c r="R61" s="21"/>
      <c r="S61" s="21"/>
      <c r="T61" s="19"/>
      <c r="U61" s="23"/>
    </row>
    <row r="62" customFormat="false" ht="15" hidden="false" customHeight="true" outlineLevel="0" collapsed="false">
      <c r="A62" s="19"/>
      <c r="B62" s="19"/>
      <c r="C62" s="19"/>
      <c r="D62" s="19"/>
      <c r="E62" s="20"/>
      <c r="F62" s="19"/>
      <c r="G62" s="19"/>
      <c r="H62" s="20"/>
      <c r="I62" s="20"/>
      <c r="J62" s="20"/>
      <c r="K62" s="19"/>
      <c r="L62" s="19"/>
      <c r="M62" s="19"/>
      <c r="N62" s="19"/>
      <c r="O62" s="19"/>
      <c r="P62" s="19"/>
      <c r="Q62" s="21"/>
      <c r="R62" s="21"/>
      <c r="S62" s="21"/>
      <c r="T62" s="19"/>
      <c r="U62" s="23"/>
    </row>
    <row r="63" customFormat="false" ht="15" hidden="false" customHeight="true" outlineLevel="0" collapsed="false">
      <c r="A63" s="19"/>
      <c r="B63" s="19"/>
      <c r="C63" s="19"/>
      <c r="D63" s="19"/>
      <c r="E63" s="20"/>
      <c r="F63" s="19"/>
      <c r="G63" s="19"/>
      <c r="H63" s="20"/>
      <c r="I63" s="20"/>
      <c r="J63" s="20"/>
      <c r="K63" s="19"/>
      <c r="L63" s="19"/>
      <c r="M63" s="19"/>
      <c r="N63" s="19"/>
      <c r="O63" s="19"/>
      <c r="P63" s="19"/>
      <c r="Q63" s="21"/>
      <c r="R63" s="21"/>
      <c r="S63" s="21"/>
      <c r="T63" s="19"/>
      <c r="U63" s="23"/>
    </row>
    <row r="64" customFormat="false" ht="15" hidden="false" customHeight="true" outlineLevel="0" collapsed="false">
      <c r="A64" s="19"/>
      <c r="B64" s="19"/>
      <c r="C64" s="19"/>
      <c r="D64" s="19"/>
      <c r="E64" s="20"/>
      <c r="F64" s="19"/>
      <c r="G64" s="19"/>
      <c r="H64" s="20"/>
      <c r="I64" s="20"/>
      <c r="J64" s="20"/>
      <c r="K64" s="19"/>
      <c r="L64" s="19"/>
      <c r="M64" s="19"/>
      <c r="N64" s="19"/>
      <c r="O64" s="19"/>
      <c r="P64" s="19"/>
      <c r="Q64" s="21"/>
      <c r="R64" s="21"/>
      <c r="S64" s="21"/>
      <c r="T64" s="19"/>
      <c r="U64" s="23"/>
    </row>
  </sheetData>
  <autoFilter ref="A3:U64"/>
  <dataValidations count="14">
    <dataValidation allowBlank="true" error="Nilai ini tidak ada di daftar pilihan. Pilih dari daftar, atau ketik unknown bila belum tahu." errorStyle="warning" errorTitle="Nilai di luar daftar" operator="between" showDropDown="false" showErrorMessage="true" showInputMessage="false" sqref="D5:D64" type="list">
      <formula1>Pilihan!$E$2:$E$6</formula1>
      <formula2>0</formula2>
    </dataValidation>
    <dataValidation allowBlank="true" error="Isi angka bulat antara 2000 dan 2035. Periksa lagi bila memang di luar kisaran itu." errorStyle="warning" errorTitle="Angka tidak wajar" operator="between" showDropDown="false" showErrorMessage="true" showInputMessage="false" sqref="E5:E64" type="whole">
      <formula1>2000</formula1>
      <formula2>2035</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F5:F64" type="list">
      <formula1>Pilihan!$A$2:$A$5</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G5:G64" type="list">
      <formula1>Pilihan!$F$2:$F$7</formula1>
      <formula2>0</formula2>
    </dataValidation>
    <dataValidation allowBlank="true" error="Isi angka antara 10 dan 20. Periksa lagi bila memang di luar kisaran itu." errorStyle="warning" errorTitle="Angka tidak wajar" operator="between" showDropDown="false" showErrorMessage="true" showInputMessage="false" sqref="H5:H64" type="decimal">
      <formula1>10</formula1>
      <formula2>20</formula2>
    </dataValidation>
    <dataValidation allowBlank="true" error="Isi angka bulat antara 0 dan 6. Periksa lagi bila memang di luar kisaran itu." errorStyle="warning" errorTitle="Angka tidak wajar" operator="between" showDropDown="false" showErrorMessage="true" showInputMessage="false" sqref="I5:I64" type="whole">
      <formula1>0</formula1>
      <formula2>6</formula2>
    </dataValidation>
    <dataValidation allowBlank="true" error="Isi angka bulat antara 0 dan 4. Periksa lagi bila memang di luar kisaran itu." errorStyle="warning" errorTitle="Angka tidak wajar" operator="between" showDropDown="false" showErrorMessage="true" showInputMessage="false" sqref="J5:J64" type="whole">
      <formula1>0</formula1>
      <formula2>4</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K5:K64" type="list">
      <formula1>Pilihan!$K$2:$K$8</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L5:L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M5:M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N5:N64" type="list">
      <formula1>Pilihan!$L$2:$L$6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O5:O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P5:P64" type="list">
      <formula1>Pilihan!$D$2:$D$4</formula1>
      <formula2>0</formula2>
    </dataValidation>
    <dataValidation allowBlank="true" error="Isi tanggal antara 2020-01-01 dan 2035-12-31, misalnya 2026-10-08." errorStyle="warning" errorTitle="Tanggal tidak wajar" operator="between" showDropDown="false" showErrorMessage="true" showInputMessage="false" sqref="U5:U64" type="date">
      <formula1>43831</formula1>
      <formula2>49674</formula2>
    </dataValidation>
  </dataValidations>
  <hyperlinks>
    <hyperlink ref="T5" r:id="rId2" display="https://asus.com/laptops/for-home/vivobook/asus-vivobook-14-oled-m1405/techspec"/>
    <hyperlink ref="T6" r:id="rId3" display="https://hp.com/id-id/shop/hp-pavilion-x360-2-in-1-laptop-14-ek1005tu-7n725pa.html"/>
    <hyperlink ref="T7" r:id="rId4" display="https://axiooworld.com/product/compare/hype-1-intel/pongo-735"/>
    <hyperlink ref="T8" r:id="rId5" display="https://psref.lenovo.com/syspool/Sys/PDF/ThinkPad/ThinkPad_T480/ThinkPad_T480_Spec.PDF"/>
    <hyperlink ref="T9" r:id="rId6" display="https://www.dell.com/support/product-details/en-us/product/latitude-14-5400-laptop/resources/manual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legacyDrawing r:id="rId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BB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22"/>
    <col collapsed="false" customWidth="true" hidden="false" outlineLevel="0" max="3" min="3" style="1" width="30"/>
    <col collapsed="false" customWidth="true" hidden="false" outlineLevel="0" max="4" min="4" style="1" width="13"/>
    <col collapsed="false" customWidth="true" hidden="false" outlineLevel="0" max="6" min="5" style="1" width="18"/>
    <col collapsed="false" customWidth="true" hidden="false" outlineLevel="0" max="7" min="7" style="1" width="16"/>
    <col collapsed="false" customWidth="true" hidden="false" outlineLevel="0" max="8" min="8" style="1" width="32"/>
    <col collapsed="false" customWidth="true" hidden="false" outlineLevel="0" max="9" min="9" style="1" width="34"/>
    <col collapsed="false" customWidth="true" hidden="false" outlineLevel="0" max="10" min="10" style="1" width="32"/>
    <col collapsed="false" customWidth="true" hidden="false" outlineLevel="0" max="11" min="11" style="1" width="31"/>
    <col collapsed="false" customWidth="true" hidden="false" outlineLevel="0" max="12" min="12" style="1" width="11"/>
    <col collapsed="false" customWidth="true" hidden="false" outlineLevel="0" max="13" min="13" style="1" width="10"/>
    <col collapsed="false" customWidth="true" hidden="false" outlineLevel="0" max="14" min="14" style="1" width="11"/>
    <col collapsed="false" customWidth="true" hidden="false" outlineLevel="0" max="15" min="15" style="1" width="12"/>
    <col collapsed="false" customWidth="true" hidden="false" outlineLevel="0" max="16" min="16" style="1" width="13"/>
    <col collapsed="false" customWidth="true" hidden="false" outlineLevel="0" max="18" min="17" style="1" width="16"/>
    <col collapsed="false" customWidth="true" hidden="false" outlineLevel="0" max="20" min="19" style="1" width="17"/>
    <col collapsed="false" customWidth="true" hidden="false" outlineLevel="0" max="21" min="21" style="1" width="13"/>
    <col collapsed="false" customWidth="true" hidden="false" outlineLevel="0" max="23" min="22" style="1" width="14"/>
    <col collapsed="false" customWidth="true" hidden="false" outlineLevel="0" max="24" min="24" style="1" width="16"/>
    <col collapsed="false" customWidth="true" hidden="false" outlineLevel="0" max="25" min="25" style="1" width="14"/>
    <col collapsed="false" customWidth="true" hidden="false" outlineLevel="0" max="26" min="26" style="1" width="17"/>
    <col collapsed="false" customWidth="true" hidden="false" outlineLevel="0" max="27" min="27" style="1" width="13"/>
    <col collapsed="false" customWidth="true" hidden="false" outlineLevel="0" max="29" min="28" style="1" width="14"/>
    <col collapsed="false" customWidth="true" hidden="false" outlineLevel="0" max="30" min="30" style="1" width="18"/>
    <col collapsed="false" customWidth="true" hidden="false" outlineLevel="0" max="31" min="31" style="1" width="52"/>
    <col collapsed="false" customWidth="true" hidden="false" outlineLevel="0" max="33" min="32" style="1" width="10"/>
    <col collapsed="false" customWidth="true" hidden="false" outlineLevel="0" max="35" min="34" style="1" width="12"/>
    <col collapsed="false" customWidth="true" hidden="false" outlineLevel="0" max="36" min="36" style="1" width="10"/>
    <col collapsed="false" customWidth="true" hidden="false" outlineLevel="0" max="37" min="37" style="1" width="12"/>
    <col collapsed="false" customWidth="true" hidden="false" outlineLevel="0" max="38" min="38" style="1" width="11"/>
    <col collapsed="false" customWidth="true" hidden="false" outlineLevel="0" max="39" min="39" style="1" width="10"/>
    <col collapsed="false" customWidth="true" hidden="false" outlineLevel="0" max="42" min="40" style="1" width="12"/>
    <col collapsed="false" customWidth="true" hidden="false" outlineLevel="0" max="43" min="43" style="1" width="10"/>
    <col collapsed="false" customWidth="true" hidden="false" outlineLevel="0" max="44" min="44" style="1" width="18"/>
    <col collapsed="false" customWidth="true" hidden="false" outlineLevel="0" max="45" min="45" style="1" width="16"/>
    <col collapsed="false" customWidth="true" hidden="false" outlineLevel="0" max="46" min="46" style="1" width="26"/>
    <col collapsed="false" customWidth="true" hidden="false" outlineLevel="0" max="47" min="47" style="1" width="16"/>
    <col collapsed="false" customWidth="true" hidden="false" outlineLevel="0" max="48" min="48" style="1" width="15"/>
    <col collapsed="false" customWidth="true" hidden="false" outlineLevel="0" max="49" min="49" style="1" width="17"/>
    <col collapsed="false" customWidth="true" hidden="false" outlineLevel="0" max="50" min="50" style="1" width="15"/>
    <col collapsed="false" customWidth="true" hidden="false" outlineLevel="0" max="51" min="51" style="1" width="16"/>
    <col collapsed="false" customWidth="true" hidden="false" outlineLevel="0" max="52" min="52" style="1" width="50"/>
    <col collapsed="false" customWidth="true" hidden="false" outlineLevel="0" max="53" min="53" style="1" width="11"/>
    <col collapsed="false" customWidth="true" hidden="false" outlineLevel="0" max="54" min="54" style="1" width="22"/>
  </cols>
  <sheetData>
    <row r="1" customFormat="false" ht="17.25" hidden="false" customHeight="true" outlineLevel="0" collapsed="false">
      <c r="A1" s="2" t="s">
        <v>310</v>
      </c>
    </row>
    <row r="2" customFormat="false" ht="15" hidden="false" customHeight="true" outlineLevel="0" collapsed="false">
      <c r="A2" s="9" t="s">
        <v>311</v>
      </c>
    </row>
    <row r="3" customFormat="false" ht="57.75" hidden="false" customHeight="true" outlineLevel="0" collapsed="false">
      <c r="A3" s="10" t="s">
        <v>312</v>
      </c>
      <c r="B3" s="10" t="s">
        <v>313</v>
      </c>
      <c r="C3" s="10" t="s">
        <v>314</v>
      </c>
      <c r="D3" s="10" t="s">
        <v>315</v>
      </c>
      <c r="E3" s="10" t="s">
        <v>316</v>
      </c>
      <c r="F3" s="10" t="s">
        <v>317</v>
      </c>
      <c r="G3" s="10" t="s">
        <v>318</v>
      </c>
      <c r="H3" s="10" t="s">
        <v>319</v>
      </c>
      <c r="I3" s="10" t="s">
        <v>320</v>
      </c>
      <c r="J3" s="11" t="s">
        <v>321</v>
      </c>
      <c r="K3" s="11" t="s">
        <v>322</v>
      </c>
      <c r="L3" s="11" t="s">
        <v>323</v>
      </c>
      <c r="M3" s="24" t="s">
        <v>324</v>
      </c>
      <c r="N3" s="24" t="s">
        <v>325</v>
      </c>
      <c r="O3" s="24" t="s">
        <v>326</v>
      </c>
      <c r="P3" s="24" t="s">
        <v>327</v>
      </c>
      <c r="Q3" s="24" t="s">
        <v>328</v>
      </c>
      <c r="R3" s="24" t="s">
        <v>329</v>
      </c>
      <c r="S3" s="24" t="s">
        <v>330</v>
      </c>
      <c r="T3" s="24" t="s">
        <v>331</v>
      </c>
      <c r="U3" s="24" t="s">
        <v>332</v>
      </c>
      <c r="V3" s="12" t="s">
        <v>333</v>
      </c>
      <c r="W3" s="12" t="s">
        <v>334</v>
      </c>
      <c r="X3" s="12" t="s">
        <v>335</v>
      </c>
      <c r="Y3" s="12" t="s">
        <v>336</v>
      </c>
      <c r="Z3" s="12" t="s">
        <v>337</v>
      </c>
      <c r="AA3" s="12" t="s">
        <v>338</v>
      </c>
      <c r="AB3" s="12" t="s">
        <v>339</v>
      </c>
      <c r="AC3" s="12" t="s">
        <v>340</v>
      </c>
      <c r="AD3" s="25" t="s">
        <v>341</v>
      </c>
      <c r="AE3" s="25" t="s">
        <v>342</v>
      </c>
      <c r="AF3" s="26" t="s">
        <v>343</v>
      </c>
      <c r="AG3" s="26" t="s">
        <v>344</v>
      </c>
      <c r="AH3" s="26" t="s">
        <v>345</v>
      </c>
      <c r="AI3" s="26" t="s">
        <v>346</v>
      </c>
      <c r="AJ3" s="26" t="s">
        <v>347</v>
      </c>
      <c r="AK3" s="27" t="s">
        <v>348</v>
      </c>
      <c r="AL3" s="27" t="s">
        <v>349</v>
      </c>
      <c r="AM3" s="27" t="s">
        <v>350</v>
      </c>
      <c r="AN3" s="27" t="s">
        <v>351</v>
      </c>
      <c r="AO3" s="27" t="s">
        <v>352</v>
      </c>
      <c r="AP3" s="27" t="s">
        <v>353</v>
      </c>
      <c r="AQ3" s="27" t="s">
        <v>354</v>
      </c>
      <c r="AR3" s="28" t="s">
        <v>355</v>
      </c>
      <c r="AS3" s="28" t="s">
        <v>356</v>
      </c>
      <c r="AT3" s="28" t="s">
        <v>357</v>
      </c>
      <c r="AU3" s="28" t="s">
        <v>358</v>
      </c>
      <c r="AV3" s="28" t="s">
        <v>359</v>
      </c>
      <c r="AW3" s="28" t="s">
        <v>360</v>
      </c>
      <c r="AX3" s="29" t="s">
        <v>361</v>
      </c>
      <c r="AY3" s="29" t="s">
        <v>362</v>
      </c>
      <c r="AZ3" s="13" t="s">
        <v>363</v>
      </c>
      <c r="BA3" s="30" t="s">
        <v>364</v>
      </c>
      <c r="BB3" s="30" t="s">
        <v>365</v>
      </c>
    </row>
    <row r="4" customFormat="false" ht="39.75" hidden="false" customHeight="true" outlineLevel="0" collapsed="false">
      <c r="A4" s="15" t="s">
        <v>366</v>
      </c>
      <c r="B4" s="15" t="s">
        <v>54</v>
      </c>
      <c r="C4" s="15" t="s">
        <v>367</v>
      </c>
      <c r="D4" s="16" t="n">
        <v>2023</v>
      </c>
      <c r="E4" s="15" t="s">
        <v>58</v>
      </c>
      <c r="F4" s="16"/>
      <c r="G4" s="15" t="s">
        <v>368</v>
      </c>
      <c r="H4" s="15" t="s">
        <v>369</v>
      </c>
      <c r="I4" s="17" t="s">
        <v>370</v>
      </c>
      <c r="J4" s="15" t="s">
        <v>371</v>
      </c>
      <c r="K4" s="15" t="s">
        <v>372</v>
      </c>
      <c r="L4" s="16"/>
      <c r="M4" s="16" t="n">
        <v>8</v>
      </c>
      <c r="N4" s="15" t="s">
        <v>373</v>
      </c>
      <c r="O4" s="16" t="n">
        <v>4266</v>
      </c>
      <c r="P4" s="15" t="s">
        <v>374</v>
      </c>
      <c r="Q4" s="15" t="s">
        <v>375</v>
      </c>
      <c r="R4" s="16" t="n">
        <v>0</v>
      </c>
      <c r="S4" s="16" t="n">
        <v>0</v>
      </c>
      <c r="T4" s="16" t="n">
        <v>8</v>
      </c>
      <c r="U4" s="16" t="n">
        <v>8</v>
      </c>
      <c r="V4" s="16" t="n">
        <v>512</v>
      </c>
      <c r="W4" s="15" t="s">
        <v>376</v>
      </c>
      <c r="X4" s="15" t="s">
        <v>377</v>
      </c>
      <c r="Y4" s="15" t="s">
        <v>378</v>
      </c>
      <c r="Z4" s="15" t="s">
        <v>61</v>
      </c>
      <c r="AA4" s="16" t="n">
        <v>1</v>
      </c>
      <c r="AB4" s="16" t="n">
        <v>0</v>
      </c>
      <c r="AC4" s="15" t="s">
        <v>63</v>
      </c>
      <c r="AD4" s="15" t="s">
        <v>379</v>
      </c>
      <c r="AE4" s="17" t="s">
        <v>380</v>
      </c>
      <c r="AF4" s="16" t="n">
        <v>1.4</v>
      </c>
      <c r="AG4" s="15" t="s">
        <v>381</v>
      </c>
      <c r="AH4" s="15" t="s">
        <v>382</v>
      </c>
      <c r="AI4" s="16" t="n">
        <v>60</v>
      </c>
      <c r="AJ4" s="15" t="s">
        <v>63</v>
      </c>
      <c r="AK4" s="16" t="n">
        <v>42</v>
      </c>
      <c r="AL4" s="16" t="n">
        <v>65</v>
      </c>
      <c r="AM4" s="15" t="s">
        <v>383</v>
      </c>
      <c r="AN4" s="16" t="n">
        <v>5.2</v>
      </c>
      <c r="AO4" s="15" t="s">
        <v>63</v>
      </c>
      <c r="AP4" s="15" t="s">
        <v>61</v>
      </c>
      <c r="AQ4" s="15" t="s">
        <v>384</v>
      </c>
      <c r="AR4" s="15" t="s">
        <v>385</v>
      </c>
      <c r="AS4" s="15" t="s">
        <v>386</v>
      </c>
      <c r="AT4" s="15" t="s">
        <v>387</v>
      </c>
      <c r="AU4" s="15" t="s">
        <v>368</v>
      </c>
      <c r="AV4" s="16" t="n">
        <v>24</v>
      </c>
      <c r="AW4" s="16" t="n">
        <v>12</v>
      </c>
      <c r="AX4" s="15" t="s">
        <v>61</v>
      </c>
      <c r="AY4" s="15" t="s">
        <v>61</v>
      </c>
      <c r="AZ4" s="17" t="s">
        <v>388</v>
      </c>
      <c r="BA4" s="31" t="n">
        <f aca="true">IF(D4="","",YEAR(TODAY())-D4)</f>
        <v>3</v>
      </c>
      <c r="BB4" s="15" t="str">
        <f aca="false">IF(J4="","",IFERROR(IF(INDEX(CPU!$I$4:$I$64,MATCH(J4,CPU!$A$4:$A$64,0))="","(isi di tab CPU)",INDEX(CPU!$I$4:$I$64,MATCH(J4,CPU!$A$4:$A$64,0))),"(CPU belum ada di tab CPU)"))</f>
        <v>ya</v>
      </c>
    </row>
    <row r="5" customFormat="false" ht="45.75" hidden="false" customHeight="true" outlineLevel="0" collapsed="false">
      <c r="A5" s="19" t="s">
        <v>389</v>
      </c>
      <c r="B5" s="19" t="s">
        <v>68</v>
      </c>
      <c r="C5" s="19" t="s">
        <v>390</v>
      </c>
      <c r="D5" s="20"/>
      <c r="E5" s="19" t="s">
        <v>58</v>
      </c>
      <c r="F5" s="20"/>
      <c r="G5" s="19" t="s">
        <v>368</v>
      </c>
      <c r="H5" s="19" t="s">
        <v>391</v>
      </c>
      <c r="I5" s="21"/>
      <c r="J5" s="19" t="s">
        <v>392</v>
      </c>
      <c r="K5" s="19" t="s">
        <v>393</v>
      </c>
      <c r="L5" s="20"/>
      <c r="M5" s="20" t="n">
        <v>16</v>
      </c>
      <c r="N5" s="19" t="s">
        <v>394</v>
      </c>
      <c r="O5" s="20"/>
      <c r="P5" s="19" t="s">
        <v>374</v>
      </c>
      <c r="Q5" s="19" t="s">
        <v>395</v>
      </c>
      <c r="R5" s="20" t="n">
        <v>1</v>
      </c>
      <c r="S5" s="20" t="n">
        <v>0</v>
      </c>
      <c r="T5" s="20" t="n">
        <v>8</v>
      </c>
      <c r="U5" s="20" t="n">
        <v>16</v>
      </c>
      <c r="V5" s="20" t="n">
        <v>512</v>
      </c>
      <c r="W5" s="19" t="s">
        <v>376</v>
      </c>
      <c r="X5" s="19" t="s">
        <v>396</v>
      </c>
      <c r="Y5" s="19" t="s">
        <v>378</v>
      </c>
      <c r="Z5" s="19" t="s">
        <v>61</v>
      </c>
      <c r="AA5" s="20" t="n">
        <v>1</v>
      </c>
      <c r="AB5" s="20" t="n">
        <v>0</v>
      </c>
      <c r="AC5" s="19" t="s">
        <v>63</v>
      </c>
      <c r="AD5" s="19" t="s">
        <v>379</v>
      </c>
      <c r="AE5" s="21" t="s">
        <v>397</v>
      </c>
      <c r="AF5" s="20" t="n">
        <v>1.6</v>
      </c>
      <c r="AG5" s="19" t="s">
        <v>381</v>
      </c>
      <c r="AH5" s="19" t="s">
        <v>398</v>
      </c>
      <c r="AI5" s="20" t="n">
        <v>60</v>
      </c>
      <c r="AJ5" s="19" t="s">
        <v>63</v>
      </c>
      <c r="AK5" s="20" t="n">
        <v>42</v>
      </c>
      <c r="AL5" s="20" t="n">
        <v>45</v>
      </c>
      <c r="AM5" s="19"/>
      <c r="AN5" s="20"/>
      <c r="AO5" s="19" t="s">
        <v>61</v>
      </c>
      <c r="AP5" s="19" t="s">
        <v>61</v>
      </c>
      <c r="AQ5" s="19" t="s">
        <v>384</v>
      </c>
      <c r="AR5" s="19" t="s">
        <v>385</v>
      </c>
      <c r="AS5" s="19" t="s">
        <v>386</v>
      </c>
      <c r="AT5" s="19" t="s">
        <v>387</v>
      </c>
      <c r="AU5" s="19" t="s">
        <v>368</v>
      </c>
      <c r="AV5" s="20" t="n">
        <v>12</v>
      </c>
      <c r="AW5" s="20"/>
      <c r="AX5" s="19" t="s">
        <v>61</v>
      </c>
      <c r="AY5" s="19" t="s">
        <v>71</v>
      </c>
      <c r="AZ5" s="21" t="s">
        <v>399</v>
      </c>
      <c r="BA5" s="32" t="str">
        <f aca="true">IF(D5="","",YEAR(TODAY())-D5)</f>
        <v/>
      </c>
      <c r="BB5" s="33" t="str">
        <f aca="false">IF(J5="","",IFERROR(IF(INDEX(CPU!$I$4:$I$64,MATCH(J5,CPU!$A$4:$A$64,0))="","(isi di tab CPU)",INDEX(CPU!$I$4:$I$64,MATCH(J5,CPU!$A$4:$A$64,0))),"(CPU belum ada di tab CPU)"))</f>
        <v>ya</v>
      </c>
    </row>
    <row r="6" customFormat="false" ht="68.25" hidden="false" customHeight="true" outlineLevel="0" collapsed="false">
      <c r="A6" s="19" t="s">
        <v>400</v>
      </c>
      <c r="B6" s="19" t="s">
        <v>75</v>
      </c>
      <c r="C6" s="19" t="s">
        <v>401</v>
      </c>
      <c r="D6" s="20" t="n">
        <v>2023</v>
      </c>
      <c r="E6" s="19" t="s">
        <v>71</v>
      </c>
      <c r="F6" s="20"/>
      <c r="G6" s="19" t="s">
        <v>368</v>
      </c>
      <c r="H6" s="19" t="s">
        <v>402</v>
      </c>
      <c r="I6" s="21"/>
      <c r="J6" s="19" t="s">
        <v>403</v>
      </c>
      <c r="K6" s="19" t="s">
        <v>404</v>
      </c>
      <c r="L6" s="20"/>
      <c r="M6" s="20" t="n">
        <v>16</v>
      </c>
      <c r="N6" s="19" t="s">
        <v>394</v>
      </c>
      <c r="O6" s="20" t="n">
        <v>3200</v>
      </c>
      <c r="P6" s="19"/>
      <c r="Q6" s="19" t="s">
        <v>375</v>
      </c>
      <c r="R6" s="20" t="n">
        <v>0</v>
      </c>
      <c r="S6" s="20" t="n">
        <v>0</v>
      </c>
      <c r="T6" s="20" t="n">
        <v>16</v>
      </c>
      <c r="U6" s="20" t="n">
        <v>16</v>
      </c>
      <c r="V6" s="20" t="n">
        <v>512</v>
      </c>
      <c r="W6" s="19" t="s">
        <v>376</v>
      </c>
      <c r="X6" s="19" t="s">
        <v>405</v>
      </c>
      <c r="Y6" s="19" t="s">
        <v>71</v>
      </c>
      <c r="Z6" s="19" t="s">
        <v>61</v>
      </c>
      <c r="AA6" s="20"/>
      <c r="AB6" s="20"/>
      <c r="AC6" s="19" t="s">
        <v>71</v>
      </c>
      <c r="AD6" s="19" t="s">
        <v>406</v>
      </c>
      <c r="AE6" s="21" t="s">
        <v>407</v>
      </c>
      <c r="AF6" s="20" t="n">
        <v>1.51</v>
      </c>
      <c r="AG6" s="19" t="s">
        <v>381</v>
      </c>
      <c r="AH6" s="19" t="s">
        <v>382</v>
      </c>
      <c r="AI6" s="20"/>
      <c r="AJ6" s="19" t="s">
        <v>61</v>
      </c>
      <c r="AK6" s="20" t="n">
        <v>43</v>
      </c>
      <c r="AL6" s="20" t="n">
        <v>65</v>
      </c>
      <c r="AM6" s="19" t="s">
        <v>383</v>
      </c>
      <c r="AN6" s="20" t="n">
        <v>5.3</v>
      </c>
      <c r="AO6" s="19" t="s">
        <v>61</v>
      </c>
      <c r="AP6" s="19" t="s">
        <v>61</v>
      </c>
      <c r="AQ6" s="19" t="s">
        <v>408</v>
      </c>
      <c r="AR6" s="19" t="s">
        <v>385</v>
      </c>
      <c r="AS6" s="19" t="s">
        <v>409</v>
      </c>
      <c r="AT6" s="19" t="s">
        <v>387</v>
      </c>
      <c r="AU6" s="19" t="s">
        <v>368</v>
      </c>
      <c r="AV6" s="20" t="n">
        <v>24</v>
      </c>
      <c r="AW6" s="20"/>
      <c r="AX6" s="19" t="s">
        <v>61</v>
      </c>
      <c r="AY6" s="19" t="s">
        <v>71</v>
      </c>
      <c r="AZ6" s="21" t="s">
        <v>410</v>
      </c>
      <c r="BA6" s="32" t="n">
        <f aca="true">IF(D6="","",YEAR(TODAY())-D6)</f>
        <v>3</v>
      </c>
      <c r="BB6" s="33" t="str">
        <f aca="false">IF(J6="","",IFERROR(IF(INDEX(CPU!$I$4:$I$64,MATCH(J6,CPU!$A$4:$A$64,0))="","(isi di tab CPU)",INDEX(CPU!$I$4:$I$64,MATCH(J6,CPU!$A$4:$A$64,0))),"(CPU belum ada di tab CPU)"))</f>
        <v>ya</v>
      </c>
    </row>
    <row r="7" customFormat="false" ht="68.25" hidden="false" customHeight="true" outlineLevel="0" collapsed="false">
      <c r="A7" s="19" t="s">
        <v>411</v>
      </c>
      <c r="B7" s="19" t="s">
        <v>83</v>
      </c>
      <c r="C7" s="19" t="s">
        <v>412</v>
      </c>
      <c r="D7" s="20"/>
      <c r="E7" s="19" t="s">
        <v>71</v>
      </c>
      <c r="F7" s="20"/>
      <c r="G7" s="19" t="s">
        <v>368</v>
      </c>
      <c r="H7" s="19" t="s">
        <v>413</v>
      </c>
      <c r="I7" s="21" t="s">
        <v>414</v>
      </c>
      <c r="J7" s="19" t="s">
        <v>415</v>
      </c>
      <c r="K7" s="19" t="s">
        <v>416</v>
      </c>
      <c r="L7" s="20"/>
      <c r="M7" s="20" t="n">
        <v>8</v>
      </c>
      <c r="N7" s="19" t="s">
        <v>394</v>
      </c>
      <c r="O7" s="20" t="n">
        <v>2400</v>
      </c>
      <c r="P7" s="19" t="s">
        <v>417</v>
      </c>
      <c r="Q7" s="19" t="s">
        <v>418</v>
      </c>
      <c r="R7" s="20" t="n">
        <v>1</v>
      </c>
      <c r="S7" s="20" t="n">
        <v>0</v>
      </c>
      <c r="T7" s="20" t="n">
        <v>0</v>
      </c>
      <c r="U7" s="20" t="n">
        <v>8</v>
      </c>
      <c r="V7" s="20" t="n">
        <v>256</v>
      </c>
      <c r="W7" s="19" t="s">
        <v>419</v>
      </c>
      <c r="X7" s="19" t="s">
        <v>420</v>
      </c>
      <c r="Y7" s="19" t="s">
        <v>378</v>
      </c>
      <c r="Z7" s="19" t="s">
        <v>61</v>
      </c>
      <c r="AA7" s="20" t="n">
        <v>2</v>
      </c>
      <c r="AB7" s="20"/>
      <c r="AC7" s="19" t="s">
        <v>71</v>
      </c>
      <c r="AD7" s="19" t="s">
        <v>406</v>
      </c>
      <c r="AE7" s="21" t="s">
        <v>421</v>
      </c>
      <c r="AF7" s="20" t="n">
        <v>1.4</v>
      </c>
      <c r="AG7" s="19" t="s">
        <v>422</v>
      </c>
      <c r="AH7" s="19" t="s">
        <v>423</v>
      </c>
      <c r="AI7" s="20" t="n">
        <v>60</v>
      </c>
      <c r="AJ7" s="19" t="s">
        <v>63</v>
      </c>
      <c r="AK7" s="20" t="n">
        <v>38</v>
      </c>
      <c r="AL7" s="20"/>
      <c r="AM7" s="19"/>
      <c r="AN7" s="20"/>
      <c r="AO7" s="19"/>
      <c r="AP7" s="19"/>
      <c r="AQ7" s="19"/>
      <c r="AR7" s="19" t="s">
        <v>385</v>
      </c>
      <c r="AS7" s="19" t="s">
        <v>71</v>
      </c>
      <c r="AT7" s="19" t="s">
        <v>71</v>
      </c>
      <c r="AU7" s="19" t="s">
        <v>368</v>
      </c>
      <c r="AV7" s="20"/>
      <c r="AW7" s="20"/>
      <c r="AX7" s="19" t="s">
        <v>61</v>
      </c>
      <c r="AY7" s="19" t="s">
        <v>71</v>
      </c>
      <c r="AZ7" s="21" t="s">
        <v>424</v>
      </c>
      <c r="BA7" s="32" t="str">
        <f aca="true">IF(D7="","",YEAR(TODAY())-D7)</f>
        <v/>
      </c>
      <c r="BB7" s="33" t="str">
        <f aca="false">IF(J7="","",IFERROR(IF(INDEX(CPU!$I$4:$I$64,MATCH(J7,CPU!$A$4:$A$64,0))="","(isi di tab CPU)",INDEX(CPU!$I$4:$I$64,MATCH(J7,CPU!$A$4:$A$64,0))),"(CPU belum ada di tab CPU)"))</f>
        <v>ya</v>
      </c>
    </row>
    <row r="8" customFormat="false" ht="68.25" hidden="false" customHeight="true" outlineLevel="0" collapsed="false">
      <c r="A8" s="19" t="s">
        <v>425</v>
      </c>
      <c r="B8" s="19" t="s">
        <v>83</v>
      </c>
      <c r="C8" s="19" t="s">
        <v>426</v>
      </c>
      <c r="D8" s="20"/>
      <c r="E8" s="19" t="s">
        <v>71</v>
      </c>
      <c r="F8" s="20"/>
      <c r="G8" s="19" t="s">
        <v>368</v>
      </c>
      <c r="H8" s="19" t="s">
        <v>413</v>
      </c>
      <c r="I8" s="21" t="s">
        <v>414</v>
      </c>
      <c r="J8" s="19" t="s">
        <v>415</v>
      </c>
      <c r="K8" s="19" t="s">
        <v>416</v>
      </c>
      <c r="L8" s="20"/>
      <c r="M8" s="20" t="n">
        <v>8</v>
      </c>
      <c r="N8" s="19" t="s">
        <v>394</v>
      </c>
      <c r="O8" s="20" t="n">
        <v>2400</v>
      </c>
      <c r="P8" s="19" t="s">
        <v>417</v>
      </c>
      <c r="Q8" s="19" t="s">
        <v>418</v>
      </c>
      <c r="R8" s="20" t="n">
        <v>1</v>
      </c>
      <c r="S8" s="20" t="n">
        <v>0</v>
      </c>
      <c r="T8" s="20" t="n">
        <v>0</v>
      </c>
      <c r="U8" s="20" t="n">
        <v>8</v>
      </c>
      <c r="V8" s="20" t="n">
        <v>256</v>
      </c>
      <c r="W8" s="19" t="s">
        <v>419</v>
      </c>
      <c r="X8" s="19" t="s">
        <v>420</v>
      </c>
      <c r="Y8" s="19" t="s">
        <v>378</v>
      </c>
      <c r="Z8" s="19" t="s">
        <v>61</v>
      </c>
      <c r="AA8" s="20" t="n">
        <v>2</v>
      </c>
      <c r="AB8" s="20"/>
      <c r="AC8" s="19" t="s">
        <v>71</v>
      </c>
      <c r="AD8" s="19" t="s">
        <v>406</v>
      </c>
      <c r="AE8" s="21" t="s">
        <v>421</v>
      </c>
      <c r="AF8" s="20" t="n">
        <v>1.4</v>
      </c>
      <c r="AG8" s="19" t="s">
        <v>422</v>
      </c>
      <c r="AH8" s="19" t="s">
        <v>423</v>
      </c>
      <c r="AI8" s="20"/>
      <c r="AJ8" s="19" t="s">
        <v>63</v>
      </c>
      <c r="AK8" s="20" t="n">
        <v>38</v>
      </c>
      <c r="AL8" s="20"/>
      <c r="AM8" s="19" t="s">
        <v>427</v>
      </c>
      <c r="AN8" s="20" t="n">
        <v>5.1</v>
      </c>
      <c r="AO8" s="19"/>
      <c r="AP8" s="19"/>
      <c r="AQ8" s="19"/>
      <c r="AR8" s="19" t="s">
        <v>428</v>
      </c>
      <c r="AS8" s="19" t="s">
        <v>71</v>
      </c>
      <c r="AT8" s="19" t="s">
        <v>71</v>
      </c>
      <c r="AU8" s="19" t="s">
        <v>368</v>
      </c>
      <c r="AV8" s="20" t="n">
        <v>12</v>
      </c>
      <c r="AW8" s="20"/>
      <c r="AX8" s="19" t="s">
        <v>61</v>
      </c>
      <c r="AY8" s="19" t="s">
        <v>71</v>
      </c>
      <c r="AZ8" s="21" t="s">
        <v>429</v>
      </c>
      <c r="BA8" s="32" t="str">
        <f aca="true">IF(D8="","",YEAR(TODAY())-D8)</f>
        <v/>
      </c>
      <c r="BB8" s="33" t="str">
        <f aca="false">IF(J8="","",IFERROR(IF(INDEX(CPU!$I$4:$I$64,MATCH(J8,CPU!$A$4:$A$64,0))="","(isi di tab CPU)",INDEX(CPU!$I$4:$I$64,MATCH(J8,CPU!$A$4:$A$64,0))),"(CPU belum ada di tab CPU)"))</f>
        <v>ya</v>
      </c>
    </row>
    <row r="9" customFormat="false" ht="68.25" hidden="false" customHeight="true" outlineLevel="0" collapsed="false">
      <c r="A9" s="19" t="s">
        <v>430</v>
      </c>
      <c r="B9" s="19" t="s">
        <v>91</v>
      </c>
      <c r="C9" s="19" t="s">
        <v>431</v>
      </c>
      <c r="D9" s="20" t="n">
        <v>2018</v>
      </c>
      <c r="E9" s="19" t="s">
        <v>95</v>
      </c>
      <c r="F9" s="20"/>
      <c r="G9" s="19" t="s">
        <v>71</v>
      </c>
      <c r="H9" s="19" t="s">
        <v>432</v>
      </c>
      <c r="I9" s="21"/>
      <c r="J9" s="19" t="s">
        <v>433</v>
      </c>
      <c r="K9" s="19" t="s">
        <v>434</v>
      </c>
      <c r="L9" s="20"/>
      <c r="M9" s="20" t="n">
        <v>8</v>
      </c>
      <c r="N9" s="19" t="s">
        <v>394</v>
      </c>
      <c r="O9" s="20" t="n">
        <v>2400</v>
      </c>
      <c r="P9" s="19" t="s">
        <v>71</v>
      </c>
      <c r="Q9" s="19" t="s">
        <v>418</v>
      </c>
      <c r="R9" s="20" t="n">
        <v>2</v>
      </c>
      <c r="S9" s="20"/>
      <c r="T9" s="20" t="n">
        <v>0</v>
      </c>
      <c r="U9" s="20" t="n">
        <v>32</v>
      </c>
      <c r="V9" s="20" t="n">
        <v>256</v>
      </c>
      <c r="W9" s="19" t="s">
        <v>71</v>
      </c>
      <c r="X9" s="19" t="s">
        <v>71</v>
      </c>
      <c r="Y9" s="19" t="s">
        <v>71</v>
      </c>
      <c r="Z9" s="19" t="s">
        <v>61</v>
      </c>
      <c r="AA9" s="20" t="n">
        <v>1</v>
      </c>
      <c r="AB9" s="20"/>
      <c r="AC9" s="19" t="s">
        <v>63</v>
      </c>
      <c r="AD9" s="19" t="s">
        <v>379</v>
      </c>
      <c r="AE9" s="21" t="s">
        <v>435</v>
      </c>
      <c r="AF9" s="20" t="n">
        <v>1.58</v>
      </c>
      <c r="AG9" s="19" t="s">
        <v>71</v>
      </c>
      <c r="AH9" s="19" t="s">
        <v>71</v>
      </c>
      <c r="AI9" s="20"/>
      <c r="AJ9" s="19" t="s">
        <v>71</v>
      </c>
      <c r="AK9" s="20"/>
      <c r="AL9" s="20"/>
      <c r="AM9" s="19" t="s">
        <v>427</v>
      </c>
      <c r="AN9" s="20" t="n">
        <v>4.1</v>
      </c>
      <c r="AO9" s="19" t="s">
        <v>71</v>
      </c>
      <c r="AP9" s="19" t="s">
        <v>71</v>
      </c>
      <c r="AQ9" s="19" t="s">
        <v>384</v>
      </c>
      <c r="AR9" s="19" t="s">
        <v>71</v>
      </c>
      <c r="AS9" s="19" t="s">
        <v>71</v>
      </c>
      <c r="AT9" s="19" t="s">
        <v>71</v>
      </c>
      <c r="AU9" s="19" t="s">
        <v>436</v>
      </c>
      <c r="AV9" s="20"/>
      <c r="AW9" s="20"/>
      <c r="AX9" s="19" t="s">
        <v>71</v>
      </c>
      <c r="AY9" s="19" t="s">
        <v>61</v>
      </c>
      <c r="AZ9" s="21" t="s">
        <v>437</v>
      </c>
      <c r="BA9" s="32" t="n">
        <f aca="true">IF(D9="","",YEAR(TODAY())-D9)</f>
        <v>8</v>
      </c>
      <c r="BB9" s="33" t="str">
        <f aca="false">IF(J9="","",IFERROR(IF(INDEX(CPU!$I$4:$I$64,MATCH(J9,CPU!$A$4:$A$64,0))="","(isi di tab CPU)",INDEX(CPU!$I$4:$I$64,MATCH(J9,CPU!$A$4:$A$64,0))),"(CPU belum ada di tab CPU)"))</f>
        <v>ya</v>
      </c>
    </row>
    <row r="10" customFormat="false" ht="68.25" hidden="false" customHeight="true" outlineLevel="0" collapsed="false">
      <c r="A10" s="19" t="s">
        <v>438</v>
      </c>
      <c r="B10" s="19" t="s">
        <v>91</v>
      </c>
      <c r="C10" s="19" t="s">
        <v>431</v>
      </c>
      <c r="D10" s="20" t="n">
        <v>2018</v>
      </c>
      <c r="E10" s="19" t="s">
        <v>95</v>
      </c>
      <c r="F10" s="20"/>
      <c r="G10" s="19" t="s">
        <v>71</v>
      </c>
      <c r="H10" s="19" t="s">
        <v>432</v>
      </c>
      <c r="I10" s="21"/>
      <c r="J10" s="19" t="s">
        <v>433</v>
      </c>
      <c r="K10" s="19" t="s">
        <v>434</v>
      </c>
      <c r="L10" s="20"/>
      <c r="M10" s="20" t="n">
        <v>16</v>
      </c>
      <c r="N10" s="19" t="s">
        <v>394</v>
      </c>
      <c r="O10" s="20" t="n">
        <v>2400</v>
      </c>
      <c r="P10" s="19" t="s">
        <v>71</v>
      </c>
      <c r="Q10" s="19" t="s">
        <v>418</v>
      </c>
      <c r="R10" s="20" t="n">
        <v>2</v>
      </c>
      <c r="S10" s="20"/>
      <c r="T10" s="20" t="n">
        <v>0</v>
      </c>
      <c r="U10" s="20" t="n">
        <v>32</v>
      </c>
      <c r="V10" s="20" t="n">
        <v>512</v>
      </c>
      <c r="W10" s="19" t="s">
        <v>71</v>
      </c>
      <c r="X10" s="19" t="s">
        <v>71</v>
      </c>
      <c r="Y10" s="19" t="s">
        <v>71</v>
      </c>
      <c r="Z10" s="19" t="s">
        <v>61</v>
      </c>
      <c r="AA10" s="20" t="n">
        <v>1</v>
      </c>
      <c r="AB10" s="20"/>
      <c r="AC10" s="19" t="s">
        <v>63</v>
      </c>
      <c r="AD10" s="19" t="s">
        <v>379</v>
      </c>
      <c r="AE10" s="21" t="s">
        <v>435</v>
      </c>
      <c r="AF10" s="20" t="n">
        <v>1.58</v>
      </c>
      <c r="AG10" s="19" t="s">
        <v>71</v>
      </c>
      <c r="AH10" s="19" t="s">
        <v>71</v>
      </c>
      <c r="AI10" s="20"/>
      <c r="AJ10" s="19" t="s">
        <v>71</v>
      </c>
      <c r="AK10" s="20"/>
      <c r="AL10" s="20"/>
      <c r="AM10" s="19" t="s">
        <v>427</v>
      </c>
      <c r="AN10" s="20" t="n">
        <v>4.1</v>
      </c>
      <c r="AO10" s="19" t="s">
        <v>71</v>
      </c>
      <c r="AP10" s="19" t="s">
        <v>71</v>
      </c>
      <c r="AQ10" s="19" t="s">
        <v>384</v>
      </c>
      <c r="AR10" s="19" t="s">
        <v>71</v>
      </c>
      <c r="AS10" s="19" t="s">
        <v>71</v>
      </c>
      <c r="AT10" s="19" t="s">
        <v>71</v>
      </c>
      <c r="AU10" s="19" t="s">
        <v>436</v>
      </c>
      <c r="AV10" s="20"/>
      <c r="AW10" s="20"/>
      <c r="AX10" s="19" t="s">
        <v>71</v>
      </c>
      <c r="AY10" s="19" t="s">
        <v>61</v>
      </c>
      <c r="AZ10" s="21" t="s">
        <v>439</v>
      </c>
      <c r="BA10" s="32" t="n">
        <f aca="true">IF(D10="","",YEAR(TODAY())-D10)</f>
        <v>8</v>
      </c>
      <c r="BB10" s="33" t="str">
        <f aca="false">IF(J10="","",IFERROR(IF(INDEX(CPU!$I$4:$I$64,MATCH(J10,CPU!$A$4:$A$64,0))="","(isi di tab CPU)",INDEX(CPU!$I$4:$I$64,MATCH(J10,CPU!$A$4:$A$64,0))),"(CPU belum ada di tab CPU)"))</f>
        <v>ya</v>
      </c>
    </row>
    <row r="11" customFormat="false" ht="68.25" hidden="false" customHeight="true" outlineLevel="0" collapsed="false">
      <c r="A11" s="19" t="s">
        <v>440</v>
      </c>
      <c r="B11" s="19" t="s">
        <v>101</v>
      </c>
      <c r="C11" s="19" t="s">
        <v>431</v>
      </c>
      <c r="D11" s="20" t="n">
        <v>2019</v>
      </c>
      <c r="E11" s="19" t="s">
        <v>95</v>
      </c>
      <c r="F11" s="20"/>
      <c r="G11" s="19" t="s">
        <v>71</v>
      </c>
      <c r="H11" s="19" t="s">
        <v>441</v>
      </c>
      <c r="I11" s="21"/>
      <c r="J11" s="19" t="s">
        <v>442</v>
      </c>
      <c r="K11" s="19" t="s">
        <v>434</v>
      </c>
      <c r="L11" s="20"/>
      <c r="M11" s="20" t="n">
        <v>8</v>
      </c>
      <c r="N11" s="19" t="s">
        <v>394</v>
      </c>
      <c r="O11" s="20" t="n">
        <v>2400</v>
      </c>
      <c r="P11" s="19" t="s">
        <v>71</v>
      </c>
      <c r="Q11" s="19" t="s">
        <v>418</v>
      </c>
      <c r="R11" s="20" t="n">
        <v>2</v>
      </c>
      <c r="S11" s="20"/>
      <c r="T11" s="20" t="n">
        <v>0</v>
      </c>
      <c r="U11" s="20" t="n">
        <v>32</v>
      </c>
      <c r="V11" s="20" t="n">
        <v>256</v>
      </c>
      <c r="W11" s="19" t="s">
        <v>71</v>
      </c>
      <c r="X11" s="19" t="s">
        <v>71</v>
      </c>
      <c r="Y11" s="19" t="s">
        <v>71</v>
      </c>
      <c r="Z11" s="19" t="s">
        <v>61</v>
      </c>
      <c r="AA11" s="20" t="n">
        <v>1</v>
      </c>
      <c r="AB11" s="20"/>
      <c r="AC11" s="19" t="s">
        <v>71</v>
      </c>
      <c r="AD11" s="19" t="s">
        <v>379</v>
      </c>
      <c r="AE11" s="21" t="s">
        <v>443</v>
      </c>
      <c r="AF11" s="20" t="n">
        <v>1.48</v>
      </c>
      <c r="AG11" s="19" t="s">
        <v>71</v>
      </c>
      <c r="AH11" s="19" t="s">
        <v>71</v>
      </c>
      <c r="AI11" s="20"/>
      <c r="AJ11" s="19" t="s">
        <v>71</v>
      </c>
      <c r="AK11" s="20"/>
      <c r="AL11" s="20"/>
      <c r="AM11" s="19"/>
      <c r="AN11" s="20"/>
      <c r="AO11" s="19" t="s">
        <v>71</v>
      </c>
      <c r="AP11" s="19" t="s">
        <v>71</v>
      </c>
      <c r="AQ11" s="19"/>
      <c r="AR11" s="19" t="s">
        <v>71</v>
      </c>
      <c r="AS11" s="19" t="s">
        <v>71</v>
      </c>
      <c r="AT11" s="19" t="s">
        <v>71</v>
      </c>
      <c r="AU11" s="19" t="s">
        <v>436</v>
      </c>
      <c r="AV11" s="20"/>
      <c r="AW11" s="20"/>
      <c r="AX11" s="19" t="s">
        <v>71</v>
      </c>
      <c r="AY11" s="19" t="s">
        <v>61</v>
      </c>
      <c r="AZ11" s="21" t="s">
        <v>444</v>
      </c>
      <c r="BA11" s="32" t="n">
        <f aca="true">IF(D11="","",YEAR(TODAY())-D11)</f>
        <v>7</v>
      </c>
      <c r="BB11" s="33" t="str">
        <f aca="false">IF(J11="","",IFERROR(IF(INDEX(CPU!$I$4:$I$64,MATCH(J11,CPU!$A$4:$A$64,0))="","(isi di tab CPU)",INDEX(CPU!$I$4:$I$64,MATCH(J11,CPU!$A$4:$A$64,0))),"(CPU belum ada di tab CPU)"))</f>
        <v>ya</v>
      </c>
    </row>
    <row r="12" customFormat="false" ht="68.25" hidden="false" customHeight="true" outlineLevel="0" collapsed="false">
      <c r="A12" s="19" t="s">
        <v>445</v>
      </c>
      <c r="B12" s="19" t="s">
        <v>101</v>
      </c>
      <c r="C12" s="19" t="s">
        <v>431</v>
      </c>
      <c r="D12" s="20" t="n">
        <v>2019</v>
      </c>
      <c r="E12" s="19" t="s">
        <v>95</v>
      </c>
      <c r="F12" s="20"/>
      <c r="G12" s="19" t="s">
        <v>71</v>
      </c>
      <c r="H12" s="19" t="s">
        <v>441</v>
      </c>
      <c r="I12" s="21"/>
      <c r="J12" s="19" t="s">
        <v>446</v>
      </c>
      <c r="K12" s="19" t="s">
        <v>434</v>
      </c>
      <c r="L12" s="20"/>
      <c r="M12" s="20" t="n">
        <v>8</v>
      </c>
      <c r="N12" s="19" t="s">
        <v>394</v>
      </c>
      <c r="O12" s="20" t="n">
        <v>2400</v>
      </c>
      <c r="P12" s="19" t="s">
        <v>71</v>
      </c>
      <c r="Q12" s="19" t="s">
        <v>418</v>
      </c>
      <c r="R12" s="20" t="n">
        <v>2</v>
      </c>
      <c r="S12" s="20"/>
      <c r="T12" s="20" t="n">
        <v>0</v>
      </c>
      <c r="U12" s="20" t="n">
        <v>32</v>
      </c>
      <c r="V12" s="20" t="n">
        <v>256</v>
      </c>
      <c r="W12" s="19" t="s">
        <v>71</v>
      </c>
      <c r="X12" s="19" t="s">
        <v>71</v>
      </c>
      <c r="Y12" s="19" t="s">
        <v>71</v>
      </c>
      <c r="Z12" s="19" t="s">
        <v>61</v>
      </c>
      <c r="AA12" s="20" t="n">
        <v>1</v>
      </c>
      <c r="AB12" s="20"/>
      <c r="AC12" s="19" t="s">
        <v>71</v>
      </c>
      <c r="AD12" s="19" t="s">
        <v>379</v>
      </c>
      <c r="AE12" s="21" t="s">
        <v>443</v>
      </c>
      <c r="AF12" s="20" t="n">
        <v>1.48</v>
      </c>
      <c r="AG12" s="19" t="s">
        <v>71</v>
      </c>
      <c r="AH12" s="19" t="s">
        <v>71</v>
      </c>
      <c r="AI12" s="20"/>
      <c r="AJ12" s="19" t="s">
        <v>71</v>
      </c>
      <c r="AK12" s="20"/>
      <c r="AL12" s="20"/>
      <c r="AM12" s="19"/>
      <c r="AN12" s="20"/>
      <c r="AO12" s="19" t="s">
        <v>71</v>
      </c>
      <c r="AP12" s="19" t="s">
        <v>71</v>
      </c>
      <c r="AQ12" s="19"/>
      <c r="AR12" s="19" t="s">
        <v>71</v>
      </c>
      <c r="AS12" s="19" t="s">
        <v>71</v>
      </c>
      <c r="AT12" s="19" t="s">
        <v>71</v>
      </c>
      <c r="AU12" s="19" t="s">
        <v>436</v>
      </c>
      <c r="AV12" s="20"/>
      <c r="AW12" s="20"/>
      <c r="AX12" s="19" t="s">
        <v>71</v>
      </c>
      <c r="AY12" s="19" t="s">
        <v>61</v>
      </c>
      <c r="AZ12" s="21" t="s">
        <v>447</v>
      </c>
      <c r="BA12" s="32" t="n">
        <f aca="true">IF(D12="","",YEAR(TODAY())-D12)</f>
        <v>7</v>
      </c>
      <c r="BB12" s="33" t="str">
        <f aca="false">IF(J12="","",IFERROR(IF(INDEX(CPU!$I$4:$I$64,MATCH(J12,CPU!$A$4:$A$64,0))="","(isi di tab CPU)",INDEX(CPU!$I$4:$I$64,MATCH(J12,CPU!$A$4:$A$64,0))),"(CPU belum ada di tab CPU)"))</f>
        <v>ya</v>
      </c>
    </row>
    <row r="13" customFormat="false" ht="15" hidden="false" customHeight="true" outlineLevel="0" collapsed="false">
      <c r="A13" s="19" t="s">
        <v>448</v>
      </c>
      <c r="B13" s="19" t="s">
        <v>109</v>
      </c>
      <c r="C13" s="19" t="s">
        <v>449</v>
      </c>
      <c r="D13" s="20" t="n">
        <v>2024</v>
      </c>
      <c r="E13" s="19" t="s">
        <v>58</v>
      </c>
      <c r="F13" s="20"/>
      <c r="G13" s="19" t="s">
        <v>368</v>
      </c>
      <c r="H13" s="19"/>
      <c r="I13" s="21"/>
      <c r="J13" s="19" t="s">
        <v>450</v>
      </c>
      <c r="K13" s="19" t="s">
        <v>451</v>
      </c>
      <c r="L13" s="20"/>
      <c r="M13" s="20" t="n">
        <v>16</v>
      </c>
      <c r="N13" s="19" t="s">
        <v>452</v>
      </c>
      <c r="O13" s="20"/>
      <c r="P13" s="19" t="s">
        <v>374</v>
      </c>
      <c r="Q13" s="19" t="s">
        <v>375</v>
      </c>
      <c r="R13" s="20" t="n">
        <v>0</v>
      </c>
      <c r="S13" s="20" t="n">
        <v>0</v>
      </c>
      <c r="T13" s="20" t="n">
        <v>16</v>
      </c>
      <c r="U13" s="20" t="n">
        <v>16</v>
      </c>
      <c r="V13" s="20" t="n">
        <v>1024</v>
      </c>
      <c r="W13" s="19" t="s">
        <v>376</v>
      </c>
      <c r="X13" s="19" t="s">
        <v>453</v>
      </c>
      <c r="Y13" s="19" t="s">
        <v>378</v>
      </c>
      <c r="Z13" s="19" t="s">
        <v>61</v>
      </c>
      <c r="AA13" s="20"/>
      <c r="AB13" s="20"/>
      <c r="AC13" s="19" t="s">
        <v>71</v>
      </c>
      <c r="AD13" s="19" t="s">
        <v>379</v>
      </c>
      <c r="AE13" s="21" t="s">
        <v>454</v>
      </c>
      <c r="AF13" s="20"/>
      <c r="AG13" s="19" t="s">
        <v>455</v>
      </c>
      <c r="AH13" s="19" t="s">
        <v>456</v>
      </c>
      <c r="AI13" s="20" t="n">
        <v>120</v>
      </c>
      <c r="AJ13" s="19" t="s">
        <v>71</v>
      </c>
      <c r="AK13" s="20" t="n">
        <v>75</v>
      </c>
      <c r="AL13" s="20"/>
      <c r="AM13" s="19" t="s">
        <v>71</v>
      </c>
      <c r="AN13" s="20"/>
      <c r="AO13" s="19" t="s">
        <v>71</v>
      </c>
      <c r="AP13" s="19" t="s">
        <v>71</v>
      </c>
      <c r="AQ13" s="19" t="s">
        <v>457</v>
      </c>
      <c r="AR13" s="19" t="s">
        <v>385</v>
      </c>
      <c r="AS13" s="19" t="s">
        <v>71</v>
      </c>
      <c r="AT13" s="19" t="s">
        <v>387</v>
      </c>
      <c r="AU13" s="19" t="s">
        <v>368</v>
      </c>
      <c r="AV13" s="20"/>
      <c r="AW13" s="20"/>
      <c r="AX13" s="19" t="s">
        <v>71</v>
      </c>
      <c r="AY13" s="19" t="s">
        <v>71</v>
      </c>
      <c r="AZ13" s="21" t="s">
        <v>458</v>
      </c>
      <c r="BA13" s="32" t="n">
        <f aca="true">IF(D13="","",YEAR(TODAY())-D13)</f>
        <v>2</v>
      </c>
      <c r="BB13" s="33" t="str">
        <f aca="false">IF(J13="","",IFERROR(IF(INDEX(CPU!$I$4:$I$64,MATCH(J13,CPU!$A$4:$A$64,0))="","(isi di tab CPU)",INDEX(CPU!$I$4:$I$64,MATCH(J13,CPU!$A$4:$A$64,0))),"(CPU belum ada di tab CPU)"))</f>
        <v>ya</v>
      </c>
    </row>
    <row r="14" customFormat="false" ht="15" hidden="false" customHeight="true" outlineLevel="0" collapsed="false">
      <c r="A14" s="19" t="s">
        <v>459</v>
      </c>
      <c r="B14" s="19" t="s">
        <v>116</v>
      </c>
      <c r="C14" s="19" t="s">
        <v>460</v>
      </c>
      <c r="D14" s="20" t="n">
        <v>2023</v>
      </c>
      <c r="E14" s="19" t="s">
        <v>58</v>
      </c>
      <c r="F14" s="20"/>
      <c r="G14" s="19" t="s">
        <v>368</v>
      </c>
      <c r="H14" s="19" t="s">
        <v>461</v>
      </c>
      <c r="I14" s="21"/>
      <c r="J14" s="19" t="s">
        <v>462</v>
      </c>
      <c r="K14" s="19" t="s">
        <v>463</v>
      </c>
      <c r="L14" s="20"/>
      <c r="M14" s="20" t="n">
        <v>8</v>
      </c>
      <c r="N14" s="19" t="s">
        <v>464</v>
      </c>
      <c r="O14" s="20"/>
      <c r="P14" s="19" t="s">
        <v>374</v>
      </c>
      <c r="Q14" s="19" t="s">
        <v>375</v>
      </c>
      <c r="R14" s="20" t="n">
        <v>0</v>
      </c>
      <c r="S14" s="20" t="n">
        <v>0</v>
      </c>
      <c r="T14" s="20" t="n">
        <v>8</v>
      </c>
      <c r="U14" s="20" t="n">
        <v>8</v>
      </c>
      <c r="V14" s="20" t="n">
        <v>512</v>
      </c>
      <c r="W14" s="19" t="s">
        <v>376</v>
      </c>
      <c r="X14" s="19" t="s">
        <v>396</v>
      </c>
      <c r="Y14" s="19" t="s">
        <v>71</v>
      </c>
      <c r="Z14" s="19" t="s">
        <v>61</v>
      </c>
      <c r="AA14" s="20" t="n">
        <v>1</v>
      </c>
      <c r="AB14" s="20" t="n">
        <v>0</v>
      </c>
      <c r="AC14" s="19" t="s">
        <v>71</v>
      </c>
      <c r="AD14" s="19" t="s">
        <v>406</v>
      </c>
      <c r="AE14" s="21" t="s">
        <v>465</v>
      </c>
      <c r="AF14" s="20" t="n">
        <v>1.4</v>
      </c>
      <c r="AG14" s="19" t="s">
        <v>422</v>
      </c>
      <c r="AH14" s="19" t="s">
        <v>423</v>
      </c>
      <c r="AI14" s="20" t="n">
        <v>60</v>
      </c>
      <c r="AJ14" s="19" t="s">
        <v>71</v>
      </c>
      <c r="AK14" s="20"/>
      <c r="AL14" s="20"/>
      <c r="AM14" s="19" t="s">
        <v>427</v>
      </c>
      <c r="AN14" s="20"/>
      <c r="AO14" s="19" t="s">
        <v>71</v>
      </c>
      <c r="AP14" s="19" t="s">
        <v>71</v>
      </c>
      <c r="AQ14" s="19" t="s">
        <v>384</v>
      </c>
      <c r="AR14" s="19" t="s">
        <v>385</v>
      </c>
      <c r="AS14" s="19" t="s">
        <v>386</v>
      </c>
      <c r="AT14" s="19" t="s">
        <v>387</v>
      </c>
      <c r="AU14" s="19" t="s">
        <v>368</v>
      </c>
      <c r="AV14" s="20" t="n">
        <v>12</v>
      </c>
      <c r="AW14" s="20"/>
      <c r="AX14" s="19" t="s">
        <v>61</v>
      </c>
      <c r="AY14" s="19" t="s">
        <v>61</v>
      </c>
      <c r="AZ14" s="21" t="s">
        <v>466</v>
      </c>
      <c r="BA14" s="32" t="n">
        <f aca="true">IF(D14="","",YEAR(TODAY())-D14)</f>
        <v>3</v>
      </c>
      <c r="BB14" s="33" t="str">
        <f aca="false">IF(J14="","",IFERROR(IF(INDEX(CPU!$I$4:$I$64,MATCH(J14,CPU!$A$4:$A$64,0))="","(isi di tab CPU)",INDEX(CPU!$I$4:$I$64,MATCH(J14,CPU!$A$4:$A$64,0))),"(CPU belum ada di tab CPU)"))</f>
        <v>ya</v>
      </c>
    </row>
    <row r="15" customFormat="false" ht="15" hidden="false" customHeight="true" outlineLevel="0" collapsed="false">
      <c r="A15" s="19" t="s">
        <v>467</v>
      </c>
      <c r="B15" s="19" t="s">
        <v>116</v>
      </c>
      <c r="C15" s="19" t="s">
        <v>468</v>
      </c>
      <c r="D15" s="20" t="n">
        <v>2023</v>
      </c>
      <c r="E15" s="19" t="s">
        <v>58</v>
      </c>
      <c r="F15" s="20"/>
      <c r="G15" s="19" t="s">
        <v>368</v>
      </c>
      <c r="H15" s="19" t="s">
        <v>461</v>
      </c>
      <c r="I15" s="21"/>
      <c r="J15" s="19" t="s">
        <v>469</v>
      </c>
      <c r="K15" s="19" t="s">
        <v>463</v>
      </c>
      <c r="L15" s="20"/>
      <c r="M15" s="20" t="n">
        <v>8</v>
      </c>
      <c r="N15" s="19" t="s">
        <v>464</v>
      </c>
      <c r="O15" s="20"/>
      <c r="P15" s="19" t="s">
        <v>374</v>
      </c>
      <c r="Q15" s="19" t="s">
        <v>375</v>
      </c>
      <c r="R15" s="20" t="n">
        <v>0</v>
      </c>
      <c r="S15" s="20" t="n">
        <v>0</v>
      </c>
      <c r="T15" s="20" t="n">
        <v>8</v>
      </c>
      <c r="U15" s="20" t="n">
        <v>8</v>
      </c>
      <c r="V15" s="20" t="n">
        <v>512</v>
      </c>
      <c r="W15" s="19" t="s">
        <v>376</v>
      </c>
      <c r="X15" s="19" t="s">
        <v>396</v>
      </c>
      <c r="Y15" s="19" t="s">
        <v>71</v>
      </c>
      <c r="Z15" s="19" t="s">
        <v>61</v>
      </c>
      <c r="AA15" s="20" t="n">
        <v>1</v>
      </c>
      <c r="AB15" s="20" t="n">
        <v>0</v>
      </c>
      <c r="AC15" s="19" t="s">
        <v>71</v>
      </c>
      <c r="AD15" s="19" t="s">
        <v>406</v>
      </c>
      <c r="AE15" s="21" t="s">
        <v>470</v>
      </c>
      <c r="AF15" s="20" t="n">
        <v>1.4</v>
      </c>
      <c r="AG15" s="19" t="s">
        <v>422</v>
      </c>
      <c r="AH15" s="19" t="s">
        <v>423</v>
      </c>
      <c r="AI15" s="20" t="n">
        <v>60</v>
      </c>
      <c r="AJ15" s="19" t="s">
        <v>71</v>
      </c>
      <c r="AK15" s="20" t="n">
        <v>38</v>
      </c>
      <c r="AL15" s="20"/>
      <c r="AM15" s="19" t="s">
        <v>427</v>
      </c>
      <c r="AN15" s="20" t="n">
        <v>5</v>
      </c>
      <c r="AO15" s="19" t="s">
        <v>71</v>
      </c>
      <c r="AP15" s="19" t="s">
        <v>71</v>
      </c>
      <c r="AQ15" s="19" t="s">
        <v>384</v>
      </c>
      <c r="AR15" s="19" t="s">
        <v>385</v>
      </c>
      <c r="AS15" s="19" t="s">
        <v>386</v>
      </c>
      <c r="AT15" s="19" t="s">
        <v>387</v>
      </c>
      <c r="AU15" s="19" t="s">
        <v>368</v>
      </c>
      <c r="AV15" s="20" t="n">
        <v>12</v>
      </c>
      <c r="AW15" s="20"/>
      <c r="AX15" s="19" t="s">
        <v>61</v>
      </c>
      <c r="AY15" s="19" t="s">
        <v>61</v>
      </c>
      <c r="AZ15" s="21" t="s">
        <v>471</v>
      </c>
      <c r="BA15" s="32" t="n">
        <f aca="true">IF(D15="","",YEAR(TODAY())-D15)</f>
        <v>3</v>
      </c>
      <c r="BB15" s="33" t="str">
        <f aca="false">IF(J15="","",IFERROR(IF(INDEX(CPU!$I$4:$I$64,MATCH(J15,CPU!$A$4:$A$64,0))="","(isi di tab CPU)",INDEX(CPU!$I$4:$I$64,MATCH(J15,CPU!$A$4:$A$64,0))),"(CPU belum ada di tab CPU)"))</f>
        <v>ya</v>
      </c>
    </row>
    <row r="16" customFormat="false" ht="15" hidden="false" customHeight="true" outlineLevel="0" collapsed="false">
      <c r="A16" s="19" t="s">
        <v>472</v>
      </c>
      <c r="B16" s="19" t="s">
        <v>122</v>
      </c>
      <c r="C16" s="19" t="s">
        <v>473</v>
      </c>
      <c r="D16" s="20" t="n">
        <v>2023</v>
      </c>
      <c r="E16" s="19" t="s">
        <v>58</v>
      </c>
      <c r="F16" s="20"/>
      <c r="G16" s="19" t="s">
        <v>368</v>
      </c>
      <c r="H16" s="19"/>
      <c r="I16" s="21"/>
      <c r="J16" s="19" t="s">
        <v>474</v>
      </c>
      <c r="K16" s="19" t="s">
        <v>475</v>
      </c>
      <c r="L16" s="20"/>
      <c r="M16" s="20" t="n">
        <v>16</v>
      </c>
      <c r="N16" s="19" t="s">
        <v>464</v>
      </c>
      <c r="O16" s="20" t="n">
        <v>4800</v>
      </c>
      <c r="P16" s="19" t="s">
        <v>374</v>
      </c>
      <c r="Q16" s="19" t="s">
        <v>375</v>
      </c>
      <c r="R16" s="20" t="n">
        <v>0</v>
      </c>
      <c r="S16" s="20" t="n">
        <v>0</v>
      </c>
      <c r="T16" s="20" t="n">
        <v>16</v>
      </c>
      <c r="U16" s="20" t="n">
        <v>16</v>
      </c>
      <c r="V16" s="20" t="n">
        <v>512</v>
      </c>
      <c r="W16" s="19" t="s">
        <v>376</v>
      </c>
      <c r="X16" s="19" t="s">
        <v>453</v>
      </c>
      <c r="Y16" s="19" t="s">
        <v>476</v>
      </c>
      <c r="Z16" s="19" t="s">
        <v>61</v>
      </c>
      <c r="AA16" s="20" t="n">
        <v>1</v>
      </c>
      <c r="AB16" s="20" t="n">
        <v>0</v>
      </c>
      <c r="AC16" s="19" t="s">
        <v>63</v>
      </c>
      <c r="AD16" s="19" t="s">
        <v>379</v>
      </c>
      <c r="AE16" s="21" t="s">
        <v>477</v>
      </c>
      <c r="AF16" s="20" t="n">
        <v>1.37</v>
      </c>
      <c r="AG16" s="19" t="s">
        <v>381</v>
      </c>
      <c r="AH16" s="19" t="s">
        <v>382</v>
      </c>
      <c r="AI16" s="20" t="n">
        <v>60</v>
      </c>
      <c r="AJ16" s="19" t="s">
        <v>63</v>
      </c>
      <c r="AK16" s="20" t="n">
        <v>47</v>
      </c>
      <c r="AL16" s="20" t="n">
        <v>65</v>
      </c>
      <c r="AM16" s="19" t="s">
        <v>383</v>
      </c>
      <c r="AN16" s="20" t="n">
        <v>5.2</v>
      </c>
      <c r="AO16" s="19" t="s">
        <v>71</v>
      </c>
      <c r="AP16" s="19" t="s">
        <v>61</v>
      </c>
      <c r="AQ16" s="19" t="s">
        <v>457</v>
      </c>
      <c r="AR16" s="19" t="s">
        <v>385</v>
      </c>
      <c r="AS16" s="19" t="s">
        <v>386</v>
      </c>
      <c r="AT16" s="19" t="s">
        <v>387</v>
      </c>
      <c r="AU16" s="19" t="s">
        <v>368</v>
      </c>
      <c r="AV16" s="20" t="n">
        <v>24</v>
      </c>
      <c r="AW16" s="20"/>
      <c r="AX16" s="19" t="s">
        <v>61</v>
      </c>
      <c r="AY16" s="19" t="s">
        <v>71</v>
      </c>
      <c r="AZ16" s="21" t="s">
        <v>478</v>
      </c>
      <c r="BA16" s="32" t="n">
        <f aca="true">IF(D16="","",YEAR(TODAY())-D16)</f>
        <v>3</v>
      </c>
      <c r="BB16" s="33" t="str">
        <f aca="false">IF(J16="","",IFERROR(IF(INDEX(CPU!$I$4:$I$64,MATCH(J16,CPU!$A$4:$A$64,0))="","(isi di tab CPU)",INDEX(CPU!$I$4:$I$64,MATCH(J16,CPU!$A$4:$A$64,0))),"(CPU belum ada di tab CPU)"))</f>
        <v>ya</v>
      </c>
    </row>
    <row r="17" customFormat="false" ht="15" hidden="false" customHeight="true" outlineLevel="0" collapsed="false">
      <c r="A17" s="19" t="s">
        <v>479</v>
      </c>
      <c r="B17" s="19" t="s">
        <v>122</v>
      </c>
      <c r="C17" s="19" t="s">
        <v>480</v>
      </c>
      <c r="D17" s="20" t="n">
        <v>2023</v>
      </c>
      <c r="E17" s="19" t="s">
        <v>58</v>
      </c>
      <c r="F17" s="20"/>
      <c r="G17" s="19" t="s">
        <v>368</v>
      </c>
      <c r="H17" s="19"/>
      <c r="I17" s="21"/>
      <c r="J17" s="19" t="s">
        <v>474</v>
      </c>
      <c r="K17" s="19" t="s">
        <v>475</v>
      </c>
      <c r="L17" s="20"/>
      <c r="M17" s="20" t="n">
        <v>8</v>
      </c>
      <c r="N17" s="19" t="s">
        <v>464</v>
      </c>
      <c r="O17" s="20" t="n">
        <v>4800</v>
      </c>
      <c r="P17" s="19" t="s">
        <v>417</v>
      </c>
      <c r="Q17" s="19" t="s">
        <v>375</v>
      </c>
      <c r="R17" s="20" t="n">
        <v>0</v>
      </c>
      <c r="S17" s="20" t="n">
        <v>0</v>
      </c>
      <c r="T17" s="20" t="n">
        <v>8</v>
      </c>
      <c r="U17" s="20" t="n">
        <v>8</v>
      </c>
      <c r="V17" s="20" t="n">
        <v>512</v>
      </c>
      <c r="W17" s="19" t="s">
        <v>376</v>
      </c>
      <c r="X17" s="19" t="s">
        <v>453</v>
      </c>
      <c r="Y17" s="19" t="s">
        <v>476</v>
      </c>
      <c r="Z17" s="19" t="s">
        <v>61</v>
      </c>
      <c r="AA17" s="20" t="n">
        <v>1</v>
      </c>
      <c r="AB17" s="20" t="n">
        <v>0</v>
      </c>
      <c r="AC17" s="19" t="s">
        <v>63</v>
      </c>
      <c r="AD17" s="19" t="s">
        <v>379</v>
      </c>
      <c r="AE17" s="21" t="s">
        <v>477</v>
      </c>
      <c r="AF17" s="20" t="n">
        <v>1.37</v>
      </c>
      <c r="AG17" s="19" t="s">
        <v>381</v>
      </c>
      <c r="AH17" s="19" t="s">
        <v>382</v>
      </c>
      <c r="AI17" s="20" t="n">
        <v>60</v>
      </c>
      <c r="AJ17" s="19" t="s">
        <v>63</v>
      </c>
      <c r="AK17" s="20" t="n">
        <v>47</v>
      </c>
      <c r="AL17" s="20" t="n">
        <v>65</v>
      </c>
      <c r="AM17" s="19" t="s">
        <v>383</v>
      </c>
      <c r="AN17" s="20" t="n">
        <v>5.2</v>
      </c>
      <c r="AO17" s="19" t="s">
        <v>63</v>
      </c>
      <c r="AP17" s="19" t="s">
        <v>61</v>
      </c>
      <c r="AQ17" s="19" t="s">
        <v>457</v>
      </c>
      <c r="AR17" s="19" t="s">
        <v>385</v>
      </c>
      <c r="AS17" s="19" t="s">
        <v>386</v>
      </c>
      <c r="AT17" s="19" t="s">
        <v>387</v>
      </c>
      <c r="AU17" s="19" t="s">
        <v>368</v>
      </c>
      <c r="AV17" s="20" t="n">
        <v>24</v>
      </c>
      <c r="AW17" s="20"/>
      <c r="AX17" s="19" t="s">
        <v>61</v>
      </c>
      <c r="AY17" s="19" t="s">
        <v>71</v>
      </c>
      <c r="AZ17" s="21" t="s">
        <v>481</v>
      </c>
      <c r="BA17" s="32" t="n">
        <f aca="true">IF(D17="","",YEAR(TODAY())-D17)</f>
        <v>3</v>
      </c>
      <c r="BB17" s="33" t="str">
        <f aca="false">IF(J17="","",IFERROR(IF(INDEX(CPU!$I$4:$I$64,MATCH(J17,CPU!$A$4:$A$64,0))="","(isi di tab CPU)",INDEX(CPU!$I$4:$I$64,MATCH(J17,CPU!$A$4:$A$64,0))),"(CPU belum ada di tab CPU)"))</f>
        <v>ya</v>
      </c>
    </row>
    <row r="18" customFormat="false" ht="15" hidden="false" customHeight="true" outlineLevel="0" collapsed="false">
      <c r="A18" s="19" t="s">
        <v>482</v>
      </c>
      <c r="B18" s="19" t="s">
        <v>127</v>
      </c>
      <c r="C18" s="19" t="s">
        <v>483</v>
      </c>
      <c r="D18" s="20" t="n">
        <v>2023</v>
      </c>
      <c r="E18" s="19" t="s">
        <v>58</v>
      </c>
      <c r="F18" s="20"/>
      <c r="G18" s="19" t="s">
        <v>368</v>
      </c>
      <c r="H18" s="19"/>
      <c r="I18" s="21"/>
      <c r="J18" s="19" t="s">
        <v>469</v>
      </c>
      <c r="K18" s="19" t="s">
        <v>463</v>
      </c>
      <c r="L18" s="20"/>
      <c r="M18" s="20" t="n">
        <v>8</v>
      </c>
      <c r="N18" s="19" t="s">
        <v>464</v>
      </c>
      <c r="O18" s="20"/>
      <c r="P18" s="19" t="s">
        <v>71</v>
      </c>
      <c r="Q18" s="19" t="s">
        <v>375</v>
      </c>
      <c r="R18" s="20" t="n">
        <v>0</v>
      </c>
      <c r="S18" s="20" t="n">
        <v>0</v>
      </c>
      <c r="T18" s="20" t="n">
        <v>8</v>
      </c>
      <c r="U18" s="20" t="n">
        <v>8</v>
      </c>
      <c r="V18" s="20" t="n">
        <v>512</v>
      </c>
      <c r="W18" s="19" t="s">
        <v>376</v>
      </c>
      <c r="X18" s="19" t="s">
        <v>484</v>
      </c>
      <c r="Y18" s="19" t="s">
        <v>378</v>
      </c>
      <c r="Z18" s="19" t="s">
        <v>61</v>
      </c>
      <c r="AA18" s="20" t="n">
        <v>1</v>
      </c>
      <c r="AB18" s="20" t="n">
        <v>0</v>
      </c>
      <c r="AC18" s="19" t="s">
        <v>63</v>
      </c>
      <c r="AD18" s="19" t="s">
        <v>379</v>
      </c>
      <c r="AE18" s="21" t="s">
        <v>485</v>
      </c>
      <c r="AF18" s="20" t="n">
        <v>1.38</v>
      </c>
      <c r="AG18" s="19" t="s">
        <v>422</v>
      </c>
      <c r="AH18" s="19" t="s">
        <v>382</v>
      </c>
      <c r="AI18" s="20" t="n">
        <v>60</v>
      </c>
      <c r="AJ18" s="19" t="s">
        <v>63</v>
      </c>
      <c r="AK18" s="20" t="n">
        <v>42</v>
      </c>
      <c r="AL18" s="20" t="n">
        <v>45</v>
      </c>
      <c r="AM18" s="19" t="s">
        <v>486</v>
      </c>
      <c r="AN18" s="20" t="n">
        <v>5.3</v>
      </c>
      <c r="AO18" s="19" t="s">
        <v>71</v>
      </c>
      <c r="AP18" s="19" t="s">
        <v>71</v>
      </c>
      <c r="AQ18" s="19" t="s">
        <v>384</v>
      </c>
      <c r="AR18" s="19" t="s">
        <v>385</v>
      </c>
      <c r="AS18" s="19" t="s">
        <v>386</v>
      </c>
      <c r="AT18" s="19" t="s">
        <v>387</v>
      </c>
      <c r="AU18" s="19" t="s">
        <v>368</v>
      </c>
      <c r="AV18" s="20" t="n">
        <v>24</v>
      </c>
      <c r="AW18" s="20"/>
      <c r="AX18" s="19" t="s">
        <v>61</v>
      </c>
      <c r="AY18" s="19" t="s">
        <v>71</v>
      </c>
      <c r="AZ18" s="21" t="s">
        <v>487</v>
      </c>
      <c r="BA18" s="32" t="n">
        <f aca="true">IF(D18="","",YEAR(TODAY())-D18)</f>
        <v>3</v>
      </c>
      <c r="BB18" s="33" t="str">
        <f aca="false">IF(J18="","",IFERROR(IF(INDEX(CPU!$I$4:$I$64,MATCH(J18,CPU!$A$4:$A$64,0))="","(isi di tab CPU)",INDEX(CPU!$I$4:$I$64,MATCH(J18,CPU!$A$4:$A$64,0))),"(CPU belum ada di tab CPU)"))</f>
        <v>ya</v>
      </c>
    </row>
    <row r="19" customFormat="false" ht="15" hidden="false" customHeight="true" outlineLevel="0" collapsed="false">
      <c r="A19" s="19" t="s">
        <v>488</v>
      </c>
      <c r="B19" s="19" t="s">
        <v>132</v>
      </c>
      <c r="C19" s="19" t="s">
        <v>489</v>
      </c>
      <c r="D19" s="20" t="n">
        <v>2025</v>
      </c>
      <c r="E19" s="19" t="s">
        <v>58</v>
      </c>
      <c r="F19" s="20"/>
      <c r="G19" s="19" t="s">
        <v>368</v>
      </c>
      <c r="H19" s="19"/>
      <c r="I19" s="21"/>
      <c r="J19" s="19" t="s">
        <v>490</v>
      </c>
      <c r="K19" s="19" t="s">
        <v>491</v>
      </c>
      <c r="L19" s="20"/>
      <c r="M19" s="20" t="n">
        <v>16</v>
      </c>
      <c r="N19" s="19" t="s">
        <v>492</v>
      </c>
      <c r="O19" s="20"/>
      <c r="P19" s="19" t="s">
        <v>374</v>
      </c>
      <c r="Q19" s="19" t="s">
        <v>395</v>
      </c>
      <c r="R19" s="20" t="n">
        <v>1</v>
      </c>
      <c r="S19" s="20" t="n">
        <v>0</v>
      </c>
      <c r="T19" s="20" t="n">
        <v>8</v>
      </c>
      <c r="U19" s="20" t="n">
        <v>24</v>
      </c>
      <c r="V19" s="20" t="n">
        <v>512</v>
      </c>
      <c r="W19" s="19" t="s">
        <v>376</v>
      </c>
      <c r="X19" s="19" t="s">
        <v>453</v>
      </c>
      <c r="Y19" s="19" t="s">
        <v>378</v>
      </c>
      <c r="Z19" s="19" t="s">
        <v>61</v>
      </c>
      <c r="AA19" s="20" t="n">
        <v>1</v>
      </c>
      <c r="AB19" s="20" t="n">
        <v>0</v>
      </c>
      <c r="AC19" s="19" t="s">
        <v>63</v>
      </c>
      <c r="AD19" s="19" t="s">
        <v>379</v>
      </c>
      <c r="AE19" s="21" t="s">
        <v>493</v>
      </c>
      <c r="AF19" s="20" t="n">
        <v>1.7</v>
      </c>
      <c r="AG19" s="19" t="s">
        <v>381</v>
      </c>
      <c r="AH19" s="19" t="s">
        <v>382</v>
      </c>
      <c r="AI19" s="20" t="n">
        <v>60</v>
      </c>
      <c r="AJ19" s="19" t="s">
        <v>61</v>
      </c>
      <c r="AK19" s="20" t="n">
        <v>42</v>
      </c>
      <c r="AL19" s="20" t="n">
        <v>45</v>
      </c>
      <c r="AM19" s="19" t="s">
        <v>383</v>
      </c>
      <c r="AN19" s="20" t="n">
        <v>5.2</v>
      </c>
      <c r="AO19" s="19" t="s">
        <v>61</v>
      </c>
      <c r="AP19" s="19" t="s">
        <v>61</v>
      </c>
      <c r="AQ19" s="19" t="s">
        <v>384</v>
      </c>
      <c r="AR19" s="19" t="s">
        <v>385</v>
      </c>
      <c r="AS19" s="19" t="s">
        <v>386</v>
      </c>
      <c r="AT19" s="19" t="s">
        <v>387</v>
      </c>
      <c r="AU19" s="19" t="s">
        <v>368</v>
      </c>
      <c r="AV19" s="20" t="n">
        <v>24</v>
      </c>
      <c r="AW19" s="20"/>
      <c r="AX19" s="19" t="s">
        <v>61</v>
      </c>
      <c r="AY19" s="19" t="s">
        <v>71</v>
      </c>
      <c r="AZ19" s="21" t="s">
        <v>494</v>
      </c>
      <c r="BA19" s="32" t="n">
        <f aca="true">IF(D19="","",YEAR(TODAY())-D19)</f>
        <v>1</v>
      </c>
      <c r="BB19" s="33" t="str">
        <f aca="false">IF(J19="","",IFERROR(IF(INDEX(CPU!$I$4:$I$64,MATCH(J19,CPU!$A$4:$A$64,0))="","(isi di tab CPU)",INDEX(CPU!$I$4:$I$64,MATCH(J19,CPU!$A$4:$A$64,0))),"(CPU belum ada di tab CPU)"))</f>
        <v>ya</v>
      </c>
    </row>
    <row r="20" customFormat="false" ht="15" hidden="false" customHeight="true" outlineLevel="0" collapsed="false">
      <c r="A20" s="19" t="s">
        <v>495</v>
      </c>
      <c r="B20" s="19" t="s">
        <v>132</v>
      </c>
      <c r="C20" s="19" t="s">
        <v>496</v>
      </c>
      <c r="D20" s="20" t="n">
        <v>2023</v>
      </c>
      <c r="E20" s="19" t="s">
        <v>58</v>
      </c>
      <c r="F20" s="20"/>
      <c r="G20" s="19" t="s">
        <v>368</v>
      </c>
      <c r="H20" s="19"/>
      <c r="I20" s="21"/>
      <c r="J20" s="19" t="s">
        <v>403</v>
      </c>
      <c r="K20" s="19" t="s">
        <v>404</v>
      </c>
      <c r="L20" s="20"/>
      <c r="M20" s="20" t="n">
        <v>8</v>
      </c>
      <c r="N20" s="19" t="s">
        <v>394</v>
      </c>
      <c r="O20" s="20"/>
      <c r="P20" s="19" t="s">
        <v>417</v>
      </c>
      <c r="Q20" s="19" t="s">
        <v>395</v>
      </c>
      <c r="R20" s="20" t="n">
        <v>1</v>
      </c>
      <c r="S20" s="20" t="n">
        <v>1</v>
      </c>
      <c r="T20" s="20" t="n">
        <v>8</v>
      </c>
      <c r="U20" s="20" t="n">
        <v>16</v>
      </c>
      <c r="V20" s="20" t="n">
        <v>512</v>
      </c>
      <c r="W20" s="19" t="s">
        <v>376</v>
      </c>
      <c r="X20" s="19" t="s">
        <v>396</v>
      </c>
      <c r="Y20" s="19" t="s">
        <v>378</v>
      </c>
      <c r="Z20" s="19" t="s">
        <v>61</v>
      </c>
      <c r="AA20" s="20" t="n">
        <v>1</v>
      </c>
      <c r="AB20" s="20" t="n">
        <v>0</v>
      </c>
      <c r="AC20" s="19" t="s">
        <v>63</v>
      </c>
      <c r="AD20" s="19" t="s">
        <v>406</v>
      </c>
      <c r="AE20" s="21" t="s">
        <v>497</v>
      </c>
      <c r="AF20" s="20" t="n">
        <v>1.7</v>
      </c>
      <c r="AG20" s="19" t="s">
        <v>381</v>
      </c>
      <c r="AH20" s="19" t="s">
        <v>382</v>
      </c>
      <c r="AI20" s="20" t="n">
        <v>60</v>
      </c>
      <c r="AJ20" s="19" t="s">
        <v>61</v>
      </c>
      <c r="AK20" s="20" t="n">
        <v>42</v>
      </c>
      <c r="AL20" s="20" t="n">
        <v>45</v>
      </c>
      <c r="AM20" s="19" t="s">
        <v>486</v>
      </c>
      <c r="AN20" s="20" t="n">
        <v>5.3</v>
      </c>
      <c r="AO20" s="19" t="s">
        <v>61</v>
      </c>
      <c r="AP20" s="19" t="s">
        <v>61</v>
      </c>
      <c r="AQ20" s="19" t="s">
        <v>384</v>
      </c>
      <c r="AR20" s="19" t="s">
        <v>385</v>
      </c>
      <c r="AS20" s="19" t="s">
        <v>386</v>
      </c>
      <c r="AT20" s="19" t="s">
        <v>387</v>
      </c>
      <c r="AU20" s="19" t="s">
        <v>368</v>
      </c>
      <c r="AV20" s="20" t="n">
        <v>24</v>
      </c>
      <c r="AW20" s="20"/>
      <c r="AX20" s="19" t="s">
        <v>71</v>
      </c>
      <c r="AY20" s="19" t="s">
        <v>71</v>
      </c>
      <c r="AZ20" s="21" t="s">
        <v>498</v>
      </c>
      <c r="BA20" s="32" t="n">
        <f aca="true">IF(D20="","",YEAR(TODAY())-D20)</f>
        <v>3</v>
      </c>
      <c r="BB20" s="33" t="str">
        <f aca="false">IF(J20="","",IFERROR(IF(INDEX(CPU!$I$4:$I$64,MATCH(J20,CPU!$A$4:$A$64,0))="","(isi di tab CPU)",INDEX(CPU!$I$4:$I$64,MATCH(J20,CPU!$A$4:$A$64,0))),"(CPU belum ada di tab CPU)"))</f>
        <v>ya</v>
      </c>
    </row>
    <row r="21" customFormat="false" ht="15" hidden="false" customHeight="true" outlineLevel="0" collapsed="false">
      <c r="A21" s="19" t="s">
        <v>499</v>
      </c>
      <c r="B21" s="19" t="s">
        <v>138</v>
      </c>
      <c r="C21" s="19" t="s">
        <v>500</v>
      </c>
      <c r="D21" s="20"/>
      <c r="E21" s="19" t="s">
        <v>58</v>
      </c>
      <c r="F21" s="20"/>
      <c r="G21" s="19" t="s">
        <v>368</v>
      </c>
      <c r="H21" s="19"/>
      <c r="I21" s="21"/>
      <c r="J21" s="19" t="s">
        <v>490</v>
      </c>
      <c r="K21" s="19" t="s">
        <v>491</v>
      </c>
      <c r="L21" s="20"/>
      <c r="M21" s="20" t="n">
        <v>8</v>
      </c>
      <c r="N21" s="19" t="s">
        <v>394</v>
      </c>
      <c r="O21" s="20" t="n">
        <v>3200</v>
      </c>
      <c r="P21" s="19" t="s">
        <v>417</v>
      </c>
      <c r="Q21" s="19" t="s">
        <v>418</v>
      </c>
      <c r="R21" s="20" t="n">
        <v>2</v>
      </c>
      <c r="S21" s="20" t="n">
        <v>1</v>
      </c>
      <c r="T21" s="20" t="n">
        <v>0</v>
      </c>
      <c r="U21" s="20" t="n">
        <v>16</v>
      </c>
      <c r="V21" s="20" t="n">
        <v>512</v>
      </c>
      <c r="W21" s="19" t="s">
        <v>376</v>
      </c>
      <c r="X21" s="19" t="s">
        <v>501</v>
      </c>
      <c r="Y21" s="19" t="s">
        <v>378</v>
      </c>
      <c r="Z21" s="19" t="s">
        <v>61</v>
      </c>
      <c r="AA21" s="20"/>
      <c r="AB21" s="20"/>
      <c r="AC21" s="19" t="s">
        <v>71</v>
      </c>
      <c r="AD21" s="19" t="s">
        <v>406</v>
      </c>
      <c r="AE21" s="21" t="s">
        <v>502</v>
      </c>
      <c r="AF21" s="20" t="n">
        <v>1.4</v>
      </c>
      <c r="AG21" s="19" t="s">
        <v>71</v>
      </c>
      <c r="AH21" s="19" t="s">
        <v>382</v>
      </c>
      <c r="AI21" s="20"/>
      <c r="AJ21" s="19" t="s">
        <v>63</v>
      </c>
      <c r="AK21" s="20" t="n">
        <v>41</v>
      </c>
      <c r="AL21" s="20" t="n">
        <v>45</v>
      </c>
      <c r="AM21" s="19" t="s">
        <v>383</v>
      </c>
      <c r="AN21" s="20" t="n">
        <v>5.4</v>
      </c>
      <c r="AO21" s="19" t="s">
        <v>61</v>
      </c>
      <c r="AP21" s="19" t="s">
        <v>61</v>
      </c>
      <c r="AQ21" s="19" t="s">
        <v>384</v>
      </c>
      <c r="AR21" s="19" t="s">
        <v>385</v>
      </c>
      <c r="AS21" s="19" t="s">
        <v>409</v>
      </c>
      <c r="AT21" s="19" t="s">
        <v>163</v>
      </c>
      <c r="AU21" s="19" t="s">
        <v>368</v>
      </c>
      <c r="AV21" s="20" t="n">
        <v>24</v>
      </c>
      <c r="AW21" s="20"/>
      <c r="AX21" s="19" t="s">
        <v>61</v>
      </c>
      <c r="AY21" s="19" t="s">
        <v>71</v>
      </c>
      <c r="AZ21" s="21" t="s">
        <v>503</v>
      </c>
      <c r="BA21" s="32" t="str">
        <f aca="true">IF(D21="","",YEAR(TODAY())-D21)</f>
        <v/>
      </c>
      <c r="BB21" s="33" t="str">
        <f aca="false">IF(J21="","",IFERROR(IF(INDEX(CPU!$I$4:$I$64,MATCH(J21,CPU!$A$4:$A$64,0))="","(isi di tab CPU)",INDEX(CPU!$I$4:$I$64,MATCH(J21,CPU!$A$4:$A$64,0))),"(CPU belum ada di tab CPU)"))</f>
        <v>ya</v>
      </c>
    </row>
    <row r="22" customFormat="false" ht="15" hidden="false" customHeight="true" outlineLevel="0" collapsed="false">
      <c r="A22" s="19" t="s">
        <v>504</v>
      </c>
      <c r="B22" s="19" t="s">
        <v>138</v>
      </c>
      <c r="C22" s="19" t="s">
        <v>505</v>
      </c>
      <c r="D22" s="20"/>
      <c r="E22" s="19" t="s">
        <v>58</v>
      </c>
      <c r="F22" s="20"/>
      <c r="G22" s="19" t="s">
        <v>368</v>
      </c>
      <c r="H22" s="19"/>
      <c r="I22" s="21"/>
      <c r="J22" s="19" t="s">
        <v>490</v>
      </c>
      <c r="K22" s="19" t="s">
        <v>491</v>
      </c>
      <c r="L22" s="20"/>
      <c r="M22" s="20" t="n">
        <v>16</v>
      </c>
      <c r="N22" s="19" t="s">
        <v>394</v>
      </c>
      <c r="O22" s="20" t="n">
        <v>3200</v>
      </c>
      <c r="P22" s="19" t="s">
        <v>374</v>
      </c>
      <c r="Q22" s="19" t="s">
        <v>418</v>
      </c>
      <c r="R22" s="20" t="n">
        <v>2</v>
      </c>
      <c r="S22" s="20" t="n">
        <v>0</v>
      </c>
      <c r="T22" s="20" t="n">
        <v>0</v>
      </c>
      <c r="U22" s="20" t="n">
        <v>16</v>
      </c>
      <c r="V22" s="20" t="n">
        <v>512</v>
      </c>
      <c r="W22" s="19" t="s">
        <v>376</v>
      </c>
      <c r="X22" s="19" t="s">
        <v>501</v>
      </c>
      <c r="Y22" s="19" t="s">
        <v>378</v>
      </c>
      <c r="Z22" s="19" t="s">
        <v>61</v>
      </c>
      <c r="AA22" s="20"/>
      <c r="AB22" s="20"/>
      <c r="AC22" s="19" t="s">
        <v>71</v>
      </c>
      <c r="AD22" s="19" t="s">
        <v>406</v>
      </c>
      <c r="AE22" s="21" t="s">
        <v>506</v>
      </c>
      <c r="AF22" s="20" t="n">
        <v>1.4</v>
      </c>
      <c r="AG22" s="19" t="s">
        <v>71</v>
      </c>
      <c r="AH22" s="19" t="s">
        <v>382</v>
      </c>
      <c r="AI22" s="20"/>
      <c r="AJ22" s="19" t="s">
        <v>63</v>
      </c>
      <c r="AK22" s="20" t="n">
        <v>41</v>
      </c>
      <c r="AL22" s="20" t="n">
        <v>45</v>
      </c>
      <c r="AM22" s="19" t="s">
        <v>383</v>
      </c>
      <c r="AN22" s="20" t="n">
        <v>5.4</v>
      </c>
      <c r="AO22" s="19" t="s">
        <v>61</v>
      </c>
      <c r="AP22" s="19" t="s">
        <v>61</v>
      </c>
      <c r="AQ22" s="19" t="s">
        <v>384</v>
      </c>
      <c r="AR22" s="19" t="s">
        <v>385</v>
      </c>
      <c r="AS22" s="19" t="s">
        <v>409</v>
      </c>
      <c r="AT22" s="19" t="s">
        <v>71</v>
      </c>
      <c r="AU22" s="19" t="s">
        <v>368</v>
      </c>
      <c r="AV22" s="20" t="n">
        <v>24</v>
      </c>
      <c r="AW22" s="20"/>
      <c r="AX22" s="19" t="s">
        <v>71</v>
      </c>
      <c r="AY22" s="19" t="s">
        <v>71</v>
      </c>
      <c r="AZ22" s="21" t="s">
        <v>507</v>
      </c>
      <c r="BA22" s="32" t="str">
        <f aca="true">IF(D22="","",YEAR(TODAY())-D22)</f>
        <v/>
      </c>
      <c r="BB22" s="33" t="str">
        <f aca="false">IF(J22="","",IFERROR(IF(INDEX(CPU!$I$4:$I$64,MATCH(J22,CPU!$A$4:$A$64,0))="","(isi di tab CPU)",INDEX(CPU!$I$4:$I$64,MATCH(J22,CPU!$A$4:$A$64,0))),"(CPU belum ada di tab CPU)"))</f>
        <v>ya</v>
      </c>
    </row>
    <row r="23" customFormat="false" ht="15" hidden="false" customHeight="true" outlineLevel="0" collapsed="false">
      <c r="A23" s="19" t="s">
        <v>508</v>
      </c>
      <c r="B23" s="19" t="s">
        <v>143</v>
      </c>
      <c r="C23" s="19" t="s">
        <v>509</v>
      </c>
      <c r="D23" s="20"/>
      <c r="E23" s="19" t="s">
        <v>58</v>
      </c>
      <c r="F23" s="20"/>
      <c r="G23" s="19" t="s">
        <v>368</v>
      </c>
      <c r="H23" s="19"/>
      <c r="I23" s="21"/>
      <c r="J23" s="19" t="s">
        <v>510</v>
      </c>
      <c r="K23" s="19" t="s">
        <v>511</v>
      </c>
      <c r="L23" s="20"/>
      <c r="M23" s="20" t="n">
        <v>16</v>
      </c>
      <c r="N23" s="19" t="s">
        <v>492</v>
      </c>
      <c r="O23" s="20" t="n">
        <v>5600</v>
      </c>
      <c r="P23" s="19" t="s">
        <v>374</v>
      </c>
      <c r="Q23" s="19" t="s">
        <v>418</v>
      </c>
      <c r="R23" s="20" t="n">
        <v>2</v>
      </c>
      <c r="S23" s="20" t="n">
        <v>0</v>
      </c>
      <c r="T23" s="20" t="n">
        <v>0</v>
      </c>
      <c r="U23" s="20" t="n">
        <v>32</v>
      </c>
      <c r="V23" s="20" t="n">
        <v>512</v>
      </c>
      <c r="W23" s="19" t="s">
        <v>376</v>
      </c>
      <c r="X23" s="19" t="s">
        <v>453</v>
      </c>
      <c r="Y23" s="19" t="s">
        <v>476</v>
      </c>
      <c r="Z23" s="19" t="s">
        <v>61</v>
      </c>
      <c r="AA23" s="20" t="n">
        <v>2</v>
      </c>
      <c r="AB23" s="20" t="n">
        <v>1</v>
      </c>
      <c r="AC23" s="19" t="s">
        <v>63</v>
      </c>
      <c r="AD23" s="19" t="s">
        <v>379</v>
      </c>
      <c r="AE23" s="21" t="s">
        <v>512</v>
      </c>
      <c r="AF23" s="20" t="n">
        <v>1.39</v>
      </c>
      <c r="AG23" s="19" t="s">
        <v>455</v>
      </c>
      <c r="AH23" s="19" t="s">
        <v>398</v>
      </c>
      <c r="AI23" s="20" t="n">
        <v>60</v>
      </c>
      <c r="AJ23" s="19" t="s">
        <v>63</v>
      </c>
      <c r="AK23" s="20" t="n">
        <v>60</v>
      </c>
      <c r="AL23" s="20" t="n">
        <v>65</v>
      </c>
      <c r="AM23" s="19" t="s">
        <v>513</v>
      </c>
      <c r="AN23" s="20" t="n">
        <v>5.4</v>
      </c>
      <c r="AO23" s="19" t="s">
        <v>63</v>
      </c>
      <c r="AP23" s="19" t="s">
        <v>61</v>
      </c>
      <c r="AQ23" s="19" t="s">
        <v>457</v>
      </c>
      <c r="AR23" s="19" t="s">
        <v>385</v>
      </c>
      <c r="AS23" s="19" t="s">
        <v>409</v>
      </c>
      <c r="AT23" s="19" t="s">
        <v>387</v>
      </c>
      <c r="AU23" s="19" t="s">
        <v>368</v>
      </c>
      <c r="AV23" s="20" t="n">
        <v>24</v>
      </c>
      <c r="AW23" s="20"/>
      <c r="AX23" s="19" t="s">
        <v>61</v>
      </c>
      <c r="AY23" s="19" t="s">
        <v>71</v>
      </c>
      <c r="AZ23" s="21" t="s">
        <v>514</v>
      </c>
      <c r="BA23" s="32" t="str">
        <f aca="true">IF(D23="","",YEAR(TODAY())-D23)</f>
        <v/>
      </c>
      <c r="BB23" s="33" t="str">
        <f aca="false">IF(J23="","",IFERROR(IF(INDEX(CPU!$I$4:$I$64,MATCH(J23,CPU!$A$4:$A$64,0))="","(isi di tab CPU)",INDEX(CPU!$I$4:$I$64,MATCH(J23,CPU!$A$4:$A$64,0))),"(CPU belum ada di tab CPU)"))</f>
        <v>ya</v>
      </c>
    </row>
    <row r="24" customFormat="false" ht="15" hidden="false" customHeight="true" outlineLevel="0" collapsed="false">
      <c r="A24" s="19" t="s">
        <v>515</v>
      </c>
      <c r="B24" s="19" t="s">
        <v>149</v>
      </c>
      <c r="C24" s="19" t="s">
        <v>516</v>
      </c>
      <c r="D24" s="20" t="n">
        <v>2026</v>
      </c>
      <c r="E24" s="19" t="s">
        <v>58</v>
      </c>
      <c r="F24" s="20"/>
      <c r="G24" s="19" t="s">
        <v>368</v>
      </c>
      <c r="H24" s="19"/>
      <c r="I24" s="21"/>
      <c r="J24" s="19" t="s">
        <v>517</v>
      </c>
      <c r="K24" s="19" t="s">
        <v>518</v>
      </c>
      <c r="L24" s="20"/>
      <c r="M24" s="20" t="n">
        <v>16</v>
      </c>
      <c r="N24" s="19" t="s">
        <v>492</v>
      </c>
      <c r="O24" s="20" t="n">
        <v>5600</v>
      </c>
      <c r="P24" s="19" t="s">
        <v>417</v>
      </c>
      <c r="Q24" s="19" t="s">
        <v>418</v>
      </c>
      <c r="R24" s="20" t="n">
        <v>2</v>
      </c>
      <c r="S24" s="20" t="n">
        <v>1</v>
      </c>
      <c r="T24" s="20" t="n">
        <v>0</v>
      </c>
      <c r="U24" s="20" t="n">
        <v>64</v>
      </c>
      <c r="V24" s="20" t="n">
        <v>1024</v>
      </c>
      <c r="W24" s="19" t="s">
        <v>376</v>
      </c>
      <c r="X24" s="19" t="s">
        <v>453</v>
      </c>
      <c r="Y24" s="19" t="s">
        <v>476</v>
      </c>
      <c r="Z24" s="19" t="s">
        <v>61</v>
      </c>
      <c r="AA24" s="20" t="n">
        <v>2</v>
      </c>
      <c r="AB24" s="20" t="n">
        <v>1</v>
      </c>
      <c r="AC24" s="19" t="s">
        <v>63</v>
      </c>
      <c r="AD24" s="19" t="s">
        <v>379</v>
      </c>
      <c r="AE24" s="21" t="s">
        <v>519</v>
      </c>
      <c r="AF24" s="20" t="n">
        <v>1.36</v>
      </c>
      <c r="AG24" s="19" t="s">
        <v>381</v>
      </c>
      <c r="AH24" s="19" t="s">
        <v>398</v>
      </c>
      <c r="AI24" s="20" t="n">
        <v>60</v>
      </c>
      <c r="AJ24" s="19" t="s">
        <v>63</v>
      </c>
      <c r="AK24" s="20" t="n">
        <v>48</v>
      </c>
      <c r="AL24" s="20" t="n">
        <v>65</v>
      </c>
      <c r="AM24" s="19" t="s">
        <v>383</v>
      </c>
      <c r="AN24" s="20" t="n">
        <v>5.3</v>
      </c>
      <c r="AO24" s="19" t="s">
        <v>61</v>
      </c>
      <c r="AP24" s="19" t="s">
        <v>61</v>
      </c>
      <c r="AQ24" s="19" t="s">
        <v>408</v>
      </c>
      <c r="AR24" s="19" t="s">
        <v>385</v>
      </c>
      <c r="AS24" s="19" t="s">
        <v>409</v>
      </c>
      <c r="AT24" s="19" t="s">
        <v>387</v>
      </c>
      <c r="AU24" s="19" t="s">
        <v>368</v>
      </c>
      <c r="AV24" s="20" t="n">
        <v>24</v>
      </c>
      <c r="AW24" s="20"/>
      <c r="AX24" s="19" t="s">
        <v>61</v>
      </c>
      <c r="AY24" s="19" t="s">
        <v>71</v>
      </c>
      <c r="AZ24" s="21" t="s">
        <v>520</v>
      </c>
      <c r="BA24" s="32" t="n">
        <f aca="true">IF(D24="","",YEAR(TODAY())-D24)</f>
        <v>0</v>
      </c>
      <c r="BB24" s="33" t="str">
        <f aca="false">IF(J24="","",IFERROR(IF(INDEX(CPU!$I$4:$I$64,MATCH(J24,CPU!$A$4:$A$64,0))="","(isi di tab CPU)",INDEX(CPU!$I$4:$I$64,MATCH(J24,CPU!$A$4:$A$64,0))),"(CPU belum ada di tab CPU)"))</f>
        <v>ya</v>
      </c>
    </row>
    <row r="25" customFormat="false" ht="15" hidden="false" customHeight="true" outlineLevel="0" collapsed="false">
      <c r="A25" s="19" t="s">
        <v>521</v>
      </c>
      <c r="B25" s="19" t="s">
        <v>154</v>
      </c>
      <c r="C25" s="19" t="s">
        <v>522</v>
      </c>
      <c r="D25" s="20" t="n">
        <v>2025</v>
      </c>
      <c r="E25" s="19" t="s">
        <v>58</v>
      </c>
      <c r="F25" s="20"/>
      <c r="G25" s="19" t="s">
        <v>368</v>
      </c>
      <c r="H25" s="19"/>
      <c r="I25" s="21"/>
      <c r="J25" s="19" t="s">
        <v>523</v>
      </c>
      <c r="K25" s="19" t="s">
        <v>524</v>
      </c>
      <c r="L25" s="20"/>
      <c r="M25" s="20" t="n">
        <v>32</v>
      </c>
      <c r="N25" s="19" t="s">
        <v>452</v>
      </c>
      <c r="O25" s="20" t="n">
        <v>8000</v>
      </c>
      <c r="P25" s="19" t="s">
        <v>374</v>
      </c>
      <c r="Q25" s="19" t="s">
        <v>375</v>
      </c>
      <c r="R25" s="20" t="n">
        <v>0</v>
      </c>
      <c r="S25" s="20" t="n">
        <v>0</v>
      </c>
      <c r="T25" s="20" t="n">
        <v>32</v>
      </c>
      <c r="U25" s="20" t="n">
        <v>32</v>
      </c>
      <c r="V25" s="20" t="n">
        <v>512</v>
      </c>
      <c r="W25" s="19" t="s">
        <v>376</v>
      </c>
      <c r="X25" s="19" t="s">
        <v>453</v>
      </c>
      <c r="Y25" s="19" t="s">
        <v>378</v>
      </c>
      <c r="Z25" s="19" t="s">
        <v>61</v>
      </c>
      <c r="AA25" s="20" t="n">
        <v>1</v>
      </c>
      <c r="AB25" s="20" t="n">
        <v>0</v>
      </c>
      <c r="AC25" s="19" t="s">
        <v>63</v>
      </c>
      <c r="AD25" s="19" t="s">
        <v>406</v>
      </c>
      <c r="AE25" s="21" t="s">
        <v>525</v>
      </c>
      <c r="AF25" s="20" t="n">
        <v>1.29</v>
      </c>
      <c r="AG25" s="19" t="s">
        <v>455</v>
      </c>
      <c r="AH25" s="19" t="s">
        <v>456</v>
      </c>
      <c r="AI25" s="20" t="n">
        <v>90</v>
      </c>
      <c r="AJ25" s="19" t="s">
        <v>63</v>
      </c>
      <c r="AK25" s="20" t="n">
        <v>75</v>
      </c>
      <c r="AL25" s="20" t="n">
        <v>100</v>
      </c>
      <c r="AM25" s="19" t="s">
        <v>513</v>
      </c>
      <c r="AN25" s="20" t="n">
        <v>5.4</v>
      </c>
      <c r="AO25" s="19" t="s">
        <v>61</v>
      </c>
      <c r="AP25" s="19" t="s">
        <v>61</v>
      </c>
      <c r="AQ25" s="19" t="s">
        <v>71</v>
      </c>
      <c r="AR25" s="19" t="s">
        <v>385</v>
      </c>
      <c r="AS25" s="19" t="s">
        <v>386</v>
      </c>
      <c r="AT25" s="19" t="s">
        <v>387</v>
      </c>
      <c r="AU25" s="19" t="s">
        <v>368</v>
      </c>
      <c r="AV25" s="20" t="n">
        <v>24</v>
      </c>
      <c r="AW25" s="20"/>
      <c r="AX25" s="19" t="s">
        <v>61</v>
      </c>
      <c r="AY25" s="19" t="s">
        <v>71</v>
      </c>
      <c r="AZ25" s="21" t="s">
        <v>526</v>
      </c>
      <c r="BA25" s="32" t="n">
        <f aca="true">IF(D25="","",YEAR(TODAY())-D25)</f>
        <v>1</v>
      </c>
      <c r="BB25" s="33" t="str">
        <f aca="false">IF(J25="","",IFERROR(IF(INDEX(CPU!$I$4:$I$64,MATCH(J25,CPU!$A$4:$A$64,0))="","(isi di tab CPU)",INDEX(CPU!$I$4:$I$64,MATCH(J25,CPU!$A$4:$A$64,0))),"(CPU belum ada di tab CPU)"))</f>
        <v>ya</v>
      </c>
    </row>
    <row r="26" customFormat="false" ht="15" hidden="false" customHeight="true" outlineLevel="0" collapsed="false">
      <c r="A26" s="19" t="s">
        <v>527</v>
      </c>
      <c r="B26" s="19" t="s">
        <v>160</v>
      </c>
      <c r="C26" s="19" t="s">
        <v>528</v>
      </c>
      <c r="D26" s="20" t="n">
        <v>2026</v>
      </c>
      <c r="E26" s="19" t="s">
        <v>58</v>
      </c>
      <c r="F26" s="20"/>
      <c r="G26" s="19" t="s">
        <v>368</v>
      </c>
      <c r="H26" s="19"/>
      <c r="I26" s="21"/>
      <c r="J26" s="19" t="s">
        <v>529</v>
      </c>
      <c r="K26" s="19" t="s">
        <v>530</v>
      </c>
      <c r="L26" s="20"/>
      <c r="M26" s="20" t="n">
        <v>16</v>
      </c>
      <c r="N26" s="19" t="s">
        <v>452</v>
      </c>
      <c r="O26" s="20" t="n">
        <v>9600</v>
      </c>
      <c r="P26" s="19" t="s">
        <v>71</v>
      </c>
      <c r="Q26" s="19" t="s">
        <v>375</v>
      </c>
      <c r="R26" s="20" t="n">
        <v>0</v>
      </c>
      <c r="S26" s="20" t="n">
        <v>0</v>
      </c>
      <c r="T26" s="20" t="n">
        <v>16</v>
      </c>
      <c r="U26" s="20" t="n">
        <v>16</v>
      </c>
      <c r="V26" s="20" t="n">
        <v>512</v>
      </c>
      <c r="W26" s="19" t="s">
        <v>376</v>
      </c>
      <c r="X26" s="19" t="s">
        <v>71</v>
      </c>
      <c r="Y26" s="19" t="s">
        <v>71</v>
      </c>
      <c r="Z26" s="19" t="s">
        <v>63</v>
      </c>
      <c r="AA26" s="20" t="n">
        <v>0</v>
      </c>
      <c r="AB26" s="20" t="n">
        <v>0</v>
      </c>
      <c r="AC26" s="19" t="s">
        <v>63</v>
      </c>
      <c r="AD26" s="19" t="s">
        <v>406</v>
      </c>
      <c r="AE26" s="21" t="s">
        <v>531</v>
      </c>
      <c r="AF26" s="20" t="n">
        <v>1.23</v>
      </c>
      <c r="AG26" s="19" t="s">
        <v>381</v>
      </c>
      <c r="AH26" s="19" t="s">
        <v>532</v>
      </c>
      <c r="AI26" s="20" t="n">
        <v>60</v>
      </c>
      <c r="AJ26" s="19" t="s">
        <v>63</v>
      </c>
      <c r="AK26" s="20" t="n">
        <v>53.8</v>
      </c>
      <c r="AL26" s="20" t="n">
        <v>30</v>
      </c>
      <c r="AM26" s="19" t="s">
        <v>513</v>
      </c>
      <c r="AN26" s="20" t="n">
        <v>6</v>
      </c>
      <c r="AO26" s="19" t="s">
        <v>61</v>
      </c>
      <c r="AP26" s="19" t="s">
        <v>61</v>
      </c>
      <c r="AQ26" s="19" t="s">
        <v>457</v>
      </c>
      <c r="AR26" s="19" t="s">
        <v>533</v>
      </c>
      <c r="AS26" s="19" t="s">
        <v>163</v>
      </c>
      <c r="AT26" s="19" t="s">
        <v>163</v>
      </c>
      <c r="AU26" s="19" t="s">
        <v>368</v>
      </c>
      <c r="AV26" s="20" t="n">
        <v>12</v>
      </c>
      <c r="AW26" s="20"/>
      <c r="AX26" s="19" t="s">
        <v>61</v>
      </c>
      <c r="AY26" s="19" t="s">
        <v>71</v>
      </c>
      <c r="AZ26" s="21" t="s">
        <v>534</v>
      </c>
      <c r="BA26" s="32" t="n">
        <f aca="true">IF(D26="","",YEAR(TODAY())-D26)</f>
        <v>0</v>
      </c>
      <c r="BB26" s="33" t="str">
        <f aca="false">IF(J26="","",IFERROR(IF(INDEX(CPU!$I$4:$I$64,MATCH(J26,CPU!$A$4:$A$64,0))="","(isi di tab CPU)",INDEX(CPU!$I$4:$I$64,MATCH(J26,CPU!$A$4:$A$64,0))),"(CPU belum ada di tab CPU)"))</f>
        <v>unknown</v>
      </c>
    </row>
    <row r="27" customFormat="false" ht="15" hidden="false" customHeight="true" outlineLevel="0" collapsed="false">
      <c r="A27" s="19" t="s">
        <v>535</v>
      </c>
      <c r="B27" s="19" t="s">
        <v>167</v>
      </c>
      <c r="C27" s="19" t="s">
        <v>536</v>
      </c>
      <c r="D27" s="20" t="n">
        <v>2023</v>
      </c>
      <c r="E27" s="19" t="s">
        <v>58</v>
      </c>
      <c r="F27" s="20"/>
      <c r="G27" s="19" t="s">
        <v>368</v>
      </c>
      <c r="H27" s="19"/>
      <c r="I27" s="21"/>
      <c r="J27" s="19" t="s">
        <v>537</v>
      </c>
      <c r="K27" s="19" t="s">
        <v>538</v>
      </c>
      <c r="L27" s="20" t="n">
        <v>140</v>
      </c>
      <c r="M27" s="20" t="n">
        <v>16</v>
      </c>
      <c r="N27" s="19" t="s">
        <v>492</v>
      </c>
      <c r="O27" s="20" t="n">
        <v>4800</v>
      </c>
      <c r="P27" s="19" t="s">
        <v>71</v>
      </c>
      <c r="Q27" s="19" t="s">
        <v>418</v>
      </c>
      <c r="R27" s="20" t="n">
        <v>2</v>
      </c>
      <c r="S27" s="20"/>
      <c r="T27" s="20" t="n">
        <v>0</v>
      </c>
      <c r="U27" s="20" t="n">
        <v>32</v>
      </c>
      <c r="V27" s="20" t="n">
        <v>512</v>
      </c>
      <c r="W27" s="19" t="s">
        <v>376</v>
      </c>
      <c r="X27" s="19" t="s">
        <v>453</v>
      </c>
      <c r="Y27" s="19" t="s">
        <v>378</v>
      </c>
      <c r="Z27" s="19" t="s">
        <v>61</v>
      </c>
      <c r="AA27" s="20" t="n">
        <v>2</v>
      </c>
      <c r="AB27" s="20" t="n">
        <v>1</v>
      </c>
      <c r="AC27" s="19" t="s">
        <v>63</v>
      </c>
      <c r="AD27" s="19" t="s">
        <v>379</v>
      </c>
      <c r="AE27" s="21" t="s">
        <v>539</v>
      </c>
      <c r="AF27" s="20" t="n">
        <v>2.2</v>
      </c>
      <c r="AG27" s="19" t="s">
        <v>381</v>
      </c>
      <c r="AH27" s="19" t="s">
        <v>382</v>
      </c>
      <c r="AI27" s="20" t="n">
        <v>144</v>
      </c>
      <c r="AJ27" s="19" t="s">
        <v>63</v>
      </c>
      <c r="AK27" s="20" t="n">
        <v>90</v>
      </c>
      <c r="AL27" s="20" t="n">
        <v>240</v>
      </c>
      <c r="AM27" s="19" t="s">
        <v>383</v>
      </c>
      <c r="AN27" s="20" t="n">
        <v>5.3</v>
      </c>
      <c r="AO27" s="19" t="s">
        <v>63</v>
      </c>
      <c r="AP27" s="19" t="s">
        <v>61</v>
      </c>
      <c r="AQ27" s="19" t="s">
        <v>384</v>
      </c>
      <c r="AR27" s="19" t="s">
        <v>385</v>
      </c>
      <c r="AS27" s="19" t="s">
        <v>386</v>
      </c>
      <c r="AT27" s="19" t="s">
        <v>387</v>
      </c>
      <c r="AU27" s="19" t="s">
        <v>368</v>
      </c>
      <c r="AV27" s="20" t="n">
        <v>24</v>
      </c>
      <c r="AW27" s="20"/>
      <c r="AX27" s="19" t="s">
        <v>61</v>
      </c>
      <c r="AY27" s="19" t="s">
        <v>71</v>
      </c>
      <c r="AZ27" s="21" t="s">
        <v>540</v>
      </c>
      <c r="BA27" s="32" t="n">
        <f aca="true">IF(D27="","",YEAR(TODAY())-D27)</f>
        <v>3</v>
      </c>
      <c r="BB27" s="33" t="str">
        <f aca="false">IF(J27="","",IFERROR(IF(INDEX(CPU!$I$4:$I$64,MATCH(J27,CPU!$A$4:$A$64,0))="","(isi di tab CPU)",INDEX(CPU!$I$4:$I$64,MATCH(J27,CPU!$A$4:$A$64,0))),"(CPU belum ada di tab CPU)"))</f>
        <v>ya</v>
      </c>
    </row>
    <row r="28" customFormat="false" ht="15" hidden="false" customHeight="true" outlineLevel="0" collapsed="false">
      <c r="A28" s="19" t="s">
        <v>541</v>
      </c>
      <c r="B28" s="19" t="s">
        <v>167</v>
      </c>
      <c r="C28" s="19" t="s">
        <v>542</v>
      </c>
      <c r="D28" s="20" t="n">
        <v>2023</v>
      </c>
      <c r="E28" s="19" t="s">
        <v>58</v>
      </c>
      <c r="F28" s="20"/>
      <c r="G28" s="19" t="s">
        <v>368</v>
      </c>
      <c r="H28" s="19"/>
      <c r="I28" s="21"/>
      <c r="J28" s="19" t="s">
        <v>537</v>
      </c>
      <c r="K28" s="19" t="s">
        <v>543</v>
      </c>
      <c r="L28" s="20" t="n">
        <v>140</v>
      </c>
      <c r="M28" s="20" t="n">
        <v>16</v>
      </c>
      <c r="N28" s="19" t="s">
        <v>492</v>
      </c>
      <c r="O28" s="20" t="n">
        <v>4800</v>
      </c>
      <c r="P28" s="19" t="s">
        <v>71</v>
      </c>
      <c r="Q28" s="19" t="s">
        <v>418</v>
      </c>
      <c r="R28" s="20" t="n">
        <v>2</v>
      </c>
      <c r="S28" s="20"/>
      <c r="T28" s="20" t="n">
        <v>0</v>
      </c>
      <c r="U28" s="20" t="n">
        <v>32</v>
      </c>
      <c r="V28" s="20" t="n">
        <v>512</v>
      </c>
      <c r="W28" s="19" t="s">
        <v>376</v>
      </c>
      <c r="X28" s="19" t="s">
        <v>453</v>
      </c>
      <c r="Y28" s="19" t="s">
        <v>378</v>
      </c>
      <c r="Z28" s="19" t="s">
        <v>61</v>
      </c>
      <c r="AA28" s="20" t="n">
        <v>2</v>
      </c>
      <c r="AB28" s="20" t="n">
        <v>1</v>
      </c>
      <c r="AC28" s="19" t="s">
        <v>63</v>
      </c>
      <c r="AD28" s="19" t="s">
        <v>379</v>
      </c>
      <c r="AE28" s="21" t="s">
        <v>539</v>
      </c>
      <c r="AF28" s="20" t="n">
        <v>2.2</v>
      </c>
      <c r="AG28" s="19" t="s">
        <v>381</v>
      </c>
      <c r="AH28" s="19" t="s">
        <v>382</v>
      </c>
      <c r="AI28" s="20" t="n">
        <v>144</v>
      </c>
      <c r="AJ28" s="19" t="s">
        <v>63</v>
      </c>
      <c r="AK28" s="20" t="n">
        <v>90</v>
      </c>
      <c r="AL28" s="20" t="n">
        <v>240</v>
      </c>
      <c r="AM28" s="19" t="s">
        <v>383</v>
      </c>
      <c r="AN28" s="20" t="n">
        <v>5.3</v>
      </c>
      <c r="AO28" s="19" t="s">
        <v>63</v>
      </c>
      <c r="AP28" s="19" t="s">
        <v>61</v>
      </c>
      <c r="AQ28" s="19" t="s">
        <v>384</v>
      </c>
      <c r="AR28" s="19" t="s">
        <v>385</v>
      </c>
      <c r="AS28" s="19" t="s">
        <v>386</v>
      </c>
      <c r="AT28" s="19" t="s">
        <v>387</v>
      </c>
      <c r="AU28" s="19" t="s">
        <v>368</v>
      </c>
      <c r="AV28" s="20" t="n">
        <v>24</v>
      </c>
      <c r="AW28" s="20"/>
      <c r="AX28" s="19" t="s">
        <v>61</v>
      </c>
      <c r="AY28" s="19" t="s">
        <v>71</v>
      </c>
      <c r="AZ28" s="21" t="s">
        <v>544</v>
      </c>
      <c r="BA28" s="32" t="n">
        <f aca="true">IF(D28="","",YEAR(TODAY())-D28)</f>
        <v>3</v>
      </c>
      <c r="BB28" s="33" t="str">
        <f aca="false">IF(J28="","",IFERROR(IF(INDEX(CPU!$I$4:$I$64,MATCH(J28,CPU!$A$4:$A$64,0))="","(isi di tab CPU)",INDEX(CPU!$I$4:$I$64,MATCH(J28,CPU!$A$4:$A$64,0))),"(CPU belum ada di tab CPU)"))</f>
        <v>ya</v>
      </c>
    </row>
    <row r="29" customFormat="false" ht="15" hidden="false" customHeight="true" outlineLevel="0" collapsed="false">
      <c r="A29" s="19" t="s">
        <v>545</v>
      </c>
      <c r="B29" s="19" t="s">
        <v>173</v>
      </c>
      <c r="C29" s="19" t="s">
        <v>546</v>
      </c>
      <c r="D29" s="20" t="n">
        <v>2025</v>
      </c>
      <c r="E29" s="19" t="s">
        <v>58</v>
      </c>
      <c r="F29" s="20"/>
      <c r="G29" s="19" t="s">
        <v>368</v>
      </c>
      <c r="H29" s="19"/>
      <c r="I29" s="21"/>
      <c r="J29" s="19" t="s">
        <v>547</v>
      </c>
      <c r="K29" s="19" t="s">
        <v>548</v>
      </c>
      <c r="L29" s="20" t="n">
        <v>100</v>
      </c>
      <c r="M29" s="20" t="n">
        <v>16</v>
      </c>
      <c r="N29" s="19" t="s">
        <v>492</v>
      </c>
      <c r="O29" s="20" t="n">
        <v>4800</v>
      </c>
      <c r="P29" s="19" t="s">
        <v>417</v>
      </c>
      <c r="Q29" s="19" t="s">
        <v>418</v>
      </c>
      <c r="R29" s="20" t="n">
        <v>2</v>
      </c>
      <c r="S29" s="20" t="n">
        <v>1</v>
      </c>
      <c r="T29" s="20" t="n">
        <v>0</v>
      </c>
      <c r="U29" s="20" t="n">
        <v>32</v>
      </c>
      <c r="V29" s="20" t="n">
        <v>512</v>
      </c>
      <c r="W29" s="19" t="s">
        <v>376</v>
      </c>
      <c r="X29" s="19" t="s">
        <v>453</v>
      </c>
      <c r="Y29" s="19" t="s">
        <v>476</v>
      </c>
      <c r="Z29" s="19" t="s">
        <v>61</v>
      </c>
      <c r="AA29" s="20" t="n">
        <v>2</v>
      </c>
      <c r="AB29" s="20" t="n">
        <v>1</v>
      </c>
      <c r="AC29" s="19" t="s">
        <v>63</v>
      </c>
      <c r="AD29" s="19" t="s">
        <v>379</v>
      </c>
      <c r="AE29" s="21" t="s">
        <v>549</v>
      </c>
      <c r="AF29" s="20" t="n">
        <v>2.4</v>
      </c>
      <c r="AG29" s="19" t="s">
        <v>381</v>
      </c>
      <c r="AH29" s="19" t="s">
        <v>382</v>
      </c>
      <c r="AI29" s="20" t="n">
        <v>144</v>
      </c>
      <c r="AJ29" s="19" t="s">
        <v>63</v>
      </c>
      <c r="AK29" s="20" t="n">
        <v>60</v>
      </c>
      <c r="AL29" s="20" t="n">
        <v>170</v>
      </c>
      <c r="AM29" s="19" t="s">
        <v>383</v>
      </c>
      <c r="AN29" s="20" t="n">
        <v>5.2</v>
      </c>
      <c r="AO29" s="19" t="s">
        <v>63</v>
      </c>
      <c r="AP29" s="19" t="s">
        <v>61</v>
      </c>
      <c r="AQ29" s="19" t="s">
        <v>408</v>
      </c>
      <c r="AR29" s="19" t="s">
        <v>385</v>
      </c>
      <c r="AS29" s="19" t="s">
        <v>409</v>
      </c>
      <c r="AT29" s="19" t="s">
        <v>387</v>
      </c>
      <c r="AU29" s="19" t="s">
        <v>368</v>
      </c>
      <c r="AV29" s="20" t="n">
        <v>24</v>
      </c>
      <c r="AW29" s="20"/>
      <c r="AX29" s="19" t="s">
        <v>61</v>
      </c>
      <c r="AY29" s="19" t="s">
        <v>71</v>
      </c>
      <c r="AZ29" s="21" t="s">
        <v>550</v>
      </c>
      <c r="BA29" s="32" t="n">
        <f aca="true">IF(D29="","",YEAR(TODAY())-D29)</f>
        <v>1</v>
      </c>
      <c r="BB29" s="33" t="str">
        <f aca="false">IF(J29="","",IFERROR(IF(INDEX(CPU!$I$4:$I$64,MATCH(J29,CPU!$A$4:$A$64,0))="","(isi di tab CPU)",INDEX(CPU!$I$4:$I$64,MATCH(J29,CPU!$A$4:$A$64,0))),"(CPU belum ada di tab CPU)"))</f>
        <v>ya</v>
      </c>
    </row>
    <row r="30" customFormat="false" ht="15" hidden="false" customHeight="true" outlineLevel="0" collapsed="false">
      <c r="A30" s="19" t="s">
        <v>551</v>
      </c>
      <c r="B30" s="19" t="s">
        <v>173</v>
      </c>
      <c r="C30" s="19" t="s">
        <v>552</v>
      </c>
      <c r="D30" s="20" t="n">
        <v>2025</v>
      </c>
      <c r="E30" s="19" t="s">
        <v>58</v>
      </c>
      <c r="F30" s="20"/>
      <c r="G30" s="19" t="s">
        <v>368</v>
      </c>
      <c r="H30" s="19"/>
      <c r="I30" s="21"/>
      <c r="J30" s="19" t="s">
        <v>553</v>
      </c>
      <c r="K30" s="19" t="s">
        <v>548</v>
      </c>
      <c r="L30" s="20" t="n">
        <v>100</v>
      </c>
      <c r="M30" s="20" t="n">
        <v>16</v>
      </c>
      <c r="N30" s="19" t="s">
        <v>492</v>
      </c>
      <c r="O30" s="20" t="n">
        <v>4800</v>
      </c>
      <c r="P30" s="19" t="s">
        <v>71</v>
      </c>
      <c r="Q30" s="19" t="s">
        <v>418</v>
      </c>
      <c r="R30" s="20" t="n">
        <v>2</v>
      </c>
      <c r="S30" s="20"/>
      <c r="T30" s="20" t="n">
        <v>0</v>
      </c>
      <c r="U30" s="20" t="n">
        <v>32</v>
      </c>
      <c r="V30" s="20" t="n">
        <v>512</v>
      </c>
      <c r="W30" s="19" t="s">
        <v>376</v>
      </c>
      <c r="X30" s="19" t="s">
        <v>453</v>
      </c>
      <c r="Y30" s="19" t="s">
        <v>476</v>
      </c>
      <c r="Z30" s="19" t="s">
        <v>61</v>
      </c>
      <c r="AA30" s="20" t="n">
        <v>2</v>
      </c>
      <c r="AB30" s="20" t="n">
        <v>1</v>
      </c>
      <c r="AC30" s="19" t="s">
        <v>63</v>
      </c>
      <c r="AD30" s="19" t="s">
        <v>379</v>
      </c>
      <c r="AE30" s="21" t="s">
        <v>554</v>
      </c>
      <c r="AF30" s="20" t="n">
        <v>2.4</v>
      </c>
      <c r="AG30" s="19" t="s">
        <v>381</v>
      </c>
      <c r="AH30" s="19" t="s">
        <v>382</v>
      </c>
      <c r="AI30" s="20" t="n">
        <v>144</v>
      </c>
      <c r="AJ30" s="19" t="s">
        <v>63</v>
      </c>
      <c r="AK30" s="20" t="n">
        <v>60</v>
      </c>
      <c r="AL30" s="20" t="n">
        <v>170</v>
      </c>
      <c r="AM30" s="19" t="s">
        <v>383</v>
      </c>
      <c r="AN30" s="20" t="n">
        <v>5.2</v>
      </c>
      <c r="AO30" s="19" t="s">
        <v>63</v>
      </c>
      <c r="AP30" s="19" t="s">
        <v>61</v>
      </c>
      <c r="AQ30" s="19" t="s">
        <v>408</v>
      </c>
      <c r="AR30" s="19" t="s">
        <v>385</v>
      </c>
      <c r="AS30" s="19" t="s">
        <v>409</v>
      </c>
      <c r="AT30" s="19" t="s">
        <v>387</v>
      </c>
      <c r="AU30" s="19" t="s">
        <v>368</v>
      </c>
      <c r="AV30" s="20" t="n">
        <v>24</v>
      </c>
      <c r="AW30" s="20"/>
      <c r="AX30" s="19" t="s">
        <v>61</v>
      </c>
      <c r="AY30" s="19" t="s">
        <v>71</v>
      </c>
      <c r="AZ30" s="21" t="s">
        <v>555</v>
      </c>
      <c r="BA30" s="32" t="n">
        <f aca="true">IF(D30="","",YEAR(TODAY())-D30)</f>
        <v>1</v>
      </c>
      <c r="BB30" s="33" t="str">
        <f aca="false">IF(J30="","",IFERROR(IF(INDEX(CPU!$I$4:$I$64,MATCH(J30,CPU!$A$4:$A$64,0))="","(isi di tab CPU)",INDEX(CPU!$I$4:$I$64,MATCH(J30,CPU!$A$4:$A$64,0))),"(CPU belum ada di tab CPU)"))</f>
        <v>ya</v>
      </c>
    </row>
    <row r="31" customFormat="false" ht="15" hidden="false" customHeight="true" outlineLevel="0" collapsed="false">
      <c r="A31" s="19" t="s">
        <v>556</v>
      </c>
      <c r="B31" s="19" t="s">
        <v>179</v>
      </c>
      <c r="C31" s="19" t="s">
        <v>557</v>
      </c>
      <c r="D31" s="20" t="n">
        <v>2025</v>
      </c>
      <c r="E31" s="19" t="s">
        <v>58</v>
      </c>
      <c r="F31" s="20"/>
      <c r="G31" s="19" t="s">
        <v>368</v>
      </c>
      <c r="H31" s="19"/>
      <c r="I31" s="21"/>
      <c r="J31" s="19" t="s">
        <v>558</v>
      </c>
      <c r="K31" s="19" t="s">
        <v>548</v>
      </c>
      <c r="L31" s="20" t="n">
        <v>75</v>
      </c>
      <c r="M31" s="20" t="n">
        <v>16</v>
      </c>
      <c r="N31" s="19" t="s">
        <v>394</v>
      </c>
      <c r="O31" s="20" t="n">
        <v>3200</v>
      </c>
      <c r="P31" s="19" t="s">
        <v>417</v>
      </c>
      <c r="Q31" s="19" t="s">
        <v>418</v>
      </c>
      <c r="R31" s="20" t="n">
        <v>2</v>
      </c>
      <c r="S31" s="20" t="n">
        <v>1</v>
      </c>
      <c r="T31" s="20" t="n">
        <v>0</v>
      </c>
      <c r="U31" s="20" t="n">
        <v>32</v>
      </c>
      <c r="V31" s="20" t="n">
        <v>512</v>
      </c>
      <c r="W31" s="19" t="s">
        <v>376</v>
      </c>
      <c r="X31" s="19" t="s">
        <v>453</v>
      </c>
      <c r="Y31" s="19" t="s">
        <v>378</v>
      </c>
      <c r="Z31" s="19" t="s">
        <v>61</v>
      </c>
      <c r="AA31" s="20"/>
      <c r="AB31" s="20"/>
      <c r="AC31" s="19" t="s">
        <v>63</v>
      </c>
      <c r="AD31" s="19" t="s">
        <v>379</v>
      </c>
      <c r="AE31" s="21" t="s">
        <v>559</v>
      </c>
      <c r="AF31" s="20" t="n">
        <v>2.11</v>
      </c>
      <c r="AG31" s="19" t="s">
        <v>381</v>
      </c>
      <c r="AH31" s="19" t="s">
        <v>382</v>
      </c>
      <c r="AI31" s="20" t="n">
        <v>180</v>
      </c>
      <c r="AJ31" s="19" t="s">
        <v>63</v>
      </c>
      <c r="AK31" s="20" t="n">
        <v>76</v>
      </c>
      <c r="AL31" s="20" t="n">
        <v>135</v>
      </c>
      <c r="AM31" s="19" t="s">
        <v>383</v>
      </c>
      <c r="AN31" s="20"/>
      <c r="AO31" s="19" t="s">
        <v>63</v>
      </c>
      <c r="AP31" s="19" t="s">
        <v>61</v>
      </c>
      <c r="AQ31" s="19" t="s">
        <v>384</v>
      </c>
      <c r="AR31" s="19" t="s">
        <v>385</v>
      </c>
      <c r="AS31" s="19" t="s">
        <v>409</v>
      </c>
      <c r="AT31" s="19" t="s">
        <v>387</v>
      </c>
      <c r="AU31" s="19" t="s">
        <v>368</v>
      </c>
      <c r="AV31" s="20" t="n">
        <v>36</v>
      </c>
      <c r="AW31" s="20"/>
      <c r="AX31" s="19" t="s">
        <v>61</v>
      </c>
      <c r="AY31" s="19" t="s">
        <v>71</v>
      </c>
      <c r="AZ31" s="21" t="s">
        <v>560</v>
      </c>
      <c r="BA31" s="32" t="n">
        <f aca="true">IF(D31="","",YEAR(TODAY())-D31)</f>
        <v>1</v>
      </c>
      <c r="BB31" s="33" t="str">
        <f aca="false">IF(J31="","",IFERROR(IF(INDEX(CPU!$I$4:$I$64,MATCH(J31,CPU!$A$4:$A$64,0))="","(isi di tab CPU)",INDEX(CPU!$I$4:$I$64,MATCH(J31,CPU!$A$4:$A$64,0))),"(CPU belum ada di tab CPU)"))</f>
        <v>ya</v>
      </c>
    </row>
    <row r="32" customFormat="false" ht="15" hidden="false" customHeight="true" outlineLevel="0" collapsed="false">
      <c r="A32" s="19" t="s">
        <v>561</v>
      </c>
      <c r="B32" s="19" t="s">
        <v>179</v>
      </c>
      <c r="C32" s="19" t="s">
        <v>562</v>
      </c>
      <c r="D32" s="20" t="n">
        <v>2025</v>
      </c>
      <c r="E32" s="19" t="s">
        <v>58</v>
      </c>
      <c r="F32" s="20"/>
      <c r="G32" s="19" t="s">
        <v>368</v>
      </c>
      <c r="H32" s="19"/>
      <c r="I32" s="21"/>
      <c r="J32" s="19" t="s">
        <v>563</v>
      </c>
      <c r="K32" s="19" t="s">
        <v>548</v>
      </c>
      <c r="L32" s="20" t="n">
        <v>75</v>
      </c>
      <c r="M32" s="20" t="n">
        <v>16</v>
      </c>
      <c r="N32" s="19" t="s">
        <v>394</v>
      </c>
      <c r="O32" s="20" t="n">
        <v>3200</v>
      </c>
      <c r="P32" s="19" t="s">
        <v>71</v>
      </c>
      <c r="Q32" s="19" t="s">
        <v>418</v>
      </c>
      <c r="R32" s="20" t="n">
        <v>2</v>
      </c>
      <c r="S32" s="20"/>
      <c r="T32" s="20" t="n">
        <v>0</v>
      </c>
      <c r="U32" s="20" t="n">
        <v>32</v>
      </c>
      <c r="V32" s="20" t="n">
        <v>512</v>
      </c>
      <c r="W32" s="19" t="s">
        <v>376</v>
      </c>
      <c r="X32" s="19" t="s">
        <v>453</v>
      </c>
      <c r="Y32" s="19" t="s">
        <v>378</v>
      </c>
      <c r="Z32" s="19" t="s">
        <v>61</v>
      </c>
      <c r="AA32" s="20"/>
      <c r="AB32" s="20"/>
      <c r="AC32" s="19" t="s">
        <v>63</v>
      </c>
      <c r="AD32" s="19" t="s">
        <v>379</v>
      </c>
      <c r="AE32" s="21" t="s">
        <v>564</v>
      </c>
      <c r="AF32" s="20" t="n">
        <v>2.11</v>
      </c>
      <c r="AG32" s="19" t="s">
        <v>381</v>
      </c>
      <c r="AH32" s="19" t="s">
        <v>382</v>
      </c>
      <c r="AI32" s="20" t="n">
        <v>180</v>
      </c>
      <c r="AJ32" s="19" t="s">
        <v>63</v>
      </c>
      <c r="AK32" s="20" t="n">
        <v>76</v>
      </c>
      <c r="AL32" s="20" t="n">
        <v>135</v>
      </c>
      <c r="AM32" s="19" t="s">
        <v>383</v>
      </c>
      <c r="AN32" s="20"/>
      <c r="AO32" s="19" t="s">
        <v>63</v>
      </c>
      <c r="AP32" s="19" t="s">
        <v>61</v>
      </c>
      <c r="AQ32" s="19" t="s">
        <v>384</v>
      </c>
      <c r="AR32" s="19" t="s">
        <v>385</v>
      </c>
      <c r="AS32" s="19" t="s">
        <v>409</v>
      </c>
      <c r="AT32" s="19" t="s">
        <v>387</v>
      </c>
      <c r="AU32" s="19" t="s">
        <v>368</v>
      </c>
      <c r="AV32" s="20" t="n">
        <v>36</v>
      </c>
      <c r="AW32" s="20"/>
      <c r="AX32" s="19" t="s">
        <v>61</v>
      </c>
      <c r="AY32" s="19" t="s">
        <v>71</v>
      </c>
      <c r="AZ32" s="21" t="s">
        <v>565</v>
      </c>
      <c r="BA32" s="32" t="n">
        <f aca="true">IF(D32="","",YEAR(TODAY())-D32)</f>
        <v>1</v>
      </c>
      <c r="BB32" s="33" t="str">
        <f aca="false">IF(J32="","",IFERROR(IF(INDEX(CPU!$I$4:$I$64,MATCH(J32,CPU!$A$4:$A$64,0))="","(isi di tab CPU)",INDEX(CPU!$I$4:$I$64,MATCH(J32,CPU!$A$4:$A$64,0))),"(CPU belum ada di tab CPU)"))</f>
        <v>ya</v>
      </c>
    </row>
    <row r="33" customFormat="false" ht="15" hidden="false" customHeight="true" outlineLevel="0" collapsed="false">
      <c r="A33" s="19" t="s">
        <v>566</v>
      </c>
      <c r="B33" s="19" t="s">
        <v>185</v>
      </c>
      <c r="C33" s="19" t="s">
        <v>431</v>
      </c>
      <c r="D33" s="20" t="n">
        <v>2020</v>
      </c>
      <c r="E33" s="19" t="s">
        <v>95</v>
      </c>
      <c r="F33" s="20"/>
      <c r="G33" s="19" t="s">
        <v>71</v>
      </c>
      <c r="H33" s="19" t="s">
        <v>432</v>
      </c>
      <c r="I33" s="21"/>
      <c r="J33" s="19" t="s">
        <v>567</v>
      </c>
      <c r="K33" s="19" t="s">
        <v>568</v>
      </c>
      <c r="L33" s="20"/>
      <c r="M33" s="20" t="n">
        <v>16</v>
      </c>
      <c r="N33" s="19" t="s">
        <v>394</v>
      </c>
      <c r="O33" s="20" t="n">
        <v>2666</v>
      </c>
      <c r="P33" s="19" t="s">
        <v>71</v>
      </c>
      <c r="Q33" s="19" t="s">
        <v>395</v>
      </c>
      <c r="R33" s="20" t="n">
        <v>1</v>
      </c>
      <c r="S33" s="20"/>
      <c r="T33" s="20"/>
      <c r="U33" s="20"/>
      <c r="V33" s="20" t="n">
        <v>256</v>
      </c>
      <c r="W33" s="19" t="s">
        <v>376</v>
      </c>
      <c r="X33" s="19" t="s">
        <v>377</v>
      </c>
      <c r="Y33" s="19" t="s">
        <v>378</v>
      </c>
      <c r="Z33" s="19" t="s">
        <v>61</v>
      </c>
      <c r="AA33" s="20" t="n">
        <v>1</v>
      </c>
      <c r="AB33" s="20" t="n">
        <v>0</v>
      </c>
      <c r="AC33" s="19" t="s">
        <v>63</v>
      </c>
      <c r="AD33" s="19" t="s">
        <v>379</v>
      </c>
      <c r="AE33" s="21" t="s">
        <v>569</v>
      </c>
      <c r="AF33" s="20" t="n">
        <v>1.49</v>
      </c>
      <c r="AG33" s="19" t="s">
        <v>71</v>
      </c>
      <c r="AH33" s="19" t="s">
        <v>71</v>
      </c>
      <c r="AI33" s="20"/>
      <c r="AJ33" s="19" t="s">
        <v>71</v>
      </c>
      <c r="AK33" s="20" t="n">
        <v>50</v>
      </c>
      <c r="AL33" s="20"/>
      <c r="AM33" s="19" t="s">
        <v>383</v>
      </c>
      <c r="AN33" s="20" t="n">
        <v>5.1</v>
      </c>
      <c r="AO33" s="19" t="s">
        <v>71</v>
      </c>
      <c r="AP33" s="19" t="s">
        <v>71</v>
      </c>
      <c r="AQ33" s="19" t="s">
        <v>384</v>
      </c>
      <c r="AR33" s="19" t="s">
        <v>71</v>
      </c>
      <c r="AS33" s="19" t="s">
        <v>71</v>
      </c>
      <c r="AT33" s="19" t="s">
        <v>71</v>
      </c>
      <c r="AU33" s="19" t="s">
        <v>436</v>
      </c>
      <c r="AV33" s="20"/>
      <c r="AW33" s="20"/>
      <c r="AX33" s="19" t="s">
        <v>71</v>
      </c>
      <c r="AY33" s="19" t="s">
        <v>61</v>
      </c>
      <c r="AZ33" s="21" t="s">
        <v>570</v>
      </c>
      <c r="BA33" s="32" t="n">
        <f aca="true">IF(D33="","",YEAR(TODAY())-D33)</f>
        <v>6</v>
      </c>
      <c r="BB33" s="33" t="str">
        <f aca="false">IF(J33="","",IFERROR(IF(INDEX(CPU!$I$4:$I$64,MATCH(J33,CPU!$A$4:$A$64,0))="","(isi di tab CPU)",INDEX(CPU!$I$4:$I$64,MATCH(J33,CPU!$A$4:$A$64,0))),"(CPU belum ada di tab CPU)"))</f>
        <v>ya</v>
      </c>
    </row>
    <row r="34" customFormat="false" ht="15" hidden="false" customHeight="true" outlineLevel="0" collapsed="false">
      <c r="A34" s="19" t="s">
        <v>571</v>
      </c>
      <c r="B34" s="19" t="s">
        <v>185</v>
      </c>
      <c r="C34" s="19" t="s">
        <v>431</v>
      </c>
      <c r="D34" s="20" t="n">
        <v>2020</v>
      </c>
      <c r="E34" s="19" t="s">
        <v>95</v>
      </c>
      <c r="F34" s="20"/>
      <c r="G34" s="19" t="s">
        <v>71</v>
      </c>
      <c r="H34" s="19" t="s">
        <v>432</v>
      </c>
      <c r="I34" s="21"/>
      <c r="J34" s="19" t="s">
        <v>567</v>
      </c>
      <c r="K34" s="19" t="s">
        <v>568</v>
      </c>
      <c r="L34" s="20"/>
      <c r="M34" s="20" t="n">
        <v>16</v>
      </c>
      <c r="N34" s="19" t="s">
        <v>394</v>
      </c>
      <c r="O34" s="20" t="n">
        <v>2666</v>
      </c>
      <c r="P34" s="19" t="s">
        <v>71</v>
      </c>
      <c r="Q34" s="19" t="s">
        <v>395</v>
      </c>
      <c r="R34" s="20" t="n">
        <v>1</v>
      </c>
      <c r="S34" s="20"/>
      <c r="T34" s="20"/>
      <c r="U34" s="20"/>
      <c r="V34" s="20" t="n">
        <v>512</v>
      </c>
      <c r="W34" s="19" t="s">
        <v>376</v>
      </c>
      <c r="X34" s="19" t="s">
        <v>377</v>
      </c>
      <c r="Y34" s="19" t="s">
        <v>378</v>
      </c>
      <c r="Z34" s="19" t="s">
        <v>61</v>
      </c>
      <c r="AA34" s="20" t="n">
        <v>1</v>
      </c>
      <c r="AB34" s="20" t="n">
        <v>0</v>
      </c>
      <c r="AC34" s="19" t="s">
        <v>63</v>
      </c>
      <c r="AD34" s="19" t="s">
        <v>379</v>
      </c>
      <c r="AE34" s="21" t="s">
        <v>569</v>
      </c>
      <c r="AF34" s="20" t="n">
        <v>1.49</v>
      </c>
      <c r="AG34" s="19" t="s">
        <v>71</v>
      </c>
      <c r="AH34" s="19" t="s">
        <v>71</v>
      </c>
      <c r="AI34" s="20"/>
      <c r="AJ34" s="19" t="s">
        <v>71</v>
      </c>
      <c r="AK34" s="20" t="n">
        <v>50</v>
      </c>
      <c r="AL34" s="20"/>
      <c r="AM34" s="19" t="s">
        <v>383</v>
      </c>
      <c r="AN34" s="20" t="n">
        <v>5.1</v>
      </c>
      <c r="AO34" s="19" t="s">
        <v>71</v>
      </c>
      <c r="AP34" s="19" t="s">
        <v>71</v>
      </c>
      <c r="AQ34" s="19" t="s">
        <v>384</v>
      </c>
      <c r="AR34" s="19" t="s">
        <v>71</v>
      </c>
      <c r="AS34" s="19" t="s">
        <v>71</v>
      </c>
      <c r="AT34" s="19" t="s">
        <v>71</v>
      </c>
      <c r="AU34" s="19" t="s">
        <v>436</v>
      </c>
      <c r="AV34" s="20"/>
      <c r="AW34" s="20"/>
      <c r="AX34" s="19" t="s">
        <v>71</v>
      </c>
      <c r="AY34" s="19" t="s">
        <v>61</v>
      </c>
      <c r="AZ34" s="21" t="s">
        <v>572</v>
      </c>
      <c r="BA34" s="32" t="n">
        <f aca="true">IF(D34="","",YEAR(TODAY())-D34)</f>
        <v>6</v>
      </c>
      <c r="BB34" s="33" t="str">
        <f aca="false">IF(J34="","",IFERROR(IF(INDEX(CPU!$I$4:$I$64,MATCH(J34,CPU!$A$4:$A$64,0))="","(isi di tab CPU)",INDEX(CPU!$I$4:$I$64,MATCH(J34,CPU!$A$4:$A$64,0))),"(CPU belum ada di tab CPU)"))</f>
        <v>ya</v>
      </c>
    </row>
    <row r="35" customFormat="false" ht="15" hidden="false" customHeight="true" outlineLevel="0" collapsed="false">
      <c r="A35" s="19" t="s">
        <v>573</v>
      </c>
      <c r="B35" s="19" t="s">
        <v>190</v>
      </c>
      <c r="C35" s="19" t="s">
        <v>431</v>
      </c>
      <c r="D35" s="20" t="n">
        <v>2018</v>
      </c>
      <c r="E35" s="19" t="s">
        <v>95</v>
      </c>
      <c r="F35" s="20"/>
      <c r="G35" s="19" t="s">
        <v>71</v>
      </c>
      <c r="H35" s="19" t="s">
        <v>574</v>
      </c>
      <c r="I35" s="21"/>
      <c r="J35" s="19" t="s">
        <v>433</v>
      </c>
      <c r="K35" s="19" t="s">
        <v>434</v>
      </c>
      <c r="L35" s="20"/>
      <c r="M35" s="20" t="n">
        <v>8</v>
      </c>
      <c r="N35" s="19" t="s">
        <v>394</v>
      </c>
      <c r="O35" s="20" t="n">
        <v>2400</v>
      </c>
      <c r="P35" s="19" t="s">
        <v>71</v>
      </c>
      <c r="Q35" s="19" t="s">
        <v>418</v>
      </c>
      <c r="R35" s="20" t="n">
        <v>2</v>
      </c>
      <c r="S35" s="20"/>
      <c r="T35" s="20" t="n">
        <v>0</v>
      </c>
      <c r="U35" s="20" t="n">
        <v>32</v>
      </c>
      <c r="V35" s="20" t="n">
        <v>256</v>
      </c>
      <c r="W35" s="19" t="s">
        <v>71</v>
      </c>
      <c r="X35" s="19" t="s">
        <v>71</v>
      </c>
      <c r="Y35" s="19" t="s">
        <v>378</v>
      </c>
      <c r="Z35" s="19" t="s">
        <v>61</v>
      </c>
      <c r="AA35" s="20" t="n">
        <v>1</v>
      </c>
      <c r="AB35" s="20" t="n">
        <v>0</v>
      </c>
      <c r="AC35" s="19" t="s">
        <v>63</v>
      </c>
      <c r="AD35" s="19" t="s">
        <v>379</v>
      </c>
      <c r="AE35" s="21" t="s">
        <v>575</v>
      </c>
      <c r="AF35" s="20" t="n">
        <v>1.4</v>
      </c>
      <c r="AG35" s="19" t="s">
        <v>71</v>
      </c>
      <c r="AH35" s="19" t="s">
        <v>71</v>
      </c>
      <c r="AI35" s="20"/>
      <c r="AJ35" s="19" t="s">
        <v>71</v>
      </c>
      <c r="AK35" s="20"/>
      <c r="AL35" s="20"/>
      <c r="AM35" s="19" t="s">
        <v>427</v>
      </c>
      <c r="AN35" s="20"/>
      <c r="AO35" s="19" t="s">
        <v>71</v>
      </c>
      <c r="AP35" s="19" t="s">
        <v>71</v>
      </c>
      <c r="AQ35" s="19" t="s">
        <v>384</v>
      </c>
      <c r="AR35" s="19" t="s">
        <v>71</v>
      </c>
      <c r="AS35" s="19" t="s">
        <v>71</v>
      </c>
      <c r="AT35" s="19" t="s">
        <v>71</v>
      </c>
      <c r="AU35" s="19" t="s">
        <v>436</v>
      </c>
      <c r="AV35" s="20"/>
      <c r="AW35" s="20"/>
      <c r="AX35" s="19" t="s">
        <v>71</v>
      </c>
      <c r="AY35" s="19" t="s">
        <v>61</v>
      </c>
      <c r="AZ35" s="21" t="s">
        <v>576</v>
      </c>
      <c r="BA35" s="32" t="n">
        <f aca="true">IF(D35="","",YEAR(TODAY())-D35)</f>
        <v>8</v>
      </c>
      <c r="BB35" s="33" t="str">
        <f aca="false">IF(J35="","",IFERROR(IF(INDEX(CPU!$I$4:$I$64,MATCH(J35,CPU!$A$4:$A$64,0))="","(isi di tab CPU)",INDEX(CPU!$I$4:$I$64,MATCH(J35,CPU!$A$4:$A$64,0))),"(CPU belum ada di tab CPU)"))</f>
        <v>ya</v>
      </c>
    </row>
    <row r="36" customFormat="false" ht="15" hidden="false" customHeight="true" outlineLevel="0" collapsed="false">
      <c r="A36" s="19" t="s">
        <v>577</v>
      </c>
      <c r="B36" s="19" t="s">
        <v>196</v>
      </c>
      <c r="C36" s="19" t="s">
        <v>431</v>
      </c>
      <c r="D36" s="20" t="n">
        <v>2019</v>
      </c>
      <c r="E36" s="19" t="s">
        <v>95</v>
      </c>
      <c r="F36" s="20"/>
      <c r="G36" s="19" t="s">
        <v>71</v>
      </c>
      <c r="H36" s="19" t="s">
        <v>578</v>
      </c>
      <c r="I36" s="21"/>
      <c r="J36" s="19" t="s">
        <v>446</v>
      </c>
      <c r="K36" s="19" t="s">
        <v>434</v>
      </c>
      <c r="L36" s="20"/>
      <c r="M36" s="20" t="n">
        <v>8</v>
      </c>
      <c r="N36" s="19" t="s">
        <v>394</v>
      </c>
      <c r="O36" s="20" t="n">
        <v>2400</v>
      </c>
      <c r="P36" s="19" t="s">
        <v>71</v>
      </c>
      <c r="Q36" s="19" t="s">
        <v>418</v>
      </c>
      <c r="R36" s="20" t="n">
        <v>2</v>
      </c>
      <c r="S36" s="20"/>
      <c r="T36" s="20" t="n">
        <v>0</v>
      </c>
      <c r="U36" s="20" t="n">
        <v>32</v>
      </c>
      <c r="V36" s="20" t="n">
        <v>256</v>
      </c>
      <c r="W36" s="19" t="s">
        <v>71</v>
      </c>
      <c r="X36" s="19" t="s">
        <v>71</v>
      </c>
      <c r="Y36" s="19" t="s">
        <v>378</v>
      </c>
      <c r="Z36" s="19" t="s">
        <v>61</v>
      </c>
      <c r="AA36" s="20"/>
      <c r="AB36" s="20"/>
      <c r="AC36" s="19" t="s">
        <v>63</v>
      </c>
      <c r="AD36" s="19" t="s">
        <v>379</v>
      </c>
      <c r="AE36" s="21" t="s">
        <v>579</v>
      </c>
      <c r="AF36" s="20" t="n">
        <v>1.48</v>
      </c>
      <c r="AG36" s="19" t="s">
        <v>381</v>
      </c>
      <c r="AH36" s="19" t="s">
        <v>71</v>
      </c>
      <c r="AI36" s="20"/>
      <c r="AJ36" s="19" t="s">
        <v>71</v>
      </c>
      <c r="AK36" s="20" t="n">
        <v>50</v>
      </c>
      <c r="AL36" s="20"/>
      <c r="AM36" s="19" t="s">
        <v>383</v>
      </c>
      <c r="AN36" s="20" t="n">
        <v>5</v>
      </c>
      <c r="AO36" s="19" t="s">
        <v>71</v>
      </c>
      <c r="AP36" s="19" t="s">
        <v>71</v>
      </c>
      <c r="AQ36" s="19" t="s">
        <v>384</v>
      </c>
      <c r="AR36" s="19" t="s">
        <v>71</v>
      </c>
      <c r="AS36" s="19" t="s">
        <v>71</v>
      </c>
      <c r="AT36" s="19" t="s">
        <v>71</v>
      </c>
      <c r="AU36" s="19" t="s">
        <v>436</v>
      </c>
      <c r="AV36" s="20"/>
      <c r="AW36" s="20"/>
      <c r="AX36" s="19" t="s">
        <v>71</v>
      </c>
      <c r="AY36" s="19" t="s">
        <v>61</v>
      </c>
      <c r="AZ36" s="21" t="s">
        <v>580</v>
      </c>
      <c r="BA36" s="32" t="n">
        <f aca="true">IF(D36="","",YEAR(TODAY())-D36)</f>
        <v>7</v>
      </c>
      <c r="BB36" s="33" t="str">
        <f aca="false">IF(J36="","",IFERROR(IF(INDEX(CPU!$I$4:$I$64,MATCH(J36,CPU!$A$4:$A$64,0))="","(isi di tab CPU)",INDEX(CPU!$I$4:$I$64,MATCH(J36,CPU!$A$4:$A$64,0))),"(CPU belum ada di tab CPU)"))</f>
        <v>ya</v>
      </c>
    </row>
    <row r="37" customFormat="false" ht="15" hidden="false" customHeight="true" outlineLevel="0" collapsed="false">
      <c r="A37" s="19" t="s">
        <v>581</v>
      </c>
      <c r="B37" s="19" t="s">
        <v>196</v>
      </c>
      <c r="C37" s="19" t="s">
        <v>431</v>
      </c>
      <c r="D37" s="20" t="n">
        <v>2019</v>
      </c>
      <c r="E37" s="19" t="s">
        <v>95</v>
      </c>
      <c r="F37" s="20"/>
      <c r="G37" s="19" t="s">
        <v>71</v>
      </c>
      <c r="H37" s="19" t="s">
        <v>578</v>
      </c>
      <c r="I37" s="21"/>
      <c r="J37" s="19" t="s">
        <v>442</v>
      </c>
      <c r="K37" s="19" t="s">
        <v>434</v>
      </c>
      <c r="L37" s="20"/>
      <c r="M37" s="20" t="n">
        <v>16</v>
      </c>
      <c r="N37" s="19" t="s">
        <v>394</v>
      </c>
      <c r="O37" s="20" t="n">
        <v>2400</v>
      </c>
      <c r="P37" s="19" t="s">
        <v>71</v>
      </c>
      <c r="Q37" s="19" t="s">
        <v>418</v>
      </c>
      <c r="R37" s="20" t="n">
        <v>2</v>
      </c>
      <c r="S37" s="20"/>
      <c r="T37" s="20" t="n">
        <v>0</v>
      </c>
      <c r="U37" s="20" t="n">
        <v>32</v>
      </c>
      <c r="V37" s="20" t="n">
        <v>512</v>
      </c>
      <c r="W37" s="19" t="s">
        <v>71</v>
      </c>
      <c r="X37" s="19" t="s">
        <v>71</v>
      </c>
      <c r="Y37" s="19" t="s">
        <v>378</v>
      </c>
      <c r="Z37" s="19" t="s">
        <v>61</v>
      </c>
      <c r="AA37" s="20"/>
      <c r="AB37" s="20"/>
      <c r="AC37" s="19" t="s">
        <v>63</v>
      </c>
      <c r="AD37" s="19" t="s">
        <v>379</v>
      </c>
      <c r="AE37" s="21" t="s">
        <v>579</v>
      </c>
      <c r="AF37" s="20" t="n">
        <v>1.48</v>
      </c>
      <c r="AG37" s="19" t="s">
        <v>381</v>
      </c>
      <c r="AH37" s="19" t="s">
        <v>71</v>
      </c>
      <c r="AI37" s="20"/>
      <c r="AJ37" s="19" t="s">
        <v>71</v>
      </c>
      <c r="AK37" s="20" t="n">
        <v>50</v>
      </c>
      <c r="AL37" s="20"/>
      <c r="AM37" s="19" t="s">
        <v>383</v>
      </c>
      <c r="AN37" s="20" t="n">
        <v>5</v>
      </c>
      <c r="AO37" s="19" t="s">
        <v>71</v>
      </c>
      <c r="AP37" s="19" t="s">
        <v>71</v>
      </c>
      <c r="AQ37" s="19" t="s">
        <v>384</v>
      </c>
      <c r="AR37" s="19" t="s">
        <v>71</v>
      </c>
      <c r="AS37" s="19" t="s">
        <v>71</v>
      </c>
      <c r="AT37" s="19" t="s">
        <v>71</v>
      </c>
      <c r="AU37" s="19" t="s">
        <v>436</v>
      </c>
      <c r="AV37" s="20"/>
      <c r="AW37" s="20"/>
      <c r="AX37" s="19" t="s">
        <v>71</v>
      </c>
      <c r="AY37" s="19" t="s">
        <v>61</v>
      </c>
      <c r="AZ37" s="21" t="s">
        <v>582</v>
      </c>
      <c r="BA37" s="32" t="n">
        <f aca="true">IF(D37="","",YEAR(TODAY())-D37)</f>
        <v>7</v>
      </c>
      <c r="BB37" s="33" t="str">
        <f aca="false">IF(J37="","",IFERROR(IF(INDEX(CPU!$I$4:$I$64,MATCH(J37,CPU!$A$4:$A$64,0))="","(isi di tab CPU)",INDEX(CPU!$I$4:$I$64,MATCH(J37,CPU!$A$4:$A$64,0))),"(CPU belum ada di tab CPU)"))</f>
        <v>ya</v>
      </c>
    </row>
    <row r="38" customFormat="false" ht="15" hidden="false" customHeight="true" outlineLevel="0" collapsed="false">
      <c r="A38" s="19" t="s">
        <v>583</v>
      </c>
      <c r="B38" s="19" t="s">
        <v>201</v>
      </c>
      <c r="C38" s="19" t="s">
        <v>584</v>
      </c>
      <c r="D38" s="20"/>
      <c r="E38" s="19" t="s">
        <v>58</v>
      </c>
      <c r="F38" s="20"/>
      <c r="G38" s="19" t="s">
        <v>368</v>
      </c>
      <c r="H38" s="19"/>
      <c r="I38" s="21"/>
      <c r="J38" s="19" t="s">
        <v>585</v>
      </c>
      <c r="K38" s="19" t="s">
        <v>586</v>
      </c>
      <c r="L38" s="20"/>
      <c r="M38" s="20" t="n">
        <v>16</v>
      </c>
      <c r="N38" s="19" t="s">
        <v>394</v>
      </c>
      <c r="O38" s="20" t="n">
        <v>3200</v>
      </c>
      <c r="P38" s="19" t="s">
        <v>417</v>
      </c>
      <c r="Q38" s="19" t="s">
        <v>418</v>
      </c>
      <c r="R38" s="20" t="n">
        <v>2</v>
      </c>
      <c r="S38" s="20" t="n">
        <v>1</v>
      </c>
      <c r="T38" s="20" t="n">
        <v>0</v>
      </c>
      <c r="U38" s="20"/>
      <c r="V38" s="20" t="n">
        <v>512</v>
      </c>
      <c r="W38" s="19" t="s">
        <v>376</v>
      </c>
      <c r="X38" s="19" t="s">
        <v>587</v>
      </c>
      <c r="Y38" s="19" t="s">
        <v>71</v>
      </c>
      <c r="Z38" s="19" t="s">
        <v>61</v>
      </c>
      <c r="AA38" s="20" t="n">
        <v>2</v>
      </c>
      <c r="AB38" s="20"/>
      <c r="AC38" s="19" t="s">
        <v>71</v>
      </c>
      <c r="AD38" s="19" t="s">
        <v>379</v>
      </c>
      <c r="AE38" s="21" t="s">
        <v>588</v>
      </c>
      <c r="AF38" s="20" t="n">
        <v>2.29</v>
      </c>
      <c r="AG38" s="19" t="s">
        <v>381</v>
      </c>
      <c r="AH38" s="19" t="s">
        <v>382</v>
      </c>
      <c r="AI38" s="20" t="n">
        <v>144</v>
      </c>
      <c r="AJ38" s="19" t="s">
        <v>63</v>
      </c>
      <c r="AK38" s="20" t="n">
        <v>52.5</v>
      </c>
      <c r="AL38" s="20" t="n">
        <v>120</v>
      </c>
      <c r="AM38" s="19" t="s">
        <v>383</v>
      </c>
      <c r="AN38" s="20" t="n">
        <v>5.4</v>
      </c>
      <c r="AO38" s="19" t="s">
        <v>71</v>
      </c>
      <c r="AP38" s="19" t="s">
        <v>61</v>
      </c>
      <c r="AQ38" s="19" t="s">
        <v>384</v>
      </c>
      <c r="AR38" s="19" t="s">
        <v>385</v>
      </c>
      <c r="AS38" s="19" t="s">
        <v>409</v>
      </c>
      <c r="AT38" s="19" t="s">
        <v>589</v>
      </c>
      <c r="AU38" s="19" t="s">
        <v>368</v>
      </c>
      <c r="AV38" s="20"/>
      <c r="AW38" s="20"/>
      <c r="AX38" s="19" t="s">
        <v>61</v>
      </c>
      <c r="AY38" s="19" t="s">
        <v>71</v>
      </c>
      <c r="AZ38" s="21" t="s">
        <v>590</v>
      </c>
      <c r="BA38" s="32" t="str">
        <f aca="true">IF(D38="","",YEAR(TODAY())-D38)</f>
        <v/>
      </c>
      <c r="BB38" s="33" t="str">
        <f aca="false">IF(J38="","",IFERROR(IF(INDEX(CPU!$I$4:$I$64,MATCH(J38,CPU!$A$4:$A$64,0))="","(isi di tab CPU)",INDEX(CPU!$I$4:$I$64,MATCH(J38,CPU!$A$4:$A$64,0))),"(CPU belum ada di tab CPU)"))</f>
        <v>ya</v>
      </c>
    </row>
    <row r="39" customFormat="false" ht="15" hidden="false" customHeight="true" outlineLevel="0" collapsed="false">
      <c r="A39" s="19" t="s">
        <v>591</v>
      </c>
      <c r="B39" s="19" t="s">
        <v>207</v>
      </c>
      <c r="C39" s="19" t="s">
        <v>592</v>
      </c>
      <c r="D39" s="20" t="n">
        <v>2024</v>
      </c>
      <c r="E39" s="19" t="s">
        <v>58</v>
      </c>
      <c r="F39" s="20"/>
      <c r="G39" s="19" t="s">
        <v>368</v>
      </c>
      <c r="H39" s="19"/>
      <c r="I39" s="21"/>
      <c r="J39" s="19" t="s">
        <v>558</v>
      </c>
      <c r="K39" s="19" t="s">
        <v>593</v>
      </c>
      <c r="L39" s="20" t="n">
        <v>45</v>
      </c>
      <c r="M39" s="20" t="n">
        <v>8</v>
      </c>
      <c r="N39" s="19" t="s">
        <v>394</v>
      </c>
      <c r="O39" s="20" t="n">
        <v>3200</v>
      </c>
      <c r="P39" s="19" t="s">
        <v>417</v>
      </c>
      <c r="Q39" s="19" t="s">
        <v>418</v>
      </c>
      <c r="R39" s="20" t="n">
        <v>2</v>
      </c>
      <c r="S39" s="20" t="n">
        <v>1</v>
      </c>
      <c r="T39" s="20" t="n">
        <v>0</v>
      </c>
      <c r="U39" s="20" t="n">
        <v>64</v>
      </c>
      <c r="V39" s="20" t="n">
        <v>512</v>
      </c>
      <c r="W39" s="19" t="s">
        <v>376</v>
      </c>
      <c r="X39" s="19" t="s">
        <v>587</v>
      </c>
      <c r="Y39" s="19" t="s">
        <v>71</v>
      </c>
      <c r="Z39" s="19" t="s">
        <v>61</v>
      </c>
      <c r="AA39" s="20" t="n">
        <v>1</v>
      </c>
      <c r="AB39" s="20" t="n">
        <v>0</v>
      </c>
      <c r="AC39" s="19" t="s">
        <v>61</v>
      </c>
      <c r="AD39" s="19" t="s">
        <v>379</v>
      </c>
      <c r="AE39" s="21" t="s">
        <v>594</v>
      </c>
      <c r="AF39" s="20" t="n">
        <v>1.86</v>
      </c>
      <c r="AG39" s="19" t="s">
        <v>381</v>
      </c>
      <c r="AH39" s="19" t="s">
        <v>382</v>
      </c>
      <c r="AI39" s="20" t="n">
        <v>144</v>
      </c>
      <c r="AJ39" s="19" t="s">
        <v>71</v>
      </c>
      <c r="AK39" s="20" t="n">
        <v>52.4</v>
      </c>
      <c r="AL39" s="20" t="n">
        <v>120</v>
      </c>
      <c r="AM39" s="19" t="s">
        <v>486</v>
      </c>
      <c r="AN39" s="20"/>
      <c r="AO39" s="19" t="s">
        <v>71</v>
      </c>
      <c r="AP39" s="19" t="s">
        <v>61</v>
      </c>
      <c r="AQ39" s="19" t="s">
        <v>384</v>
      </c>
      <c r="AR39" s="19" t="s">
        <v>385</v>
      </c>
      <c r="AS39" s="19" t="s">
        <v>386</v>
      </c>
      <c r="AT39" s="19" t="s">
        <v>71</v>
      </c>
      <c r="AU39" s="19" t="s">
        <v>368</v>
      </c>
      <c r="AV39" s="20" t="n">
        <v>24</v>
      </c>
      <c r="AW39" s="20"/>
      <c r="AX39" s="19" t="s">
        <v>61</v>
      </c>
      <c r="AY39" s="19" t="s">
        <v>71</v>
      </c>
      <c r="AZ39" s="21" t="s">
        <v>595</v>
      </c>
      <c r="BA39" s="32" t="n">
        <f aca="true">IF(D39="","",YEAR(TODAY())-D39)</f>
        <v>2</v>
      </c>
      <c r="BB39" s="33" t="str">
        <f aca="false">IF(J39="","",IFERROR(IF(INDEX(CPU!$I$4:$I$64,MATCH(J39,CPU!$A$4:$A$64,0))="","(isi di tab CPU)",INDEX(CPU!$I$4:$I$64,MATCH(J39,CPU!$A$4:$A$64,0))),"(CPU belum ada di tab CPU)"))</f>
        <v>ya</v>
      </c>
    </row>
    <row r="40" customFormat="false" ht="15" hidden="false" customHeight="true" outlineLevel="0" collapsed="false">
      <c r="A40" s="19" t="s">
        <v>596</v>
      </c>
      <c r="B40" s="19" t="s">
        <v>214</v>
      </c>
      <c r="C40" s="19" t="s">
        <v>597</v>
      </c>
      <c r="D40" s="20" t="n">
        <v>2025</v>
      </c>
      <c r="E40" s="19" t="s">
        <v>58</v>
      </c>
      <c r="F40" s="20"/>
      <c r="G40" s="19" t="s">
        <v>368</v>
      </c>
      <c r="H40" s="19"/>
      <c r="I40" s="21"/>
      <c r="J40" s="19" t="s">
        <v>598</v>
      </c>
      <c r="K40" s="19" t="s">
        <v>599</v>
      </c>
      <c r="L40" s="20" t="n">
        <v>115</v>
      </c>
      <c r="M40" s="20" t="n">
        <v>16</v>
      </c>
      <c r="N40" s="19" t="s">
        <v>492</v>
      </c>
      <c r="O40" s="20" t="n">
        <v>5200</v>
      </c>
      <c r="P40" s="19" t="s">
        <v>71</v>
      </c>
      <c r="Q40" s="19" t="s">
        <v>418</v>
      </c>
      <c r="R40" s="20" t="n">
        <v>2</v>
      </c>
      <c r="S40" s="20"/>
      <c r="T40" s="20" t="n">
        <v>0</v>
      </c>
      <c r="U40" s="20" t="n">
        <v>64</v>
      </c>
      <c r="V40" s="20" t="n">
        <v>1024</v>
      </c>
      <c r="W40" s="19" t="s">
        <v>376</v>
      </c>
      <c r="X40" s="19" t="s">
        <v>587</v>
      </c>
      <c r="Y40" s="19" t="s">
        <v>378</v>
      </c>
      <c r="Z40" s="19" t="s">
        <v>61</v>
      </c>
      <c r="AA40" s="20" t="n">
        <v>2</v>
      </c>
      <c r="AB40" s="20"/>
      <c r="AC40" s="19" t="s">
        <v>63</v>
      </c>
      <c r="AD40" s="19" t="s">
        <v>379</v>
      </c>
      <c r="AE40" s="21" t="s">
        <v>600</v>
      </c>
      <c r="AF40" s="20" t="n">
        <v>2.5</v>
      </c>
      <c r="AG40" s="19" t="s">
        <v>381</v>
      </c>
      <c r="AH40" s="19" t="s">
        <v>601</v>
      </c>
      <c r="AI40" s="20" t="n">
        <v>240</v>
      </c>
      <c r="AJ40" s="19" t="s">
        <v>71</v>
      </c>
      <c r="AK40" s="20" t="n">
        <v>90</v>
      </c>
      <c r="AL40" s="20"/>
      <c r="AM40" s="19" t="s">
        <v>486</v>
      </c>
      <c r="AN40" s="20" t="n">
        <v>5.2</v>
      </c>
      <c r="AO40" s="19" t="s">
        <v>63</v>
      </c>
      <c r="AP40" s="19" t="s">
        <v>61</v>
      </c>
      <c r="AQ40" s="19" t="s">
        <v>457</v>
      </c>
      <c r="AR40" s="19" t="s">
        <v>385</v>
      </c>
      <c r="AS40" s="19" t="s">
        <v>386</v>
      </c>
      <c r="AT40" s="19" t="s">
        <v>387</v>
      </c>
      <c r="AU40" s="19" t="s">
        <v>368</v>
      </c>
      <c r="AV40" s="20"/>
      <c r="AW40" s="20"/>
      <c r="AX40" s="19" t="s">
        <v>61</v>
      </c>
      <c r="AY40" s="19" t="s">
        <v>71</v>
      </c>
      <c r="AZ40" s="21" t="s">
        <v>602</v>
      </c>
      <c r="BA40" s="32" t="n">
        <f aca="true">IF(D40="","",YEAR(TODAY())-D40)</f>
        <v>1</v>
      </c>
      <c r="BB40" s="33" t="str">
        <f aca="false">IF(J40="","",IFERROR(IF(INDEX(CPU!$I$4:$I$64,MATCH(J40,CPU!$A$4:$A$64,0))="","(isi di tab CPU)",INDEX(CPU!$I$4:$I$64,MATCH(J40,CPU!$A$4:$A$64,0))),"(CPU belum ada di tab CPU)"))</f>
        <v>ya</v>
      </c>
    </row>
    <row r="41" customFormat="false" ht="15" hidden="false" customHeight="true" outlineLevel="0" collapsed="false">
      <c r="A41" s="19" t="s">
        <v>603</v>
      </c>
      <c r="B41" s="19" t="s">
        <v>220</v>
      </c>
      <c r="C41" s="19" t="s">
        <v>604</v>
      </c>
      <c r="D41" s="20" t="n">
        <v>2025</v>
      </c>
      <c r="E41" s="19" t="s">
        <v>58</v>
      </c>
      <c r="F41" s="20"/>
      <c r="G41" s="19" t="s">
        <v>368</v>
      </c>
      <c r="H41" s="19" t="s">
        <v>605</v>
      </c>
      <c r="I41" s="21"/>
      <c r="J41" s="19" t="s">
        <v>606</v>
      </c>
      <c r="K41" s="19" t="s">
        <v>548</v>
      </c>
      <c r="L41" s="20" t="n">
        <v>115</v>
      </c>
      <c r="M41" s="20" t="n">
        <v>16</v>
      </c>
      <c r="N41" s="19" t="s">
        <v>492</v>
      </c>
      <c r="O41" s="20" t="n">
        <v>4800</v>
      </c>
      <c r="P41" s="19" t="s">
        <v>71</v>
      </c>
      <c r="Q41" s="19" t="s">
        <v>418</v>
      </c>
      <c r="R41" s="20" t="n">
        <v>2</v>
      </c>
      <c r="S41" s="20"/>
      <c r="T41" s="20" t="n">
        <v>0</v>
      </c>
      <c r="U41" s="20" t="n">
        <v>32</v>
      </c>
      <c r="V41" s="20" t="n">
        <v>512</v>
      </c>
      <c r="W41" s="19" t="s">
        <v>376</v>
      </c>
      <c r="X41" s="19" t="s">
        <v>453</v>
      </c>
      <c r="Y41" s="19" t="s">
        <v>476</v>
      </c>
      <c r="Z41" s="19" t="s">
        <v>61</v>
      </c>
      <c r="AA41" s="20" t="n">
        <v>2</v>
      </c>
      <c r="AB41" s="20" t="n">
        <v>1</v>
      </c>
      <c r="AC41" s="19" t="s">
        <v>63</v>
      </c>
      <c r="AD41" s="19" t="s">
        <v>379</v>
      </c>
      <c r="AE41" s="21" t="s">
        <v>607</v>
      </c>
      <c r="AF41" s="20" t="n">
        <v>2.1</v>
      </c>
      <c r="AG41" s="19" t="s">
        <v>381</v>
      </c>
      <c r="AH41" s="19" t="s">
        <v>398</v>
      </c>
      <c r="AI41" s="20" t="n">
        <v>165</v>
      </c>
      <c r="AJ41" s="19" t="s">
        <v>63</v>
      </c>
      <c r="AK41" s="20" t="n">
        <v>80</v>
      </c>
      <c r="AL41" s="20" t="n">
        <v>245</v>
      </c>
      <c r="AM41" s="19" t="s">
        <v>383</v>
      </c>
      <c r="AN41" s="20" t="n">
        <v>5.2</v>
      </c>
      <c r="AO41" s="19" t="s">
        <v>63</v>
      </c>
      <c r="AP41" s="19" t="s">
        <v>61</v>
      </c>
      <c r="AQ41" s="19" t="s">
        <v>71</v>
      </c>
      <c r="AR41" s="19" t="s">
        <v>385</v>
      </c>
      <c r="AS41" s="19" t="s">
        <v>386</v>
      </c>
      <c r="AT41" s="19" t="s">
        <v>387</v>
      </c>
      <c r="AU41" s="19" t="s">
        <v>368</v>
      </c>
      <c r="AV41" s="20"/>
      <c r="AW41" s="20"/>
      <c r="AX41" s="19" t="s">
        <v>61</v>
      </c>
      <c r="AY41" s="19" t="s">
        <v>71</v>
      </c>
      <c r="AZ41" s="21" t="s">
        <v>608</v>
      </c>
      <c r="BA41" s="32" t="n">
        <f aca="true">IF(D41="","",YEAR(TODAY())-D41)</f>
        <v>1</v>
      </c>
      <c r="BB41" s="33" t="str">
        <f aca="false">IF(J41="","",IFERROR(IF(INDEX(CPU!$I$4:$I$64,MATCH(J41,CPU!$A$4:$A$64,0))="","(isi di tab CPU)",INDEX(CPU!$I$4:$I$64,MATCH(J41,CPU!$A$4:$A$64,0))),"(CPU belum ada di tab CPU)"))</f>
        <v>ya</v>
      </c>
    </row>
    <row r="42" customFormat="false" ht="15" hidden="false" customHeight="true" outlineLevel="0" collapsed="false">
      <c r="A42" s="19" t="s">
        <v>609</v>
      </c>
      <c r="B42" s="19" t="s">
        <v>226</v>
      </c>
      <c r="C42" s="19" t="s">
        <v>610</v>
      </c>
      <c r="D42" s="20" t="n">
        <v>2025</v>
      </c>
      <c r="E42" s="19" t="s">
        <v>58</v>
      </c>
      <c r="F42" s="20"/>
      <c r="G42" s="19" t="s">
        <v>368</v>
      </c>
      <c r="H42" s="19" t="s">
        <v>611</v>
      </c>
      <c r="I42" s="21"/>
      <c r="J42" s="19" t="s">
        <v>612</v>
      </c>
      <c r="K42" s="19" t="s">
        <v>613</v>
      </c>
      <c r="L42" s="20"/>
      <c r="M42" s="20" t="n">
        <v>8</v>
      </c>
      <c r="N42" s="19" t="s">
        <v>492</v>
      </c>
      <c r="O42" s="20"/>
      <c r="P42" s="19" t="s">
        <v>417</v>
      </c>
      <c r="Q42" s="19" t="s">
        <v>418</v>
      </c>
      <c r="R42" s="20"/>
      <c r="S42" s="20"/>
      <c r="T42" s="20"/>
      <c r="U42" s="20"/>
      <c r="V42" s="20" t="n">
        <v>512</v>
      </c>
      <c r="W42" s="19" t="s">
        <v>376</v>
      </c>
      <c r="X42" s="19" t="s">
        <v>396</v>
      </c>
      <c r="Y42" s="19" t="s">
        <v>71</v>
      </c>
      <c r="Z42" s="19" t="s">
        <v>71</v>
      </c>
      <c r="AA42" s="20"/>
      <c r="AB42" s="20"/>
      <c r="AC42" s="19" t="s">
        <v>71</v>
      </c>
      <c r="AD42" s="19" t="s">
        <v>379</v>
      </c>
      <c r="AE42" s="21" t="s">
        <v>614</v>
      </c>
      <c r="AF42" s="20" t="n">
        <v>1.1</v>
      </c>
      <c r="AG42" s="19" t="s">
        <v>381</v>
      </c>
      <c r="AH42" s="19" t="s">
        <v>398</v>
      </c>
      <c r="AI42" s="20" t="n">
        <v>60</v>
      </c>
      <c r="AJ42" s="19" t="s">
        <v>63</v>
      </c>
      <c r="AK42" s="20" t="n">
        <v>45</v>
      </c>
      <c r="AL42" s="20" t="n">
        <v>51.3</v>
      </c>
      <c r="AM42" s="19" t="s">
        <v>383</v>
      </c>
      <c r="AN42" s="20" t="n">
        <v>5.2</v>
      </c>
      <c r="AO42" s="19" t="s">
        <v>63</v>
      </c>
      <c r="AP42" s="19" t="s">
        <v>63</v>
      </c>
      <c r="AQ42" s="19" t="s">
        <v>457</v>
      </c>
      <c r="AR42" s="19" t="s">
        <v>385</v>
      </c>
      <c r="AS42" s="19" t="s">
        <v>409</v>
      </c>
      <c r="AT42" s="19" t="s">
        <v>387</v>
      </c>
      <c r="AU42" s="19" t="s">
        <v>368</v>
      </c>
      <c r="AV42" s="20"/>
      <c r="AW42" s="20"/>
      <c r="AX42" s="19" t="s">
        <v>61</v>
      </c>
      <c r="AY42" s="19" t="s">
        <v>71</v>
      </c>
      <c r="AZ42" s="21" t="s">
        <v>615</v>
      </c>
      <c r="BA42" s="32" t="n">
        <f aca="true">IF(D42="","",YEAR(TODAY())-D42)</f>
        <v>1</v>
      </c>
      <c r="BB42" s="33" t="str">
        <f aca="false">IF(J42="","",IFERROR(IF(INDEX(CPU!$I$4:$I$64,MATCH(J42,CPU!$A$4:$A$64,0))="","(isi di tab CPU)",INDEX(CPU!$I$4:$I$64,MATCH(J42,CPU!$A$4:$A$64,0))),"(CPU belum ada di tab CPU)"))</f>
        <v>ya</v>
      </c>
    </row>
    <row r="43" customFormat="false" ht="15" hidden="false" customHeight="true" outlineLevel="0" collapsed="false">
      <c r="A43" s="19" t="s">
        <v>616</v>
      </c>
      <c r="B43" s="19" t="s">
        <v>231</v>
      </c>
      <c r="C43" s="19"/>
      <c r="D43" s="20"/>
      <c r="E43" s="19" t="s">
        <v>58</v>
      </c>
      <c r="F43" s="20"/>
      <c r="G43" s="19" t="s">
        <v>368</v>
      </c>
      <c r="H43" s="19" t="s">
        <v>617</v>
      </c>
      <c r="I43" s="21"/>
      <c r="J43" s="19" t="s">
        <v>618</v>
      </c>
      <c r="K43" s="19" t="s">
        <v>404</v>
      </c>
      <c r="L43" s="20"/>
      <c r="M43" s="20" t="n">
        <v>8</v>
      </c>
      <c r="N43" s="19" t="s">
        <v>394</v>
      </c>
      <c r="O43" s="20" t="n">
        <v>3200</v>
      </c>
      <c r="P43" s="19" t="s">
        <v>71</v>
      </c>
      <c r="Q43" s="19" t="s">
        <v>418</v>
      </c>
      <c r="R43" s="20" t="n">
        <v>2</v>
      </c>
      <c r="S43" s="20"/>
      <c r="T43" s="20" t="n">
        <v>0</v>
      </c>
      <c r="U43" s="20" t="n">
        <v>64</v>
      </c>
      <c r="V43" s="20" t="n">
        <v>256</v>
      </c>
      <c r="W43" s="19" t="s">
        <v>376</v>
      </c>
      <c r="X43" s="19" t="s">
        <v>619</v>
      </c>
      <c r="Y43" s="19" t="s">
        <v>378</v>
      </c>
      <c r="Z43" s="19" t="s">
        <v>61</v>
      </c>
      <c r="AA43" s="20" t="n">
        <v>2</v>
      </c>
      <c r="AB43" s="20" t="n">
        <v>1</v>
      </c>
      <c r="AC43" s="19" t="s">
        <v>71</v>
      </c>
      <c r="AD43" s="19" t="s">
        <v>379</v>
      </c>
      <c r="AE43" s="21" t="s">
        <v>620</v>
      </c>
      <c r="AF43" s="20" t="n">
        <v>1.25</v>
      </c>
      <c r="AG43" s="19" t="s">
        <v>381</v>
      </c>
      <c r="AH43" s="19" t="s">
        <v>382</v>
      </c>
      <c r="AI43" s="20" t="n">
        <v>60</v>
      </c>
      <c r="AJ43" s="19" t="s">
        <v>71</v>
      </c>
      <c r="AK43" s="20" t="n">
        <v>46.2</v>
      </c>
      <c r="AL43" s="20" t="n">
        <v>65</v>
      </c>
      <c r="AM43" s="19" t="s">
        <v>427</v>
      </c>
      <c r="AN43" s="20" t="n">
        <v>5</v>
      </c>
      <c r="AO43" s="19" t="s">
        <v>71</v>
      </c>
      <c r="AP43" s="19" t="s">
        <v>71</v>
      </c>
      <c r="AQ43" s="19" t="s">
        <v>384</v>
      </c>
      <c r="AR43" s="19" t="s">
        <v>385</v>
      </c>
      <c r="AS43" s="19" t="s">
        <v>71</v>
      </c>
      <c r="AT43" s="19" t="s">
        <v>163</v>
      </c>
      <c r="AU43" s="19" t="s">
        <v>368</v>
      </c>
      <c r="AV43" s="20" t="n">
        <v>12</v>
      </c>
      <c r="AW43" s="20"/>
      <c r="AX43" s="19" t="s">
        <v>61</v>
      </c>
      <c r="AY43" s="19" t="s">
        <v>71</v>
      </c>
      <c r="AZ43" s="21" t="s">
        <v>621</v>
      </c>
      <c r="BA43" s="32" t="str">
        <f aca="true">IF(D43="","",YEAR(TODAY())-D43)</f>
        <v/>
      </c>
      <c r="BB43" s="33" t="str">
        <f aca="false">IF(J43="","",IFERROR(IF(INDEX(CPU!$I$4:$I$64,MATCH(J43,CPU!$A$4:$A$64,0))="","(isi di tab CPU)",INDEX(CPU!$I$4:$I$64,MATCH(J43,CPU!$A$4:$A$64,0))),"(CPU belum ada di tab CPU)"))</f>
        <v>ya</v>
      </c>
    </row>
    <row r="44" customFormat="false" ht="15" hidden="false" customHeight="true" outlineLevel="0" collapsed="false">
      <c r="A44" s="19" t="s">
        <v>622</v>
      </c>
      <c r="B44" s="19" t="s">
        <v>236</v>
      </c>
      <c r="C44" s="19"/>
      <c r="D44" s="20" t="n">
        <v>2026</v>
      </c>
      <c r="E44" s="19" t="s">
        <v>58</v>
      </c>
      <c r="F44" s="20"/>
      <c r="G44" s="19" t="s">
        <v>368</v>
      </c>
      <c r="H44" s="19"/>
      <c r="I44" s="21"/>
      <c r="J44" s="19" t="s">
        <v>623</v>
      </c>
      <c r="K44" s="19" t="s">
        <v>624</v>
      </c>
      <c r="L44" s="20"/>
      <c r="M44" s="20" t="n">
        <v>8</v>
      </c>
      <c r="N44" s="19" t="s">
        <v>492</v>
      </c>
      <c r="O44" s="20"/>
      <c r="P44" s="19" t="s">
        <v>71</v>
      </c>
      <c r="Q44" s="19" t="s">
        <v>71</v>
      </c>
      <c r="R44" s="20"/>
      <c r="S44" s="20"/>
      <c r="T44" s="20"/>
      <c r="U44" s="20"/>
      <c r="V44" s="20" t="n">
        <v>512</v>
      </c>
      <c r="W44" s="19" t="s">
        <v>376</v>
      </c>
      <c r="X44" s="19" t="s">
        <v>71</v>
      </c>
      <c r="Y44" s="19" t="s">
        <v>71</v>
      </c>
      <c r="Z44" s="19" t="s">
        <v>71</v>
      </c>
      <c r="AA44" s="20"/>
      <c r="AB44" s="20"/>
      <c r="AC44" s="19" t="s">
        <v>71</v>
      </c>
      <c r="AD44" s="19" t="s">
        <v>406</v>
      </c>
      <c r="AE44" s="21" t="s">
        <v>625</v>
      </c>
      <c r="AF44" s="20"/>
      <c r="AG44" s="19" t="s">
        <v>381</v>
      </c>
      <c r="AH44" s="19" t="s">
        <v>398</v>
      </c>
      <c r="AI44" s="20"/>
      <c r="AJ44" s="19" t="s">
        <v>71</v>
      </c>
      <c r="AK44" s="20" t="n">
        <v>60</v>
      </c>
      <c r="AL44" s="20" t="n">
        <v>100</v>
      </c>
      <c r="AM44" s="19" t="s">
        <v>383</v>
      </c>
      <c r="AN44" s="20" t="n">
        <v>5</v>
      </c>
      <c r="AO44" s="19" t="s">
        <v>71</v>
      </c>
      <c r="AP44" s="19" t="s">
        <v>61</v>
      </c>
      <c r="AQ44" s="19" t="s">
        <v>384</v>
      </c>
      <c r="AR44" s="19" t="s">
        <v>385</v>
      </c>
      <c r="AS44" s="19" t="s">
        <v>386</v>
      </c>
      <c r="AT44" s="19" t="s">
        <v>71</v>
      </c>
      <c r="AU44" s="19" t="s">
        <v>368</v>
      </c>
      <c r="AV44" s="20" t="n">
        <v>24</v>
      </c>
      <c r="AW44" s="20"/>
      <c r="AX44" s="19" t="s">
        <v>61</v>
      </c>
      <c r="AY44" s="19" t="s">
        <v>71</v>
      </c>
      <c r="AZ44" s="21" t="s">
        <v>626</v>
      </c>
      <c r="BA44" s="32" t="n">
        <f aca="true">IF(D44="","",YEAR(TODAY())-D44)</f>
        <v>0</v>
      </c>
      <c r="BB44" s="33" t="str">
        <f aca="false">IF(J44="","",IFERROR(IF(INDEX(CPU!$I$4:$I$64,MATCH(J44,CPU!$A$4:$A$64,0))="","(isi di tab CPU)",INDEX(CPU!$I$4:$I$64,MATCH(J44,CPU!$A$4:$A$64,0))),"(CPU belum ada di tab CPU)"))</f>
        <v>ya</v>
      </c>
    </row>
    <row r="45" customFormat="false" ht="15" hidden="false" customHeight="true" outlineLevel="0" collapsed="false">
      <c r="A45" s="19" t="s">
        <v>627</v>
      </c>
      <c r="B45" s="19" t="s">
        <v>242</v>
      </c>
      <c r="C45" s="19"/>
      <c r="D45" s="20" t="n">
        <v>2026</v>
      </c>
      <c r="E45" s="19" t="s">
        <v>58</v>
      </c>
      <c r="F45" s="20"/>
      <c r="G45" s="19" t="s">
        <v>368</v>
      </c>
      <c r="H45" s="19"/>
      <c r="I45" s="21"/>
      <c r="J45" s="19" t="s">
        <v>628</v>
      </c>
      <c r="K45" s="19" t="s">
        <v>629</v>
      </c>
      <c r="L45" s="20"/>
      <c r="M45" s="20" t="n">
        <v>8</v>
      </c>
      <c r="N45" s="19" t="s">
        <v>394</v>
      </c>
      <c r="O45" s="20"/>
      <c r="P45" s="19" t="s">
        <v>417</v>
      </c>
      <c r="Q45" s="19" t="s">
        <v>418</v>
      </c>
      <c r="R45" s="20" t="n">
        <v>2</v>
      </c>
      <c r="S45" s="20" t="n">
        <v>1</v>
      </c>
      <c r="T45" s="20" t="n">
        <v>0</v>
      </c>
      <c r="U45" s="20" t="n">
        <v>64</v>
      </c>
      <c r="V45" s="20" t="n">
        <v>256</v>
      </c>
      <c r="W45" s="19" t="s">
        <v>71</v>
      </c>
      <c r="X45" s="19" t="s">
        <v>71</v>
      </c>
      <c r="Y45" s="19" t="s">
        <v>71</v>
      </c>
      <c r="Z45" s="19" t="s">
        <v>61</v>
      </c>
      <c r="AA45" s="20" t="n">
        <v>1</v>
      </c>
      <c r="AB45" s="20" t="n">
        <v>0</v>
      </c>
      <c r="AC45" s="19" t="s">
        <v>71</v>
      </c>
      <c r="AD45" s="19" t="s">
        <v>406</v>
      </c>
      <c r="AE45" s="21" t="s">
        <v>630</v>
      </c>
      <c r="AF45" s="20" t="n">
        <v>1.2</v>
      </c>
      <c r="AG45" s="19" t="s">
        <v>381</v>
      </c>
      <c r="AH45" s="19" t="s">
        <v>398</v>
      </c>
      <c r="AI45" s="20" t="n">
        <v>60</v>
      </c>
      <c r="AJ45" s="19" t="s">
        <v>63</v>
      </c>
      <c r="AK45" s="20" t="n">
        <v>55</v>
      </c>
      <c r="AL45" s="20" t="n">
        <v>65</v>
      </c>
      <c r="AM45" s="19" t="s">
        <v>383</v>
      </c>
      <c r="AN45" s="20" t="n">
        <v>5.2</v>
      </c>
      <c r="AO45" s="19" t="s">
        <v>71</v>
      </c>
      <c r="AP45" s="19" t="s">
        <v>61</v>
      </c>
      <c r="AQ45" s="19" t="s">
        <v>384</v>
      </c>
      <c r="AR45" s="19" t="s">
        <v>385</v>
      </c>
      <c r="AS45" s="19" t="s">
        <v>386</v>
      </c>
      <c r="AT45" s="19" t="s">
        <v>71</v>
      </c>
      <c r="AU45" s="19" t="s">
        <v>368</v>
      </c>
      <c r="AV45" s="20"/>
      <c r="AW45" s="20"/>
      <c r="AX45" s="19" t="s">
        <v>61</v>
      </c>
      <c r="AY45" s="19" t="s">
        <v>71</v>
      </c>
      <c r="AZ45" s="21" t="s">
        <v>631</v>
      </c>
      <c r="BA45" s="32" t="n">
        <f aca="true">IF(D45="","",YEAR(TODAY())-D45)</f>
        <v>0</v>
      </c>
      <c r="BB45" s="33" t="str">
        <f aca="false">IF(J45="","",IFERROR(IF(INDEX(CPU!$I$4:$I$64,MATCH(J45,CPU!$A$4:$A$64,0))="","(isi di tab CPU)",INDEX(CPU!$I$4:$I$64,MATCH(J45,CPU!$A$4:$A$64,0))),"(CPU belum ada di tab CPU)"))</f>
        <v>ya</v>
      </c>
    </row>
    <row r="46" customFormat="false" ht="15" hidden="false" customHeight="true" outlineLevel="0" collapsed="false">
      <c r="A46" s="19" t="s">
        <v>632</v>
      </c>
      <c r="B46" s="19" t="s">
        <v>248</v>
      </c>
      <c r="C46" s="19" t="s">
        <v>633</v>
      </c>
      <c r="D46" s="20"/>
      <c r="E46" s="19" t="s">
        <v>58</v>
      </c>
      <c r="F46" s="20"/>
      <c r="G46" s="19" t="s">
        <v>368</v>
      </c>
      <c r="H46" s="19" t="s">
        <v>634</v>
      </c>
      <c r="I46" s="21" t="s">
        <v>635</v>
      </c>
      <c r="J46" s="19" t="s">
        <v>415</v>
      </c>
      <c r="K46" s="19" t="s">
        <v>416</v>
      </c>
      <c r="L46" s="20"/>
      <c r="M46" s="20" t="n">
        <v>4</v>
      </c>
      <c r="N46" s="19" t="s">
        <v>71</v>
      </c>
      <c r="O46" s="20"/>
      <c r="P46" s="19" t="s">
        <v>71</v>
      </c>
      <c r="Q46" s="19" t="s">
        <v>375</v>
      </c>
      <c r="R46" s="20" t="n">
        <v>0</v>
      </c>
      <c r="S46" s="20" t="n">
        <v>0</v>
      </c>
      <c r="T46" s="20" t="n">
        <v>4</v>
      </c>
      <c r="U46" s="20" t="n">
        <v>4</v>
      </c>
      <c r="V46" s="20" t="n">
        <v>32</v>
      </c>
      <c r="W46" s="19" t="s">
        <v>636</v>
      </c>
      <c r="X46" s="19" t="s">
        <v>71</v>
      </c>
      <c r="Y46" s="19" t="s">
        <v>71</v>
      </c>
      <c r="Z46" s="19" t="s">
        <v>63</v>
      </c>
      <c r="AA46" s="20" t="n">
        <v>0</v>
      </c>
      <c r="AB46" s="20" t="n">
        <v>0</v>
      </c>
      <c r="AC46" s="19" t="s">
        <v>63</v>
      </c>
      <c r="AD46" s="19" t="s">
        <v>406</v>
      </c>
      <c r="AE46" s="21" t="s">
        <v>637</v>
      </c>
      <c r="AF46" s="20"/>
      <c r="AG46" s="19" t="s">
        <v>381</v>
      </c>
      <c r="AH46" s="19" t="s">
        <v>423</v>
      </c>
      <c r="AI46" s="20"/>
      <c r="AJ46" s="19" t="s">
        <v>61</v>
      </c>
      <c r="AK46" s="20"/>
      <c r="AL46" s="20" t="n">
        <v>45</v>
      </c>
      <c r="AM46" s="19" t="s">
        <v>427</v>
      </c>
      <c r="AN46" s="20"/>
      <c r="AO46" s="19" t="s">
        <v>71</v>
      </c>
      <c r="AP46" s="19" t="s">
        <v>71</v>
      </c>
      <c r="AQ46" s="19" t="s">
        <v>384</v>
      </c>
      <c r="AR46" s="19" t="s">
        <v>638</v>
      </c>
      <c r="AS46" s="19" t="s">
        <v>163</v>
      </c>
      <c r="AT46" s="19" t="s">
        <v>163</v>
      </c>
      <c r="AU46" s="19" t="s">
        <v>368</v>
      </c>
      <c r="AV46" s="20"/>
      <c r="AW46" s="20"/>
      <c r="AX46" s="19" t="s">
        <v>61</v>
      </c>
      <c r="AY46" s="19" t="s">
        <v>61</v>
      </c>
      <c r="AZ46" s="21" t="s">
        <v>639</v>
      </c>
      <c r="BA46" s="32" t="str">
        <f aca="true">IF(D46="","",YEAR(TODAY())-D46)</f>
        <v/>
      </c>
      <c r="BB46" s="33" t="str">
        <f aca="false">IF(J46="","",IFERROR(IF(INDEX(CPU!$I$4:$I$64,MATCH(J46,CPU!$A$4:$A$64,0))="","(isi di tab CPU)",INDEX(CPU!$I$4:$I$64,MATCH(J46,CPU!$A$4:$A$64,0))),"(CPU belum ada di tab CPU)"))</f>
        <v>ya</v>
      </c>
    </row>
    <row r="47" customFormat="false" ht="15" hidden="false" customHeight="true" outlineLevel="0" collapsed="false">
      <c r="A47" s="19" t="s">
        <v>640</v>
      </c>
      <c r="B47" s="19" t="s">
        <v>253</v>
      </c>
      <c r="C47" s="19" t="s">
        <v>431</v>
      </c>
      <c r="D47" s="20" t="n">
        <v>2020</v>
      </c>
      <c r="E47" s="19" t="s">
        <v>95</v>
      </c>
      <c r="F47" s="20"/>
      <c r="G47" s="19" t="s">
        <v>71</v>
      </c>
      <c r="H47" s="19"/>
      <c r="I47" s="21"/>
      <c r="J47" s="19" t="s">
        <v>641</v>
      </c>
      <c r="K47" s="19" t="s">
        <v>642</v>
      </c>
      <c r="L47" s="20"/>
      <c r="M47" s="20" t="n">
        <v>8</v>
      </c>
      <c r="N47" s="19" t="s">
        <v>373</v>
      </c>
      <c r="O47" s="20" t="n">
        <v>4266</v>
      </c>
      <c r="P47" s="19" t="s">
        <v>71</v>
      </c>
      <c r="Q47" s="19" t="s">
        <v>375</v>
      </c>
      <c r="R47" s="20" t="n">
        <v>0</v>
      </c>
      <c r="S47" s="20" t="n">
        <v>0</v>
      </c>
      <c r="T47" s="20" t="n">
        <v>8</v>
      </c>
      <c r="U47" s="20" t="n">
        <v>8</v>
      </c>
      <c r="V47" s="20" t="n">
        <v>256</v>
      </c>
      <c r="W47" s="19" t="s">
        <v>376</v>
      </c>
      <c r="X47" s="19" t="s">
        <v>71</v>
      </c>
      <c r="Y47" s="19" t="s">
        <v>71</v>
      </c>
      <c r="Z47" s="19" t="s">
        <v>63</v>
      </c>
      <c r="AA47" s="20" t="n">
        <v>0</v>
      </c>
      <c r="AB47" s="20" t="n">
        <v>0</v>
      </c>
      <c r="AC47" s="19" t="s">
        <v>63</v>
      </c>
      <c r="AD47" s="19" t="s">
        <v>406</v>
      </c>
      <c r="AE47" s="21" t="s">
        <v>643</v>
      </c>
      <c r="AF47" s="20" t="n">
        <v>1.29</v>
      </c>
      <c r="AG47" s="19" t="s">
        <v>381</v>
      </c>
      <c r="AH47" s="19" t="s">
        <v>601</v>
      </c>
      <c r="AI47" s="20" t="n">
        <v>60</v>
      </c>
      <c r="AJ47" s="19" t="s">
        <v>63</v>
      </c>
      <c r="AK47" s="20" t="n">
        <v>49.9</v>
      </c>
      <c r="AL47" s="20" t="n">
        <v>30</v>
      </c>
      <c r="AM47" s="19" t="s">
        <v>383</v>
      </c>
      <c r="AN47" s="20" t="n">
        <v>5</v>
      </c>
      <c r="AO47" s="19" t="s">
        <v>61</v>
      </c>
      <c r="AP47" s="19" t="s">
        <v>61</v>
      </c>
      <c r="AQ47" s="19" t="s">
        <v>384</v>
      </c>
      <c r="AR47" s="19" t="s">
        <v>533</v>
      </c>
      <c r="AS47" s="19" t="s">
        <v>163</v>
      </c>
      <c r="AT47" s="19" t="s">
        <v>163</v>
      </c>
      <c r="AU47" s="19" t="s">
        <v>436</v>
      </c>
      <c r="AV47" s="20"/>
      <c r="AW47" s="20"/>
      <c r="AX47" s="19" t="s">
        <v>71</v>
      </c>
      <c r="AY47" s="19" t="s">
        <v>61</v>
      </c>
      <c r="AZ47" s="21" t="s">
        <v>644</v>
      </c>
      <c r="BA47" s="32" t="n">
        <f aca="true">IF(D47="","",YEAR(TODAY())-D47)</f>
        <v>6</v>
      </c>
      <c r="BB47" s="33" t="str">
        <f aca="false">IF(J47="","",IFERROR(IF(INDEX(CPU!$I$4:$I$64,MATCH(J47,CPU!$A$4:$A$64,0))="","(isi di tab CPU)",INDEX(CPU!$I$4:$I$64,MATCH(J47,CPU!$A$4:$A$64,0))),"(CPU belum ada di tab CPU)"))</f>
        <v>unknown</v>
      </c>
    </row>
    <row r="48" customFormat="false" ht="15" hidden="false" customHeight="true" outlineLevel="0" collapsed="false">
      <c r="A48" s="19" t="s">
        <v>645</v>
      </c>
      <c r="B48" s="19" t="s">
        <v>258</v>
      </c>
      <c r="C48" s="19" t="s">
        <v>431</v>
      </c>
      <c r="D48" s="20" t="n">
        <v>2020</v>
      </c>
      <c r="E48" s="19" t="s">
        <v>95</v>
      </c>
      <c r="F48" s="20"/>
      <c r="G48" s="19" t="s">
        <v>71</v>
      </c>
      <c r="H48" s="19" t="s">
        <v>646</v>
      </c>
      <c r="I48" s="21"/>
      <c r="J48" s="19" t="s">
        <v>567</v>
      </c>
      <c r="K48" s="19" t="s">
        <v>568</v>
      </c>
      <c r="L48" s="20"/>
      <c r="M48" s="20" t="n">
        <v>16</v>
      </c>
      <c r="N48" s="19" t="s">
        <v>647</v>
      </c>
      <c r="O48" s="20" t="n">
        <v>2133</v>
      </c>
      <c r="P48" s="19" t="s">
        <v>374</v>
      </c>
      <c r="Q48" s="19" t="s">
        <v>375</v>
      </c>
      <c r="R48" s="20" t="n">
        <v>0</v>
      </c>
      <c r="S48" s="20" t="n">
        <v>0</v>
      </c>
      <c r="T48" s="20" t="n">
        <v>16</v>
      </c>
      <c r="U48" s="20" t="n">
        <v>16</v>
      </c>
      <c r="V48" s="20" t="n">
        <v>256</v>
      </c>
      <c r="W48" s="19" t="s">
        <v>376</v>
      </c>
      <c r="X48" s="19" t="s">
        <v>377</v>
      </c>
      <c r="Y48" s="19" t="s">
        <v>378</v>
      </c>
      <c r="Z48" s="19" t="s">
        <v>61</v>
      </c>
      <c r="AA48" s="20" t="n">
        <v>1</v>
      </c>
      <c r="AB48" s="20" t="n">
        <v>0</v>
      </c>
      <c r="AC48" s="19" t="s">
        <v>63</v>
      </c>
      <c r="AD48" s="19" t="s">
        <v>379</v>
      </c>
      <c r="AE48" s="21" t="s">
        <v>648</v>
      </c>
      <c r="AF48" s="20" t="n">
        <v>1.09</v>
      </c>
      <c r="AG48" s="19" t="s">
        <v>381</v>
      </c>
      <c r="AH48" s="19" t="s">
        <v>71</v>
      </c>
      <c r="AI48" s="20" t="n">
        <v>60</v>
      </c>
      <c r="AJ48" s="19" t="s">
        <v>71</v>
      </c>
      <c r="AK48" s="20" t="n">
        <v>51</v>
      </c>
      <c r="AL48" s="20"/>
      <c r="AM48" s="19" t="s">
        <v>383</v>
      </c>
      <c r="AN48" s="20" t="n">
        <v>5.1</v>
      </c>
      <c r="AO48" s="19" t="s">
        <v>61</v>
      </c>
      <c r="AP48" s="19" t="s">
        <v>61</v>
      </c>
      <c r="AQ48" s="19" t="s">
        <v>384</v>
      </c>
      <c r="AR48" s="19" t="s">
        <v>71</v>
      </c>
      <c r="AS48" s="19" t="s">
        <v>71</v>
      </c>
      <c r="AT48" s="19" t="s">
        <v>71</v>
      </c>
      <c r="AU48" s="19" t="s">
        <v>436</v>
      </c>
      <c r="AV48" s="20"/>
      <c r="AW48" s="20"/>
      <c r="AX48" s="19" t="s">
        <v>71</v>
      </c>
      <c r="AY48" s="19" t="s">
        <v>61</v>
      </c>
      <c r="AZ48" s="21" t="s">
        <v>649</v>
      </c>
      <c r="BA48" s="32" t="n">
        <f aca="true">IF(D48="","",YEAR(TODAY())-D48)</f>
        <v>6</v>
      </c>
      <c r="BB48" s="33" t="str">
        <f aca="false">IF(J48="","",IFERROR(IF(INDEX(CPU!$I$4:$I$64,MATCH(J48,CPU!$A$4:$A$64,0))="","(isi di tab CPU)",INDEX(CPU!$I$4:$I$64,MATCH(J48,CPU!$A$4:$A$64,0))),"(CPU belum ada di tab CPU)"))</f>
        <v>ya</v>
      </c>
    </row>
    <row r="49" customFormat="false" ht="15" hidden="false" customHeight="true" outlineLevel="0" collapsed="false">
      <c r="A49" s="19" t="s">
        <v>650</v>
      </c>
      <c r="B49" s="19" t="s">
        <v>263</v>
      </c>
      <c r="C49" s="19" t="s">
        <v>431</v>
      </c>
      <c r="D49" s="20" t="n">
        <v>2016</v>
      </c>
      <c r="E49" s="19" t="s">
        <v>95</v>
      </c>
      <c r="F49" s="20"/>
      <c r="G49" s="19" t="s">
        <v>71</v>
      </c>
      <c r="H49" s="19"/>
      <c r="I49" s="21"/>
      <c r="J49" s="19" t="s">
        <v>651</v>
      </c>
      <c r="K49" s="19" t="s">
        <v>652</v>
      </c>
      <c r="L49" s="20"/>
      <c r="M49" s="20" t="n">
        <v>8</v>
      </c>
      <c r="N49" s="19" t="s">
        <v>647</v>
      </c>
      <c r="O49" s="20" t="n">
        <v>1866</v>
      </c>
      <c r="P49" s="19" t="s">
        <v>71</v>
      </c>
      <c r="Q49" s="19" t="s">
        <v>375</v>
      </c>
      <c r="R49" s="20" t="n">
        <v>0</v>
      </c>
      <c r="S49" s="20" t="n">
        <v>0</v>
      </c>
      <c r="T49" s="20" t="n">
        <v>8</v>
      </c>
      <c r="U49" s="20" t="n">
        <v>8</v>
      </c>
      <c r="V49" s="20" t="n">
        <v>256</v>
      </c>
      <c r="W49" s="19" t="s">
        <v>376</v>
      </c>
      <c r="X49" s="19" t="s">
        <v>377</v>
      </c>
      <c r="Y49" s="19" t="s">
        <v>378</v>
      </c>
      <c r="Z49" s="19" t="s">
        <v>61</v>
      </c>
      <c r="AA49" s="20" t="n">
        <v>1</v>
      </c>
      <c r="AB49" s="20" t="n">
        <v>0</v>
      </c>
      <c r="AC49" s="19" t="s">
        <v>63</v>
      </c>
      <c r="AD49" s="19" t="s">
        <v>379</v>
      </c>
      <c r="AE49" s="21" t="s">
        <v>653</v>
      </c>
      <c r="AF49" s="20" t="n">
        <v>1.22</v>
      </c>
      <c r="AG49" s="19" t="s">
        <v>381</v>
      </c>
      <c r="AH49" s="19" t="s">
        <v>71</v>
      </c>
      <c r="AI49" s="20" t="n">
        <v>60</v>
      </c>
      <c r="AJ49" s="19" t="s">
        <v>71</v>
      </c>
      <c r="AK49" s="20" t="n">
        <v>60</v>
      </c>
      <c r="AL49" s="20" t="n">
        <v>45</v>
      </c>
      <c r="AM49" s="19" t="s">
        <v>427</v>
      </c>
      <c r="AN49" s="20" t="n">
        <v>4.1</v>
      </c>
      <c r="AO49" s="19" t="s">
        <v>71</v>
      </c>
      <c r="AP49" s="19" t="s">
        <v>61</v>
      </c>
      <c r="AQ49" s="19" t="s">
        <v>384</v>
      </c>
      <c r="AR49" s="19" t="s">
        <v>71</v>
      </c>
      <c r="AS49" s="19" t="s">
        <v>71</v>
      </c>
      <c r="AT49" s="19" t="s">
        <v>71</v>
      </c>
      <c r="AU49" s="19" t="s">
        <v>436</v>
      </c>
      <c r="AV49" s="20"/>
      <c r="AW49" s="20"/>
      <c r="AX49" s="19" t="s">
        <v>71</v>
      </c>
      <c r="AY49" s="19" t="s">
        <v>61</v>
      </c>
      <c r="AZ49" s="21" t="s">
        <v>654</v>
      </c>
      <c r="BA49" s="32" t="n">
        <f aca="true">IF(D49="","",YEAR(TODAY())-D49)</f>
        <v>10</v>
      </c>
      <c r="BB49" s="33" t="str">
        <f aca="false">IF(J49="","",IFERROR(IF(INDEX(CPU!$I$4:$I$64,MATCH(J49,CPU!$A$4:$A$64,0))="","(isi di tab CPU)",INDEX(CPU!$I$4:$I$64,MATCH(J49,CPU!$A$4:$A$64,0))),"(CPU belum ada di tab CPU)"))</f>
        <v>tidak</v>
      </c>
    </row>
    <row r="50" customFormat="false" ht="15" hidden="false" customHeight="true" outlineLevel="0" collapsed="false">
      <c r="A50" s="19" t="s">
        <v>655</v>
      </c>
      <c r="B50" s="19" t="s">
        <v>268</v>
      </c>
      <c r="C50" s="19" t="s">
        <v>656</v>
      </c>
      <c r="D50" s="20" t="n">
        <v>2025</v>
      </c>
      <c r="E50" s="19" t="s">
        <v>58</v>
      </c>
      <c r="F50" s="20"/>
      <c r="G50" s="19" t="s">
        <v>368</v>
      </c>
      <c r="H50" s="19" t="s">
        <v>657</v>
      </c>
      <c r="I50" s="21" t="s">
        <v>658</v>
      </c>
      <c r="J50" s="19" t="s">
        <v>659</v>
      </c>
      <c r="K50" s="19" t="s">
        <v>660</v>
      </c>
      <c r="L50" s="20"/>
      <c r="M50" s="20" t="n">
        <v>8</v>
      </c>
      <c r="N50" s="19" t="s">
        <v>492</v>
      </c>
      <c r="O50" s="20" t="n">
        <v>5200</v>
      </c>
      <c r="P50" s="19" t="s">
        <v>417</v>
      </c>
      <c r="Q50" s="19" t="s">
        <v>418</v>
      </c>
      <c r="R50" s="20" t="n">
        <v>2</v>
      </c>
      <c r="S50" s="20" t="n">
        <v>1</v>
      </c>
      <c r="T50" s="20" t="n">
        <v>0</v>
      </c>
      <c r="U50" s="20" t="n">
        <v>64</v>
      </c>
      <c r="V50" s="20" t="n">
        <v>512</v>
      </c>
      <c r="W50" s="19" t="s">
        <v>376</v>
      </c>
      <c r="X50" s="19" t="s">
        <v>453</v>
      </c>
      <c r="Y50" s="19" t="s">
        <v>476</v>
      </c>
      <c r="Z50" s="19" t="s">
        <v>61</v>
      </c>
      <c r="AA50" s="20" t="n">
        <v>2</v>
      </c>
      <c r="AB50" s="20" t="n">
        <v>1</v>
      </c>
      <c r="AC50" s="19" t="s">
        <v>63</v>
      </c>
      <c r="AD50" s="19" t="s">
        <v>379</v>
      </c>
      <c r="AE50" s="21" t="s">
        <v>661</v>
      </c>
      <c r="AF50" s="20" t="n">
        <v>1.34</v>
      </c>
      <c r="AG50" s="19" t="s">
        <v>381</v>
      </c>
      <c r="AH50" s="19" t="s">
        <v>398</v>
      </c>
      <c r="AI50" s="20" t="n">
        <v>60</v>
      </c>
      <c r="AJ50" s="19" t="s">
        <v>63</v>
      </c>
      <c r="AK50" s="20" t="n">
        <v>48</v>
      </c>
      <c r="AL50" s="20" t="n">
        <v>65</v>
      </c>
      <c r="AM50" s="19" t="s">
        <v>383</v>
      </c>
      <c r="AN50" s="20" t="n">
        <v>5.2</v>
      </c>
      <c r="AO50" s="19" t="s">
        <v>61</v>
      </c>
      <c r="AP50" s="19" t="s">
        <v>61</v>
      </c>
      <c r="AQ50" s="19" t="s">
        <v>457</v>
      </c>
      <c r="AR50" s="19" t="s">
        <v>385</v>
      </c>
      <c r="AS50" s="19" t="s">
        <v>662</v>
      </c>
      <c r="AT50" s="19" t="s">
        <v>163</v>
      </c>
      <c r="AU50" s="19" t="s">
        <v>368</v>
      </c>
      <c r="AV50" s="20" t="n">
        <v>12</v>
      </c>
      <c r="AW50" s="20"/>
      <c r="AX50" s="19" t="s">
        <v>61</v>
      </c>
      <c r="AY50" s="19" t="s">
        <v>71</v>
      </c>
      <c r="AZ50" s="21" t="s">
        <v>663</v>
      </c>
      <c r="BA50" s="32" t="n">
        <f aca="true">IF(D50="","",YEAR(TODAY())-D50)</f>
        <v>1</v>
      </c>
      <c r="BB50" s="33" t="str">
        <f aca="false">IF(J50="","",IFERROR(IF(INDEX(CPU!$I$4:$I$64,MATCH(J50,CPU!$A$4:$A$64,0))="","(isi di tab CPU)",INDEX(CPU!$I$4:$I$64,MATCH(J50,CPU!$A$4:$A$64,0))),"(CPU belum ada di tab CPU)"))</f>
        <v>ya</v>
      </c>
    </row>
    <row r="51" customFormat="false" ht="15" hidden="false" customHeight="true" outlineLevel="0" collapsed="false">
      <c r="A51" s="19" t="s">
        <v>664</v>
      </c>
      <c r="B51" s="19" t="s">
        <v>274</v>
      </c>
      <c r="C51" s="19"/>
      <c r="D51" s="20" t="n">
        <v>2023</v>
      </c>
      <c r="E51" s="19" t="s">
        <v>58</v>
      </c>
      <c r="F51" s="20"/>
      <c r="G51" s="19" t="s">
        <v>368</v>
      </c>
      <c r="H51" s="19"/>
      <c r="I51" s="21"/>
      <c r="J51" s="19" t="s">
        <v>665</v>
      </c>
      <c r="K51" s="19" t="s">
        <v>666</v>
      </c>
      <c r="L51" s="20"/>
      <c r="M51" s="20" t="n">
        <v>16</v>
      </c>
      <c r="N51" s="19" t="s">
        <v>394</v>
      </c>
      <c r="O51" s="20" t="n">
        <v>2666</v>
      </c>
      <c r="P51" s="19" t="s">
        <v>374</v>
      </c>
      <c r="Q51" s="19" t="s">
        <v>418</v>
      </c>
      <c r="R51" s="20" t="n">
        <v>2</v>
      </c>
      <c r="S51" s="20" t="n">
        <v>0</v>
      </c>
      <c r="T51" s="20" t="n">
        <v>0</v>
      </c>
      <c r="U51" s="20" t="n">
        <v>16</v>
      </c>
      <c r="V51" s="20" t="n">
        <v>512</v>
      </c>
      <c r="W51" s="19" t="s">
        <v>376</v>
      </c>
      <c r="X51" s="19" t="s">
        <v>667</v>
      </c>
      <c r="Y51" s="19" t="s">
        <v>71</v>
      </c>
      <c r="Z51" s="19" t="s">
        <v>61</v>
      </c>
      <c r="AA51" s="20" t="n">
        <v>1</v>
      </c>
      <c r="AB51" s="20" t="n">
        <v>0</v>
      </c>
      <c r="AC51" s="19" t="s">
        <v>71</v>
      </c>
      <c r="AD51" s="19" t="s">
        <v>379</v>
      </c>
      <c r="AE51" s="21" t="s">
        <v>668</v>
      </c>
      <c r="AF51" s="20" t="n">
        <v>1.65</v>
      </c>
      <c r="AG51" s="19" t="s">
        <v>381</v>
      </c>
      <c r="AH51" s="19" t="s">
        <v>382</v>
      </c>
      <c r="AI51" s="20" t="n">
        <v>120</v>
      </c>
      <c r="AJ51" s="19" t="s">
        <v>63</v>
      </c>
      <c r="AK51" s="20" t="n">
        <v>54</v>
      </c>
      <c r="AL51" s="20" t="n">
        <v>65</v>
      </c>
      <c r="AM51" s="19" t="s">
        <v>383</v>
      </c>
      <c r="AN51" s="20"/>
      <c r="AO51" s="19" t="s">
        <v>71</v>
      </c>
      <c r="AP51" s="19" t="s">
        <v>63</v>
      </c>
      <c r="AQ51" s="19" t="s">
        <v>71</v>
      </c>
      <c r="AR51" s="19" t="s">
        <v>385</v>
      </c>
      <c r="AS51" s="19" t="s">
        <v>409</v>
      </c>
      <c r="AT51" s="19" t="s">
        <v>387</v>
      </c>
      <c r="AU51" s="19" t="s">
        <v>368</v>
      </c>
      <c r="AV51" s="20" t="n">
        <v>24</v>
      </c>
      <c r="AW51" s="20"/>
      <c r="AX51" s="19" t="s">
        <v>61</v>
      </c>
      <c r="AY51" s="19" t="s">
        <v>71</v>
      </c>
      <c r="AZ51" s="21" t="s">
        <v>669</v>
      </c>
      <c r="BA51" s="32" t="n">
        <f aca="true">IF(D51="","",YEAR(TODAY())-D51)</f>
        <v>3</v>
      </c>
      <c r="BB51" s="33" t="str">
        <f aca="false">IF(J51="","",IFERROR(IF(INDEX(CPU!$I$4:$I$64,MATCH(J51,CPU!$A$4:$A$64,0))="","(isi di tab CPU)",INDEX(CPU!$I$4:$I$64,MATCH(J51,CPU!$A$4:$A$64,0))),"(CPU belum ada di tab CPU)"))</f>
        <v>ya</v>
      </c>
    </row>
    <row r="52" customFormat="false" ht="15" hidden="false" customHeight="true" outlineLevel="0" collapsed="false">
      <c r="A52" s="19" t="s">
        <v>670</v>
      </c>
      <c r="B52" s="19" t="s">
        <v>280</v>
      </c>
      <c r="C52" s="19" t="s">
        <v>671</v>
      </c>
      <c r="D52" s="20" t="n">
        <v>2023</v>
      </c>
      <c r="E52" s="19" t="s">
        <v>58</v>
      </c>
      <c r="F52" s="20"/>
      <c r="G52" s="19" t="s">
        <v>71</v>
      </c>
      <c r="H52" s="19"/>
      <c r="I52" s="21"/>
      <c r="J52" s="19" t="s">
        <v>403</v>
      </c>
      <c r="K52" s="19" t="s">
        <v>404</v>
      </c>
      <c r="L52" s="20"/>
      <c r="M52" s="20" t="n">
        <v>16</v>
      </c>
      <c r="N52" s="19" t="s">
        <v>452</v>
      </c>
      <c r="O52" s="20" t="n">
        <v>5200</v>
      </c>
      <c r="P52" s="19" t="s">
        <v>374</v>
      </c>
      <c r="Q52" s="19" t="s">
        <v>375</v>
      </c>
      <c r="R52" s="20" t="n">
        <v>0</v>
      </c>
      <c r="S52" s="20" t="n">
        <v>0</v>
      </c>
      <c r="T52" s="20" t="n">
        <v>16</v>
      </c>
      <c r="U52" s="20" t="n">
        <v>16</v>
      </c>
      <c r="V52" s="20" t="n">
        <v>512</v>
      </c>
      <c r="W52" s="19" t="s">
        <v>376</v>
      </c>
      <c r="X52" s="19" t="s">
        <v>453</v>
      </c>
      <c r="Y52" s="19" t="s">
        <v>71</v>
      </c>
      <c r="Z52" s="19" t="s">
        <v>71</v>
      </c>
      <c r="AA52" s="20"/>
      <c r="AB52" s="20"/>
      <c r="AC52" s="19" t="s">
        <v>71</v>
      </c>
      <c r="AD52" s="19" t="s">
        <v>379</v>
      </c>
      <c r="AE52" s="21" t="s">
        <v>672</v>
      </c>
      <c r="AF52" s="20"/>
      <c r="AG52" s="19" t="s">
        <v>381</v>
      </c>
      <c r="AH52" s="19" t="s">
        <v>398</v>
      </c>
      <c r="AI52" s="20"/>
      <c r="AJ52" s="19" t="s">
        <v>71</v>
      </c>
      <c r="AK52" s="20" t="n">
        <v>51</v>
      </c>
      <c r="AL52" s="20" t="n">
        <v>65</v>
      </c>
      <c r="AM52" s="19" t="s">
        <v>383</v>
      </c>
      <c r="AN52" s="20" t="n">
        <v>5.3</v>
      </c>
      <c r="AO52" s="19" t="s">
        <v>71</v>
      </c>
      <c r="AP52" s="19" t="s">
        <v>61</v>
      </c>
      <c r="AQ52" s="19" t="s">
        <v>408</v>
      </c>
      <c r="AR52" s="19" t="s">
        <v>385</v>
      </c>
      <c r="AS52" s="19" t="s">
        <v>409</v>
      </c>
      <c r="AT52" s="19" t="s">
        <v>71</v>
      </c>
      <c r="AU52" s="19" t="s">
        <v>71</v>
      </c>
      <c r="AV52" s="20"/>
      <c r="AW52" s="20"/>
      <c r="AX52" s="19" t="s">
        <v>61</v>
      </c>
      <c r="AY52" s="19" t="s">
        <v>71</v>
      </c>
      <c r="AZ52" s="21" t="s">
        <v>673</v>
      </c>
      <c r="BA52" s="32" t="n">
        <f aca="true">IF(D52="","",YEAR(TODAY())-D52)</f>
        <v>3</v>
      </c>
      <c r="BB52" s="33" t="str">
        <f aca="false">IF(J52="","",IFERROR(IF(INDEX(CPU!$I$4:$I$64,MATCH(J52,CPU!$A$4:$A$64,0))="","(isi di tab CPU)",INDEX(CPU!$I$4:$I$64,MATCH(J52,CPU!$A$4:$A$64,0))),"(CPU belum ada di tab CPU)"))</f>
        <v>ya</v>
      </c>
    </row>
    <row r="53" customFormat="false" ht="15" hidden="false" customHeight="true" outlineLevel="0" collapsed="false">
      <c r="A53" s="19" t="s">
        <v>674</v>
      </c>
      <c r="B53" s="19" t="s">
        <v>286</v>
      </c>
      <c r="C53" s="19" t="s">
        <v>675</v>
      </c>
      <c r="D53" s="20"/>
      <c r="E53" s="19" t="s">
        <v>58</v>
      </c>
      <c r="F53" s="20"/>
      <c r="G53" s="19" t="s">
        <v>368</v>
      </c>
      <c r="H53" s="19" t="s">
        <v>676</v>
      </c>
      <c r="I53" s="21"/>
      <c r="J53" s="19" t="s">
        <v>510</v>
      </c>
      <c r="K53" s="19" t="s">
        <v>511</v>
      </c>
      <c r="L53" s="20"/>
      <c r="M53" s="20" t="n">
        <v>8</v>
      </c>
      <c r="N53" s="19" t="s">
        <v>492</v>
      </c>
      <c r="O53" s="20" t="n">
        <v>5200</v>
      </c>
      <c r="P53" s="19" t="s">
        <v>417</v>
      </c>
      <c r="Q53" s="19" t="s">
        <v>418</v>
      </c>
      <c r="R53" s="20" t="n">
        <v>2</v>
      </c>
      <c r="S53" s="20" t="n">
        <v>1</v>
      </c>
      <c r="T53" s="20" t="n">
        <v>0</v>
      </c>
      <c r="U53" s="20" t="n">
        <v>64</v>
      </c>
      <c r="V53" s="20" t="n">
        <v>512</v>
      </c>
      <c r="W53" s="19" t="s">
        <v>376</v>
      </c>
      <c r="X53" s="19" t="s">
        <v>453</v>
      </c>
      <c r="Y53" s="19" t="s">
        <v>378</v>
      </c>
      <c r="Z53" s="19" t="s">
        <v>61</v>
      </c>
      <c r="AA53" s="20" t="n">
        <v>2</v>
      </c>
      <c r="AB53" s="20" t="n">
        <v>1</v>
      </c>
      <c r="AC53" s="19" t="s">
        <v>63</v>
      </c>
      <c r="AD53" s="19" t="s">
        <v>379</v>
      </c>
      <c r="AE53" s="21" t="s">
        <v>677</v>
      </c>
      <c r="AF53" s="20"/>
      <c r="AG53" s="19" t="s">
        <v>381</v>
      </c>
      <c r="AH53" s="19" t="s">
        <v>382</v>
      </c>
      <c r="AI53" s="20" t="n">
        <v>60</v>
      </c>
      <c r="AJ53" s="19" t="s">
        <v>63</v>
      </c>
      <c r="AK53" s="20" t="n">
        <v>50</v>
      </c>
      <c r="AL53" s="20" t="n">
        <v>65</v>
      </c>
      <c r="AM53" s="19" t="s">
        <v>383</v>
      </c>
      <c r="AN53" s="20" t="n">
        <v>5.4</v>
      </c>
      <c r="AO53" s="19" t="s">
        <v>61</v>
      </c>
      <c r="AP53" s="19" t="s">
        <v>71</v>
      </c>
      <c r="AQ53" s="19" t="s">
        <v>384</v>
      </c>
      <c r="AR53" s="19" t="s">
        <v>385</v>
      </c>
      <c r="AS53" s="19" t="s">
        <v>409</v>
      </c>
      <c r="AT53" s="19" t="s">
        <v>387</v>
      </c>
      <c r="AU53" s="19" t="s">
        <v>368</v>
      </c>
      <c r="AV53" s="20" t="n">
        <v>36</v>
      </c>
      <c r="AW53" s="20"/>
      <c r="AX53" s="19" t="s">
        <v>61</v>
      </c>
      <c r="AY53" s="19" t="s">
        <v>71</v>
      </c>
      <c r="AZ53" s="21" t="s">
        <v>678</v>
      </c>
      <c r="BA53" s="32" t="str">
        <f aca="true">IF(D53="","",YEAR(TODAY())-D53)</f>
        <v/>
      </c>
      <c r="BB53" s="33" t="str">
        <f aca="false">IF(J53="","",IFERROR(IF(INDEX(CPU!$I$4:$I$64,MATCH(J53,CPU!$A$4:$A$64,0))="","(isi di tab CPU)",INDEX(CPU!$I$4:$I$64,MATCH(J53,CPU!$A$4:$A$64,0))),"(CPU belum ada di tab CPU)"))</f>
        <v>ya</v>
      </c>
    </row>
    <row r="54" customFormat="false" ht="15" hidden="false" customHeight="true" outlineLevel="0" collapsed="false">
      <c r="A54" s="19" t="s">
        <v>679</v>
      </c>
      <c r="B54" s="19" t="s">
        <v>292</v>
      </c>
      <c r="C54" s="19" t="s">
        <v>680</v>
      </c>
      <c r="D54" s="20" t="n">
        <v>2025</v>
      </c>
      <c r="E54" s="19" t="s">
        <v>58</v>
      </c>
      <c r="F54" s="20"/>
      <c r="G54" s="19" t="s">
        <v>368</v>
      </c>
      <c r="H54" s="19" t="s">
        <v>681</v>
      </c>
      <c r="I54" s="21"/>
      <c r="J54" s="19" t="s">
        <v>682</v>
      </c>
      <c r="K54" s="19" t="s">
        <v>538</v>
      </c>
      <c r="L54" s="20"/>
      <c r="M54" s="20" t="n">
        <v>24</v>
      </c>
      <c r="N54" s="19" t="s">
        <v>492</v>
      </c>
      <c r="O54" s="20"/>
      <c r="P54" s="19" t="s">
        <v>71</v>
      </c>
      <c r="Q54" s="19" t="s">
        <v>395</v>
      </c>
      <c r="R54" s="20" t="n">
        <v>1</v>
      </c>
      <c r="S54" s="20" t="n">
        <v>0</v>
      </c>
      <c r="T54" s="20" t="n">
        <v>8</v>
      </c>
      <c r="U54" s="20" t="n">
        <v>24</v>
      </c>
      <c r="V54" s="20" t="n">
        <v>1024</v>
      </c>
      <c r="W54" s="19" t="s">
        <v>376</v>
      </c>
      <c r="X54" s="19" t="s">
        <v>453</v>
      </c>
      <c r="Y54" s="19" t="s">
        <v>378</v>
      </c>
      <c r="Z54" s="19" t="s">
        <v>61</v>
      </c>
      <c r="AA54" s="20" t="n">
        <v>2</v>
      </c>
      <c r="AB54" s="20" t="n">
        <v>1</v>
      </c>
      <c r="AC54" s="19" t="s">
        <v>63</v>
      </c>
      <c r="AD54" s="19" t="s">
        <v>379</v>
      </c>
      <c r="AE54" s="21" t="s">
        <v>683</v>
      </c>
      <c r="AF54" s="20" t="n">
        <v>1.8</v>
      </c>
      <c r="AG54" s="19" t="s">
        <v>455</v>
      </c>
      <c r="AH54" s="19" t="s">
        <v>532</v>
      </c>
      <c r="AI54" s="20" t="n">
        <v>120</v>
      </c>
      <c r="AJ54" s="19" t="s">
        <v>71</v>
      </c>
      <c r="AK54" s="20" t="n">
        <v>75</v>
      </c>
      <c r="AL54" s="20" t="n">
        <v>200</v>
      </c>
      <c r="AM54" s="19" t="s">
        <v>486</v>
      </c>
      <c r="AN54" s="20" t="n">
        <v>5.2</v>
      </c>
      <c r="AO54" s="19" t="s">
        <v>71</v>
      </c>
      <c r="AP54" s="19" t="s">
        <v>61</v>
      </c>
      <c r="AQ54" s="19" t="s">
        <v>408</v>
      </c>
      <c r="AR54" s="19" t="s">
        <v>385</v>
      </c>
      <c r="AS54" s="19" t="s">
        <v>386</v>
      </c>
      <c r="AT54" s="19" t="s">
        <v>387</v>
      </c>
      <c r="AU54" s="19" t="s">
        <v>368</v>
      </c>
      <c r="AV54" s="20"/>
      <c r="AW54" s="20"/>
      <c r="AX54" s="19" t="s">
        <v>61</v>
      </c>
      <c r="AY54" s="19" t="s">
        <v>71</v>
      </c>
      <c r="AZ54" s="21" t="s">
        <v>684</v>
      </c>
      <c r="BA54" s="32" t="n">
        <f aca="true">IF(D54="","",YEAR(TODAY())-D54)</f>
        <v>1</v>
      </c>
      <c r="BB54" s="33" t="str">
        <f aca="false">IF(J54="","",IFERROR(IF(INDEX(CPU!$I$4:$I$64,MATCH(J54,CPU!$A$4:$A$64,0))="","(isi di tab CPU)",INDEX(CPU!$I$4:$I$64,MATCH(J54,CPU!$A$4:$A$64,0))),"(CPU belum ada di tab CPU)"))</f>
        <v>ya</v>
      </c>
    </row>
    <row r="55" customFormat="false" ht="15" hidden="false" customHeight="true" outlineLevel="0" collapsed="false">
      <c r="A55" s="19" t="s">
        <v>685</v>
      </c>
      <c r="B55" s="19" t="s">
        <v>298</v>
      </c>
      <c r="C55" s="19" t="s">
        <v>686</v>
      </c>
      <c r="D55" s="20" t="n">
        <v>2025</v>
      </c>
      <c r="E55" s="19" t="s">
        <v>58</v>
      </c>
      <c r="F55" s="20"/>
      <c r="G55" s="19" t="s">
        <v>368</v>
      </c>
      <c r="H55" s="19" t="s">
        <v>687</v>
      </c>
      <c r="I55" s="21"/>
      <c r="J55" s="19" t="s">
        <v>688</v>
      </c>
      <c r="K55" s="19" t="s">
        <v>689</v>
      </c>
      <c r="L55" s="20"/>
      <c r="M55" s="20" t="n">
        <v>16</v>
      </c>
      <c r="N55" s="19" t="s">
        <v>452</v>
      </c>
      <c r="O55" s="20"/>
      <c r="P55" s="19" t="s">
        <v>71</v>
      </c>
      <c r="Q55" s="19" t="s">
        <v>375</v>
      </c>
      <c r="R55" s="20" t="n">
        <v>0</v>
      </c>
      <c r="S55" s="20" t="n">
        <v>0</v>
      </c>
      <c r="T55" s="20" t="n">
        <v>16</v>
      </c>
      <c r="U55" s="20" t="n">
        <v>16</v>
      </c>
      <c r="V55" s="20" t="n">
        <v>512</v>
      </c>
      <c r="W55" s="19" t="s">
        <v>376</v>
      </c>
      <c r="X55" s="19" t="s">
        <v>453</v>
      </c>
      <c r="Y55" s="19" t="s">
        <v>378</v>
      </c>
      <c r="Z55" s="19" t="s">
        <v>61</v>
      </c>
      <c r="AA55" s="20" t="n">
        <v>1</v>
      </c>
      <c r="AB55" s="20" t="n">
        <v>0</v>
      </c>
      <c r="AC55" s="19" t="s">
        <v>63</v>
      </c>
      <c r="AD55" s="19" t="s">
        <v>379</v>
      </c>
      <c r="AE55" s="21" t="s">
        <v>690</v>
      </c>
      <c r="AF55" s="20" t="n">
        <v>1.35</v>
      </c>
      <c r="AG55" s="19" t="s">
        <v>455</v>
      </c>
      <c r="AH55" s="19" t="s">
        <v>398</v>
      </c>
      <c r="AI55" s="20" t="n">
        <v>60</v>
      </c>
      <c r="AJ55" s="19" t="s">
        <v>71</v>
      </c>
      <c r="AK55" s="20" t="n">
        <v>70</v>
      </c>
      <c r="AL55" s="20" t="n">
        <v>65</v>
      </c>
      <c r="AM55" s="19" t="s">
        <v>486</v>
      </c>
      <c r="AN55" s="20" t="n">
        <v>5.3</v>
      </c>
      <c r="AO55" s="19" t="s">
        <v>71</v>
      </c>
      <c r="AP55" s="19" t="s">
        <v>61</v>
      </c>
      <c r="AQ55" s="19" t="s">
        <v>457</v>
      </c>
      <c r="AR55" s="19" t="s">
        <v>385</v>
      </c>
      <c r="AS55" s="19" t="s">
        <v>386</v>
      </c>
      <c r="AT55" s="19" t="s">
        <v>387</v>
      </c>
      <c r="AU55" s="19" t="s">
        <v>368</v>
      </c>
      <c r="AV55" s="20" t="n">
        <v>36</v>
      </c>
      <c r="AW55" s="20"/>
      <c r="AX55" s="19" t="s">
        <v>61</v>
      </c>
      <c r="AY55" s="19" t="s">
        <v>71</v>
      </c>
      <c r="AZ55" s="21" t="s">
        <v>691</v>
      </c>
      <c r="BA55" s="32" t="n">
        <f aca="true">IF(D55="","",YEAR(TODAY())-D55)</f>
        <v>1</v>
      </c>
      <c r="BB55" s="33" t="str">
        <f aca="false">IF(J55="","",IFERROR(IF(INDEX(CPU!$I$4:$I$64,MATCH(J55,CPU!$A$4:$A$64,0))="","(isi di tab CPU)",INDEX(CPU!$I$4:$I$64,MATCH(J55,CPU!$A$4:$A$64,0))),"(CPU belum ada di tab CPU)"))</f>
        <v>ya</v>
      </c>
    </row>
    <row r="56" customFormat="false" ht="15" hidden="false" customHeight="true" outlineLevel="0" collapsed="false">
      <c r="A56" s="19" t="s">
        <v>692</v>
      </c>
      <c r="B56" s="19" t="s">
        <v>304</v>
      </c>
      <c r="C56" s="19" t="s">
        <v>693</v>
      </c>
      <c r="D56" s="20" t="n">
        <v>2025</v>
      </c>
      <c r="E56" s="19" t="s">
        <v>58</v>
      </c>
      <c r="F56" s="20"/>
      <c r="G56" s="19" t="s">
        <v>368</v>
      </c>
      <c r="H56" s="19" t="s">
        <v>694</v>
      </c>
      <c r="I56" s="21"/>
      <c r="J56" s="19" t="s">
        <v>695</v>
      </c>
      <c r="K56" s="19" t="s">
        <v>696</v>
      </c>
      <c r="L56" s="20"/>
      <c r="M56" s="20" t="n">
        <v>32</v>
      </c>
      <c r="N56" s="19" t="s">
        <v>452</v>
      </c>
      <c r="O56" s="20" t="n">
        <v>8533</v>
      </c>
      <c r="P56" s="19" t="s">
        <v>374</v>
      </c>
      <c r="Q56" s="19" t="s">
        <v>375</v>
      </c>
      <c r="R56" s="20" t="n">
        <v>0</v>
      </c>
      <c r="S56" s="20" t="n">
        <v>0</v>
      </c>
      <c r="T56" s="20" t="n">
        <v>32</v>
      </c>
      <c r="U56" s="20" t="n">
        <v>32</v>
      </c>
      <c r="V56" s="20" t="n">
        <v>1024</v>
      </c>
      <c r="W56" s="19" t="s">
        <v>376</v>
      </c>
      <c r="X56" s="19" t="s">
        <v>453</v>
      </c>
      <c r="Y56" s="19" t="s">
        <v>476</v>
      </c>
      <c r="Z56" s="19" t="s">
        <v>61</v>
      </c>
      <c r="AA56" s="20" t="n">
        <v>1</v>
      </c>
      <c r="AB56" s="20" t="n">
        <v>0</v>
      </c>
      <c r="AC56" s="19" t="s">
        <v>63</v>
      </c>
      <c r="AD56" s="19" t="s">
        <v>379</v>
      </c>
      <c r="AE56" s="21" t="s">
        <v>697</v>
      </c>
      <c r="AF56" s="20" t="n">
        <v>1.38</v>
      </c>
      <c r="AG56" s="19" t="s">
        <v>455</v>
      </c>
      <c r="AH56" s="19" t="s">
        <v>456</v>
      </c>
      <c r="AI56" s="20" t="n">
        <v>120</v>
      </c>
      <c r="AJ56" s="19" t="s">
        <v>61</v>
      </c>
      <c r="AK56" s="20" t="n">
        <v>70</v>
      </c>
      <c r="AL56" s="20" t="n">
        <v>65</v>
      </c>
      <c r="AM56" s="19" t="s">
        <v>513</v>
      </c>
      <c r="AN56" s="20" t="n">
        <v>5.4</v>
      </c>
      <c r="AO56" s="19" t="s">
        <v>71</v>
      </c>
      <c r="AP56" s="19" t="s">
        <v>61</v>
      </c>
      <c r="AQ56" s="19" t="s">
        <v>71</v>
      </c>
      <c r="AR56" s="19" t="s">
        <v>385</v>
      </c>
      <c r="AS56" s="19" t="s">
        <v>409</v>
      </c>
      <c r="AT56" s="19" t="s">
        <v>387</v>
      </c>
      <c r="AU56" s="19" t="s">
        <v>368</v>
      </c>
      <c r="AV56" s="20"/>
      <c r="AW56" s="20"/>
      <c r="AX56" s="19" t="s">
        <v>61</v>
      </c>
      <c r="AY56" s="19" t="s">
        <v>71</v>
      </c>
      <c r="AZ56" s="21" t="s">
        <v>698</v>
      </c>
      <c r="BA56" s="32" t="n">
        <f aca="true">IF(D56="","",YEAR(TODAY())-D56)</f>
        <v>1</v>
      </c>
      <c r="BB56" s="33" t="str">
        <f aca="false">IF(J56="","",IFERROR(IF(INDEX(CPU!$I$4:$I$64,MATCH(J56,CPU!$A$4:$A$64,0))="","(isi di tab CPU)",INDEX(CPU!$I$4:$I$64,MATCH(J56,CPU!$A$4:$A$64,0))),"(CPU belum ada di tab CPU)"))</f>
        <v>ya</v>
      </c>
    </row>
    <row r="57" customFormat="false" ht="15" hidden="false" customHeight="true" outlineLevel="0" collapsed="false">
      <c r="A57" s="19"/>
      <c r="B57" s="19"/>
      <c r="C57" s="19"/>
      <c r="D57" s="20"/>
      <c r="E57" s="19"/>
      <c r="F57" s="20"/>
      <c r="G57" s="19"/>
      <c r="H57" s="19"/>
      <c r="I57" s="21"/>
      <c r="J57" s="19"/>
      <c r="K57" s="19"/>
      <c r="L57" s="20"/>
      <c r="M57" s="20"/>
      <c r="N57" s="19"/>
      <c r="O57" s="20"/>
      <c r="P57" s="19"/>
      <c r="Q57" s="19"/>
      <c r="R57" s="20"/>
      <c r="S57" s="20"/>
      <c r="T57" s="20"/>
      <c r="U57" s="20"/>
      <c r="V57" s="20"/>
      <c r="W57" s="19"/>
      <c r="X57" s="19"/>
      <c r="Y57" s="19"/>
      <c r="Z57" s="19"/>
      <c r="AA57" s="20"/>
      <c r="AB57" s="20"/>
      <c r="AC57" s="19"/>
      <c r="AD57" s="19"/>
      <c r="AE57" s="21"/>
      <c r="AF57" s="20"/>
      <c r="AG57" s="19"/>
      <c r="AH57" s="19"/>
      <c r="AI57" s="20"/>
      <c r="AJ57" s="19"/>
      <c r="AK57" s="20"/>
      <c r="AL57" s="20"/>
      <c r="AM57" s="19"/>
      <c r="AN57" s="20"/>
      <c r="AO57" s="19"/>
      <c r="AP57" s="19"/>
      <c r="AQ57" s="19"/>
      <c r="AR57" s="19"/>
      <c r="AS57" s="19"/>
      <c r="AT57" s="19"/>
      <c r="AU57" s="19"/>
      <c r="AV57" s="20"/>
      <c r="AW57" s="20"/>
      <c r="AX57" s="19"/>
      <c r="AY57" s="19"/>
      <c r="AZ57" s="21"/>
      <c r="BA57" s="32" t="str">
        <f aca="true">IF(D57="","",YEAR(TODAY())-D57)</f>
        <v/>
      </c>
      <c r="BB57" s="33" t="str">
        <f aca="false">IF(J57="","",IFERROR(IF(INDEX(CPU!$I$4:$I$64,MATCH(J57,CPU!$A$4:$A$64,0))="","(isi di tab CPU)",INDEX(CPU!$I$4:$I$64,MATCH(J57,CPU!$A$4:$A$64,0))),"(CPU belum ada di tab CPU)"))</f>
        <v/>
      </c>
    </row>
    <row r="58" customFormat="false" ht="15" hidden="false" customHeight="true" outlineLevel="0" collapsed="false">
      <c r="A58" s="19"/>
      <c r="B58" s="19"/>
      <c r="C58" s="19"/>
      <c r="D58" s="20"/>
      <c r="E58" s="19"/>
      <c r="F58" s="20"/>
      <c r="G58" s="19"/>
      <c r="H58" s="19"/>
      <c r="I58" s="21"/>
      <c r="J58" s="19"/>
      <c r="K58" s="19"/>
      <c r="L58" s="20"/>
      <c r="M58" s="20"/>
      <c r="N58" s="19"/>
      <c r="O58" s="20"/>
      <c r="P58" s="19"/>
      <c r="Q58" s="19"/>
      <c r="R58" s="20"/>
      <c r="S58" s="20"/>
      <c r="T58" s="20"/>
      <c r="U58" s="20"/>
      <c r="V58" s="20"/>
      <c r="W58" s="19"/>
      <c r="X58" s="19"/>
      <c r="Y58" s="19"/>
      <c r="Z58" s="19"/>
      <c r="AA58" s="20"/>
      <c r="AB58" s="20"/>
      <c r="AC58" s="19"/>
      <c r="AD58" s="19"/>
      <c r="AE58" s="21"/>
      <c r="AF58" s="20"/>
      <c r="AG58" s="19"/>
      <c r="AH58" s="19"/>
      <c r="AI58" s="20"/>
      <c r="AJ58" s="19"/>
      <c r="AK58" s="20"/>
      <c r="AL58" s="20"/>
      <c r="AM58" s="19"/>
      <c r="AN58" s="20"/>
      <c r="AO58" s="19"/>
      <c r="AP58" s="19"/>
      <c r="AQ58" s="19"/>
      <c r="AR58" s="19"/>
      <c r="AS58" s="19"/>
      <c r="AT58" s="19"/>
      <c r="AU58" s="19"/>
      <c r="AV58" s="20"/>
      <c r="AW58" s="20"/>
      <c r="AX58" s="19"/>
      <c r="AY58" s="19"/>
      <c r="AZ58" s="21"/>
      <c r="BA58" s="32" t="str">
        <f aca="true">IF(D58="","",YEAR(TODAY())-D58)</f>
        <v/>
      </c>
      <c r="BB58" s="33" t="str">
        <f aca="false">IF(J58="","",IFERROR(IF(INDEX(CPU!$I$4:$I$64,MATCH(J58,CPU!$A$4:$A$64,0))="","(isi di tab CPU)",INDEX(CPU!$I$4:$I$64,MATCH(J58,CPU!$A$4:$A$64,0))),"(CPU belum ada di tab CPU)"))</f>
        <v/>
      </c>
    </row>
    <row r="59" customFormat="false" ht="15" hidden="false" customHeight="true" outlineLevel="0" collapsed="false">
      <c r="A59" s="19"/>
      <c r="B59" s="19"/>
      <c r="C59" s="19"/>
      <c r="D59" s="20"/>
      <c r="E59" s="19"/>
      <c r="F59" s="20"/>
      <c r="G59" s="19"/>
      <c r="H59" s="19"/>
      <c r="I59" s="21"/>
      <c r="J59" s="19"/>
      <c r="K59" s="19"/>
      <c r="L59" s="20"/>
      <c r="M59" s="20"/>
      <c r="N59" s="19"/>
      <c r="O59" s="20"/>
      <c r="P59" s="19"/>
      <c r="Q59" s="19"/>
      <c r="R59" s="20"/>
      <c r="S59" s="20"/>
      <c r="T59" s="20"/>
      <c r="U59" s="20"/>
      <c r="V59" s="20"/>
      <c r="W59" s="19"/>
      <c r="X59" s="19"/>
      <c r="Y59" s="19"/>
      <c r="Z59" s="19"/>
      <c r="AA59" s="20"/>
      <c r="AB59" s="20"/>
      <c r="AC59" s="19"/>
      <c r="AD59" s="19"/>
      <c r="AE59" s="21"/>
      <c r="AF59" s="20"/>
      <c r="AG59" s="19"/>
      <c r="AH59" s="19"/>
      <c r="AI59" s="20"/>
      <c r="AJ59" s="19"/>
      <c r="AK59" s="20"/>
      <c r="AL59" s="20"/>
      <c r="AM59" s="19"/>
      <c r="AN59" s="20"/>
      <c r="AO59" s="19"/>
      <c r="AP59" s="19"/>
      <c r="AQ59" s="19"/>
      <c r="AR59" s="19"/>
      <c r="AS59" s="19"/>
      <c r="AT59" s="19"/>
      <c r="AU59" s="19"/>
      <c r="AV59" s="20"/>
      <c r="AW59" s="20"/>
      <c r="AX59" s="19"/>
      <c r="AY59" s="19"/>
      <c r="AZ59" s="21"/>
      <c r="BA59" s="32" t="str">
        <f aca="true">IF(D59="","",YEAR(TODAY())-D59)</f>
        <v/>
      </c>
      <c r="BB59" s="33" t="str">
        <f aca="false">IF(J59="","",IFERROR(IF(INDEX(CPU!$I$4:$I$64,MATCH(J59,CPU!$A$4:$A$64,0))="","(isi di tab CPU)",INDEX(CPU!$I$4:$I$64,MATCH(J59,CPU!$A$4:$A$64,0))),"(CPU belum ada di tab CPU)"))</f>
        <v/>
      </c>
    </row>
    <row r="60" customFormat="false" ht="15" hidden="false" customHeight="true" outlineLevel="0" collapsed="false">
      <c r="A60" s="19"/>
      <c r="B60" s="19"/>
      <c r="C60" s="19"/>
      <c r="D60" s="20"/>
      <c r="E60" s="19"/>
      <c r="F60" s="20"/>
      <c r="G60" s="19"/>
      <c r="H60" s="19"/>
      <c r="I60" s="21"/>
      <c r="J60" s="19"/>
      <c r="K60" s="19"/>
      <c r="L60" s="20"/>
      <c r="M60" s="20"/>
      <c r="N60" s="19"/>
      <c r="O60" s="20"/>
      <c r="P60" s="19"/>
      <c r="Q60" s="19"/>
      <c r="R60" s="20"/>
      <c r="S60" s="20"/>
      <c r="T60" s="20"/>
      <c r="U60" s="20"/>
      <c r="V60" s="20"/>
      <c r="W60" s="19"/>
      <c r="X60" s="19"/>
      <c r="Y60" s="19"/>
      <c r="Z60" s="19"/>
      <c r="AA60" s="20"/>
      <c r="AB60" s="20"/>
      <c r="AC60" s="19"/>
      <c r="AD60" s="19"/>
      <c r="AE60" s="21"/>
      <c r="AF60" s="20"/>
      <c r="AG60" s="19"/>
      <c r="AH60" s="19"/>
      <c r="AI60" s="20"/>
      <c r="AJ60" s="19"/>
      <c r="AK60" s="20"/>
      <c r="AL60" s="20"/>
      <c r="AM60" s="19"/>
      <c r="AN60" s="20"/>
      <c r="AO60" s="19"/>
      <c r="AP60" s="19"/>
      <c r="AQ60" s="19"/>
      <c r="AR60" s="19"/>
      <c r="AS60" s="19"/>
      <c r="AT60" s="19"/>
      <c r="AU60" s="19"/>
      <c r="AV60" s="20"/>
      <c r="AW60" s="20"/>
      <c r="AX60" s="19"/>
      <c r="AY60" s="19"/>
      <c r="AZ60" s="21"/>
      <c r="BA60" s="32" t="str">
        <f aca="true">IF(D60="","",YEAR(TODAY())-D60)</f>
        <v/>
      </c>
      <c r="BB60" s="33" t="str">
        <f aca="false">IF(J60="","",IFERROR(IF(INDEX(CPU!$I$4:$I$64,MATCH(J60,CPU!$A$4:$A$64,0))="","(isi di tab CPU)",INDEX(CPU!$I$4:$I$64,MATCH(J60,CPU!$A$4:$A$64,0))),"(CPU belum ada di tab CPU)"))</f>
        <v/>
      </c>
    </row>
    <row r="61" customFormat="false" ht="15" hidden="false" customHeight="true" outlineLevel="0" collapsed="false">
      <c r="A61" s="19"/>
      <c r="B61" s="19"/>
      <c r="C61" s="19"/>
      <c r="D61" s="20"/>
      <c r="E61" s="19"/>
      <c r="F61" s="20"/>
      <c r="G61" s="19"/>
      <c r="H61" s="19"/>
      <c r="I61" s="21"/>
      <c r="J61" s="19"/>
      <c r="K61" s="19"/>
      <c r="L61" s="20"/>
      <c r="M61" s="20"/>
      <c r="N61" s="19"/>
      <c r="O61" s="20"/>
      <c r="P61" s="19"/>
      <c r="Q61" s="19"/>
      <c r="R61" s="20"/>
      <c r="S61" s="20"/>
      <c r="T61" s="20"/>
      <c r="U61" s="20"/>
      <c r="V61" s="20"/>
      <c r="W61" s="19"/>
      <c r="X61" s="19"/>
      <c r="Y61" s="19"/>
      <c r="Z61" s="19"/>
      <c r="AA61" s="20"/>
      <c r="AB61" s="20"/>
      <c r="AC61" s="19"/>
      <c r="AD61" s="19"/>
      <c r="AE61" s="21"/>
      <c r="AF61" s="20"/>
      <c r="AG61" s="19"/>
      <c r="AH61" s="19"/>
      <c r="AI61" s="20"/>
      <c r="AJ61" s="19"/>
      <c r="AK61" s="20"/>
      <c r="AL61" s="20"/>
      <c r="AM61" s="19"/>
      <c r="AN61" s="20"/>
      <c r="AO61" s="19"/>
      <c r="AP61" s="19"/>
      <c r="AQ61" s="19"/>
      <c r="AR61" s="19"/>
      <c r="AS61" s="19"/>
      <c r="AT61" s="19"/>
      <c r="AU61" s="19"/>
      <c r="AV61" s="20"/>
      <c r="AW61" s="20"/>
      <c r="AX61" s="19"/>
      <c r="AY61" s="19"/>
      <c r="AZ61" s="21"/>
      <c r="BA61" s="32" t="str">
        <f aca="true">IF(D61="","",YEAR(TODAY())-D61)</f>
        <v/>
      </c>
      <c r="BB61" s="33" t="str">
        <f aca="false">IF(J61="","",IFERROR(IF(INDEX(CPU!$I$4:$I$64,MATCH(J61,CPU!$A$4:$A$64,0))="","(isi di tab CPU)",INDEX(CPU!$I$4:$I$64,MATCH(J61,CPU!$A$4:$A$64,0))),"(CPU belum ada di tab CPU)"))</f>
        <v/>
      </c>
    </row>
    <row r="62" customFormat="false" ht="15" hidden="false" customHeight="true" outlineLevel="0" collapsed="false">
      <c r="A62" s="19"/>
      <c r="B62" s="19"/>
      <c r="C62" s="19"/>
      <c r="D62" s="20"/>
      <c r="E62" s="19"/>
      <c r="F62" s="20"/>
      <c r="G62" s="19"/>
      <c r="H62" s="19"/>
      <c r="I62" s="21"/>
      <c r="J62" s="19"/>
      <c r="K62" s="19"/>
      <c r="L62" s="20"/>
      <c r="M62" s="20"/>
      <c r="N62" s="19"/>
      <c r="O62" s="20"/>
      <c r="P62" s="19"/>
      <c r="Q62" s="19"/>
      <c r="R62" s="20"/>
      <c r="S62" s="20"/>
      <c r="T62" s="20"/>
      <c r="U62" s="20"/>
      <c r="V62" s="20"/>
      <c r="W62" s="19"/>
      <c r="X62" s="19"/>
      <c r="Y62" s="19"/>
      <c r="Z62" s="19"/>
      <c r="AA62" s="20"/>
      <c r="AB62" s="20"/>
      <c r="AC62" s="19"/>
      <c r="AD62" s="19"/>
      <c r="AE62" s="21"/>
      <c r="AF62" s="20"/>
      <c r="AG62" s="19"/>
      <c r="AH62" s="19"/>
      <c r="AI62" s="20"/>
      <c r="AJ62" s="19"/>
      <c r="AK62" s="20"/>
      <c r="AL62" s="20"/>
      <c r="AM62" s="19"/>
      <c r="AN62" s="20"/>
      <c r="AO62" s="19"/>
      <c r="AP62" s="19"/>
      <c r="AQ62" s="19"/>
      <c r="AR62" s="19"/>
      <c r="AS62" s="19"/>
      <c r="AT62" s="19"/>
      <c r="AU62" s="19"/>
      <c r="AV62" s="20"/>
      <c r="AW62" s="20"/>
      <c r="AX62" s="19"/>
      <c r="AY62" s="19"/>
      <c r="AZ62" s="21"/>
      <c r="BA62" s="32" t="str">
        <f aca="true">IF(D62="","",YEAR(TODAY())-D62)</f>
        <v/>
      </c>
      <c r="BB62" s="33" t="str">
        <f aca="false">IF(J62="","",IFERROR(IF(INDEX(CPU!$I$4:$I$64,MATCH(J62,CPU!$A$4:$A$64,0))="","(isi di tab CPU)",INDEX(CPU!$I$4:$I$64,MATCH(J62,CPU!$A$4:$A$64,0))),"(CPU belum ada di tab CPU)"))</f>
        <v/>
      </c>
    </row>
    <row r="63" customFormat="false" ht="15" hidden="false" customHeight="true" outlineLevel="0" collapsed="false">
      <c r="A63" s="19"/>
      <c r="B63" s="19"/>
      <c r="C63" s="19"/>
      <c r="D63" s="20"/>
      <c r="E63" s="19"/>
      <c r="F63" s="20"/>
      <c r="G63" s="19"/>
      <c r="H63" s="19"/>
      <c r="I63" s="21"/>
      <c r="J63" s="19"/>
      <c r="K63" s="19"/>
      <c r="L63" s="20"/>
      <c r="M63" s="20"/>
      <c r="N63" s="19"/>
      <c r="O63" s="20"/>
      <c r="P63" s="19"/>
      <c r="Q63" s="19"/>
      <c r="R63" s="20"/>
      <c r="S63" s="20"/>
      <c r="T63" s="20"/>
      <c r="U63" s="20"/>
      <c r="V63" s="20"/>
      <c r="W63" s="19"/>
      <c r="X63" s="19"/>
      <c r="Y63" s="19"/>
      <c r="Z63" s="19"/>
      <c r="AA63" s="20"/>
      <c r="AB63" s="20"/>
      <c r="AC63" s="19"/>
      <c r="AD63" s="19"/>
      <c r="AE63" s="21"/>
      <c r="AF63" s="20"/>
      <c r="AG63" s="19"/>
      <c r="AH63" s="19"/>
      <c r="AI63" s="20"/>
      <c r="AJ63" s="19"/>
      <c r="AK63" s="20"/>
      <c r="AL63" s="20"/>
      <c r="AM63" s="19"/>
      <c r="AN63" s="20"/>
      <c r="AO63" s="19"/>
      <c r="AP63" s="19"/>
      <c r="AQ63" s="19"/>
      <c r="AR63" s="19"/>
      <c r="AS63" s="19"/>
      <c r="AT63" s="19"/>
      <c r="AU63" s="19"/>
      <c r="AV63" s="20"/>
      <c r="AW63" s="20"/>
      <c r="AX63" s="19"/>
      <c r="AY63" s="19"/>
      <c r="AZ63" s="21"/>
      <c r="BA63" s="32" t="str">
        <f aca="true">IF(D63="","",YEAR(TODAY())-D63)</f>
        <v/>
      </c>
      <c r="BB63" s="33" t="str">
        <f aca="false">IF(J63="","",IFERROR(IF(INDEX(CPU!$I$4:$I$64,MATCH(J63,CPU!$A$4:$A$64,0))="","(isi di tab CPU)",INDEX(CPU!$I$4:$I$64,MATCH(J63,CPU!$A$4:$A$64,0))),"(CPU belum ada di tab CPU)"))</f>
        <v/>
      </c>
    </row>
    <row r="64" customFormat="false" ht="15" hidden="false" customHeight="true" outlineLevel="0" collapsed="false">
      <c r="A64" s="19"/>
      <c r="B64" s="19"/>
      <c r="C64" s="19"/>
      <c r="D64" s="20"/>
      <c r="E64" s="19"/>
      <c r="F64" s="20"/>
      <c r="G64" s="19"/>
      <c r="H64" s="19"/>
      <c r="I64" s="21"/>
      <c r="J64" s="19"/>
      <c r="K64" s="19"/>
      <c r="L64" s="20"/>
      <c r="M64" s="20"/>
      <c r="N64" s="19"/>
      <c r="O64" s="20"/>
      <c r="P64" s="19"/>
      <c r="Q64" s="19"/>
      <c r="R64" s="20"/>
      <c r="S64" s="20"/>
      <c r="T64" s="20"/>
      <c r="U64" s="20"/>
      <c r="V64" s="20"/>
      <c r="W64" s="19"/>
      <c r="X64" s="19"/>
      <c r="Y64" s="19"/>
      <c r="Z64" s="19"/>
      <c r="AA64" s="20"/>
      <c r="AB64" s="20"/>
      <c r="AC64" s="19"/>
      <c r="AD64" s="19"/>
      <c r="AE64" s="21"/>
      <c r="AF64" s="20"/>
      <c r="AG64" s="19"/>
      <c r="AH64" s="19"/>
      <c r="AI64" s="20"/>
      <c r="AJ64" s="19"/>
      <c r="AK64" s="20"/>
      <c r="AL64" s="20"/>
      <c r="AM64" s="19"/>
      <c r="AN64" s="20"/>
      <c r="AO64" s="19"/>
      <c r="AP64" s="19"/>
      <c r="AQ64" s="19"/>
      <c r="AR64" s="19"/>
      <c r="AS64" s="19"/>
      <c r="AT64" s="19"/>
      <c r="AU64" s="19"/>
      <c r="AV64" s="20"/>
      <c r="AW64" s="20"/>
      <c r="AX64" s="19"/>
      <c r="AY64" s="19"/>
      <c r="AZ64" s="21"/>
      <c r="BA64" s="32" t="str">
        <f aca="true">IF(D64="","",YEAR(TODAY())-D64)</f>
        <v/>
      </c>
      <c r="BB64" s="33" t="str">
        <f aca="false">IF(J64="","",IFERROR(IF(INDEX(CPU!$I$4:$I$64,MATCH(J64,CPU!$A$4:$A$64,0))="","(isi di tab CPU)",INDEX(CPU!$I$4:$I$64,MATCH(J64,CPU!$A$4:$A$64,0))),"(CPU belum ada di tab CPU)"))</f>
        <v/>
      </c>
    </row>
  </sheetData>
  <autoFilter ref="A3:BB64"/>
  <dataValidations count="40">
    <dataValidation allowBlank="true" error="Isi angka bulat antara 2000 dan 2035. Periksa lagi bila memang di luar kisaran itu." errorStyle="warning" errorTitle="Angka tidak wajar" operator="between" showDropDown="false" showErrorMessage="true" showInputMessage="false" sqref="D5:D64 F5:F64" type="whole">
      <formula1>2000</formula1>
      <formula2>2035</formula2>
    </dataValidation>
    <dataValidation allowBlank="true" error="Isi angka bulat antara 0 dan 4. Periksa lagi bila memang di luar kisaran itu." errorStyle="warning" errorTitle="Angka tidak wajar" operator="between" showDropDown="false" showErrorMessage="true" showInputMessage="false" sqref="AA5:AB64" type="whole">
      <formula1>0</formula1>
      <formula2>4</formula2>
    </dataValidation>
    <dataValidation allowBlank="true" error="Nilai ini belum ada di tab asalnya. Tambahkan di tab itu terlebih dahulu, lalu pilih dari daftar." errorStyle="warning" errorTitle="Belum ada di tab asalnya" operator="between" showDropDown="false" showErrorMessage="true" showInputMessage="false" sqref="B5:B64" type="list">
      <formula1>Model!$A$5:$A$64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E5:E64" type="list">
      <formula1>Pilihan!$B$2:$B$5</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G5:G64" type="list">
      <formula1>Pilihan!$C$2:$C$4</formula1>
      <formula2>0</formula2>
    </dataValidation>
    <dataValidation allowBlank="true" error="Nilai ini belum ada di tab asalnya. Tambahkan di tab itu terlebih dahulu, lalu pilih dari daftar." errorStyle="warning" errorTitle="Belum ada di tab asalnya" operator="between" showDropDown="false" showErrorMessage="true" showInputMessage="false" sqref="J5:J64" type="list">
      <formula1>CPU!$A$5:$A$64</formula1>
      <formula2>0</formula2>
    </dataValidation>
    <dataValidation allowBlank="true" error="Nilai ini belum ada di tab asalnya. Tambahkan di tab itu terlebih dahulu, lalu pilih dari daftar." errorStyle="warning" errorTitle="Belum ada di tab asalnya" operator="between" showDropDown="false" showErrorMessage="true" showInputMessage="false" sqref="K5:K64" type="list">
      <formula1>GPU!$A$5:$A$64</formula1>
      <formula2>0</formula2>
    </dataValidation>
    <dataValidation allowBlank="true" error="Isi angka bulat antara 0 dan 300. Periksa lagi bila memang di luar kisaran itu." errorStyle="warning" errorTitle="Angka tidak wajar" operator="between" showDropDown="false" showErrorMessage="true" showInputMessage="false" sqref="L5:L64" type="whole">
      <formula1>0</formula1>
      <formula2>300</formula2>
    </dataValidation>
    <dataValidation allowBlank="true" error="Isi angka bulat antara 1 dan 512. Periksa lagi bila memang di luar kisaran itu." errorStyle="warning" errorTitle="Angka tidak wajar" operator="between" showDropDown="false" showErrorMessage="true" showInputMessage="false" sqref="M5:M64" type="whole">
      <formula1>1</formula1>
      <formula2>512</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N5:N64" type="list">
      <formula1>Pilihan!$M$2:$M$11</formula1>
      <formula2>0</formula2>
    </dataValidation>
    <dataValidation allowBlank="true" error="Isi angka bulat antara 800 dan 10000. Periksa lagi bila memang di luar kisaran itu." errorStyle="warning" errorTitle="Angka tidak wajar" operator="between" showDropDown="false" showErrorMessage="true" showInputMessage="false" sqref="O5:O64" type="whole">
      <formula1>800</formula1>
      <formula2>10000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P5:P64" type="list">
      <formula1>Pilihan!$N$2:$N$4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Q5:Q64" type="list">
      <formula1>Pilihan!$O$2:$O$5</formula1>
      <formula2>0</formula2>
    </dataValidation>
    <dataValidation allowBlank="true" error="Isi angka bulat antara 0 dan 8. Periksa lagi bila memang di luar kisaran itu." errorStyle="warning" errorTitle="Angka tidak wajar" operator="between" showDropDown="false" showErrorMessage="true" showInputMessage="false" sqref="R5:S64" type="whole">
      <formula1>0</formula1>
      <formula2>8</formula2>
    </dataValidation>
    <dataValidation allowBlank="true" error="Isi angka bulat antara 0 dan 512. Periksa lagi bila memang di luar kisaran itu." errorStyle="warning" errorTitle="Angka tidak wajar" operator="between" showDropDown="false" showErrorMessage="true" showInputMessage="false" sqref="T5:U64" type="whole">
      <formula1>0</formula1>
      <formula2>512</formula2>
    </dataValidation>
    <dataValidation allowBlank="true" error="Isi angka bulat antara 16 dan 16000. Periksa lagi bila memang di luar kisaran itu." errorStyle="warning" errorTitle="Angka tidak wajar" operator="between" showDropDown="false" showErrorMessage="true" showInputMessage="false" sqref="V5:V64" type="whole">
      <formula1>16</formula1>
      <formula2>16000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W5:W64" type="list">
      <formula1>Pilihan!$P$2:$P$6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Y5:Y64" type="list">
      <formula1>Pilihan!$Q$2:$Q$7</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Z5:Z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C5:AC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D5:AD64" type="list">
      <formula1>Pilihan!$R$2:$R$4</formula1>
      <formula2>0</formula2>
    </dataValidation>
    <dataValidation allowBlank="true" error="Isi angka antara 0.5 dan 5. Periksa lagi bila memang di luar kisaran itu." errorStyle="warning" errorTitle="Angka tidak wajar" operator="between" showDropDown="false" showErrorMessage="true" showInputMessage="false" sqref="AF5:AF64" type="decimal">
      <formula1>0.5</formula1>
      <formula2>5</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G5:AG64" type="list">
      <formula1>Pilihan!$G$2:$G$6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H5:AH64" type="list">
      <formula1>Pilihan!$H$2:$H$10</formula1>
      <formula2>0</formula2>
    </dataValidation>
    <dataValidation allowBlank="true" error="Isi angka bulat antara 30 dan 500. Periksa lagi bila memang di luar kisaran itu." errorStyle="warning" errorTitle="Angka tidak wajar" operator="between" showDropDown="false" showErrorMessage="true" showInputMessage="false" sqref="AI5:AI64" type="whole">
      <formula1>30</formula1>
      <formula2>500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J5:AJ64" type="list">
      <formula1>Pilihan!$D$2:$D$4</formula1>
      <formula2>0</formula2>
    </dataValidation>
    <dataValidation allowBlank="true" error="Isi angka antara 10 dan 120. Periksa lagi bila memang di luar kisaran itu." errorStyle="warning" errorTitle="Angka tidak wajar" operator="between" showDropDown="false" showErrorMessage="true" showInputMessage="false" sqref="AK5:AK64" type="decimal">
      <formula1>10</formula1>
      <formula2>120</formula2>
    </dataValidation>
    <dataValidation allowBlank="true" error="Isi angka bulat antara 20 dan 400. Periksa lagi bila memang di luar kisaran itu." errorStyle="warning" errorTitle="Angka tidak wajar" operator="between" showDropDown="false" showErrorMessage="true" showInputMessage="false" sqref="AL5:AL64" type="whole">
      <formula1>20</formula1>
      <formula2>400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M5:AM64" type="list">
      <formula1>Pilihan!$J$2:$J$7</formula1>
      <formula2>0</formula2>
    </dataValidation>
    <dataValidation allowBlank="true" error="Isi angka antara 3 dan 6. Periksa lagi bila memang di luar kisaran itu." errorStyle="warning" errorTitle="Angka tidak wajar" operator="between" showDropDown="false" showErrorMessage="true" showInputMessage="false" sqref="AN5:AN64" type="decimal">
      <formula1>3</formula1>
      <formula2>6</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O5:AO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P5:AP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Q5:AQ64" type="list">
      <formula1>Pilihan!$I$2:$I$6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R5:AR64" type="list">
      <formula1>Pilihan!$S$2:$S$8</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S5:AS64" type="list">
      <formula1>Pilihan!$T$2:$T$8</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T5:AT64" type="list">
      <formula1>Pilihan!$U$2:$U$5</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U5:AU64" type="list">
      <formula1>Pilihan!$V$2:$V$7</formula1>
      <formula2>0</formula2>
    </dataValidation>
    <dataValidation allowBlank="true" error="Isi angka bulat antara 0 dan 120. Periksa lagi bila memang di luar kisaran itu." errorStyle="warning" errorTitle="Angka tidak wajar" operator="between" showDropDown="false" showErrorMessage="true" showInputMessage="false" sqref="AV5:AW64" type="whole">
      <formula1>0</formula1>
      <formula2>120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X5:AX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AY5:AY64" type="list">
      <formula1>Pilihan!$D$2:$D$4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N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1"/>
    <col collapsed="false" customWidth="true" hidden="false" outlineLevel="0" max="4" min="3" style="1" width="22"/>
    <col collapsed="false" customWidth="true" hidden="false" outlineLevel="0" max="7" min="5" style="1" width="9"/>
    <col collapsed="false" customWidth="true" hidden="false" outlineLevel="0" max="9" min="8" style="1" width="11"/>
    <col collapsed="false" customWidth="true" hidden="false" outlineLevel="0" max="10" min="10" style="1" width="10"/>
    <col collapsed="false" customWidth="true" hidden="false" outlineLevel="0" max="12" min="11" style="1" width="44"/>
    <col collapsed="false" customWidth="true" hidden="false" outlineLevel="0" max="13" min="13" style="1" width="46"/>
    <col collapsed="false" customWidth="true" hidden="false" outlineLevel="0" max="14" min="14" style="1" width="12"/>
  </cols>
  <sheetData>
    <row r="1" customFormat="false" ht="17.25" hidden="false" customHeight="true" outlineLevel="0" collapsed="false">
      <c r="A1" s="2" t="s">
        <v>699</v>
      </c>
    </row>
    <row r="2" customFormat="false" ht="15" hidden="false" customHeight="true" outlineLevel="0" collapsed="false">
      <c r="A2" s="9" t="s">
        <v>700</v>
      </c>
    </row>
    <row r="3" customFormat="false" ht="45" hidden="false" customHeight="true" outlineLevel="0" collapsed="false">
      <c r="A3" s="10" t="s">
        <v>701</v>
      </c>
      <c r="B3" s="10" t="s">
        <v>702</v>
      </c>
      <c r="C3" s="10" t="s">
        <v>703</v>
      </c>
      <c r="D3" s="10" t="s">
        <v>704</v>
      </c>
      <c r="E3" s="10" t="s">
        <v>705</v>
      </c>
      <c r="F3" s="11" t="s">
        <v>706</v>
      </c>
      <c r="G3" s="11" t="s">
        <v>707</v>
      </c>
      <c r="H3" s="11" t="s">
        <v>708</v>
      </c>
      <c r="I3" s="11" t="s">
        <v>709</v>
      </c>
      <c r="J3" s="24" t="s">
        <v>710</v>
      </c>
      <c r="K3" s="24" t="s">
        <v>711</v>
      </c>
      <c r="L3" s="24" t="s">
        <v>712</v>
      </c>
      <c r="M3" s="14" t="s">
        <v>713</v>
      </c>
      <c r="N3" s="14" t="s">
        <v>714</v>
      </c>
    </row>
    <row r="4" customFormat="false" ht="39.75" hidden="false" customHeight="true" outlineLevel="0" collapsed="false">
      <c r="A4" s="15" t="s">
        <v>371</v>
      </c>
      <c r="B4" s="15" t="s">
        <v>715</v>
      </c>
      <c r="C4" s="15" t="s">
        <v>716</v>
      </c>
      <c r="D4" s="15" t="s">
        <v>717</v>
      </c>
      <c r="E4" s="16" t="n">
        <v>2022</v>
      </c>
      <c r="F4" s="16" t="n">
        <v>10</v>
      </c>
      <c r="G4" s="16" t="n">
        <v>12</v>
      </c>
      <c r="H4" s="15" t="s">
        <v>718</v>
      </c>
      <c r="I4" s="15" t="s">
        <v>61</v>
      </c>
      <c r="J4" s="16" t="n">
        <v>3</v>
      </c>
      <c r="K4" s="17" t="s">
        <v>719</v>
      </c>
      <c r="L4" s="17" t="s">
        <v>720</v>
      </c>
      <c r="M4" s="17" t="s">
        <v>721</v>
      </c>
      <c r="N4" s="18" t="n">
        <v>46303</v>
      </c>
    </row>
    <row r="5" customFormat="false" ht="68.25" hidden="false" customHeight="true" outlineLevel="0" collapsed="false">
      <c r="A5" s="19" t="s">
        <v>392</v>
      </c>
      <c r="B5" s="19" t="s">
        <v>722</v>
      </c>
      <c r="C5" s="19" t="s">
        <v>723</v>
      </c>
      <c r="D5" s="19" t="s">
        <v>724</v>
      </c>
      <c r="E5" s="20" t="n">
        <v>2023</v>
      </c>
      <c r="F5" s="20" t="n">
        <v>6</v>
      </c>
      <c r="G5" s="20" t="n">
        <v>12</v>
      </c>
      <c r="H5" s="19" t="s">
        <v>718</v>
      </c>
      <c r="I5" s="19" t="s">
        <v>61</v>
      </c>
      <c r="J5" s="20" t="n">
        <v>3</v>
      </c>
      <c r="K5" s="21" t="s">
        <v>725</v>
      </c>
      <c r="L5" s="21" t="s">
        <v>726</v>
      </c>
      <c r="M5" s="21" t="s">
        <v>727</v>
      </c>
      <c r="N5" s="23" t="n">
        <v>46303</v>
      </c>
    </row>
    <row r="6" customFormat="false" ht="68.25" hidden="false" customHeight="true" outlineLevel="0" collapsed="false">
      <c r="A6" s="19" t="s">
        <v>403</v>
      </c>
      <c r="B6" s="19" t="s">
        <v>715</v>
      </c>
      <c r="C6" s="19" t="s">
        <v>728</v>
      </c>
      <c r="D6" s="19" t="s">
        <v>729</v>
      </c>
      <c r="E6" s="20" t="n">
        <v>2023</v>
      </c>
      <c r="F6" s="20" t="n">
        <v>10</v>
      </c>
      <c r="G6" s="20" t="n">
        <v>12</v>
      </c>
      <c r="H6" s="19" t="s">
        <v>718</v>
      </c>
      <c r="I6" s="19" t="s">
        <v>61</v>
      </c>
      <c r="J6" s="20" t="n">
        <v>3</v>
      </c>
      <c r="K6" s="21" t="s">
        <v>730</v>
      </c>
      <c r="L6" s="21" t="s">
        <v>731</v>
      </c>
      <c r="M6" s="21" t="s">
        <v>732</v>
      </c>
      <c r="N6" s="23" t="n">
        <v>46303</v>
      </c>
    </row>
    <row r="7" customFormat="false" ht="68.25" hidden="false" customHeight="true" outlineLevel="0" collapsed="false">
      <c r="A7" s="19" t="s">
        <v>415</v>
      </c>
      <c r="B7" s="19" t="s">
        <v>715</v>
      </c>
      <c r="C7" s="19" t="s">
        <v>733</v>
      </c>
      <c r="D7" s="19" t="s">
        <v>734</v>
      </c>
      <c r="E7" s="20" t="n">
        <v>2019</v>
      </c>
      <c r="F7" s="20" t="n">
        <v>2</v>
      </c>
      <c r="G7" s="20" t="n">
        <v>2</v>
      </c>
      <c r="H7" s="19" t="s">
        <v>718</v>
      </c>
      <c r="I7" s="19" t="s">
        <v>61</v>
      </c>
      <c r="J7" s="20" t="n">
        <v>1</v>
      </c>
      <c r="K7" s="21" t="s">
        <v>735</v>
      </c>
      <c r="L7" s="21" t="s">
        <v>736</v>
      </c>
      <c r="M7" s="21" t="s">
        <v>737</v>
      </c>
      <c r="N7" s="23" t="n">
        <v>46303</v>
      </c>
    </row>
    <row r="8" customFormat="false" ht="68.25" hidden="false" customHeight="true" outlineLevel="0" collapsed="false">
      <c r="A8" s="19" t="s">
        <v>433</v>
      </c>
      <c r="B8" s="19" t="s">
        <v>715</v>
      </c>
      <c r="C8" s="19" t="s">
        <v>738</v>
      </c>
      <c r="D8" s="19" t="s">
        <v>739</v>
      </c>
      <c r="E8" s="20" t="n">
        <v>2017</v>
      </c>
      <c r="F8" s="20" t="n">
        <v>4</v>
      </c>
      <c r="G8" s="20" t="n">
        <v>8</v>
      </c>
      <c r="H8" s="19" t="s">
        <v>718</v>
      </c>
      <c r="I8" s="19" t="s">
        <v>61</v>
      </c>
      <c r="J8" s="20" t="n">
        <v>2</v>
      </c>
      <c r="K8" s="21" t="s">
        <v>740</v>
      </c>
      <c r="L8" s="21" t="s">
        <v>741</v>
      </c>
      <c r="M8" s="21" t="s">
        <v>742</v>
      </c>
      <c r="N8" s="23" t="n">
        <v>46303</v>
      </c>
    </row>
    <row r="9" customFormat="false" ht="68.25" hidden="false" customHeight="true" outlineLevel="0" collapsed="false">
      <c r="A9" s="19" t="s">
        <v>442</v>
      </c>
      <c r="B9" s="19" t="s">
        <v>715</v>
      </c>
      <c r="C9" s="19" t="s">
        <v>738</v>
      </c>
      <c r="D9" s="19" t="s">
        <v>743</v>
      </c>
      <c r="E9" s="20" t="n">
        <v>2018</v>
      </c>
      <c r="F9" s="20" t="n">
        <v>4</v>
      </c>
      <c r="G9" s="20" t="n">
        <v>8</v>
      </c>
      <c r="H9" s="19" t="s">
        <v>718</v>
      </c>
      <c r="I9" s="19" t="s">
        <v>61</v>
      </c>
      <c r="J9" s="20" t="n">
        <v>2</v>
      </c>
      <c r="K9" s="21" t="s">
        <v>744</v>
      </c>
      <c r="L9" s="21" t="s">
        <v>745</v>
      </c>
      <c r="M9" s="21" t="s">
        <v>746</v>
      </c>
      <c r="N9" s="23" t="n">
        <v>46303</v>
      </c>
    </row>
    <row r="10" customFormat="false" ht="79.5" hidden="false" customHeight="true" outlineLevel="0" collapsed="false">
      <c r="A10" s="19" t="s">
        <v>446</v>
      </c>
      <c r="B10" s="19" t="s">
        <v>715</v>
      </c>
      <c r="C10" s="19" t="s">
        <v>738</v>
      </c>
      <c r="D10" s="19" t="s">
        <v>743</v>
      </c>
      <c r="E10" s="20" t="n">
        <v>2019</v>
      </c>
      <c r="F10" s="20" t="n">
        <v>4</v>
      </c>
      <c r="G10" s="20" t="n">
        <v>8</v>
      </c>
      <c r="H10" s="19" t="s">
        <v>718</v>
      </c>
      <c r="I10" s="19" t="s">
        <v>61</v>
      </c>
      <c r="J10" s="20" t="n">
        <v>2</v>
      </c>
      <c r="K10" s="21" t="s">
        <v>747</v>
      </c>
      <c r="L10" s="21" t="s">
        <v>748</v>
      </c>
      <c r="M10" s="21" t="s">
        <v>749</v>
      </c>
      <c r="N10" s="23" t="n">
        <v>46303</v>
      </c>
    </row>
    <row r="11" customFormat="false" ht="15" hidden="false" customHeight="true" outlineLevel="0" collapsed="false">
      <c r="A11" s="19" t="s">
        <v>450</v>
      </c>
      <c r="B11" s="19" t="s">
        <v>715</v>
      </c>
      <c r="C11" s="19" t="s">
        <v>750</v>
      </c>
      <c r="D11" s="19" t="s">
        <v>751</v>
      </c>
      <c r="E11" s="20" t="n">
        <v>2023</v>
      </c>
      <c r="F11" s="20" t="n">
        <v>14</v>
      </c>
      <c r="G11" s="20" t="n">
        <v>18</v>
      </c>
      <c r="H11" s="19" t="s">
        <v>752</v>
      </c>
      <c r="I11" s="19" t="s">
        <v>61</v>
      </c>
      <c r="J11" s="20" t="n">
        <v>4</v>
      </c>
      <c r="K11" s="21" t="s">
        <v>753</v>
      </c>
      <c r="L11" s="21" t="s">
        <v>754</v>
      </c>
      <c r="M11" s="21" t="s">
        <v>755</v>
      </c>
      <c r="N11" s="23" t="n">
        <v>46305</v>
      </c>
    </row>
    <row r="12" customFormat="false" ht="15" hidden="false" customHeight="true" outlineLevel="0" collapsed="false">
      <c r="A12" s="19" t="s">
        <v>462</v>
      </c>
      <c r="B12" s="19" t="s">
        <v>722</v>
      </c>
      <c r="C12" s="19" t="s">
        <v>756</v>
      </c>
      <c r="D12" s="19" t="s">
        <v>757</v>
      </c>
      <c r="E12" s="20" t="n">
        <v>2022</v>
      </c>
      <c r="F12" s="20" t="n">
        <v>4</v>
      </c>
      <c r="G12" s="20" t="n">
        <v>8</v>
      </c>
      <c r="H12" s="19" t="s">
        <v>718</v>
      </c>
      <c r="I12" s="19" t="s">
        <v>61</v>
      </c>
      <c r="J12" s="20" t="n">
        <v>2</v>
      </c>
      <c r="K12" s="21" t="s">
        <v>758</v>
      </c>
      <c r="L12" s="21" t="s">
        <v>759</v>
      </c>
      <c r="M12" s="21" t="s">
        <v>760</v>
      </c>
      <c r="N12" s="23" t="n">
        <v>46305</v>
      </c>
    </row>
    <row r="13" customFormat="false" ht="15" hidden="false" customHeight="true" outlineLevel="0" collapsed="false">
      <c r="A13" s="19" t="s">
        <v>469</v>
      </c>
      <c r="B13" s="19" t="s">
        <v>722</v>
      </c>
      <c r="C13" s="19" t="s">
        <v>756</v>
      </c>
      <c r="D13" s="19" t="s">
        <v>757</v>
      </c>
      <c r="E13" s="20" t="n">
        <v>2022</v>
      </c>
      <c r="F13" s="20" t="n">
        <v>4</v>
      </c>
      <c r="G13" s="20" t="n">
        <v>8</v>
      </c>
      <c r="H13" s="19" t="s">
        <v>718</v>
      </c>
      <c r="I13" s="19" t="s">
        <v>61</v>
      </c>
      <c r="J13" s="20" t="n">
        <v>2</v>
      </c>
      <c r="K13" s="21" t="s">
        <v>761</v>
      </c>
      <c r="L13" s="21" t="s">
        <v>762</v>
      </c>
      <c r="M13" s="21" t="s">
        <v>763</v>
      </c>
      <c r="N13" s="23" t="n">
        <v>46305</v>
      </c>
    </row>
    <row r="14" customFormat="false" ht="15" hidden="false" customHeight="true" outlineLevel="0" collapsed="false">
      <c r="A14" s="19" t="s">
        <v>474</v>
      </c>
      <c r="B14" s="19" t="s">
        <v>715</v>
      </c>
      <c r="C14" s="19" t="s">
        <v>764</v>
      </c>
      <c r="D14" s="19" t="s">
        <v>765</v>
      </c>
      <c r="E14" s="20" t="n">
        <v>2022</v>
      </c>
      <c r="F14" s="20" t="n">
        <v>8</v>
      </c>
      <c r="G14" s="20" t="n">
        <v>12</v>
      </c>
      <c r="H14" s="19" t="s">
        <v>752</v>
      </c>
      <c r="I14" s="19" t="s">
        <v>61</v>
      </c>
      <c r="J14" s="20" t="n">
        <v>3</v>
      </c>
      <c r="K14" s="21" t="s">
        <v>766</v>
      </c>
      <c r="L14" s="21" t="s">
        <v>767</v>
      </c>
      <c r="M14" s="21" t="s">
        <v>768</v>
      </c>
      <c r="N14" s="23" t="n">
        <v>46305</v>
      </c>
    </row>
    <row r="15" customFormat="false" ht="15" hidden="false" customHeight="true" outlineLevel="0" collapsed="false">
      <c r="A15" s="19" t="s">
        <v>490</v>
      </c>
      <c r="B15" s="19" t="s">
        <v>715</v>
      </c>
      <c r="C15" s="19" t="s">
        <v>769</v>
      </c>
      <c r="D15" s="19" t="s">
        <v>770</v>
      </c>
      <c r="E15" s="20" t="n">
        <v>2024</v>
      </c>
      <c r="F15" s="20" t="n">
        <v>10</v>
      </c>
      <c r="G15" s="20" t="n">
        <v>12</v>
      </c>
      <c r="H15" s="19" t="s">
        <v>771</v>
      </c>
      <c r="I15" s="19" t="s">
        <v>61</v>
      </c>
      <c r="J15" s="20" t="n">
        <v>3</v>
      </c>
      <c r="K15" s="21" t="s">
        <v>772</v>
      </c>
      <c r="L15" s="21" t="s">
        <v>773</v>
      </c>
      <c r="M15" s="21" t="s">
        <v>774</v>
      </c>
      <c r="N15" s="23" t="n">
        <v>46305</v>
      </c>
    </row>
    <row r="16" customFormat="false" ht="15" hidden="false" customHeight="true" outlineLevel="0" collapsed="false">
      <c r="A16" s="19" t="s">
        <v>510</v>
      </c>
      <c r="B16" s="19" t="s">
        <v>715</v>
      </c>
      <c r="C16" s="19" t="s">
        <v>775</v>
      </c>
      <c r="D16" s="19" t="s">
        <v>776</v>
      </c>
      <c r="E16" s="20" t="n">
        <v>2024</v>
      </c>
      <c r="F16" s="20" t="n">
        <v>8</v>
      </c>
      <c r="G16" s="20" t="n">
        <v>12</v>
      </c>
      <c r="H16" s="19" t="s">
        <v>752</v>
      </c>
      <c r="I16" s="19" t="s">
        <v>61</v>
      </c>
      <c r="J16" s="20" t="n">
        <v>3</v>
      </c>
      <c r="K16" s="21" t="s">
        <v>777</v>
      </c>
      <c r="L16" s="21" t="s">
        <v>778</v>
      </c>
      <c r="M16" s="21" t="s">
        <v>779</v>
      </c>
      <c r="N16" s="23" t="n">
        <v>46305</v>
      </c>
    </row>
    <row r="17" customFormat="false" ht="15" hidden="false" customHeight="true" outlineLevel="0" collapsed="false">
      <c r="A17" s="19" t="s">
        <v>517</v>
      </c>
      <c r="B17" s="19" t="s">
        <v>715</v>
      </c>
      <c r="C17" s="19" t="s">
        <v>780</v>
      </c>
      <c r="D17" s="19" t="s">
        <v>781</v>
      </c>
      <c r="E17" s="20" t="n">
        <v>2026</v>
      </c>
      <c r="F17" s="20" t="n">
        <v>8</v>
      </c>
      <c r="G17" s="20" t="n">
        <v>8</v>
      </c>
      <c r="H17" s="19" t="s">
        <v>771</v>
      </c>
      <c r="I17" s="19" t="s">
        <v>61</v>
      </c>
      <c r="J17" s="20" t="n">
        <v>3</v>
      </c>
      <c r="K17" s="21" t="s">
        <v>782</v>
      </c>
      <c r="L17" s="21" t="s">
        <v>783</v>
      </c>
      <c r="M17" s="21" t="s">
        <v>784</v>
      </c>
      <c r="N17" s="23" t="n">
        <v>46305</v>
      </c>
    </row>
    <row r="18" customFormat="false" ht="15" hidden="false" customHeight="true" outlineLevel="0" collapsed="false">
      <c r="A18" s="19" t="s">
        <v>523</v>
      </c>
      <c r="B18" s="19" t="s">
        <v>722</v>
      </c>
      <c r="C18" s="19" t="s">
        <v>785</v>
      </c>
      <c r="D18" s="19" t="s">
        <v>786</v>
      </c>
      <c r="E18" s="20" t="n">
        <v>2025</v>
      </c>
      <c r="F18" s="20" t="n">
        <v>6</v>
      </c>
      <c r="G18" s="20" t="n">
        <v>12</v>
      </c>
      <c r="H18" s="19" t="s">
        <v>771</v>
      </c>
      <c r="I18" s="19" t="s">
        <v>61</v>
      </c>
      <c r="J18" s="20" t="n">
        <v>3</v>
      </c>
      <c r="K18" s="21" t="s">
        <v>787</v>
      </c>
      <c r="L18" s="21" t="s">
        <v>788</v>
      </c>
      <c r="M18" s="21" t="s">
        <v>789</v>
      </c>
      <c r="N18" s="23" t="n">
        <v>46305</v>
      </c>
    </row>
    <row r="19" customFormat="false" ht="15" hidden="false" customHeight="true" outlineLevel="0" collapsed="false">
      <c r="A19" s="19" t="s">
        <v>529</v>
      </c>
      <c r="B19" s="19" t="s">
        <v>161</v>
      </c>
      <c r="C19" s="19" t="s">
        <v>790</v>
      </c>
      <c r="D19" s="19" t="s">
        <v>791</v>
      </c>
      <c r="E19" s="20" t="n">
        <v>2025</v>
      </c>
      <c r="F19" s="20" t="n">
        <v>10</v>
      </c>
      <c r="G19" s="20" t="n">
        <v>10</v>
      </c>
      <c r="H19" s="19" t="s">
        <v>771</v>
      </c>
      <c r="I19" s="19" t="s">
        <v>71</v>
      </c>
      <c r="J19" s="20" t="n">
        <v>4</v>
      </c>
      <c r="K19" s="21" t="s">
        <v>792</v>
      </c>
      <c r="L19" s="21" t="s">
        <v>793</v>
      </c>
      <c r="M19" s="21" t="s">
        <v>794</v>
      </c>
      <c r="N19" s="23" t="n">
        <v>46305</v>
      </c>
    </row>
    <row r="20" customFormat="false" ht="15" hidden="false" customHeight="true" outlineLevel="0" collapsed="false">
      <c r="A20" s="19" t="s">
        <v>537</v>
      </c>
      <c r="B20" s="19" t="s">
        <v>722</v>
      </c>
      <c r="C20" s="19" t="s">
        <v>795</v>
      </c>
      <c r="D20" s="19" t="s">
        <v>796</v>
      </c>
      <c r="E20" s="20" t="n">
        <v>2023</v>
      </c>
      <c r="F20" s="20" t="n">
        <v>8</v>
      </c>
      <c r="G20" s="20" t="n">
        <v>16</v>
      </c>
      <c r="H20" s="19" t="s">
        <v>752</v>
      </c>
      <c r="I20" s="19" t="s">
        <v>61</v>
      </c>
      <c r="J20" s="20" t="n">
        <v>4</v>
      </c>
      <c r="K20" s="21" t="s">
        <v>797</v>
      </c>
      <c r="L20" s="21" t="s">
        <v>798</v>
      </c>
      <c r="M20" s="21" t="s">
        <v>799</v>
      </c>
      <c r="N20" s="23" t="n">
        <v>46305</v>
      </c>
    </row>
    <row r="21" customFormat="false" ht="15" hidden="false" customHeight="true" outlineLevel="0" collapsed="false">
      <c r="A21" s="19" t="s">
        <v>547</v>
      </c>
      <c r="B21" s="19" t="s">
        <v>715</v>
      </c>
      <c r="C21" s="19" t="s">
        <v>800</v>
      </c>
      <c r="D21" s="19" t="s">
        <v>801</v>
      </c>
      <c r="E21" s="20" t="n">
        <v>2023</v>
      </c>
      <c r="F21" s="20" t="n">
        <v>16</v>
      </c>
      <c r="G21" s="20" t="n">
        <v>24</v>
      </c>
      <c r="H21" s="19" t="s">
        <v>752</v>
      </c>
      <c r="I21" s="19" t="s">
        <v>61</v>
      </c>
      <c r="J21" s="20" t="n">
        <v>5</v>
      </c>
      <c r="K21" s="21" t="s">
        <v>802</v>
      </c>
      <c r="L21" s="21" t="s">
        <v>803</v>
      </c>
      <c r="M21" s="21" t="s">
        <v>804</v>
      </c>
      <c r="N21" s="23" t="n">
        <v>46305</v>
      </c>
    </row>
    <row r="22" customFormat="false" ht="15" hidden="false" customHeight="true" outlineLevel="0" collapsed="false">
      <c r="A22" s="19" t="s">
        <v>553</v>
      </c>
      <c r="B22" s="19" t="s">
        <v>715</v>
      </c>
      <c r="C22" s="19" t="s">
        <v>800</v>
      </c>
      <c r="D22" s="19" t="s">
        <v>801</v>
      </c>
      <c r="E22" s="20" t="n">
        <v>2023</v>
      </c>
      <c r="F22" s="20" t="n">
        <v>10</v>
      </c>
      <c r="G22" s="20" t="n">
        <v>16</v>
      </c>
      <c r="H22" s="19" t="s">
        <v>752</v>
      </c>
      <c r="I22" s="19" t="s">
        <v>61</v>
      </c>
      <c r="J22" s="20" t="n">
        <v>4</v>
      </c>
      <c r="K22" s="21" t="s">
        <v>805</v>
      </c>
      <c r="L22" s="21" t="s">
        <v>806</v>
      </c>
      <c r="M22" s="21" t="s">
        <v>807</v>
      </c>
      <c r="N22" s="23" t="n">
        <v>46305</v>
      </c>
    </row>
    <row r="23" customFormat="false" ht="15" hidden="false" customHeight="true" outlineLevel="0" collapsed="false">
      <c r="A23" s="19" t="s">
        <v>558</v>
      </c>
      <c r="B23" s="19" t="s">
        <v>715</v>
      </c>
      <c r="C23" s="19" t="s">
        <v>808</v>
      </c>
      <c r="D23" s="19" t="s">
        <v>809</v>
      </c>
      <c r="E23" s="20" t="n">
        <v>2023</v>
      </c>
      <c r="F23" s="20" t="n">
        <v>10</v>
      </c>
      <c r="G23" s="20" t="n">
        <v>16</v>
      </c>
      <c r="H23" s="19" t="s">
        <v>752</v>
      </c>
      <c r="I23" s="19" t="s">
        <v>61</v>
      </c>
      <c r="J23" s="20" t="n">
        <v>4</v>
      </c>
      <c r="K23" s="21" t="s">
        <v>810</v>
      </c>
      <c r="L23" s="21" t="s">
        <v>811</v>
      </c>
      <c r="M23" s="21" t="s">
        <v>812</v>
      </c>
      <c r="N23" s="23" t="n">
        <v>46305</v>
      </c>
    </row>
    <row r="24" customFormat="false" ht="15" hidden="false" customHeight="true" outlineLevel="0" collapsed="false">
      <c r="A24" s="19" t="s">
        <v>563</v>
      </c>
      <c r="B24" s="19" t="s">
        <v>715</v>
      </c>
      <c r="C24" s="19" t="s">
        <v>775</v>
      </c>
      <c r="D24" s="19" t="s">
        <v>776</v>
      </c>
      <c r="E24" s="20" t="n">
        <v>2024</v>
      </c>
      <c r="F24" s="20" t="n">
        <v>10</v>
      </c>
      <c r="G24" s="20" t="n">
        <v>16</v>
      </c>
      <c r="H24" s="19" t="s">
        <v>752</v>
      </c>
      <c r="I24" s="19" t="s">
        <v>61</v>
      </c>
      <c r="J24" s="20" t="n">
        <v>4</v>
      </c>
      <c r="K24" s="21" t="s">
        <v>813</v>
      </c>
      <c r="L24" s="21" t="s">
        <v>814</v>
      </c>
      <c r="M24" s="21" t="s">
        <v>815</v>
      </c>
      <c r="N24" s="23" t="n">
        <v>46305</v>
      </c>
    </row>
    <row r="25" customFormat="false" ht="15" hidden="false" customHeight="true" outlineLevel="0" collapsed="false">
      <c r="A25" s="19" t="s">
        <v>567</v>
      </c>
      <c r="B25" s="19" t="s">
        <v>715</v>
      </c>
      <c r="C25" s="19" t="s">
        <v>816</v>
      </c>
      <c r="D25" s="19" t="s">
        <v>817</v>
      </c>
      <c r="E25" s="20" t="n">
        <v>2020</v>
      </c>
      <c r="F25" s="20" t="n">
        <v>4</v>
      </c>
      <c r="G25" s="20" t="n">
        <v>8</v>
      </c>
      <c r="H25" s="19" t="s">
        <v>718</v>
      </c>
      <c r="I25" s="19" t="s">
        <v>61</v>
      </c>
      <c r="J25" s="20" t="n">
        <v>2</v>
      </c>
      <c r="K25" s="21" t="s">
        <v>818</v>
      </c>
      <c r="L25" s="21" t="s">
        <v>819</v>
      </c>
      <c r="M25" s="21" t="s">
        <v>820</v>
      </c>
      <c r="N25" s="23" t="n">
        <v>46305</v>
      </c>
    </row>
    <row r="26" customFormat="false" ht="15" hidden="false" customHeight="true" outlineLevel="0" collapsed="false">
      <c r="A26" s="19" t="s">
        <v>585</v>
      </c>
      <c r="B26" s="19" t="s">
        <v>715</v>
      </c>
      <c r="C26" s="19" t="s">
        <v>808</v>
      </c>
      <c r="D26" s="19" t="s">
        <v>809</v>
      </c>
      <c r="E26" s="20" t="n">
        <v>2023</v>
      </c>
      <c r="F26" s="20" t="n">
        <v>8</v>
      </c>
      <c r="G26" s="20" t="n">
        <v>12</v>
      </c>
      <c r="H26" s="19" t="s">
        <v>752</v>
      </c>
      <c r="I26" s="19" t="s">
        <v>61</v>
      </c>
      <c r="J26" s="20" t="n">
        <v>3</v>
      </c>
      <c r="K26" s="21" t="s">
        <v>821</v>
      </c>
      <c r="L26" s="21" t="s">
        <v>822</v>
      </c>
      <c r="M26" s="21" t="s">
        <v>823</v>
      </c>
      <c r="N26" s="23" t="n">
        <v>46305</v>
      </c>
    </row>
    <row r="27" customFormat="false" ht="15" hidden="false" customHeight="true" outlineLevel="0" collapsed="false">
      <c r="A27" s="19" t="s">
        <v>598</v>
      </c>
      <c r="B27" s="19" t="s">
        <v>722</v>
      </c>
      <c r="C27" s="19" t="s">
        <v>824</v>
      </c>
      <c r="D27" s="19" t="s">
        <v>825</v>
      </c>
      <c r="E27" s="20" t="n">
        <v>2025</v>
      </c>
      <c r="F27" s="20" t="n">
        <v>16</v>
      </c>
      <c r="G27" s="20" t="n">
        <v>32</v>
      </c>
      <c r="H27" s="19" t="s">
        <v>752</v>
      </c>
      <c r="I27" s="19" t="s">
        <v>61</v>
      </c>
      <c r="J27" s="20" t="n">
        <v>5</v>
      </c>
      <c r="K27" s="21" t="s">
        <v>826</v>
      </c>
      <c r="L27" s="21" t="s">
        <v>827</v>
      </c>
      <c r="M27" s="21" t="s">
        <v>828</v>
      </c>
      <c r="N27" s="23" t="n">
        <v>46305</v>
      </c>
    </row>
    <row r="28" customFormat="false" ht="15" hidden="false" customHeight="true" outlineLevel="0" collapsed="false">
      <c r="A28" s="19" t="s">
        <v>606</v>
      </c>
      <c r="B28" s="19" t="s">
        <v>715</v>
      </c>
      <c r="C28" s="19" t="s">
        <v>800</v>
      </c>
      <c r="D28" s="19" t="s">
        <v>801</v>
      </c>
      <c r="E28" s="20" t="n">
        <v>2023</v>
      </c>
      <c r="F28" s="20" t="n">
        <v>14</v>
      </c>
      <c r="G28" s="20" t="n">
        <v>20</v>
      </c>
      <c r="H28" s="19" t="s">
        <v>752</v>
      </c>
      <c r="I28" s="19" t="s">
        <v>61</v>
      </c>
      <c r="J28" s="20" t="n">
        <v>4</v>
      </c>
      <c r="K28" s="21" t="s">
        <v>829</v>
      </c>
      <c r="L28" s="21" t="s">
        <v>830</v>
      </c>
      <c r="M28" s="21" t="s">
        <v>831</v>
      </c>
      <c r="N28" s="23" t="n">
        <v>46305</v>
      </c>
    </row>
    <row r="29" customFormat="false" ht="15" hidden="false" customHeight="true" outlineLevel="0" collapsed="false">
      <c r="A29" s="19" t="s">
        <v>612</v>
      </c>
      <c r="B29" s="19" t="s">
        <v>715</v>
      </c>
      <c r="C29" s="19" t="s">
        <v>832</v>
      </c>
      <c r="D29" s="19" t="s">
        <v>833</v>
      </c>
      <c r="E29" s="20" t="n">
        <v>2025</v>
      </c>
      <c r="F29" s="20" t="n">
        <v>8</v>
      </c>
      <c r="G29" s="20" t="n">
        <v>8</v>
      </c>
      <c r="H29" s="19" t="s">
        <v>718</v>
      </c>
      <c r="I29" s="19" t="s">
        <v>61</v>
      </c>
      <c r="J29" s="20" t="n">
        <v>2</v>
      </c>
      <c r="K29" s="21" t="s">
        <v>834</v>
      </c>
      <c r="L29" s="21" t="s">
        <v>835</v>
      </c>
      <c r="M29" s="21" t="s">
        <v>836</v>
      </c>
      <c r="N29" s="23" t="n">
        <v>46305</v>
      </c>
    </row>
    <row r="30" customFormat="false" ht="15" hidden="false" customHeight="true" outlineLevel="0" collapsed="false">
      <c r="A30" s="19" t="s">
        <v>618</v>
      </c>
      <c r="B30" s="19" t="s">
        <v>715</v>
      </c>
      <c r="C30" s="19" t="s">
        <v>837</v>
      </c>
      <c r="D30" s="19" t="s">
        <v>838</v>
      </c>
      <c r="E30" s="20" t="n">
        <v>2022</v>
      </c>
      <c r="F30" s="20" t="n">
        <v>10</v>
      </c>
      <c r="G30" s="20" t="n">
        <v>12</v>
      </c>
      <c r="H30" s="19" t="s">
        <v>771</v>
      </c>
      <c r="I30" s="19" t="s">
        <v>61</v>
      </c>
      <c r="J30" s="20" t="n">
        <v>3</v>
      </c>
      <c r="K30" s="21" t="s">
        <v>839</v>
      </c>
      <c r="L30" s="21" t="s">
        <v>840</v>
      </c>
      <c r="M30" s="21" t="s">
        <v>841</v>
      </c>
      <c r="N30" s="23" t="n">
        <v>46305</v>
      </c>
    </row>
    <row r="31" customFormat="false" ht="15" hidden="false" customHeight="true" outlineLevel="0" collapsed="false">
      <c r="A31" s="19" t="s">
        <v>623</v>
      </c>
      <c r="B31" s="19" t="s">
        <v>722</v>
      </c>
      <c r="C31" s="19" t="s">
        <v>842</v>
      </c>
      <c r="D31" s="19" t="s">
        <v>843</v>
      </c>
      <c r="E31" s="20" t="n">
        <v>2025</v>
      </c>
      <c r="F31" s="20" t="n">
        <v>8</v>
      </c>
      <c r="G31" s="20" t="n">
        <v>16</v>
      </c>
      <c r="H31" s="19" t="s">
        <v>752</v>
      </c>
      <c r="I31" s="19" t="s">
        <v>61</v>
      </c>
      <c r="J31" s="20" t="n">
        <v>4</v>
      </c>
      <c r="K31" s="21" t="s">
        <v>844</v>
      </c>
      <c r="L31" s="21" t="s">
        <v>845</v>
      </c>
      <c r="M31" s="21" t="s">
        <v>846</v>
      </c>
      <c r="N31" s="23" t="n">
        <v>46305</v>
      </c>
    </row>
    <row r="32" customFormat="false" ht="15" hidden="false" customHeight="true" outlineLevel="0" collapsed="false">
      <c r="A32" s="19" t="s">
        <v>628</v>
      </c>
      <c r="B32" s="19" t="s">
        <v>715</v>
      </c>
      <c r="C32" s="19" t="s">
        <v>847</v>
      </c>
      <c r="D32" s="19" t="s">
        <v>848</v>
      </c>
      <c r="E32" s="20" t="n">
        <v>2023</v>
      </c>
      <c r="F32" s="20" t="n">
        <v>6</v>
      </c>
      <c r="G32" s="20" t="n">
        <v>8</v>
      </c>
      <c r="H32" s="19" t="s">
        <v>771</v>
      </c>
      <c r="I32" s="19" t="s">
        <v>61</v>
      </c>
      <c r="J32" s="20" t="n">
        <v>2</v>
      </c>
      <c r="K32" s="21" t="s">
        <v>849</v>
      </c>
      <c r="L32" s="21" t="s">
        <v>850</v>
      </c>
      <c r="M32" s="21" t="s">
        <v>851</v>
      </c>
      <c r="N32" s="23" t="n">
        <v>46305</v>
      </c>
    </row>
    <row r="33" customFormat="false" ht="15" hidden="false" customHeight="true" outlineLevel="0" collapsed="false">
      <c r="A33" s="19" t="s">
        <v>641</v>
      </c>
      <c r="B33" s="19" t="s">
        <v>161</v>
      </c>
      <c r="C33" s="19" t="s">
        <v>852</v>
      </c>
      <c r="D33" s="19" t="s">
        <v>853</v>
      </c>
      <c r="E33" s="20" t="n">
        <v>2020</v>
      </c>
      <c r="F33" s="20" t="n">
        <v>8</v>
      </c>
      <c r="G33" s="20" t="n">
        <v>8</v>
      </c>
      <c r="H33" s="19" t="s">
        <v>771</v>
      </c>
      <c r="I33" s="19" t="s">
        <v>71</v>
      </c>
      <c r="J33" s="20" t="n">
        <v>3</v>
      </c>
      <c r="K33" s="21" t="s">
        <v>854</v>
      </c>
      <c r="L33" s="21" t="s">
        <v>855</v>
      </c>
      <c r="M33" s="21" t="s">
        <v>856</v>
      </c>
      <c r="N33" s="23" t="n">
        <v>46310</v>
      </c>
    </row>
    <row r="34" customFormat="false" ht="15" hidden="false" customHeight="true" outlineLevel="0" collapsed="false">
      <c r="A34" s="19" t="s">
        <v>651</v>
      </c>
      <c r="B34" s="19" t="s">
        <v>715</v>
      </c>
      <c r="C34" s="19" t="s">
        <v>857</v>
      </c>
      <c r="D34" s="19" t="s">
        <v>858</v>
      </c>
      <c r="E34" s="20" t="n">
        <v>2016</v>
      </c>
      <c r="F34" s="20" t="n">
        <v>2</v>
      </c>
      <c r="G34" s="20" t="n">
        <v>4</v>
      </c>
      <c r="H34" s="19" t="s">
        <v>718</v>
      </c>
      <c r="I34" s="19" t="s">
        <v>63</v>
      </c>
      <c r="J34" s="20" t="n">
        <v>1</v>
      </c>
      <c r="K34" s="21" t="s">
        <v>859</v>
      </c>
      <c r="L34" s="21" t="s">
        <v>860</v>
      </c>
      <c r="M34" s="21" t="s">
        <v>861</v>
      </c>
      <c r="N34" s="23" t="n">
        <v>46310</v>
      </c>
    </row>
    <row r="35" customFormat="false" ht="15" hidden="false" customHeight="true" outlineLevel="0" collapsed="false">
      <c r="A35" s="19" t="s">
        <v>659</v>
      </c>
      <c r="B35" s="19" t="s">
        <v>715</v>
      </c>
      <c r="C35" s="19" t="s">
        <v>769</v>
      </c>
      <c r="D35" s="19" t="s">
        <v>770</v>
      </c>
      <c r="E35" s="20" t="n">
        <v>2024</v>
      </c>
      <c r="F35" s="20" t="n">
        <v>6</v>
      </c>
      <c r="G35" s="20" t="n">
        <v>8</v>
      </c>
      <c r="H35" s="19" t="s">
        <v>771</v>
      </c>
      <c r="I35" s="19" t="s">
        <v>61</v>
      </c>
      <c r="J35" s="20" t="n">
        <v>2</v>
      </c>
      <c r="K35" s="21" t="s">
        <v>862</v>
      </c>
      <c r="L35" s="21" t="s">
        <v>863</v>
      </c>
      <c r="M35" s="21" t="s">
        <v>864</v>
      </c>
      <c r="N35" s="23" t="n">
        <v>46310</v>
      </c>
    </row>
    <row r="36" customFormat="false" ht="15" hidden="false" customHeight="true" outlineLevel="0" collapsed="false">
      <c r="A36" s="19" t="s">
        <v>665</v>
      </c>
      <c r="B36" s="19" t="s">
        <v>715</v>
      </c>
      <c r="C36" s="19" t="s">
        <v>847</v>
      </c>
      <c r="D36" s="19" t="s">
        <v>848</v>
      </c>
      <c r="E36" s="20" t="n">
        <v>2023</v>
      </c>
      <c r="F36" s="20" t="n">
        <v>10</v>
      </c>
      <c r="G36" s="20" t="n">
        <v>12</v>
      </c>
      <c r="H36" s="19" t="s">
        <v>718</v>
      </c>
      <c r="I36" s="19" t="s">
        <v>61</v>
      </c>
      <c r="J36" s="20" t="n">
        <v>3</v>
      </c>
      <c r="K36" s="21" t="s">
        <v>865</v>
      </c>
      <c r="L36" s="21" t="s">
        <v>866</v>
      </c>
      <c r="M36" s="21" t="s">
        <v>867</v>
      </c>
      <c r="N36" s="23" t="n">
        <v>46310</v>
      </c>
    </row>
    <row r="37" customFormat="false" ht="15" hidden="false" customHeight="true" outlineLevel="0" collapsed="false">
      <c r="A37" s="19" t="s">
        <v>682</v>
      </c>
      <c r="B37" s="19" t="s">
        <v>715</v>
      </c>
      <c r="C37" s="19" t="s">
        <v>868</v>
      </c>
      <c r="D37" s="19" t="s">
        <v>869</v>
      </c>
      <c r="E37" s="20" t="n">
        <v>2025</v>
      </c>
      <c r="F37" s="20" t="n">
        <v>16</v>
      </c>
      <c r="G37" s="20" t="n">
        <v>16</v>
      </c>
      <c r="H37" s="19" t="s">
        <v>752</v>
      </c>
      <c r="I37" s="19" t="s">
        <v>61</v>
      </c>
      <c r="J37" s="20" t="n">
        <v>4</v>
      </c>
      <c r="K37" s="21" t="s">
        <v>870</v>
      </c>
      <c r="L37" s="21" t="s">
        <v>871</v>
      </c>
      <c r="M37" s="21" t="s">
        <v>872</v>
      </c>
      <c r="N37" s="23" t="n">
        <v>46310</v>
      </c>
    </row>
    <row r="38" customFormat="false" ht="15" hidden="false" customHeight="true" outlineLevel="0" collapsed="false">
      <c r="A38" s="19" t="s">
        <v>688</v>
      </c>
      <c r="B38" s="19" t="s">
        <v>873</v>
      </c>
      <c r="C38" s="19" t="s">
        <v>874</v>
      </c>
      <c r="D38" s="19" t="s">
        <v>875</v>
      </c>
      <c r="E38" s="20" t="n">
        <v>2025</v>
      </c>
      <c r="F38" s="20" t="n">
        <v>8</v>
      </c>
      <c r="G38" s="20" t="n">
        <v>8</v>
      </c>
      <c r="H38" s="19" t="s">
        <v>718</v>
      </c>
      <c r="I38" s="19" t="s">
        <v>61</v>
      </c>
      <c r="J38" s="20" t="n">
        <v>3</v>
      </c>
      <c r="K38" s="21" t="s">
        <v>876</v>
      </c>
      <c r="L38" s="21" t="s">
        <v>877</v>
      </c>
      <c r="M38" s="21" t="s">
        <v>878</v>
      </c>
      <c r="N38" s="23" t="n">
        <v>46310</v>
      </c>
    </row>
    <row r="39" customFormat="false" ht="15" hidden="false" customHeight="true" outlineLevel="0" collapsed="false">
      <c r="A39" s="19" t="s">
        <v>695</v>
      </c>
      <c r="B39" s="19" t="s">
        <v>715</v>
      </c>
      <c r="C39" s="19" t="s">
        <v>879</v>
      </c>
      <c r="D39" s="19" t="s">
        <v>880</v>
      </c>
      <c r="E39" s="20" t="n">
        <v>2024</v>
      </c>
      <c r="F39" s="20" t="n">
        <v>8</v>
      </c>
      <c r="G39" s="20" t="n">
        <v>8</v>
      </c>
      <c r="H39" s="19" t="s">
        <v>718</v>
      </c>
      <c r="I39" s="19" t="s">
        <v>61</v>
      </c>
      <c r="J39" s="20" t="n">
        <v>3</v>
      </c>
      <c r="K39" s="21" t="s">
        <v>881</v>
      </c>
      <c r="L39" s="21" t="s">
        <v>882</v>
      </c>
      <c r="M39" s="21" t="s">
        <v>883</v>
      </c>
      <c r="N39" s="23" t="n">
        <v>46310</v>
      </c>
    </row>
    <row r="40" customFormat="false" ht="15" hidden="false" customHeight="true" outlineLevel="0" collapsed="false">
      <c r="A40" s="19"/>
      <c r="B40" s="19"/>
      <c r="C40" s="19"/>
      <c r="D40" s="19"/>
      <c r="E40" s="20"/>
      <c r="F40" s="20"/>
      <c r="G40" s="20"/>
      <c r="H40" s="19"/>
      <c r="I40" s="19"/>
      <c r="J40" s="20"/>
      <c r="K40" s="21"/>
      <c r="L40" s="21"/>
      <c r="M40" s="21"/>
      <c r="N40" s="23"/>
    </row>
    <row r="41" customFormat="false" ht="15" hidden="false" customHeight="true" outlineLevel="0" collapsed="false">
      <c r="A41" s="19"/>
      <c r="B41" s="19"/>
      <c r="C41" s="19"/>
      <c r="D41" s="19"/>
      <c r="E41" s="20"/>
      <c r="F41" s="20"/>
      <c r="G41" s="20"/>
      <c r="H41" s="19"/>
      <c r="I41" s="19"/>
      <c r="J41" s="20"/>
      <c r="K41" s="21"/>
      <c r="L41" s="21"/>
      <c r="M41" s="21"/>
      <c r="N41" s="23"/>
    </row>
    <row r="42" customFormat="false" ht="15" hidden="false" customHeight="true" outlineLevel="0" collapsed="false">
      <c r="A42" s="19"/>
      <c r="B42" s="19"/>
      <c r="C42" s="19"/>
      <c r="D42" s="19"/>
      <c r="E42" s="20"/>
      <c r="F42" s="20"/>
      <c r="G42" s="20"/>
      <c r="H42" s="19"/>
      <c r="I42" s="19"/>
      <c r="J42" s="20"/>
      <c r="K42" s="21"/>
      <c r="L42" s="21"/>
      <c r="M42" s="21"/>
      <c r="N42" s="23"/>
    </row>
    <row r="43" customFormat="false" ht="15" hidden="false" customHeight="true" outlineLevel="0" collapsed="false">
      <c r="A43" s="19"/>
      <c r="B43" s="19"/>
      <c r="C43" s="19"/>
      <c r="D43" s="19"/>
      <c r="E43" s="20"/>
      <c r="F43" s="20"/>
      <c r="G43" s="20"/>
      <c r="H43" s="19"/>
      <c r="I43" s="19"/>
      <c r="J43" s="20"/>
      <c r="K43" s="21"/>
      <c r="L43" s="21"/>
      <c r="M43" s="21"/>
      <c r="N43" s="23"/>
    </row>
    <row r="44" customFormat="false" ht="15" hidden="false" customHeight="true" outlineLevel="0" collapsed="false">
      <c r="A44" s="19"/>
      <c r="B44" s="19"/>
      <c r="C44" s="19"/>
      <c r="D44" s="19"/>
      <c r="E44" s="20"/>
      <c r="F44" s="20"/>
      <c r="G44" s="20"/>
      <c r="H44" s="19"/>
      <c r="I44" s="19"/>
      <c r="J44" s="20"/>
      <c r="K44" s="21"/>
      <c r="L44" s="21"/>
      <c r="M44" s="21"/>
      <c r="N44" s="23"/>
    </row>
    <row r="45" customFormat="false" ht="15" hidden="false" customHeight="true" outlineLevel="0" collapsed="false">
      <c r="A45" s="19"/>
      <c r="B45" s="19"/>
      <c r="C45" s="19"/>
      <c r="D45" s="19"/>
      <c r="E45" s="20"/>
      <c r="F45" s="20"/>
      <c r="G45" s="20"/>
      <c r="H45" s="19"/>
      <c r="I45" s="19"/>
      <c r="J45" s="20"/>
      <c r="K45" s="21"/>
      <c r="L45" s="21"/>
      <c r="M45" s="21"/>
      <c r="N45" s="23"/>
    </row>
    <row r="46" customFormat="false" ht="15" hidden="false" customHeight="true" outlineLevel="0" collapsed="false">
      <c r="A46" s="19"/>
      <c r="B46" s="19"/>
      <c r="C46" s="19"/>
      <c r="D46" s="19"/>
      <c r="E46" s="20"/>
      <c r="F46" s="20"/>
      <c r="G46" s="20"/>
      <c r="H46" s="19"/>
      <c r="I46" s="19"/>
      <c r="J46" s="20"/>
      <c r="K46" s="21"/>
      <c r="L46" s="21"/>
      <c r="M46" s="21"/>
      <c r="N46" s="23"/>
    </row>
    <row r="47" customFormat="false" ht="15" hidden="false" customHeight="true" outlineLevel="0" collapsed="false">
      <c r="A47" s="19"/>
      <c r="B47" s="19"/>
      <c r="C47" s="19"/>
      <c r="D47" s="19"/>
      <c r="E47" s="20"/>
      <c r="F47" s="20"/>
      <c r="G47" s="20"/>
      <c r="H47" s="19"/>
      <c r="I47" s="19"/>
      <c r="J47" s="20"/>
      <c r="K47" s="21"/>
      <c r="L47" s="21"/>
      <c r="M47" s="21"/>
      <c r="N47" s="23"/>
    </row>
    <row r="48" customFormat="false" ht="15" hidden="false" customHeight="true" outlineLevel="0" collapsed="false">
      <c r="A48" s="19"/>
      <c r="B48" s="19"/>
      <c r="C48" s="19"/>
      <c r="D48" s="19"/>
      <c r="E48" s="20"/>
      <c r="F48" s="20"/>
      <c r="G48" s="20"/>
      <c r="H48" s="19"/>
      <c r="I48" s="19"/>
      <c r="J48" s="20"/>
      <c r="K48" s="21"/>
      <c r="L48" s="21"/>
      <c r="M48" s="21"/>
      <c r="N48" s="23"/>
    </row>
    <row r="49" customFormat="false" ht="15" hidden="false" customHeight="true" outlineLevel="0" collapsed="false">
      <c r="A49" s="19"/>
      <c r="B49" s="19"/>
      <c r="C49" s="19"/>
      <c r="D49" s="19"/>
      <c r="E49" s="20"/>
      <c r="F49" s="20"/>
      <c r="G49" s="20"/>
      <c r="H49" s="19"/>
      <c r="I49" s="19"/>
      <c r="J49" s="20"/>
      <c r="K49" s="21"/>
      <c r="L49" s="21"/>
      <c r="M49" s="21"/>
      <c r="N49" s="23"/>
    </row>
    <row r="50" customFormat="false" ht="15" hidden="false" customHeight="true" outlineLevel="0" collapsed="false">
      <c r="A50" s="19"/>
      <c r="B50" s="19"/>
      <c r="C50" s="19"/>
      <c r="D50" s="19"/>
      <c r="E50" s="20"/>
      <c r="F50" s="20"/>
      <c r="G50" s="20"/>
      <c r="H50" s="19"/>
      <c r="I50" s="19"/>
      <c r="J50" s="20"/>
      <c r="K50" s="21"/>
      <c r="L50" s="21"/>
      <c r="M50" s="21"/>
      <c r="N50" s="23"/>
    </row>
    <row r="51" customFormat="false" ht="15" hidden="false" customHeight="true" outlineLevel="0" collapsed="false">
      <c r="A51" s="19"/>
      <c r="B51" s="19"/>
      <c r="C51" s="19"/>
      <c r="D51" s="19"/>
      <c r="E51" s="20"/>
      <c r="F51" s="20"/>
      <c r="G51" s="20"/>
      <c r="H51" s="19"/>
      <c r="I51" s="19"/>
      <c r="J51" s="20"/>
      <c r="K51" s="21"/>
      <c r="L51" s="21"/>
      <c r="M51" s="21"/>
      <c r="N51" s="23"/>
    </row>
    <row r="52" customFormat="false" ht="15" hidden="false" customHeight="true" outlineLevel="0" collapsed="false">
      <c r="A52" s="19"/>
      <c r="B52" s="19"/>
      <c r="C52" s="19"/>
      <c r="D52" s="19"/>
      <c r="E52" s="20"/>
      <c r="F52" s="20"/>
      <c r="G52" s="20"/>
      <c r="H52" s="19"/>
      <c r="I52" s="19"/>
      <c r="J52" s="20"/>
      <c r="K52" s="21"/>
      <c r="L52" s="21"/>
      <c r="M52" s="21"/>
      <c r="N52" s="23"/>
    </row>
    <row r="53" customFormat="false" ht="15" hidden="false" customHeight="true" outlineLevel="0" collapsed="false">
      <c r="A53" s="19"/>
      <c r="B53" s="19"/>
      <c r="C53" s="19"/>
      <c r="D53" s="19"/>
      <c r="E53" s="20"/>
      <c r="F53" s="20"/>
      <c r="G53" s="20"/>
      <c r="H53" s="19"/>
      <c r="I53" s="19"/>
      <c r="J53" s="20"/>
      <c r="K53" s="21"/>
      <c r="L53" s="21"/>
      <c r="M53" s="21"/>
      <c r="N53" s="23"/>
    </row>
    <row r="54" customFormat="false" ht="15" hidden="false" customHeight="true" outlineLevel="0" collapsed="false">
      <c r="A54" s="19"/>
      <c r="B54" s="19"/>
      <c r="C54" s="19"/>
      <c r="D54" s="19"/>
      <c r="E54" s="20"/>
      <c r="F54" s="20"/>
      <c r="G54" s="20"/>
      <c r="H54" s="19"/>
      <c r="I54" s="19"/>
      <c r="J54" s="20"/>
      <c r="K54" s="21"/>
      <c r="L54" s="21"/>
      <c r="M54" s="21"/>
      <c r="N54" s="23"/>
    </row>
    <row r="55" customFormat="false" ht="15" hidden="false" customHeight="true" outlineLevel="0" collapsed="false">
      <c r="A55" s="19"/>
      <c r="B55" s="19"/>
      <c r="C55" s="19"/>
      <c r="D55" s="19"/>
      <c r="E55" s="20"/>
      <c r="F55" s="20"/>
      <c r="G55" s="20"/>
      <c r="H55" s="19"/>
      <c r="I55" s="19"/>
      <c r="J55" s="20"/>
      <c r="K55" s="21"/>
      <c r="L55" s="21"/>
      <c r="M55" s="21"/>
      <c r="N55" s="23"/>
    </row>
    <row r="56" customFormat="false" ht="15" hidden="false" customHeight="true" outlineLevel="0" collapsed="false">
      <c r="A56" s="19"/>
      <c r="B56" s="19"/>
      <c r="C56" s="19"/>
      <c r="D56" s="19"/>
      <c r="E56" s="20"/>
      <c r="F56" s="20"/>
      <c r="G56" s="20"/>
      <c r="H56" s="19"/>
      <c r="I56" s="19"/>
      <c r="J56" s="20"/>
      <c r="K56" s="21"/>
      <c r="L56" s="21"/>
      <c r="M56" s="21"/>
      <c r="N56" s="23"/>
    </row>
    <row r="57" customFormat="false" ht="15" hidden="false" customHeight="true" outlineLevel="0" collapsed="false">
      <c r="A57" s="19"/>
      <c r="B57" s="19"/>
      <c r="C57" s="19"/>
      <c r="D57" s="19"/>
      <c r="E57" s="20"/>
      <c r="F57" s="20"/>
      <c r="G57" s="20"/>
      <c r="H57" s="19"/>
      <c r="I57" s="19"/>
      <c r="J57" s="20"/>
      <c r="K57" s="21"/>
      <c r="L57" s="21"/>
      <c r="M57" s="21"/>
      <c r="N57" s="23"/>
    </row>
    <row r="58" customFormat="false" ht="15" hidden="false" customHeight="true" outlineLevel="0" collapsed="false">
      <c r="A58" s="19"/>
      <c r="B58" s="19"/>
      <c r="C58" s="19"/>
      <c r="D58" s="19"/>
      <c r="E58" s="20"/>
      <c r="F58" s="20"/>
      <c r="G58" s="20"/>
      <c r="H58" s="19"/>
      <c r="I58" s="19"/>
      <c r="J58" s="20"/>
      <c r="K58" s="21"/>
      <c r="L58" s="21"/>
      <c r="M58" s="21"/>
      <c r="N58" s="23"/>
    </row>
    <row r="59" customFormat="false" ht="15" hidden="false" customHeight="true" outlineLevel="0" collapsed="false">
      <c r="A59" s="19"/>
      <c r="B59" s="19"/>
      <c r="C59" s="19"/>
      <c r="D59" s="19"/>
      <c r="E59" s="20"/>
      <c r="F59" s="20"/>
      <c r="G59" s="20"/>
      <c r="H59" s="19"/>
      <c r="I59" s="19"/>
      <c r="J59" s="20"/>
      <c r="K59" s="21"/>
      <c r="L59" s="21"/>
      <c r="M59" s="21"/>
      <c r="N59" s="23"/>
    </row>
    <row r="60" customFormat="false" ht="15" hidden="false" customHeight="true" outlineLevel="0" collapsed="false">
      <c r="A60" s="19"/>
      <c r="B60" s="19"/>
      <c r="C60" s="19"/>
      <c r="D60" s="19"/>
      <c r="E60" s="20"/>
      <c r="F60" s="20"/>
      <c r="G60" s="20"/>
      <c r="H60" s="19"/>
      <c r="I60" s="19"/>
      <c r="J60" s="20"/>
      <c r="K60" s="21"/>
      <c r="L60" s="21"/>
      <c r="M60" s="21"/>
      <c r="N60" s="23"/>
    </row>
    <row r="61" customFormat="false" ht="15" hidden="false" customHeight="true" outlineLevel="0" collapsed="false">
      <c r="A61" s="19"/>
      <c r="B61" s="19"/>
      <c r="C61" s="19"/>
      <c r="D61" s="19"/>
      <c r="E61" s="20"/>
      <c r="F61" s="20"/>
      <c r="G61" s="20"/>
      <c r="H61" s="19"/>
      <c r="I61" s="19"/>
      <c r="J61" s="20"/>
      <c r="K61" s="21"/>
      <c r="L61" s="21"/>
      <c r="M61" s="21"/>
      <c r="N61" s="23"/>
    </row>
    <row r="62" customFormat="false" ht="15" hidden="false" customHeight="true" outlineLevel="0" collapsed="false">
      <c r="A62" s="19"/>
      <c r="B62" s="19"/>
      <c r="C62" s="19"/>
      <c r="D62" s="19"/>
      <c r="E62" s="20"/>
      <c r="F62" s="20"/>
      <c r="G62" s="20"/>
      <c r="H62" s="19"/>
      <c r="I62" s="19"/>
      <c r="J62" s="20"/>
      <c r="K62" s="21"/>
      <c r="L62" s="21"/>
      <c r="M62" s="21"/>
      <c r="N62" s="23"/>
    </row>
    <row r="63" customFormat="false" ht="15" hidden="false" customHeight="true" outlineLevel="0" collapsed="false">
      <c r="A63" s="19"/>
      <c r="B63" s="19"/>
      <c r="C63" s="19"/>
      <c r="D63" s="19"/>
      <c r="E63" s="20"/>
      <c r="F63" s="20"/>
      <c r="G63" s="20"/>
      <c r="H63" s="19"/>
      <c r="I63" s="19"/>
      <c r="J63" s="20"/>
      <c r="K63" s="21"/>
      <c r="L63" s="21"/>
      <c r="M63" s="21"/>
      <c r="N63" s="23"/>
    </row>
    <row r="64" customFormat="false" ht="15" hidden="false" customHeight="true" outlineLevel="0" collapsed="false">
      <c r="A64" s="19"/>
      <c r="B64" s="19"/>
      <c r="C64" s="19"/>
      <c r="D64" s="19"/>
      <c r="E64" s="20"/>
      <c r="F64" s="20"/>
      <c r="G64" s="20"/>
      <c r="H64" s="19"/>
      <c r="I64" s="19"/>
      <c r="J64" s="20"/>
      <c r="K64" s="21"/>
      <c r="L64" s="21"/>
      <c r="M64" s="21"/>
      <c r="N64" s="23"/>
    </row>
  </sheetData>
  <autoFilter ref="A3:N64"/>
  <dataValidations count="8">
    <dataValidation allowBlank="true" error="Isi angka bulat antara 2000 dan 2035. Periksa lagi bila memang di luar kisaran itu." errorStyle="warning" errorTitle="Angka tidak wajar" operator="between" showDropDown="false" showErrorMessage="true" showInputMessage="false" sqref="E5:E64" type="whole">
      <formula1>2000</formula1>
      <formula2>2035</formula2>
    </dataValidation>
    <dataValidation allowBlank="true" error="Isi tanggal antara 2020-01-01 dan 2035-12-31, misalnya 2026-10-08." errorStyle="warning" errorTitle="Tanggal tidak wajar" operator="between" showDropDown="false" showErrorMessage="true" showInputMessage="false" sqref="N5:N64" type="date">
      <formula1>43831</formula1>
      <formula2>49674</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B5:B64" type="list">
      <formula1>Pilihan!$AB$2:$AB$5</formula1>
      <formula2>0</formula2>
    </dataValidation>
    <dataValidation allowBlank="true" error="Isi angka bulat antara 1 dan 64. Periksa lagi bila memang di luar kisaran itu." errorStyle="warning" errorTitle="Angka tidak wajar" operator="between" showDropDown="false" showErrorMessage="true" showInputMessage="false" sqref="F5:F64" type="whole">
      <formula1>1</formula1>
      <formula2>64</formula2>
    </dataValidation>
    <dataValidation allowBlank="true" error="Isi angka bulat antara 1 dan 128. Periksa lagi bila memang di luar kisaran itu." errorStyle="warning" errorTitle="Angka tidak wajar" operator="between" showDropDown="false" showErrorMessage="true" showInputMessage="false" sqref="G5:G64" type="whole">
      <formula1>1</formula1>
      <formula2>128</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H5:H64" type="list">
      <formula1>Pilihan!$Y$2:$Y$4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I5:I64" type="list">
      <formula1>Pilihan!$D$2:$D$4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J5:J64" type="list">
      <formula1>Pilihan!$AA$2:$AA$6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K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3" min="2" style="1" width="11"/>
    <col collapsed="false" customWidth="true" hidden="false" outlineLevel="0" max="4" min="4" style="1" width="16"/>
    <col collapsed="false" customWidth="true" hidden="false" outlineLevel="0" max="5" min="5" style="1" width="9"/>
    <col collapsed="false" customWidth="true" hidden="false" outlineLevel="0" max="6" min="6" style="1" width="13"/>
    <col collapsed="false" customWidth="true" hidden="false" outlineLevel="0" max="7" min="7" style="1" width="10"/>
    <col collapsed="false" customWidth="true" hidden="false" outlineLevel="0" max="9" min="8" style="1" width="44"/>
    <col collapsed="false" customWidth="true" hidden="false" outlineLevel="0" max="10" min="10" style="1" width="46"/>
    <col collapsed="false" customWidth="true" hidden="false" outlineLevel="0" max="11" min="11" style="1" width="12"/>
  </cols>
  <sheetData>
    <row r="1" customFormat="false" ht="17.25" hidden="false" customHeight="true" outlineLevel="0" collapsed="false">
      <c r="A1" s="2" t="s">
        <v>884</v>
      </c>
    </row>
    <row r="2" customFormat="false" ht="15" hidden="false" customHeight="true" outlineLevel="0" collapsed="false">
      <c r="A2" s="9" t="s">
        <v>885</v>
      </c>
    </row>
    <row r="3" customFormat="false" ht="57.75" hidden="false" customHeight="true" outlineLevel="0" collapsed="false">
      <c r="A3" s="10" t="s">
        <v>886</v>
      </c>
      <c r="B3" s="10" t="s">
        <v>702</v>
      </c>
      <c r="C3" s="10" t="s">
        <v>887</v>
      </c>
      <c r="D3" s="10" t="s">
        <v>888</v>
      </c>
      <c r="E3" s="10" t="s">
        <v>705</v>
      </c>
      <c r="F3" s="10" t="s">
        <v>889</v>
      </c>
      <c r="G3" s="24" t="s">
        <v>710</v>
      </c>
      <c r="H3" s="24" t="s">
        <v>711</v>
      </c>
      <c r="I3" s="24" t="s">
        <v>712</v>
      </c>
      <c r="J3" s="14" t="s">
        <v>713</v>
      </c>
      <c r="K3" s="14" t="s">
        <v>714</v>
      </c>
    </row>
    <row r="4" customFormat="false" ht="39.75" hidden="false" customHeight="true" outlineLevel="0" collapsed="false">
      <c r="A4" s="15" t="s">
        <v>372</v>
      </c>
      <c r="B4" s="15" t="s">
        <v>715</v>
      </c>
      <c r="C4" s="15" t="s">
        <v>890</v>
      </c>
      <c r="D4" s="15" t="s">
        <v>891</v>
      </c>
      <c r="E4" s="16" t="n">
        <v>2020</v>
      </c>
      <c r="F4" s="16" t="n">
        <v>0</v>
      </c>
      <c r="G4" s="16" t="n">
        <v>2</v>
      </c>
      <c r="H4" s="17" t="s">
        <v>892</v>
      </c>
      <c r="I4" s="17" t="s">
        <v>893</v>
      </c>
      <c r="J4" s="17" t="s">
        <v>721</v>
      </c>
      <c r="K4" s="18" t="n">
        <v>46303</v>
      </c>
    </row>
    <row r="5" customFormat="false" ht="34.5" hidden="false" customHeight="true" outlineLevel="0" collapsed="false">
      <c r="A5" s="19" t="s">
        <v>393</v>
      </c>
      <c r="B5" s="19" t="s">
        <v>722</v>
      </c>
      <c r="C5" s="19" t="s">
        <v>890</v>
      </c>
      <c r="D5" s="19"/>
      <c r="E5" s="20"/>
      <c r="F5" s="20" t="n">
        <v>0</v>
      </c>
      <c r="G5" s="20" t="n">
        <v>2</v>
      </c>
      <c r="H5" s="21" t="s">
        <v>894</v>
      </c>
      <c r="I5" s="21" t="s">
        <v>895</v>
      </c>
      <c r="J5" s="21" t="s">
        <v>896</v>
      </c>
      <c r="K5" s="23" t="n">
        <v>46303</v>
      </c>
    </row>
    <row r="6" customFormat="false" ht="34.5" hidden="false" customHeight="true" outlineLevel="0" collapsed="false">
      <c r="A6" s="19" t="s">
        <v>404</v>
      </c>
      <c r="B6" s="19" t="s">
        <v>715</v>
      </c>
      <c r="C6" s="19" t="s">
        <v>890</v>
      </c>
      <c r="D6" s="19"/>
      <c r="E6" s="20"/>
      <c r="F6" s="20" t="n">
        <v>0</v>
      </c>
      <c r="G6" s="20" t="n">
        <v>2</v>
      </c>
      <c r="H6" s="21" t="s">
        <v>897</v>
      </c>
      <c r="I6" s="21" t="s">
        <v>895</v>
      </c>
      <c r="J6" s="21" t="s">
        <v>898</v>
      </c>
      <c r="K6" s="23" t="n">
        <v>46303</v>
      </c>
    </row>
    <row r="7" customFormat="false" ht="34.5" hidden="false" customHeight="true" outlineLevel="0" collapsed="false">
      <c r="A7" s="19" t="s">
        <v>416</v>
      </c>
      <c r="B7" s="19" t="s">
        <v>715</v>
      </c>
      <c r="C7" s="19" t="s">
        <v>890</v>
      </c>
      <c r="D7" s="19"/>
      <c r="E7" s="20"/>
      <c r="F7" s="20" t="n">
        <v>0</v>
      </c>
      <c r="G7" s="20" t="n">
        <v>1</v>
      </c>
      <c r="H7" s="21" t="s">
        <v>899</v>
      </c>
      <c r="I7" s="21" t="s">
        <v>900</v>
      </c>
      <c r="J7" s="21" t="s">
        <v>901</v>
      </c>
      <c r="K7" s="23" t="n">
        <v>46303</v>
      </c>
    </row>
    <row r="8" customFormat="false" ht="57" hidden="false" customHeight="true" outlineLevel="0" collapsed="false">
      <c r="A8" s="19" t="s">
        <v>434</v>
      </c>
      <c r="B8" s="19" t="s">
        <v>715</v>
      </c>
      <c r="C8" s="19" t="s">
        <v>890</v>
      </c>
      <c r="D8" s="19"/>
      <c r="E8" s="20"/>
      <c r="F8" s="20" t="n">
        <v>0</v>
      </c>
      <c r="G8" s="20" t="n">
        <v>1</v>
      </c>
      <c r="H8" s="21" t="s">
        <v>902</v>
      </c>
      <c r="I8" s="21" t="s">
        <v>903</v>
      </c>
      <c r="J8" s="21" t="s">
        <v>904</v>
      </c>
      <c r="K8" s="23" t="n">
        <v>46303</v>
      </c>
    </row>
    <row r="9" customFormat="false" ht="15" hidden="false" customHeight="true" outlineLevel="0" collapsed="false">
      <c r="A9" s="19" t="s">
        <v>451</v>
      </c>
      <c r="B9" s="19" t="s">
        <v>715</v>
      </c>
      <c r="C9" s="19" t="s">
        <v>890</v>
      </c>
      <c r="D9" s="19" t="s">
        <v>905</v>
      </c>
      <c r="E9" s="20" t="n">
        <v>2023</v>
      </c>
      <c r="F9" s="20" t="n">
        <v>0</v>
      </c>
      <c r="G9" s="20" t="n">
        <v>2</v>
      </c>
      <c r="H9" s="21" t="s">
        <v>906</v>
      </c>
      <c r="I9" s="21" t="s">
        <v>907</v>
      </c>
      <c r="J9" s="21" t="s">
        <v>908</v>
      </c>
      <c r="K9" s="23" t="n">
        <v>46305</v>
      </c>
    </row>
    <row r="10" customFormat="false" ht="15" hidden="false" customHeight="true" outlineLevel="0" collapsed="false">
      <c r="A10" s="19" t="s">
        <v>463</v>
      </c>
      <c r="B10" s="19" t="s">
        <v>722</v>
      </c>
      <c r="C10" s="19" t="s">
        <v>890</v>
      </c>
      <c r="D10" s="19" t="s">
        <v>909</v>
      </c>
      <c r="E10" s="20" t="n">
        <v>2022</v>
      </c>
      <c r="F10" s="20" t="n">
        <v>0</v>
      </c>
      <c r="G10" s="20" t="n">
        <v>1</v>
      </c>
      <c r="H10" s="21" t="s">
        <v>910</v>
      </c>
      <c r="I10" s="21" t="s">
        <v>911</v>
      </c>
      <c r="J10" s="21" t="s">
        <v>912</v>
      </c>
      <c r="K10" s="23" t="n">
        <v>46305</v>
      </c>
    </row>
    <row r="11" customFormat="false" ht="15" hidden="false" customHeight="true" outlineLevel="0" collapsed="false">
      <c r="A11" s="19" t="s">
        <v>475</v>
      </c>
      <c r="B11" s="19" t="s">
        <v>715</v>
      </c>
      <c r="C11" s="19" t="s">
        <v>890</v>
      </c>
      <c r="D11" s="19" t="s">
        <v>913</v>
      </c>
      <c r="E11" s="20" t="n">
        <v>2022</v>
      </c>
      <c r="F11" s="20" t="n">
        <v>0</v>
      </c>
      <c r="G11" s="20" t="n">
        <v>2</v>
      </c>
      <c r="H11" s="21" t="s">
        <v>914</v>
      </c>
      <c r="I11" s="21" t="s">
        <v>915</v>
      </c>
      <c r="J11" s="21" t="s">
        <v>768</v>
      </c>
      <c r="K11" s="23" t="n">
        <v>46305</v>
      </c>
    </row>
    <row r="12" customFormat="false" ht="15" hidden="false" customHeight="true" outlineLevel="0" collapsed="false">
      <c r="A12" s="19" t="s">
        <v>491</v>
      </c>
      <c r="B12" s="19" t="s">
        <v>715</v>
      </c>
      <c r="C12" s="19" t="s">
        <v>890</v>
      </c>
      <c r="D12" s="19" t="s">
        <v>916</v>
      </c>
      <c r="E12" s="20" t="n">
        <v>2024</v>
      </c>
      <c r="F12" s="20" t="n">
        <v>0</v>
      </c>
      <c r="G12" s="20" t="n">
        <v>2</v>
      </c>
      <c r="H12" s="21" t="s">
        <v>917</v>
      </c>
      <c r="I12" s="21" t="s">
        <v>918</v>
      </c>
      <c r="J12" s="21" t="s">
        <v>919</v>
      </c>
      <c r="K12" s="23" t="n">
        <v>46305</v>
      </c>
    </row>
    <row r="13" customFormat="false" ht="15" hidden="false" customHeight="true" outlineLevel="0" collapsed="false">
      <c r="A13" s="19" t="s">
        <v>511</v>
      </c>
      <c r="B13" s="19" t="s">
        <v>715</v>
      </c>
      <c r="C13" s="19" t="s">
        <v>890</v>
      </c>
      <c r="D13" s="19" t="s">
        <v>920</v>
      </c>
      <c r="E13" s="20" t="n">
        <v>2024</v>
      </c>
      <c r="F13" s="20" t="n">
        <v>0</v>
      </c>
      <c r="G13" s="20" t="n">
        <v>2</v>
      </c>
      <c r="H13" s="21" t="s">
        <v>921</v>
      </c>
      <c r="I13" s="21" t="s">
        <v>922</v>
      </c>
      <c r="J13" s="21" t="s">
        <v>923</v>
      </c>
      <c r="K13" s="23" t="n">
        <v>46305</v>
      </c>
    </row>
    <row r="14" customFormat="false" ht="15" hidden="false" customHeight="true" outlineLevel="0" collapsed="false">
      <c r="A14" s="19" t="s">
        <v>518</v>
      </c>
      <c r="B14" s="19" t="s">
        <v>715</v>
      </c>
      <c r="C14" s="19" t="s">
        <v>890</v>
      </c>
      <c r="D14" s="19" t="s">
        <v>924</v>
      </c>
      <c r="E14" s="20" t="n">
        <v>2026</v>
      </c>
      <c r="F14" s="20" t="n">
        <v>0</v>
      </c>
      <c r="G14" s="20" t="n">
        <v>2</v>
      </c>
      <c r="H14" s="21" t="s">
        <v>925</v>
      </c>
      <c r="I14" s="21" t="s">
        <v>926</v>
      </c>
      <c r="J14" s="21" t="s">
        <v>927</v>
      </c>
      <c r="K14" s="23" t="n">
        <v>46305</v>
      </c>
    </row>
    <row r="15" customFormat="false" ht="15" hidden="false" customHeight="true" outlineLevel="0" collapsed="false">
      <c r="A15" s="19" t="s">
        <v>524</v>
      </c>
      <c r="B15" s="19" t="s">
        <v>722</v>
      </c>
      <c r="C15" s="19" t="s">
        <v>890</v>
      </c>
      <c r="D15" s="19" t="s">
        <v>928</v>
      </c>
      <c r="E15" s="20" t="n">
        <v>2025</v>
      </c>
      <c r="F15" s="20" t="n">
        <v>0</v>
      </c>
      <c r="G15" s="20" t="n">
        <v>2</v>
      </c>
      <c r="H15" s="21" t="s">
        <v>929</v>
      </c>
      <c r="I15" s="21" t="s">
        <v>926</v>
      </c>
      <c r="J15" s="21" t="s">
        <v>930</v>
      </c>
      <c r="K15" s="23" t="n">
        <v>46305</v>
      </c>
    </row>
    <row r="16" customFormat="false" ht="15" hidden="false" customHeight="true" outlineLevel="0" collapsed="false">
      <c r="A16" s="19" t="s">
        <v>530</v>
      </c>
      <c r="B16" s="19" t="s">
        <v>161</v>
      </c>
      <c r="C16" s="19" t="s">
        <v>890</v>
      </c>
      <c r="D16" s="19" t="s">
        <v>931</v>
      </c>
      <c r="E16" s="20" t="n">
        <v>2025</v>
      </c>
      <c r="F16" s="20" t="n">
        <v>0</v>
      </c>
      <c r="G16" s="20" t="n">
        <v>2</v>
      </c>
      <c r="H16" s="21" t="s">
        <v>932</v>
      </c>
      <c r="I16" s="21" t="s">
        <v>933</v>
      </c>
      <c r="J16" s="21" t="s">
        <v>934</v>
      </c>
      <c r="K16" s="23" t="n">
        <v>46305</v>
      </c>
    </row>
    <row r="17" customFormat="false" ht="15" hidden="false" customHeight="true" outlineLevel="0" collapsed="false">
      <c r="A17" s="19" t="s">
        <v>538</v>
      </c>
      <c r="B17" s="19" t="s">
        <v>935</v>
      </c>
      <c r="C17" s="19" t="s">
        <v>936</v>
      </c>
      <c r="D17" s="19" t="s">
        <v>937</v>
      </c>
      <c r="E17" s="20" t="n">
        <v>2023</v>
      </c>
      <c r="F17" s="20" t="n">
        <v>6</v>
      </c>
      <c r="G17" s="20" t="n">
        <v>3</v>
      </c>
      <c r="H17" s="21" t="s">
        <v>938</v>
      </c>
      <c r="I17" s="21" t="s">
        <v>939</v>
      </c>
      <c r="J17" s="21" t="s">
        <v>940</v>
      </c>
      <c r="K17" s="23" t="n">
        <v>46305</v>
      </c>
    </row>
    <row r="18" customFormat="false" ht="15" hidden="false" customHeight="true" outlineLevel="0" collapsed="false">
      <c r="A18" s="19" t="s">
        <v>543</v>
      </c>
      <c r="B18" s="19" t="s">
        <v>935</v>
      </c>
      <c r="C18" s="19" t="s">
        <v>936</v>
      </c>
      <c r="D18" s="19" t="s">
        <v>937</v>
      </c>
      <c r="E18" s="20" t="n">
        <v>2023</v>
      </c>
      <c r="F18" s="20" t="n">
        <v>8</v>
      </c>
      <c r="G18" s="20" t="n">
        <v>4</v>
      </c>
      <c r="H18" s="21" t="s">
        <v>941</v>
      </c>
      <c r="I18" s="21" t="s">
        <v>942</v>
      </c>
      <c r="J18" s="21" t="s">
        <v>940</v>
      </c>
      <c r="K18" s="23" t="n">
        <v>46305</v>
      </c>
    </row>
    <row r="19" customFormat="false" ht="15" hidden="false" customHeight="true" outlineLevel="0" collapsed="false">
      <c r="A19" s="19" t="s">
        <v>548</v>
      </c>
      <c r="B19" s="19" t="s">
        <v>935</v>
      </c>
      <c r="C19" s="19" t="s">
        <v>936</v>
      </c>
      <c r="D19" s="19" t="s">
        <v>943</v>
      </c>
      <c r="E19" s="20" t="n">
        <v>2025</v>
      </c>
      <c r="F19" s="20" t="n">
        <v>8</v>
      </c>
      <c r="G19" s="20" t="n">
        <v>3</v>
      </c>
      <c r="H19" s="21" t="s">
        <v>944</v>
      </c>
      <c r="I19" s="21" t="s">
        <v>945</v>
      </c>
      <c r="J19" s="21" t="s">
        <v>940</v>
      </c>
      <c r="K19" s="23" t="n">
        <v>46305</v>
      </c>
    </row>
    <row r="20" customFormat="false" ht="15" hidden="false" customHeight="true" outlineLevel="0" collapsed="false">
      <c r="A20" s="19" t="s">
        <v>568</v>
      </c>
      <c r="B20" s="19" t="s">
        <v>715</v>
      </c>
      <c r="C20" s="19" t="s">
        <v>890</v>
      </c>
      <c r="D20" s="19"/>
      <c r="E20" s="20"/>
      <c r="F20" s="20" t="n">
        <v>0</v>
      </c>
      <c r="G20" s="20" t="n">
        <v>1</v>
      </c>
      <c r="H20" s="21" t="s">
        <v>946</v>
      </c>
      <c r="I20" s="21" t="s">
        <v>903</v>
      </c>
      <c r="J20" s="21" t="s">
        <v>947</v>
      </c>
      <c r="K20" s="23" t="n">
        <v>46305</v>
      </c>
    </row>
    <row r="21" customFormat="false" ht="15" hidden="false" customHeight="true" outlineLevel="0" collapsed="false">
      <c r="A21" s="19" t="s">
        <v>586</v>
      </c>
      <c r="B21" s="19" t="s">
        <v>935</v>
      </c>
      <c r="C21" s="19" t="s">
        <v>936</v>
      </c>
      <c r="D21" s="19" t="s">
        <v>948</v>
      </c>
      <c r="E21" s="20" t="n">
        <v>2023</v>
      </c>
      <c r="F21" s="20" t="n">
        <v>6</v>
      </c>
      <c r="G21" s="20" t="n">
        <v>3</v>
      </c>
      <c r="H21" s="21" t="s">
        <v>949</v>
      </c>
      <c r="I21" s="21" t="s">
        <v>950</v>
      </c>
      <c r="J21" s="21" t="s">
        <v>951</v>
      </c>
      <c r="K21" s="23" t="n">
        <v>46305</v>
      </c>
    </row>
    <row r="22" customFormat="false" ht="15" hidden="false" customHeight="true" outlineLevel="0" collapsed="false">
      <c r="A22" s="19" t="s">
        <v>593</v>
      </c>
      <c r="B22" s="19" t="s">
        <v>935</v>
      </c>
      <c r="C22" s="19" t="s">
        <v>936</v>
      </c>
      <c r="D22" s="19" t="s">
        <v>948</v>
      </c>
      <c r="E22" s="20" t="n">
        <v>2021</v>
      </c>
      <c r="F22" s="20" t="n">
        <v>4</v>
      </c>
      <c r="G22" s="20" t="n">
        <v>3</v>
      </c>
      <c r="H22" s="21" t="s">
        <v>952</v>
      </c>
      <c r="I22" s="21" t="s">
        <v>953</v>
      </c>
      <c r="J22" s="21" t="s">
        <v>954</v>
      </c>
      <c r="K22" s="23" t="n">
        <v>46305</v>
      </c>
    </row>
    <row r="23" customFormat="false" ht="15" hidden="false" customHeight="true" outlineLevel="0" collapsed="false">
      <c r="A23" s="19" t="s">
        <v>599</v>
      </c>
      <c r="B23" s="19" t="s">
        <v>935</v>
      </c>
      <c r="C23" s="19" t="s">
        <v>936</v>
      </c>
      <c r="D23" s="19" t="s">
        <v>943</v>
      </c>
      <c r="E23" s="20" t="n">
        <v>2025</v>
      </c>
      <c r="F23" s="20" t="n">
        <v>8</v>
      </c>
      <c r="G23" s="20" t="n">
        <v>4</v>
      </c>
      <c r="H23" s="21" t="s">
        <v>955</v>
      </c>
      <c r="I23" s="21" t="s">
        <v>956</v>
      </c>
      <c r="J23" s="21" t="s">
        <v>957</v>
      </c>
      <c r="K23" s="23" t="n">
        <v>46305</v>
      </c>
    </row>
    <row r="24" customFormat="false" ht="15" hidden="false" customHeight="true" outlineLevel="0" collapsed="false">
      <c r="A24" s="19" t="s">
        <v>613</v>
      </c>
      <c r="B24" s="19" t="s">
        <v>715</v>
      </c>
      <c r="C24" s="19" t="s">
        <v>890</v>
      </c>
      <c r="D24" s="19" t="s">
        <v>958</v>
      </c>
      <c r="E24" s="20" t="n">
        <v>2025</v>
      </c>
      <c r="F24" s="20" t="n">
        <v>0</v>
      </c>
      <c r="G24" s="20" t="n">
        <v>2</v>
      </c>
      <c r="H24" s="21" t="s">
        <v>959</v>
      </c>
      <c r="I24" s="21" t="s">
        <v>960</v>
      </c>
      <c r="J24" s="21" t="s">
        <v>961</v>
      </c>
      <c r="K24" s="23" t="n">
        <v>46305</v>
      </c>
    </row>
    <row r="25" customFormat="false" ht="15" hidden="false" customHeight="true" outlineLevel="0" collapsed="false">
      <c r="A25" s="19" t="s">
        <v>624</v>
      </c>
      <c r="B25" s="19" t="s">
        <v>722</v>
      </c>
      <c r="C25" s="19" t="s">
        <v>890</v>
      </c>
      <c r="D25" s="19" t="s">
        <v>962</v>
      </c>
      <c r="E25" s="20" t="n">
        <v>2023</v>
      </c>
      <c r="F25" s="20" t="n">
        <v>0</v>
      </c>
      <c r="G25" s="20" t="n">
        <v>2</v>
      </c>
      <c r="H25" s="21" t="s">
        <v>963</v>
      </c>
      <c r="I25" s="21" t="s">
        <v>964</v>
      </c>
      <c r="J25" s="21" t="s">
        <v>846</v>
      </c>
      <c r="K25" s="23" t="n">
        <v>46305</v>
      </c>
    </row>
    <row r="26" customFormat="false" ht="15" hidden="false" customHeight="true" outlineLevel="0" collapsed="false">
      <c r="A26" s="19" t="s">
        <v>629</v>
      </c>
      <c r="B26" s="19" t="s">
        <v>715</v>
      </c>
      <c r="C26" s="19" t="s">
        <v>890</v>
      </c>
      <c r="D26" s="19" t="s">
        <v>965</v>
      </c>
      <c r="E26" s="20" t="n">
        <v>2023</v>
      </c>
      <c r="F26" s="20" t="n">
        <v>0</v>
      </c>
      <c r="G26" s="20" t="n">
        <v>2</v>
      </c>
      <c r="H26" s="21" t="s">
        <v>966</v>
      </c>
      <c r="I26" s="21" t="s">
        <v>967</v>
      </c>
      <c r="J26" s="21" t="s">
        <v>851</v>
      </c>
      <c r="K26" s="23" t="n">
        <v>46305</v>
      </c>
    </row>
    <row r="27" customFormat="false" ht="15" hidden="false" customHeight="true" outlineLevel="0" collapsed="false">
      <c r="A27" s="19" t="s">
        <v>642</v>
      </c>
      <c r="B27" s="19" t="s">
        <v>161</v>
      </c>
      <c r="C27" s="19" t="s">
        <v>890</v>
      </c>
      <c r="D27" s="19" t="s">
        <v>968</v>
      </c>
      <c r="E27" s="20" t="n">
        <v>2020</v>
      </c>
      <c r="F27" s="20" t="n">
        <v>0</v>
      </c>
      <c r="G27" s="20" t="n">
        <v>2</v>
      </c>
      <c r="H27" s="21" t="s">
        <v>969</v>
      </c>
      <c r="I27" s="21" t="s">
        <v>970</v>
      </c>
      <c r="J27" s="21" t="s">
        <v>971</v>
      </c>
      <c r="K27" s="23" t="n">
        <v>46310</v>
      </c>
    </row>
    <row r="28" customFormat="false" ht="15" hidden="false" customHeight="true" outlineLevel="0" collapsed="false">
      <c r="A28" s="19" t="s">
        <v>652</v>
      </c>
      <c r="B28" s="19" t="s">
        <v>715</v>
      </c>
      <c r="C28" s="19" t="s">
        <v>890</v>
      </c>
      <c r="D28" s="19"/>
      <c r="E28" s="20" t="n">
        <v>2016</v>
      </c>
      <c r="F28" s="20" t="n">
        <v>0</v>
      </c>
      <c r="G28" s="20" t="n">
        <v>1</v>
      </c>
      <c r="H28" s="21" t="s">
        <v>972</v>
      </c>
      <c r="I28" s="21" t="s">
        <v>903</v>
      </c>
      <c r="J28" s="21" t="s">
        <v>973</v>
      </c>
      <c r="K28" s="23" t="n">
        <v>46310</v>
      </c>
    </row>
    <row r="29" customFormat="false" ht="15" hidden="false" customHeight="true" outlineLevel="0" collapsed="false">
      <c r="A29" s="19" t="s">
        <v>660</v>
      </c>
      <c r="B29" s="19" t="s">
        <v>715</v>
      </c>
      <c r="C29" s="19" t="s">
        <v>890</v>
      </c>
      <c r="D29" s="19" t="s">
        <v>974</v>
      </c>
      <c r="E29" s="20" t="n">
        <v>2024</v>
      </c>
      <c r="F29" s="20" t="n">
        <v>0</v>
      </c>
      <c r="G29" s="20" t="n">
        <v>2</v>
      </c>
      <c r="H29" s="21" t="s">
        <v>975</v>
      </c>
      <c r="I29" s="21" t="s">
        <v>922</v>
      </c>
      <c r="J29" s="21" t="s">
        <v>976</v>
      </c>
      <c r="K29" s="23" t="n">
        <v>46310</v>
      </c>
    </row>
    <row r="30" customFormat="false" ht="15" hidden="false" customHeight="true" outlineLevel="0" collapsed="false">
      <c r="A30" s="19" t="s">
        <v>666</v>
      </c>
      <c r="B30" s="19" t="s">
        <v>715</v>
      </c>
      <c r="C30" s="19" t="s">
        <v>890</v>
      </c>
      <c r="D30" s="19" t="s">
        <v>977</v>
      </c>
      <c r="E30" s="20" t="n">
        <v>2023</v>
      </c>
      <c r="F30" s="20" t="n">
        <v>0</v>
      </c>
      <c r="G30" s="20" t="n">
        <v>2</v>
      </c>
      <c r="H30" s="21" t="s">
        <v>978</v>
      </c>
      <c r="I30" s="21" t="s">
        <v>979</v>
      </c>
      <c r="J30" s="21" t="s">
        <v>980</v>
      </c>
      <c r="K30" s="23" t="n">
        <v>46310</v>
      </c>
    </row>
    <row r="31" customFormat="false" ht="15" hidden="false" customHeight="true" outlineLevel="0" collapsed="false">
      <c r="A31" s="19" t="s">
        <v>689</v>
      </c>
      <c r="B31" s="19" t="s">
        <v>873</v>
      </c>
      <c r="C31" s="19" t="s">
        <v>890</v>
      </c>
      <c r="D31" s="19" t="s">
        <v>981</v>
      </c>
      <c r="E31" s="20" t="n">
        <v>2025</v>
      </c>
      <c r="F31" s="20" t="n">
        <v>0</v>
      </c>
      <c r="G31" s="20" t="n">
        <v>2</v>
      </c>
      <c r="H31" s="21" t="s">
        <v>982</v>
      </c>
      <c r="I31" s="21" t="s">
        <v>983</v>
      </c>
      <c r="J31" s="21" t="s">
        <v>878</v>
      </c>
      <c r="K31" s="23" t="n">
        <v>46310</v>
      </c>
    </row>
    <row r="32" customFormat="false" ht="15" hidden="false" customHeight="true" outlineLevel="0" collapsed="false">
      <c r="A32" s="19" t="s">
        <v>696</v>
      </c>
      <c r="B32" s="19" t="s">
        <v>715</v>
      </c>
      <c r="C32" s="19" t="s">
        <v>890</v>
      </c>
      <c r="D32" s="19" t="s">
        <v>984</v>
      </c>
      <c r="E32" s="20" t="n">
        <v>2024</v>
      </c>
      <c r="F32" s="20" t="n">
        <v>0</v>
      </c>
      <c r="G32" s="20" t="n">
        <v>2</v>
      </c>
      <c r="H32" s="21" t="s">
        <v>985</v>
      </c>
      <c r="I32" s="21" t="s">
        <v>986</v>
      </c>
      <c r="J32" s="21" t="s">
        <v>987</v>
      </c>
      <c r="K32" s="23" t="n">
        <v>46310</v>
      </c>
    </row>
    <row r="33" customFormat="false" ht="15" hidden="false" customHeight="true" outlineLevel="0" collapsed="false">
      <c r="A33" s="19"/>
      <c r="B33" s="19"/>
      <c r="C33" s="19"/>
      <c r="D33" s="19"/>
      <c r="E33" s="20"/>
      <c r="F33" s="20"/>
      <c r="G33" s="20"/>
      <c r="H33" s="21"/>
      <c r="I33" s="21"/>
      <c r="J33" s="21"/>
      <c r="K33" s="23"/>
    </row>
    <row r="34" customFormat="false" ht="15" hidden="false" customHeight="true" outlineLevel="0" collapsed="false">
      <c r="A34" s="19"/>
      <c r="B34" s="19"/>
      <c r="C34" s="19"/>
      <c r="D34" s="19"/>
      <c r="E34" s="20"/>
      <c r="F34" s="20"/>
      <c r="G34" s="20"/>
      <c r="H34" s="21"/>
      <c r="I34" s="21"/>
      <c r="J34" s="21"/>
      <c r="K34" s="23"/>
    </row>
    <row r="35" customFormat="false" ht="15" hidden="false" customHeight="true" outlineLevel="0" collapsed="false">
      <c r="A35" s="19"/>
      <c r="B35" s="19"/>
      <c r="C35" s="19"/>
      <c r="D35" s="19"/>
      <c r="E35" s="20"/>
      <c r="F35" s="20"/>
      <c r="G35" s="20"/>
      <c r="H35" s="21"/>
      <c r="I35" s="21"/>
      <c r="J35" s="21"/>
      <c r="K35" s="23"/>
    </row>
    <row r="36" customFormat="false" ht="15" hidden="false" customHeight="true" outlineLevel="0" collapsed="false">
      <c r="A36" s="19"/>
      <c r="B36" s="19"/>
      <c r="C36" s="19"/>
      <c r="D36" s="19"/>
      <c r="E36" s="20"/>
      <c r="F36" s="20"/>
      <c r="G36" s="20"/>
      <c r="H36" s="21"/>
      <c r="I36" s="21"/>
      <c r="J36" s="21"/>
      <c r="K36" s="23"/>
    </row>
    <row r="37" customFormat="false" ht="15" hidden="false" customHeight="true" outlineLevel="0" collapsed="false">
      <c r="A37" s="19"/>
      <c r="B37" s="19"/>
      <c r="C37" s="19"/>
      <c r="D37" s="19"/>
      <c r="E37" s="20"/>
      <c r="F37" s="20"/>
      <c r="G37" s="20"/>
      <c r="H37" s="21"/>
      <c r="I37" s="21"/>
      <c r="J37" s="21"/>
      <c r="K37" s="23"/>
    </row>
    <row r="38" customFormat="false" ht="15" hidden="false" customHeight="true" outlineLevel="0" collapsed="false">
      <c r="A38" s="19"/>
      <c r="B38" s="19"/>
      <c r="C38" s="19"/>
      <c r="D38" s="19"/>
      <c r="E38" s="20"/>
      <c r="F38" s="20"/>
      <c r="G38" s="20"/>
      <c r="H38" s="21"/>
      <c r="I38" s="21"/>
      <c r="J38" s="21"/>
      <c r="K38" s="23"/>
    </row>
    <row r="39" customFormat="false" ht="15" hidden="false" customHeight="true" outlineLevel="0" collapsed="false">
      <c r="A39" s="19"/>
      <c r="B39" s="19"/>
      <c r="C39" s="19"/>
      <c r="D39" s="19"/>
      <c r="E39" s="20"/>
      <c r="F39" s="20"/>
      <c r="G39" s="20"/>
      <c r="H39" s="21"/>
      <c r="I39" s="21"/>
      <c r="J39" s="21"/>
      <c r="K39" s="23"/>
    </row>
    <row r="40" customFormat="false" ht="15" hidden="false" customHeight="true" outlineLevel="0" collapsed="false">
      <c r="A40" s="19"/>
      <c r="B40" s="19"/>
      <c r="C40" s="19"/>
      <c r="D40" s="19"/>
      <c r="E40" s="20"/>
      <c r="F40" s="20"/>
      <c r="G40" s="20"/>
      <c r="H40" s="21"/>
      <c r="I40" s="21"/>
      <c r="J40" s="21"/>
      <c r="K40" s="23"/>
    </row>
    <row r="41" customFormat="false" ht="15" hidden="false" customHeight="true" outlineLevel="0" collapsed="false">
      <c r="A41" s="19"/>
      <c r="B41" s="19"/>
      <c r="C41" s="19"/>
      <c r="D41" s="19"/>
      <c r="E41" s="20"/>
      <c r="F41" s="20"/>
      <c r="G41" s="20"/>
      <c r="H41" s="21"/>
      <c r="I41" s="21"/>
      <c r="J41" s="21"/>
      <c r="K41" s="23"/>
    </row>
    <row r="42" customFormat="false" ht="15" hidden="false" customHeight="true" outlineLevel="0" collapsed="false">
      <c r="A42" s="19"/>
      <c r="B42" s="19"/>
      <c r="C42" s="19"/>
      <c r="D42" s="19"/>
      <c r="E42" s="20"/>
      <c r="F42" s="20"/>
      <c r="G42" s="20"/>
      <c r="H42" s="21"/>
      <c r="I42" s="21"/>
      <c r="J42" s="21"/>
      <c r="K42" s="23"/>
    </row>
    <row r="43" customFormat="false" ht="15" hidden="false" customHeight="true" outlineLevel="0" collapsed="false">
      <c r="A43" s="19"/>
      <c r="B43" s="19"/>
      <c r="C43" s="19"/>
      <c r="D43" s="19"/>
      <c r="E43" s="20"/>
      <c r="F43" s="20"/>
      <c r="G43" s="20"/>
      <c r="H43" s="21"/>
      <c r="I43" s="21"/>
      <c r="J43" s="21"/>
      <c r="K43" s="23"/>
    </row>
    <row r="44" customFormat="false" ht="15" hidden="false" customHeight="true" outlineLevel="0" collapsed="false">
      <c r="A44" s="19"/>
      <c r="B44" s="19"/>
      <c r="C44" s="19"/>
      <c r="D44" s="19"/>
      <c r="E44" s="20"/>
      <c r="F44" s="20"/>
      <c r="G44" s="20"/>
      <c r="H44" s="21"/>
      <c r="I44" s="21"/>
      <c r="J44" s="21"/>
      <c r="K44" s="23"/>
    </row>
    <row r="45" customFormat="false" ht="15" hidden="false" customHeight="true" outlineLevel="0" collapsed="false">
      <c r="A45" s="19"/>
      <c r="B45" s="19"/>
      <c r="C45" s="19"/>
      <c r="D45" s="19"/>
      <c r="E45" s="20"/>
      <c r="F45" s="20"/>
      <c r="G45" s="20"/>
      <c r="H45" s="21"/>
      <c r="I45" s="21"/>
      <c r="J45" s="21"/>
      <c r="K45" s="23"/>
    </row>
    <row r="46" customFormat="false" ht="15" hidden="false" customHeight="true" outlineLevel="0" collapsed="false">
      <c r="A46" s="19"/>
      <c r="B46" s="19"/>
      <c r="C46" s="19"/>
      <c r="D46" s="19"/>
      <c r="E46" s="20"/>
      <c r="F46" s="20"/>
      <c r="G46" s="20"/>
      <c r="H46" s="21"/>
      <c r="I46" s="21"/>
      <c r="J46" s="21"/>
      <c r="K46" s="23"/>
    </row>
    <row r="47" customFormat="false" ht="15" hidden="false" customHeight="true" outlineLevel="0" collapsed="false">
      <c r="A47" s="19"/>
      <c r="B47" s="19"/>
      <c r="C47" s="19"/>
      <c r="D47" s="19"/>
      <c r="E47" s="20"/>
      <c r="F47" s="20"/>
      <c r="G47" s="20"/>
      <c r="H47" s="21"/>
      <c r="I47" s="21"/>
      <c r="J47" s="21"/>
      <c r="K47" s="23"/>
    </row>
    <row r="48" customFormat="false" ht="15" hidden="false" customHeight="true" outlineLevel="0" collapsed="false">
      <c r="A48" s="19"/>
      <c r="B48" s="19"/>
      <c r="C48" s="19"/>
      <c r="D48" s="19"/>
      <c r="E48" s="20"/>
      <c r="F48" s="20"/>
      <c r="G48" s="20"/>
      <c r="H48" s="21"/>
      <c r="I48" s="21"/>
      <c r="J48" s="21"/>
      <c r="K48" s="23"/>
    </row>
    <row r="49" customFormat="false" ht="15" hidden="false" customHeight="true" outlineLevel="0" collapsed="false">
      <c r="A49" s="19"/>
      <c r="B49" s="19"/>
      <c r="C49" s="19"/>
      <c r="D49" s="19"/>
      <c r="E49" s="20"/>
      <c r="F49" s="20"/>
      <c r="G49" s="20"/>
      <c r="H49" s="21"/>
      <c r="I49" s="21"/>
      <c r="J49" s="21"/>
      <c r="K49" s="23"/>
    </row>
    <row r="50" customFormat="false" ht="15" hidden="false" customHeight="true" outlineLevel="0" collapsed="false">
      <c r="A50" s="19"/>
      <c r="B50" s="19"/>
      <c r="C50" s="19"/>
      <c r="D50" s="19"/>
      <c r="E50" s="20"/>
      <c r="F50" s="20"/>
      <c r="G50" s="20"/>
      <c r="H50" s="21"/>
      <c r="I50" s="21"/>
      <c r="J50" s="21"/>
      <c r="K50" s="23"/>
    </row>
    <row r="51" customFormat="false" ht="15" hidden="false" customHeight="true" outlineLevel="0" collapsed="false">
      <c r="A51" s="19"/>
      <c r="B51" s="19"/>
      <c r="C51" s="19"/>
      <c r="D51" s="19"/>
      <c r="E51" s="20"/>
      <c r="F51" s="20"/>
      <c r="G51" s="20"/>
      <c r="H51" s="21"/>
      <c r="I51" s="21"/>
      <c r="J51" s="21"/>
      <c r="K51" s="23"/>
    </row>
    <row r="52" customFormat="false" ht="15" hidden="false" customHeight="true" outlineLevel="0" collapsed="false">
      <c r="A52" s="19"/>
      <c r="B52" s="19"/>
      <c r="C52" s="19"/>
      <c r="D52" s="19"/>
      <c r="E52" s="20"/>
      <c r="F52" s="20"/>
      <c r="G52" s="20"/>
      <c r="H52" s="21"/>
      <c r="I52" s="21"/>
      <c r="J52" s="21"/>
      <c r="K52" s="23"/>
    </row>
    <row r="53" customFormat="false" ht="15" hidden="false" customHeight="true" outlineLevel="0" collapsed="false">
      <c r="A53" s="19"/>
      <c r="B53" s="19"/>
      <c r="C53" s="19"/>
      <c r="D53" s="19"/>
      <c r="E53" s="20"/>
      <c r="F53" s="20"/>
      <c r="G53" s="20"/>
      <c r="H53" s="21"/>
      <c r="I53" s="21"/>
      <c r="J53" s="21"/>
      <c r="K53" s="23"/>
    </row>
    <row r="54" customFormat="false" ht="15" hidden="false" customHeight="true" outlineLevel="0" collapsed="false">
      <c r="A54" s="19"/>
      <c r="B54" s="19"/>
      <c r="C54" s="19"/>
      <c r="D54" s="19"/>
      <c r="E54" s="20"/>
      <c r="F54" s="20"/>
      <c r="G54" s="20"/>
      <c r="H54" s="21"/>
      <c r="I54" s="21"/>
      <c r="J54" s="21"/>
      <c r="K54" s="23"/>
    </row>
    <row r="55" customFormat="false" ht="15" hidden="false" customHeight="true" outlineLevel="0" collapsed="false">
      <c r="A55" s="19"/>
      <c r="B55" s="19"/>
      <c r="C55" s="19"/>
      <c r="D55" s="19"/>
      <c r="E55" s="20"/>
      <c r="F55" s="20"/>
      <c r="G55" s="20"/>
      <c r="H55" s="21"/>
      <c r="I55" s="21"/>
      <c r="J55" s="21"/>
      <c r="K55" s="23"/>
    </row>
    <row r="56" customFormat="false" ht="15" hidden="false" customHeight="true" outlineLevel="0" collapsed="false">
      <c r="A56" s="19"/>
      <c r="B56" s="19"/>
      <c r="C56" s="19"/>
      <c r="D56" s="19"/>
      <c r="E56" s="20"/>
      <c r="F56" s="20"/>
      <c r="G56" s="20"/>
      <c r="H56" s="21"/>
      <c r="I56" s="21"/>
      <c r="J56" s="21"/>
      <c r="K56" s="23"/>
    </row>
    <row r="57" customFormat="false" ht="15" hidden="false" customHeight="true" outlineLevel="0" collapsed="false">
      <c r="A57" s="19"/>
      <c r="B57" s="19"/>
      <c r="C57" s="19"/>
      <c r="D57" s="19"/>
      <c r="E57" s="20"/>
      <c r="F57" s="20"/>
      <c r="G57" s="20"/>
      <c r="H57" s="21"/>
      <c r="I57" s="21"/>
      <c r="J57" s="21"/>
      <c r="K57" s="23"/>
    </row>
    <row r="58" customFormat="false" ht="15" hidden="false" customHeight="true" outlineLevel="0" collapsed="false">
      <c r="A58" s="19"/>
      <c r="B58" s="19"/>
      <c r="C58" s="19"/>
      <c r="D58" s="19"/>
      <c r="E58" s="20"/>
      <c r="F58" s="20"/>
      <c r="G58" s="20"/>
      <c r="H58" s="21"/>
      <c r="I58" s="21"/>
      <c r="J58" s="21"/>
      <c r="K58" s="23"/>
    </row>
    <row r="59" customFormat="false" ht="15" hidden="false" customHeight="true" outlineLevel="0" collapsed="false">
      <c r="A59" s="19"/>
      <c r="B59" s="19"/>
      <c r="C59" s="19"/>
      <c r="D59" s="19"/>
      <c r="E59" s="20"/>
      <c r="F59" s="20"/>
      <c r="G59" s="20"/>
      <c r="H59" s="21"/>
      <c r="I59" s="21"/>
      <c r="J59" s="21"/>
      <c r="K59" s="23"/>
    </row>
    <row r="60" customFormat="false" ht="15" hidden="false" customHeight="true" outlineLevel="0" collapsed="false">
      <c r="A60" s="19"/>
      <c r="B60" s="19"/>
      <c r="C60" s="19"/>
      <c r="D60" s="19"/>
      <c r="E60" s="20"/>
      <c r="F60" s="20"/>
      <c r="G60" s="20"/>
      <c r="H60" s="21"/>
      <c r="I60" s="21"/>
      <c r="J60" s="21"/>
      <c r="K60" s="23"/>
    </row>
    <row r="61" customFormat="false" ht="15" hidden="false" customHeight="true" outlineLevel="0" collapsed="false">
      <c r="A61" s="19"/>
      <c r="B61" s="19"/>
      <c r="C61" s="19"/>
      <c r="D61" s="19"/>
      <c r="E61" s="20"/>
      <c r="F61" s="20"/>
      <c r="G61" s="20"/>
      <c r="H61" s="21"/>
      <c r="I61" s="21"/>
      <c r="J61" s="21"/>
      <c r="K61" s="23"/>
    </row>
    <row r="62" customFormat="false" ht="15" hidden="false" customHeight="true" outlineLevel="0" collapsed="false">
      <c r="A62" s="19"/>
      <c r="B62" s="19"/>
      <c r="C62" s="19"/>
      <c r="D62" s="19"/>
      <c r="E62" s="20"/>
      <c r="F62" s="20"/>
      <c r="G62" s="20"/>
      <c r="H62" s="21"/>
      <c r="I62" s="21"/>
      <c r="J62" s="21"/>
      <c r="K62" s="23"/>
    </row>
    <row r="63" customFormat="false" ht="15" hidden="false" customHeight="true" outlineLevel="0" collapsed="false">
      <c r="A63" s="19"/>
      <c r="B63" s="19"/>
      <c r="C63" s="19"/>
      <c r="D63" s="19"/>
      <c r="E63" s="20"/>
      <c r="F63" s="20"/>
      <c r="G63" s="20"/>
      <c r="H63" s="21"/>
      <c r="I63" s="21"/>
      <c r="J63" s="21"/>
      <c r="K63" s="23"/>
    </row>
    <row r="64" customFormat="false" ht="15" hidden="false" customHeight="true" outlineLevel="0" collapsed="false">
      <c r="A64" s="19"/>
      <c r="B64" s="19"/>
      <c r="C64" s="19"/>
      <c r="D64" s="19"/>
      <c r="E64" s="20"/>
      <c r="F64" s="20"/>
      <c r="G64" s="20"/>
      <c r="H64" s="21"/>
      <c r="I64" s="21"/>
      <c r="J64" s="21"/>
      <c r="K64" s="23"/>
    </row>
  </sheetData>
  <autoFilter ref="A3:K64"/>
  <dataValidations count="6">
    <dataValidation allowBlank="true" error="Isi angka bulat antara 2000 dan 2035. Periksa lagi bila memang di luar kisaran itu." errorStyle="warning" errorTitle="Angka tidak wajar" operator="between" showDropDown="false" showErrorMessage="true" showInputMessage="false" sqref="E5:E64" type="whole">
      <formula1>2000</formula1>
      <formula2>2035</formula2>
    </dataValidation>
    <dataValidation allowBlank="true" error="Isi tanggal antara 2020-01-01 dan 2035-12-31, misalnya 2026-10-08." errorStyle="warning" errorTitle="Tanggal tidak wajar" operator="between" showDropDown="false" showErrorMessage="true" showInputMessage="false" sqref="K5:K64" type="date">
      <formula1>43831</formula1>
      <formula2>49674</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B5:B64" type="list">
      <formula1>Pilihan!$AC$2:$AC$6</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C5:C64" type="list">
      <formula1>Pilihan!$Z$2:$Z$3</formula1>
      <formula2>0</formula2>
    </dataValidation>
    <dataValidation allowBlank="true" error="Isi angka bulat antara 0 dan 48. Periksa lagi bila memang di luar kisaran itu." errorStyle="warning" errorTitle="Angka tidak wajar" operator="between" showDropDown="false" showErrorMessage="true" showInputMessage="false" sqref="F5:F64" type="whole">
      <formula1>0</formula1>
      <formula2>48</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G5:G64" type="list">
      <formula1>Pilihan!$AA$2:$AA$6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I1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0"/>
    <col collapsed="false" customWidth="true" hidden="false" outlineLevel="0" max="5" min="3" style="1" width="17"/>
    <col collapsed="false" customWidth="true" hidden="false" outlineLevel="0" max="6" min="6" style="1" width="14"/>
    <col collapsed="false" customWidth="true" hidden="false" outlineLevel="0" max="7" min="7" style="1" width="50"/>
    <col collapsed="false" customWidth="true" hidden="false" outlineLevel="0" max="8" min="8" style="1" width="12"/>
    <col collapsed="false" customWidth="true" hidden="false" outlineLevel="0" max="9" min="9" style="1" width="64"/>
  </cols>
  <sheetData>
    <row r="1" customFormat="false" ht="17.25" hidden="false" customHeight="true" outlineLevel="0" collapsed="false">
      <c r="A1" s="2" t="s">
        <v>988</v>
      </c>
    </row>
    <row r="2" customFormat="false" ht="15" hidden="false" customHeight="true" outlineLevel="0" collapsed="false">
      <c r="A2" s="9" t="s">
        <v>989</v>
      </c>
    </row>
    <row r="3" customFormat="false" ht="57.75" hidden="false" customHeight="true" outlineLevel="0" collapsed="false">
      <c r="A3" s="10" t="s">
        <v>312</v>
      </c>
      <c r="B3" s="10" t="s">
        <v>990</v>
      </c>
      <c r="C3" s="24" t="s">
        <v>991</v>
      </c>
      <c r="D3" s="24" t="s">
        <v>992</v>
      </c>
      <c r="E3" s="30" t="s">
        <v>993</v>
      </c>
      <c r="F3" s="12" t="s">
        <v>994</v>
      </c>
      <c r="G3" s="12" t="s">
        <v>995</v>
      </c>
      <c r="H3" s="12" t="s">
        <v>996</v>
      </c>
      <c r="I3" s="13" t="s">
        <v>997</v>
      </c>
    </row>
    <row r="4" customFormat="false" ht="39.75" hidden="false" customHeight="true" outlineLevel="0" collapsed="false">
      <c r="A4" s="15" t="s">
        <v>366</v>
      </c>
      <c r="B4" s="15" t="s">
        <v>998</v>
      </c>
      <c r="C4" s="34" t="n">
        <v>7000000</v>
      </c>
      <c r="D4" s="34" t="n">
        <v>7500000</v>
      </c>
      <c r="E4" s="35" t="n">
        <f aca="false">IF(OR(C4="",D4=""),"",(C4+D4)/2)</f>
        <v>7250000</v>
      </c>
      <c r="F4" s="15" t="s">
        <v>999</v>
      </c>
      <c r="G4" s="17" t="s">
        <v>1000</v>
      </c>
      <c r="H4" s="18" t="n">
        <v>46303</v>
      </c>
      <c r="I4" s="17" t="s">
        <v>1001</v>
      </c>
    </row>
    <row r="5" customFormat="false" ht="15" hidden="false" customHeight="true" outlineLevel="0" collapsed="false">
      <c r="A5" s="19" t="s">
        <v>389</v>
      </c>
      <c r="B5" s="19" t="s">
        <v>998</v>
      </c>
      <c r="C5" s="36" t="n">
        <v>8839000</v>
      </c>
      <c r="D5" s="36" t="n">
        <v>8839000</v>
      </c>
      <c r="E5" s="37" t="n">
        <f aca="false">IF(OR(C5="",D5=""),"",(C5+D5)/2)</f>
        <v>8839000</v>
      </c>
      <c r="F5" s="19" t="s">
        <v>999</v>
      </c>
      <c r="G5" s="38" t="s">
        <v>1002</v>
      </c>
      <c r="H5" s="23" t="n">
        <v>46303</v>
      </c>
      <c r="I5" s="21" t="s">
        <v>1003</v>
      </c>
    </row>
    <row r="6" customFormat="false" ht="15" hidden="false" customHeight="true" outlineLevel="0" collapsed="false">
      <c r="A6" s="19" t="s">
        <v>389</v>
      </c>
      <c r="B6" s="19" t="s">
        <v>998</v>
      </c>
      <c r="C6" s="36" t="n">
        <v>8590000</v>
      </c>
      <c r="D6" s="36" t="n">
        <v>8590000</v>
      </c>
      <c r="E6" s="37" t="n">
        <f aca="false">IF(OR(C6="",D6=""),"",(C6+D6)/2)</f>
        <v>8590000</v>
      </c>
      <c r="F6" s="19" t="s">
        <v>999</v>
      </c>
      <c r="G6" s="38" t="s">
        <v>1004</v>
      </c>
      <c r="H6" s="23" t="n">
        <v>46303</v>
      </c>
      <c r="I6" s="21" t="s">
        <v>1005</v>
      </c>
    </row>
    <row r="7" customFormat="false" ht="23.25" hidden="false" customHeight="true" outlineLevel="0" collapsed="false">
      <c r="A7" s="19" t="s">
        <v>389</v>
      </c>
      <c r="B7" s="19" t="s">
        <v>998</v>
      </c>
      <c r="C7" s="36" t="n">
        <v>8039000</v>
      </c>
      <c r="D7" s="36" t="n">
        <v>8039000</v>
      </c>
      <c r="E7" s="37" t="n">
        <f aca="false">IF(OR(C7="",D7=""),"",(C7+D7)/2)</f>
        <v>8039000</v>
      </c>
      <c r="F7" s="19" t="s">
        <v>999</v>
      </c>
      <c r="G7" s="38" t="s">
        <v>1006</v>
      </c>
      <c r="H7" s="23" t="n">
        <v>46303</v>
      </c>
      <c r="I7" s="21" t="s">
        <v>1007</v>
      </c>
    </row>
    <row r="8" customFormat="false" ht="34.5" hidden="false" customHeight="true" outlineLevel="0" collapsed="false">
      <c r="A8" s="19" t="s">
        <v>389</v>
      </c>
      <c r="B8" s="19" t="s">
        <v>998</v>
      </c>
      <c r="C8" s="36" t="n">
        <v>7729000</v>
      </c>
      <c r="D8" s="36" t="n">
        <v>9394000</v>
      </c>
      <c r="E8" s="37" t="n">
        <f aca="false">IF(OR(C8="",D8=""),"",(C8+D8)/2)</f>
        <v>8561500</v>
      </c>
      <c r="F8" s="19" t="s">
        <v>999</v>
      </c>
      <c r="G8" s="38" t="s">
        <v>1008</v>
      </c>
      <c r="H8" s="23" t="n">
        <v>46303</v>
      </c>
      <c r="I8" s="21" t="s">
        <v>1009</v>
      </c>
    </row>
    <row r="9" customFormat="false" ht="15" hidden="false" customHeight="true" outlineLevel="0" collapsed="false">
      <c r="A9" s="19" t="s">
        <v>400</v>
      </c>
      <c r="B9" s="19" t="s">
        <v>998</v>
      </c>
      <c r="C9" s="36" t="n">
        <v>13499000</v>
      </c>
      <c r="D9" s="36" t="n">
        <v>13499000</v>
      </c>
      <c r="E9" s="37" t="n">
        <f aca="false">IF(OR(C9="",D9=""),"",(C9+D9)/2)</f>
        <v>13499000</v>
      </c>
      <c r="F9" s="19" t="s">
        <v>1010</v>
      </c>
      <c r="G9" s="38" t="s">
        <v>82</v>
      </c>
      <c r="H9" s="23" t="n">
        <v>46303</v>
      </c>
      <c r="I9" s="21" t="s">
        <v>1011</v>
      </c>
    </row>
    <row r="10" customFormat="false" ht="34.5" hidden="false" customHeight="true" outlineLevel="0" collapsed="false">
      <c r="A10" s="19" t="s">
        <v>400</v>
      </c>
      <c r="B10" s="19" t="s">
        <v>998</v>
      </c>
      <c r="C10" s="36" t="n">
        <v>17365000</v>
      </c>
      <c r="D10" s="36" t="n">
        <v>17365000</v>
      </c>
      <c r="E10" s="37" t="n">
        <f aca="false">IF(OR(C10="",D10=""),"",(C10+D10)/2)</f>
        <v>17365000</v>
      </c>
      <c r="F10" s="19" t="s">
        <v>999</v>
      </c>
      <c r="G10" s="38" t="s">
        <v>1012</v>
      </c>
      <c r="H10" s="23" t="n">
        <v>46303</v>
      </c>
      <c r="I10" s="21" t="s">
        <v>1013</v>
      </c>
    </row>
    <row r="11" customFormat="false" ht="15" hidden="false" customHeight="true" outlineLevel="0" collapsed="false">
      <c r="A11" s="19" t="s">
        <v>411</v>
      </c>
      <c r="B11" s="19" t="s">
        <v>998</v>
      </c>
      <c r="C11" s="36" t="n">
        <v>4799000</v>
      </c>
      <c r="D11" s="36" t="n">
        <v>4799000</v>
      </c>
      <c r="E11" s="37" t="n">
        <f aca="false">IF(OR(C11="",D11=""),"",(C11+D11)/2)</f>
        <v>4799000</v>
      </c>
      <c r="F11" s="19" t="s">
        <v>1010</v>
      </c>
      <c r="G11" s="38" t="s">
        <v>1014</v>
      </c>
      <c r="H11" s="23" t="n">
        <v>46303</v>
      </c>
      <c r="I11" s="21" t="s">
        <v>1015</v>
      </c>
    </row>
    <row r="12" customFormat="false" ht="45.75" hidden="false" customHeight="true" outlineLevel="0" collapsed="false">
      <c r="A12" s="19" t="s">
        <v>411</v>
      </c>
      <c r="B12" s="19" t="s">
        <v>998</v>
      </c>
      <c r="C12" s="36" t="n">
        <v>5459000</v>
      </c>
      <c r="D12" s="36" t="n">
        <v>5499000</v>
      </c>
      <c r="E12" s="37" t="n">
        <f aca="false">IF(OR(C12="",D12=""),"",(C12+D12)/2)</f>
        <v>5479000</v>
      </c>
      <c r="F12" s="19" t="s">
        <v>999</v>
      </c>
      <c r="G12" s="38" t="s">
        <v>1016</v>
      </c>
      <c r="H12" s="23" t="n">
        <v>46303</v>
      </c>
      <c r="I12" s="21" t="s">
        <v>1017</v>
      </c>
    </row>
    <row r="13" customFormat="false" ht="15" hidden="false" customHeight="true" outlineLevel="0" collapsed="false">
      <c r="A13" s="19" t="s">
        <v>425</v>
      </c>
      <c r="B13" s="19" t="s">
        <v>998</v>
      </c>
      <c r="C13" s="36" t="n">
        <v>3099000</v>
      </c>
      <c r="D13" s="36" t="n">
        <v>3099000</v>
      </c>
      <c r="E13" s="37" t="n">
        <f aca="false">IF(OR(C13="",D13=""),"",(C13+D13)/2)</f>
        <v>3099000</v>
      </c>
      <c r="F13" s="19" t="s">
        <v>999</v>
      </c>
      <c r="G13" s="38" t="s">
        <v>1018</v>
      </c>
      <c r="H13" s="23" t="n">
        <v>46303</v>
      </c>
      <c r="I13" s="21" t="s">
        <v>1019</v>
      </c>
    </row>
    <row r="14" customFormat="false" ht="23.25" hidden="false" customHeight="true" outlineLevel="0" collapsed="false">
      <c r="A14" s="19" t="s">
        <v>425</v>
      </c>
      <c r="B14" s="19" t="s">
        <v>998</v>
      </c>
      <c r="C14" s="36" t="n">
        <v>4849000</v>
      </c>
      <c r="D14" s="36" t="n">
        <v>4909000</v>
      </c>
      <c r="E14" s="37" t="n">
        <f aca="false">IF(OR(C14="",D14=""),"",(C14+D14)/2)</f>
        <v>4879000</v>
      </c>
      <c r="F14" s="19" t="s">
        <v>999</v>
      </c>
      <c r="G14" s="38" t="s">
        <v>1016</v>
      </c>
      <c r="H14" s="23" t="n">
        <v>46303</v>
      </c>
      <c r="I14" s="21" t="s">
        <v>1020</v>
      </c>
    </row>
    <row r="15" customFormat="false" ht="34.5" hidden="false" customHeight="true" outlineLevel="0" collapsed="false">
      <c r="A15" s="19" t="s">
        <v>430</v>
      </c>
      <c r="B15" s="19" t="s">
        <v>1021</v>
      </c>
      <c r="C15" s="36" t="n">
        <v>3150000</v>
      </c>
      <c r="D15" s="36" t="n">
        <v>4163000</v>
      </c>
      <c r="E15" s="37" t="n">
        <f aca="false">IF(OR(C15="",D15=""),"",(C15+D15)/2)</f>
        <v>3656500</v>
      </c>
      <c r="F15" s="19" t="s">
        <v>999</v>
      </c>
      <c r="G15" s="38" t="s">
        <v>1022</v>
      </c>
      <c r="H15" s="23" t="n">
        <v>46303</v>
      </c>
      <c r="I15" s="21" t="s">
        <v>1023</v>
      </c>
    </row>
    <row r="16" customFormat="false" ht="23.25" hidden="false" customHeight="true" outlineLevel="0" collapsed="false">
      <c r="A16" s="19" t="s">
        <v>430</v>
      </c>
      <c r="B16" s="19" t="s">
        <v>1021</v>
      </c>
      <c r="C16" s="36" t="n">
        <v>5597000</v>
      </c>
      <c r="D16" s="36" t="n">
        <v>5597000</v>
      </c>
      <c r="E16" s="37" t="n">
        <f aca="false">IF(OR(C16="",D16=""),"",(C16+D16)/2)</f>
        <v>5597000</v>
      </c>
      <c r="F16" s="19" t="s">
        <v>999</v>
      </c>
      <c r="G16" s="38" t="s">
        <v>1024</v>
      </c>
      <c r="H16" s="23" t="n">
        <v>46303</v>
      </c>
      <c r="I16" s="21" t="s">
        <v>1025</v>
      </c>
    </row>
    <row r="17" customFormat="false" ht="23.25" hidden="false" customHeight="true" outlineLevel="0" collapsed="false">
      <c r="A17" s="19" t="s">
        <v>438</v>
      </c>
      <c r="B17" s="19" t="s">
        <v>1021</v>
      </c>
      <c r="C17" s="36" t="n">
        <v>5850000</v>
      </c>
      <c r="D17" s="36" t="n">
        <v>5850000</v>
      </c>
      <c r="E17" s="37" t="n">
        <f aca="false">IF(OR(C17="",D17=""),"",(C17+D17)/2)</f>
        <v>5850000</v>
      </c>
      <c r="F17" s="19" t="s">
        <v>999</v>
      </c>
      <c r="G17" s="38" t="s">
        <v>1026</v>
      </c>
      <c r="H17" s="23" t="n">
        <v>46303</v>
      </c>
      <c r="I17" s="21" t="s">
        <v>1027</v>
      </c>
    </row>
    <row r="18" customFormat="false" ht="34.5" hidden="false" customHeight="true" outlineLevel="0" collapsed="false">
      <c r="A18" s="19" t="s">
        <v>440</v>
      </c>
      <c r="B18" s="19" t="s">
        <v>1021</v>
      </c>
      <c r="C18" s="36" t="n">
        <v>3000000</v>
      </c>
      <c r="D18" s="36" t="n">
        <v>3100000</v>
      </c>
      <c r="E18" s="37" t="n">
        <f aca="false">IF(OR(C18="",D18=""),"",(C18+D18)/2)</f>
        <v>3050000</v>
      </c>
      <c r="F18" s="19" t="s">
        <v>999</v>
      </c>
      <c r="G18" s="38" t="s">
        <v>1028</v>
      </c>
      <c r="H18" s="23" t="n">
        <v>46303</v>
      </c>
      <c r="I18" s="21" t="s">
        <v>1029</v>
      </c>
    </row>
    <row r="19" customFormat="false" ht="34.5" hidden="false" customHeight="true" outlineLevel="0" collapsed="false">
      <c r="A19" s="19" t="s">
        <v>445</v>
      </c>
      <c r="B19" s="19" t="s">
        <v>1021</v>
      </c>
      <c r="C19" s="36" t="n">
        <v>3500000</v>
      </c>
      <c r="D19" s="36" t="n">
        <v>4212000</v>
      </c>
      <c r="E19" s="37" t="n">
        <f aca="false">IF(OR(C19="",D19=""),"",(C19+D19)/2)</f>
        <v>3856000</v>
      </c>
      <c r="F19" s="19" t="s">
        <v>999</v>
      </c>
      <c r="G19" s="38" t="s">
        <v>1030</v>
      </c>
      <c r="H19" s="23" t="n">
        <v>46303</v>
      </c>
      <c r="I19" s="21" t="s">
        <v>1031</v>
      </c>
    </row>
    <row r="20" customFormat="false" ht="15" hidden="false" customHeight="true" outlineLevel="0" collapsed="false">
      <c r="A20" s="19" t="s">
        <v>448</v>
      </c>
      <c r="B20" s="19" t="s">
        <v>998</v>
      </c>
      <c r="C20" s="36" t="n">
        <v>17134000</v>
      </c>
      <c r="D20" s="36" t="n">
        <v>17134000</v>
      </c>
      <c r="E20" s="37" t="n">
        <f aca="false">IF(OR(C20="",D20=""),"",(C20+D20)/2)</f>
        <v>17134000</v>
      </c>
      <c r="F20" s="19" t="s">
        <v>999</v>
      </c>
      <c r="G20" s="21" t="s">
        <v>1032</v>
      </c>
      <c r="H20" s="23" t="n">
        <v>46305</v>
      </c>
      <c r="I20" s="21" t="s">
        <v>1033</v>
      </c>
    </row>
    <row r="21" customFormat="false" ht="15" hidden="false" customHeight="true" outlineLevel="0" collapsed="false">
      <c r="A21" s="19" t="s">
        <v>448</v>
      </c>
      <c r="B21" s="19" t="s">
        <v>998</v>
      </c>
      <c r="C21" s="36" t="n">
        <v>18299000</v>
      </c>
      <c r="D21" s="36" t="n">
        <v>18299000</v>
      </c>
      <c r="E21" s="37" t="n">
        <f aca="false">IF(OR(C21="",D21=""),"",(C21+D21)/2)</f>
        <v>18299000</v>
      </c>
      <c r="F21" s="19" t="s">
        <v>999</v>
      </c>
      <c r="G21" s="21" t="s">
        <v>1034</v>
      </c>
      <c r="H21" s="23" t="n">
        <v>46305</v>
      </c>
      <c r="I21" s="21" t="s">
        <v>1035</v>
      </c>
    </row>
    <row r="22" customFormat="false" ht="15" hidden="false" customHeight="true" outlineLevel="0" collapsed="false">
      <c r="A22" s="19" t="s">
        <v>459</v>
      </c>
      <c r="B22" s="19" t="s">
        <v>998</v>
      </c>
      <c r="C22" s="36" t="n">
        <v>6887000</v>
      </c>
      <c r="D22" s="36" t="n">
        <v>6887000</v>
      </c>
      <c r="E22" s="37" t="n">
        <f aca="false">IF(OR(C22="",D22=""),"",(C22+D22)/2)</f>
        <v>6887000</v>
      </c>
      <c r="F22" s="19" t="s">
        <v>999</v>
      </c>
      <c r="G22" s="21" t="s">
        <v>1036</v>
      </c>
      <c r="H22" s="23" t="n">
        <v>46305</v>
      </c>
      <c r="I22" s="21" t="s">
        <v>1037</v>
      </c>
    </row>
    <row r="23" customFormat="false" ht="15" hidden="false" customHeight="true" outlineLevel="0" collapsed="false">
      <c r="A23" s="19" t="s">
        <v>459</v>
      </c>
      <c r="B23" s="19" t="s">
        <v>998</v>
      </c>
      <c r="C23" s="36" t="n">
        <v>6275000</v>
      </c>
      <c r="D23" s="36" t="n">
        <v>6275000</v>
      </c>
      <c r="E23" s="37" t="n">
        <f aca="false">IF(OR(C23="",D23=""),"",(C23+D23)/2)</f>
        <v>6275000</v>
      </c>
      <c r="F23" s="19" t="s">
        <v>999</v>
      </c>
      <c r="G23" s="21" t="s">
        <v>1038</v>
      </c>
      <c r="H23" s="23" t="n">
        <v>46305</v>
      </c>
      <c r="I23" s="21" t="s">
        <v>1039</v>
      </c>
    </row>
    <row r="24" customFormat="false" ht="15" hidden="false" customHeight="true" outlineLevel="0" collapsed="false">
      <c r="A24" s="19" t="s">
        <v>459</v>
      </c>
      <c r="B24" s="19" t="s">
        <v>998</v>
      </c>
      <c r="C24" s="36" t="n">
        <v>7349000</v>
      </c>
      <c r="D24" s="36" t="n">
        <v>7349000</v>
      </c>
      <c r="E24" s="37" t="n">
        <f aca="false">IF(OR(C24="",D24=""),"",(C24+D24)/2)</f>
        <v>7349000</v>
      </c>
      <c r="F24" s="19" t="s">
        <v>999</v>
      </c>
      <c r="G24" s="21" t="s">
        <v>1040</v>
      </c>
      <c r="H24" s="23" t="n">
        <v>46305</v>
      </c>
      <c r="I24" s="21" t="s">
        <v>1041</v>
      </c>
    </row>
    <row r="25" customFormat="false" ht="15" hidden="false" customHeight="true" outlineLevel="0" collapsed="false">
      <c r="A25" s="19" t="s">
        <v>459</v>
      </c>
      <c r="B25" s="19" t="s">
        <v>998</v>
      </c>
      <c r="C25" s="36" t="n">
        <v>7213000</v>
      </c>
      <c r="D25" s="36" t="n">
        <v>7213000</v>
      </c>
      <c r="E25" s="37" t="n">
        <f aca="false">IF(OR(C25="",D25=""),"",(C25+D25)/2)</f>
        <v>7213000</v>
      </c>
      <c r="F25" s="19" t="s">
        <v>999</v>
      </c>
      <c r="G25" s="21" t="s">
        <v>1042</v>
      </c>
      <c r="H25" s="23" t="n">
        <v>46305</v>
      </c>
      <c r="I25" s="21" t="s">
        <v>1043</v>
      </c>
    </row>
    <row r="26" customFormat="false" ht="15" hidden="false" customHeight="true" outlineLevel="0" collapsed="false">
      <c r="A26" s="19" t="s">
        <v>459</v>
      </c>
      <c r="B26" s="19" t="s">
        <v>1021</v>
      </c>
      <c r="C26" s="36" t="n">
        <v>6200000</v>
      </c>
      <c r="D26" s="36" t="n">
        <v>6200000</v>
      </c>
      <c r="E26" s="37" t="n">
        <f aca="false">IF(OR(C26="",D26=""),"",(C26+D26)/2)</f>
        <v>6200000</v>
      </c>
      <c r="F26" s="19" t="s">
        <v>999</v>
      </c>
      <c r="G26" s="21" t="s">
        <v>1044</v>
      </c>
      <c r="H26" s="23" t="n">
        <v>46305</v>
      </c>
      <c r="I26" s="21" t="s">
        <v>1045</v>
      </c>
    </row>
    <row r="27" customFormat="false" ht="15" hidden="false" customHeight="true" outlineLevel="0" collapsed="false">
      <c r="A27" s="19" t="s">
        <v>459</v>
      </c>
      <c r="B27" s="19" t="s">
        <v>1021</v>
      </c>
      <c r="C27" s="36" t="n">
        <v>6499000</v>
      </c>
      <c r="D27" s="36" t="n">
        <v>6499000</v>
      </c>
      <c r="E27" s="37" t="n">
        <f aca="false">IF(OR(C27="",D27=""),"",(C27+D27)/2)</f>
        <v>6499000</v>
      </c>
      <c r="F27" s="19" t="s">
        <v>999</v>
      </c>
      <c r="G27" s="21" t="s">
        <v>1046</v>
      </c>
      <c r="H27" s="23" t="n">
        <v>46305</v>
      </c>
      <c r="I27" s="21" t="s">
        <v>1047</v>
      </c>
    </row>
    <row r="28" customFormat="false" ht="15" hidden="false" customHeight="true" outlineLevel="0" collapsed="false">
      <c r="A28" s="19" t="s">
        <v>467</v>
      </c>
      <c r="B28" s="19" t="s">
        <v>998</v>
      </c>
      <c r="C28" s="36" t="n">
        <v>6303000</v>
      </c>
      <c r="D28" s="36" t="n">
        <v>6303000</v>
      </c>
      <c r="E28" s="37" t="n">
        <f aca="false">IF(OR(C28="",D28=""),"",(C28+D28)/2)</f>
        <v>6303000</v>
      </c>
      <c r="F28" s="19" t="s">
        <v>999</v>
      </c>
      <c r="G28" s="21" t="s">
        <v>1048</v>
      </c>
      <c r="H28" s="23" t="n">
        <v>46305</v>
      </c>
      <c r="I28" s="21" t="s">
        <v>1049</v>
      </c>
    </row>
    <row r="29" customFormat="false" ht="15" hidden="false" customHeight="true" outlineLevel="0" collapsed="false">
      <c r="A29" s="19" t="s">
        <v>467</v>
      </c>
      <c r="B29" s="19" t="s">
        <v>998</v>
      </c>
      <c r="C29" s="36" t="n">
        <v>6999000</v>
      </c>
      <c r="D29" s="36" t="n">
        <v>6999000</v>
      </c>
      <c r="E29" s="37" t="n">
        <f aca="false">IF(OR(C29="",D29=""),"",(C29+D29)/2)</f>
        <v>6999000</v>
      </c>
      <c r="F29" s="19" t="s">
        <v>999</v>
      </c>
      <c r="G29" s="21" t="s">
        <v>1050</v>
      </c>
      <c r="H29" s="23" t="n">
        <v>46305</v>
      </c>
      <c r="I29" s="21" t="s">
        <v>1051</v>
      </c>
    </row>
    <row r="30" customFormat="false" ht="15" hidden="false" customHeight="true" outlineLevel="0" collapsed="false">
      <c r="A30" s="19" t="s">
        <v>467</v>
      </c>
      <c r="B30" s="19" t="s">
        <v>998</v>
      </c>
      <c r="C30" s="36" t="n">
        <v>6699000</v>
      </c>
      <c r="D30" s="36" t="n">
        <v>8649000</v>
      </c>
      <c r="E30" s="37" t="n">
        <f aca="false">IF(OR(C30="",D30=""),"",(C30+D30)/2)</f>
        <v>7674000</v>
      </c>
      <c r="F30" s="19" t="s">
        <v>1010</v>
      </c>
      <c r="G30" s="21" t="s">
        <v>1052</v>
      </c>
      <c r="H30" s="23" t="n">
        <v>46305</v>
      </c>
      <c r="I30" s="21" t="s">
        <v>1053</v>
      </c>
    </row>
    <row r="31" customFormat="false" ht="15" hidden="false" customHeight="true" outlineLevel="0" collapsed="false">
      <c r="A31" s="19" t="s">
        <v>472</v>
      </c>
      <c r="B31" s="19" t="s">
        <v>998</v>
      </c>
      <c r="C31" s="36" t="n">
        <v>8412000</v>
      </c>
      <c r="D31" s="36" t="n">
        <v>8412000</v>
      </c>
      <c r="E31" s="37" t="n">
        <f aca="false">IF(OR(C31="",D31=""),"",(C31+D31)/2)</f>
        <v>8412000</v>
      </c>
      <c r="F31" s="19" t="s">
        <v>999</v>
      </c>
      <c r="G31" s="21" t="s">
        <v>1054</v>
      </c>
      <c r="H31" s="23" t="n">
        <v>46305</v>
      </c>
      <c r="I31" s="21" t="s">
        <v>1055</v>
      </c>
    </row>
    <row r="32" customFormat="false" ht="15" hidden="false" customHeight="true" outlineLevel="0" collapsed="false">
      <c r="A32" s="19" t="s">
        <v>472</v>
      </c>
      <c r="B32" s="19" t="s">
        <v>998</v>
      </c>
      <c r="C32" s="36" t="n">
        <v>8999000</v>
      </c>
      <c r="D32" s="36" t="n">
        <v>8999000</v>
      </c>
      <c r="E32" s="37" t="n">
        <f aca="false">IF(OR(C32="",D32=""),"",(C32+D32)/2)</f>
        <v>8999000</v>
      </c>
      <c r="F32" s="19" t="s">
        <v>999</v>
      </c>
      <c r="G32" s="21" t="s">
        <v>1056</v>
      </c>
      <c r="H32" s="23" t="n">
        <v>46305</v>
      </c>
      <c r="I32" s="21" t="s">
        <v>1057</v>
      </c>
    </row>
    <row r="33" customFormat="false" ht="15" hidden="false" customHeight="true" outlineLevel="0" collapsed="false">
      <c r="A33" s="19" t="s">
        <v>472</v>
      </c>
      <c r="B33" s="19" t="s">
        <v>998</v>
      </c>
      <c r="C33" s="36" t="n">
        <v>9500000</v>
      </c>
      <c r="D33" s="36" t="n">
        <v>9500000</v>
      </c>
      <c r="E33" s="37" t="n">
        <f aca="false">IF(OR(C33="",D33=""),"",(C33+D33)/2)</f>
        <v>9500000</v>
      </c>
      <c r="F33" s="19" t="s">
        <v>999</v>
      </c>
      <c r="G33" s="21" t="s">
        <v>1058</v>
      </c>
      <c r="H33" s="23" t="n">
        <v>46305</v>
      </c>
      <c r="I33" s="21" t="s">
        <v>1059</v>
      </c>
    </row>
    <row r="34" customFormat="false" ht="15" hidden="false" customHeight="true" outlineLevel="0" collapsed="false">
      <c r="A34" s="19" t="s">
        <v>472</v>
      </c>
      <c r="B34" s="19" t="s">
        <v>998</v>
      </c>
      <c r="C34" s="36" t="n">
        <v>9000000</v>
      </c>
      <c r="D34" s="36" t="n">
        <v>9000000</v>
      </c>
      <c r="E34" s="37" t="n">
        <f aca="false">IF(OR(C34="",D34=""),"",(C34+D34)/2)</f>
        <v>9000000</v>
      </c>
      <c r="F34" s="19" t="s">
        <v>999</v>
      </c>
      <c r="G34" s="21" t="s">
        <v>1060</v>
      </c>
      <c r="H34" s="23" t="n">
        <v>46305</v>
      </c>
      <c r="I34" s="21" t="s">
        <v>1061</v>
      </c>
    </row>
    <row r="35" customFormat="false" ht="15" hidden="false" customHeight="true" outlineLevel="0" collapsed="false">
      <c r="A35" s="19" t="s">
        <v>479</v>
      </c>
      <c r="B35" s="19" t="s">
        <v>998</v>
      </c>
      <c r="C35" s="36" t="n">
        <v>8050000</v>
      </c>
      <c r="D35" s="36" t="n">
        <v>8050000</v>
      </c>
      <c r="E35" s="37" t="n">
        <f aca="false">IF(OR(C35="",D35=""),"",(C35+D35)/2)</f>
        <v>8050000</v>
      </c>
      <c r="F35" s="19" t="s">
        <v>999</v>
      </c>
      <c r="G35" s="21" t="s">
        <v>1062</v>
      </c>
      <c r="H35" s="23" t="n">
        <v>46305</v>
      </c>
      <c r="I35" s="21" t="s">
        <v>1063</v>
      </c>
    </row>
    <row r="36" customFormat="false" ht="15" hidden="false" customHeight="true" outlineLevel="0" collapsed="false">
      <c r="A36" s="19" t="s">
        <v>479</v>
      </c>
      <c r="B36" s="19" t="s">
        <v>998</v>
      </c>
      <c r="C36" s="36" t="n">
        <v>8300000</v>
      </c>
      <c r="D36" s="36" t="n">
        <v>8300000</v>
      </c>
      <c r="E36" s="37" t="n">
        <f aca="false">IF(OR(C36="",D36=""),"",(C36+D36)/2)</f>
        <v>8300000</v>
      </c>
      <c r="F36" s="19" t="s">
        <v>999</v>
      </c>
      <c r="G36" s="21" t="s">
        <v>1064</v>
      </c>
      <c r="H36" s="23" t="n">
        <v>46305</v>
      </c>
      <c r="I36" s="21" t="s">
        <v>1065</v>
      </c>
    </row>
    <row r="37" customFormat="false" ht="15" hidden="false" customHeight="true" outlineLevel="0" collapsed="false">
      <c r="A37" s="19" t="s">
        <v>479</v>
      </c>
      <c r="B37" s="19" t="s">
        <v>1021</v>
      </c>
      <c r="C37" s="36" t="n">
        <v>8249000</v>
      </c>
      <c r="D37" s="36" t="n">
        <v>8249000</v>
      </c>
      <c r="E37" s="37" t="n">
        <f aca="false">IF(OR(C37="",D37=""),"",(C37+D37)/2)</f>
        <v>8249000</v>
      </c>
      <c r="F37" s="19" t="s">
        <v>999</v>
      </c>
      <c r="G37" s="21" t="s">
        <v>1066</v>
      </c>
      <c r="H37" s="23" t="n">
        <v>46305</v>
      </c>
      <c r="I37" s="21" t="s">
        <v>1067</v>
      </c>
    </row>
    <row r="38" customFormat="false" ht="15" hidden="false" customHeight="true" outlineLevel="0" collapsed="false">
      <c r="A38" s="19" t="s">
        <v>482</v>
      </c>
      <c r="B38" s="19" t="s">
        <v>998</v>
      </c>
      <c r="C38" s="36" t="n">
        <v>6249000</v>
      </c>
      <c r="D38" s="36" t="n">
        <v>6249000</v>
      </c>
      <c r="E38" s="37" t="n">
        <f aca="false">IF(OR(C38="",D38=""),"",(C38+D38)/2)</f>
        <v>6249000</v>
      </c>
      <c r="F38" s="19" t="s">
        <v>1010</v>
      </c>
      <c r="G38" s="21" t="s">
        <v>131</v>
      </c>
      <c r="H38" s="23" t="n">
        <v>46305</v>
      </c>
      <c r="I38" s="21" t="s">
        <v>1068</v>
      </c>
    </row>
    <row r="39" customFormat="false" ht="15" hidden="false" customHeight="true" outlineLevel="0" collapsed="false">
      <c r="A39" s="19" t="s">
        <v>482</v>
      </c>
      <c r="B39" s="19" t="s">
        <v>998</v>
      </c>
      <c r="C39" s="36" t="n">
        <v>8769000</v>
      </c>
      <c r="D39" s="36" t="n">
        <v>8769000</v>
      </c>
      <c r="E39" s="37" t="n">
        <f aca="false">IF(OR(C39="",D39=""),"",(C39+D39)/2)</f>
        <v>8769000</v>
      </c>
      <c r="F39" s="19" t="s">
        <v>1010</v>
      </c>
      <c r="G39" s="21" t="s">
        <v>1069</v>
      </c>
      <c r="H39" s="23" t="n">
        <v>46305</v>
      </c>
      <c r="I39" s="21" t="s">
        <v>1070</v>
      </c>
    </row>
    <row r="40" customFormat="false" ht="15" hidden="false" customHeight="true" outlineLevel="0" collapsed="false">
      <c r="A40" s="19" t="s">
        <v>482</v>
      </c>
      <c r="B40" s="19" t="s">
        <v>998</v>
      </c>
      <c r="C40" s="36" t="n">
        <v>8775899</v>
      </c>
      <c r="D40" s="36" t="n">
        <v>8775899</v>
      </c>
      <c r="E40" s="37" t="n">
        <f aca="false">IF(OR(C40="",D40=""),"",(C40+D40)/2)</f>
        <v>8775899</v>
      </c>
      <c r="F40" s="19" t="s">
        <v>999</v>
      </c>
      <c r="G40" s="21" t="s">
        <v>1071</v>
      </c>
      <c r="H40" s="23" t="n">
        <v>46305</v>
      </c>
      <c r="I40" s="21" t="s">
        <v>1072</v>
      </c>
    </row>
    <row r="41" customFormat="false" ht="15" hidden="false" customHeight="true" outlineLevel="0" collapsed="false">
      <c r="A41" s="19" t="s">
        <v>488</v>
      </c>
      <c r="B41" s="19" t="s">
        <v>998</v>
      </c>
      <c r="C41" s="36" t="n">
        <v>13919000</v>
      </c>
      <c r="D41" s="36" t="n">
        <v>13919000</v>
      </c>
      <c r="E41" s="37" t="n">
        <f aca="false">IF(OR(C41="",D41=""),"",(C41+D41)/2)</f>
        <v>13919000</v>
      </c>
      <c r="F41" s="19" t="s">
        <v>1010</v>
      </c>
      <c r="G41" s="21" t="s">
        <v>1073</v>
      </c>
      <c r="H41" s="23" t="n">
        <v>46305</v>
      </c>
      <c r="I41" s="21" t="s">
        <v>1074</v>
      </c>
    </row>
    <row r="42" customFormat="false" ht="15" hidden="false" customHeight="true" outlineLevel="0" collapsed="false">
      <c r="A42" s="19" t="s">
        <v>488</v>
      </c>
      <c r="B42" s="19" t="s">
        <v>998</v>
      </c>
      <c r="C42" s="36" t="n">
        <v>13777820</v>
      </c>
      <c r="D42" s="36" t="n">
        <v>13777820</v>
      </c>
      <c r="E42" s="37" t="n">
        <f aca="false">IF(OR(C42="",D42=""),"",(C42+D42)/2)</f>
        <v>13777820</v>
      </c>
      <c r="F42" s="19" t="s">
        <v>999</v>
      </c>
      <c r="G42" s="21" t="s">
        <v>1075</v>
      </c>
      <c r="H42" s="23" t="n">
        <v>46305</v>
      </c>
      <c r="I42" s="21" t="s">
        <v>1076</v>
      </c>
    </row>
    <row r="43" customFormat="false" ht="15" hidden="false" customHeight="true" outlineLevel="0" collapsed="false">
      <c r="A43" s="19" t="s">
        <v>488</v>
      </c>
      <c r="B43" s="19" t="s">
        <v>998</v>
      </c>
      <c r="C43" s="36" t="n">
        <v>14059000</v>
      </c>
      <c r="D43" s="36" t="n">
        <v>14059000</v>
      </c>
      <c r="E43" s="37" t="n">
        <f aca="false">IF(OR(C43="",D43=""),"",(C43+D43)/2)</f>
        <v>14059000</v>
      </c>
      <c r="F43" s="19" t="s">
        <v>999</v>
      </c>
      <c r="G43" s="21" t="s">
        <v>1077</v>
      </c>
      <c r="H43" s="23" t="n">
        <v>46305</v>
      </c>
      <c r="I43" s="21" t="s">
        <v>1078</v>
      </c>
    </row>
    <row r="44" customFormat="false" ht="15" hidden="false" customHeight="true" outlineLevel="0" collapsed="false">
      <c r="A44" s="19" t="s">
        <v>495</v>
      </c>
      <c r="B44" s="19" t="s">
        <v>998</v>
      </c>
      <c r="C44" s="36" t="n">
        <v>14300000</v>
      </c>
      <c r="D44" s="36" t="n">
        <v>14300000</v>
      </c>
      <c r="E44" s="37" t="n">
        <f aca="false">IF(OR(C44="",D44=""),"",(C44+D44)/2)</f>
        <v>14300000</v>
      </c>
      <c r="F44" s="19" t="s">
        <v>999</v>
      </c>
      <c r="G44" s="21" t="s">
        <v>1079</v>
      </c>
      <c r="H44" s="23" t="n">
        <v>46305</v>
      </c>
      <c r="I44" s="21" t="s">
        <v>1080</v>
      </c>
    </row>
    <row r="45" customFormat="false" ht="15" hidden="false" customHeight="true" outlineLevel="0" collapsed="false">
      <c r="A45" s="19" t="s">
        <v>499</v>
      </c>
      <c r="B45" s="19" t="s">
        <v>998</v>
      </c>
      <c r="C45" s="36" t="n">
        <v>11499000</v>
      </c>
      <c r="D45" s="36" t="n">
        <v>11499000</v>
      </c>
      <c r="E45" s="37" t="n">
        <f aca="false">IF(OR(C45="",D45=""),"",(C45+D45)/2)</f>
        <v>11499000</v>
      </c>
      <c r="F45" s="19" t="s">
        <v>1010</v>
      </c>
      <c r="G45" s="21" t="s">
        <v>142</v>
      </c>
      <c r="H45" s="23" t="n">
        <v>46305</v>
      </c>
      <c r="I45" s="21" t="s">
        <v>1081</v>
      </c>
    </row>
    <row r="46" customFormat="false" ht="15" hidden="false" customHeight="true" outlineLevel="0" collapsed="false">
      <c r="A46" s="19" t="s">
        <v>499</v>
      </c>
      <c r="B46" s="19" t="s">
        <v>998</v>
      </c>
      <c r="C46" s="36" t="n">
        <v>10249000</v>
      </c>
      <c r="D46" s="36" t="n">
        <v>10249000</v>
      </c>
      <c r="E46" s="37" t="n">
        <f aca="false">IF(OR(C46="",D46=""),"",(C46+D46)/2)</f>
        <v>10249000</v>
      </c>
      <c r="F46" s="19" t="s">
        <v>999</v>
      </c>
      <c r="G46" s="21" t="s">
        <v>1082</v>
      </c>
      <c r="H46" s="23" t="n">
        <v>46305</v>
      </c>
      <c r="I46" s="21" t="s">
        <v>1083</v>
      </c>
    </row>
    <row r="47" customFormat="false" ht="15" hidden="false" customHeight="true" outlineLevel="0" collapsed="false">
      <c r="A47" s="19" t="s">
        <v>499</v>
      </c>
      <c r="B47" s="19" t="s">
        <v>998</v>
      </c>
      <c r="C47" s="36" t="n">
        <v>10999000</v>
      </c>
      <c r="D47" s="36" t="n">
        <v>10999000</v>
      </c>
      <c r="E47" s="37" t="n">
        <f aca="false">IF(OR(C47="",D47=""),"",(C47+D47)/2)</f>
        <v>10999000</v>
      </c>
      <c r="F47" s="19" t="s">
        <v>999</v>
      </c>
      <c r="G47" s="21" t="s">
        <v>1084</v>
      </c>
      <c r="H47" s="23" t="n">
        <v>46305</v>
      </c>
      <c r="I47" s="21" t="s">
        <v>1085</v>
      </c>
    </row>
    <row r="48" customFormat="false" ht="15" hidden="false" customHeight="true" outlineLevel="0" collapsed="false">
      <c r="A48" s="19" t="s">
        <v>504</v>
      </c>
      <c r="B48" s="19" t="s">
        <v>998</v>
      </c>
      <c r="C48" s="36" t="n">
        <v>12000000</v>
      </c>
      <c r="D48" s="36" t="n">
        <v>12000000</v>
      </c>
      <c r="E48" s="37" t="n">
        <f aca="false">IF(OR(C48="",D48=""),"",(C48+D48)/2)</f>
        <v>12000000</v>
      </c>
      <c r="F48" s="19" t="s">
        <v>1010</v>
      </c>
      <c r="G48" s="21" t="s">
        <v>1086</v>
      </c>
      <c r="H48" s="23" t="n">
        <v>46305</v>
      </c>
      <c r="I48" s="21" t="s">
        <v>1087</v>
      </c>
    </row>
    <row r="49" customFormat="false" ht="15" hidden="false" customHeight="true" outlineLevel="0" collapsed="false">
      <c r="A49" s="19" t="s">
        <v>504</v>
      </c>
      <c r="B49" s="19" t="s">
        <v>998</v>
      </c>
      <c r="C49" s="36" t="n">
        <v>10950000</v>
      </c>
      <c r="D49" s="36" t="n">
        <v>10950000</v>
      </c>
      <c r="E49" s="37" t="n">
        <f aca="false">IF(OR(C49="",D49=""),"",(C49+D49)/2)</f>
        <v>10950000</v>
      </c>
      <c r="F49" s="19" t="s">
        <v>999</v>
      </c>
      <c r="G49" s="21" t="s">
        <v>1088</v>
      </c>
      <c r="H49" s="23" t="n">
        <v>46305</v>
      </c>
      <c r="I49" s="21" t="s">
        <v>1089</v>
      </c>
    </row>
    <row r="50" customFormat="false" ht="15" hidden="false" customHeight="true" outlineLevel="0" collapsed="false">
      <c r="A50" s="19" t="s">
        <v>508</v>
      </c>
      <c r="B50" s="19" t="s">
        <v>998</v>
      </c>
      <c r="C50" s="36" t="n">
        <v>18349000</v>
      </c>
      <c r="D50" s="36" t="n">
        <v>18349000</v>
      </c>
      <c r="E50" s="37" t="n">
        <f aca="false">IF(OR(C50="",D50=""),"",(C50+D50)/2)</f>
        <v>18349000</v>
      </c>
      <c r="F50" s="19" t="s">
        <v>1010</v>
      </c>
      <c r="G50" s="21" t="s">
        <v>1090</v>
      </c>
      <c r="H50" s="23" t="n">
        <v>46305</v>
      </c>
      <c r="I50" s="21" t="s">
        <v>1091</v>
      </c>
    </row>
    <row r="51" customFormat="false" ht="15" hidden="false" customHeight="true" outlineLevel="0" collapsed="false">
      <c r="A51" s="19" t="s">
        <v>508</v>
      </c>
      <c r="B51" s="19" t="s">
        <v>998</v>
      </c>
      <c r="C51" s="36" t="n">
        <v>16549000</v>
      </c>
      <c r="D51" s="36" t="n">
        <v>16549000</v>
      </c>
      <c r="E51" s="37" t="n">
        <f aca="false">IF(OR(C51="",D51=""),"",(C51+D51)/2)</f>
        <v>16549000</v>
      </c>
      <c r="F51" s="19" t="s">
        <v>999</v>
      </c>
      <c r="G51" s="21" t="s">
        <v>1092</v>
      </c>
      <c r="H51" s="23" t="n">
        <v>46305</v>
      </c>
      <c r="I51" s="21" t="s">
        <v>1093</v>
      </c>
    </row>
    <row r="52" customFormat="false" ht="15" hidden="false" customHeight="true" outlineLevel="0" collapsed="false">
      <c r="A52" s="19" t="s">
        <v>508</v>
      </c>
      <c r="B52" s="19" t="s">
        <v>998</v>
      </c>
      <c r="C52" s="36" t="n">
        <v>16469000</v>
      </c>
      <c r="D52" s="36" t="n">
        <v>16469000</v>
      </c>
      <c r="E52" s="37" t="n">
        <f aca="false">IF(OR(C52="",D52=""),"",(C52+D52)/2)</f>
        <v>16469000</v>
      </c>
      <c r="F52" s="19" t="s">
        <v>999</v>
      </c>
      <c r="G52" s="21" t="s">
        <v>1094</v>
      </c>
      <c r="H52" s="23" t="n">
        <v>46305</v>
      </c>
      <c r="I52" s="21" t="s">
        <v>1095</v>
      </c>
    </row>
    <row r="53" customFormat="false" ht="15" hidden="false" customHeight="true" outlineLevel="0" collapsed="false">
      <c r="A53" s="19" t="s">
        <v>515</v>
      </c>
      <c r="B53" s="19" t="s">
        <v>998</v>
      </c>
      <c r="C53" s="36" t="n">
        <v>30647000</v>
      </c>
      <c r="D53" s="36" t="n">
        <v>30647000</v>
      </c>
      <c r="E53" s="37" t="n">
        <f aca="false">IF(OR(C53="",D53=""),"",(C53+D53)/2)</f>
        <v>30647000</v>
      </c>
      <c r="F53" s="19" t="s">
        <v>1010</v>
      </c>
      <c r="G53" s="21" t="s">
        <v>1096</v>
      </c>
      <c r="H53" s="23" t="n">
        <v>46305</v>
      </c>
      <c r="I53" s="21" t="s">
        <v>1097</v>
      </c>
    </row>
    <row r="54" customFormat="false" ht="15" hidden="false" customHeight="true" outlineLevel="0" collapsed="false">
      <c r="A54" s="19" t="s">
        <v>515</v>
      </c>
      <c r="B54" s="19" t="s">
        <v>998</v>
      </c>
      <c r="C54" s="36" t="n">
        <v>30647000</v>
      </c>
      <c r="D54" s="36" t="n">
        <v>30647000</v>
      </c>
      <c r="E54" s="37" t="n">
        <f aca="false">IF(OR(C54="",D54=""),"",(C54+D54)/2)</f>
        <v>30647000</v>
      </c>
      <c r="F54" s="19" t="s">
        <v>999</v>
      </c>
      <c r="G54" s="21" t="s">
        <v>1098</v>
      </c>
      <c r="H54" s="23" t="n">
        <v>46305</v>
      </c>
      <c r="I54" s="21" t="s">
        <v>1099</v>
      </c>
    </row>
    <row r="55" customFormat="false" ht="15" hidden="false" customHeight="true" outlineLevel="0" collapsed="false">
      <c r="A55" s="19" t="s">
        <v>515</v>
      </c>
      <c r="B55" s="19" t="s">
        <v>998</v>
      </c>
      <c r="C55" s="36" t="n">
        <v>29999000</v>
      </c>
      <c r="D55" s="36" t="n">
        <v>29999000</v>
      </c>
      <c r="E55" s="37" t="n">
        <f aca="false">IF(OR(C55="",D55=""),"",(C55+D55)/2)</f>
        <v>29999000</v>
      </c>
      <c r="F55" s="19" t="s">
        <v>999</v>
      </c>
      <c r="G55" s="21" t="s">
        <v>1100</v>
      </c>
      <c r="H55" s="23" t="n">
        <v>46305</v>
      </c>
      <c r="I55" s="21" t="s">
        <v>1101</v>
      </c>
    </row>
    <row r="56" customFormat="false" ht="15" hidden="false" customHeight="true" outlineLevel="0" collapsed="false">
      <c r="A56" s="19" t="s">
        <v>515</v>
      </c>
      <c r="B56" s="19" t="s">
        <v>998</v>
      </c>
      <c r="C56" s="36" t="n">
        <v>30645000</v>
      </c>
      <c r="D56" s="36" t="n">
        <v>30645000</v>
      </c>
      <c r="E56" s="37" t="n">
        <f aca="false">IF(OR(C56="",D56=""),"",(C56+D56)/2)</f>
        <v>30645000</v>
      </c>
      <c r="F56" s="19" t="s">
        <v>999</v>
      </c>
      <c r="G56" s="21" t="s">
        <v>1102</v>
      </c>
      <c r="H56" s="23" t="n">
        <v>46305</v>
      </c>
      <c r="I56" s="21" t="s">
        <v>1103</v>
      </c>
    </row>
    <row r="57" customFormat="false" ht="15" hidden="false" customHeight="true" outlineLevel="0" collapsed="false">
      <c r="A57" s="19" t="s">
        <v>521</v>
      </c>
      <c r="B57" s="19" t="s">
        <v>998</v>
      </c>
      <c r="C57" s="36" t="n">
        <v>17899000</v>
      </c>
      <c r="D57" s="36" t="n">
        <v>17899000</v>
      </c>
      <c r="E57" s="37" t="n">
        <f aca="false">IF(OR(C57="",D57=""),"",(C57+D57)/2)</f>
        <v>17899000</v>
      </c>
      <c r="F57" s="19" t="s">
        <v>999</v>
      </c>
      <c r="G57" s="21" t="s">
        <v>1104</v>
      </c>
      <c r="H57" s="23" t="n">
        <v>46305</v>
      </c>
      <c r="I57" s="21" t="s">
        <v>1105</v>
      </c>
    </row>
    <row r="58" customFormat="false" ht="15" hidden="false" customHeight="true" outlineLevel="0" collapsed="false">
      <c r="A58" s="19" t="s">
        <v>521</v>
      </c>
      <c r="B58" s="19" t="s">
        <v>998</v>
      </c>
      <c r="C58" s="36" t="n">
        <v>17899000</v>
      </c>
      <c r="D58" s="36" t="n">
        <v>17899000</v>
      </c>
      <c r="E58" s="37" t="n">
        <f aca="false">IF(OR(C58="",D58=""),"",(C58+D58)/2)</f>
        <v>17899000</v>
      </c>
      <c r="F58" s="19" t="s">
        <v>999</v>
      </c>
      <c r="G58" s="21" t="s">
        <v>1106</v>
      </c>
      <c r="H58" s="23" t="n">
        <v>46305</v>
      </c>
      <c r="I58" s="21" t="s">
        <v>1107</v>
      </c>
    </row>
    <row r="59" customFormat="false" ht="15" hidden="false" customHeight="true" outlineLevel="0" collapsed="false">
      <c r="A59" s="19" t="s">
        <v>521</v>
      </c>
      <c r="B59" s="19" t="s">
        <v>998</v>
      </c>
      <c r="C59" s="36" t="n">
        <v>19689000</v>
      </c>
      <c r="D59" s="36" t="n">
        <v>19689000</v>
      </c>
      <c r="E59" s="37" t="n">
        <f aca="false">IF(OR(C59="",D59=""),"",(C59+D59)/2)</f>
        <v>19689000</v>
      </c>
      <c r="F59" s="19" t="s">
        <v>999</v>
      </c>
      <c r="G59" s="21" t="s">
        <v>1108</v>
      </c>
      <c r="H59" s="23" t="n">
        <v>46305</v>
      </c>
      <c r="I59" s="21" t="s">
        <v>1109</v>
      </c>
    </row>
    <row r="60" customFormat="false" ht="15" hidden="false" customHeight="true" outlineLevel="0" collapsed="false">
      <c r="A60" s="19" t="s">
        <v>521</v>
      </c>
      <c r="B60" s="19" t="s">
        <v>998</v>
      </c>
      <c r="C60" s="36" t="n">
        <v>16599000</v>
      </c>
      <c r="D60" s="36" t="n">
        <v>16599000</v>
      </c>
      <c r="E60" s="37" t="n">
        <f aca="false">IF(OR(C60="",D60=""),"",(C60+D60)/2)</f>
        <v>16599000</v>
      </c>
      <c r="F60" s="19" t="s">
        <v>999</v>
      </c>
      <c r="G60" s="21" t="s">
        <v>1110</v>
      </c>
      <c r="H60" s="23" t="n">
        <v>46305</v>
      </c>
      <c r="I60" s="21" t="s">
        <v>1111</v>
      </c>
    </row>
    <row r="61" customFormat="false" ht="15" hidden="false" customHeight="true" outlineLevel="0" collapsed="false">
      <c r="A61" s="19" t="s">
        <v>527</v>
      </c>
      <c r="B61" s="19" t="s">
        <v>998</v>
      </c>
      <c r="C61" s="36" t="n">
        <v>24949000</v>
      </c>
      <c r="D61" s="36" t="n">
        <v>24949000</v>
      </c>
      <c r="E61" s="37" t="n">
        <f aca="false">IF(OR(C61="",D61=""),"",(C61+D61)/2)</f>
        <v>24949000</v>
      </c>
      <c r="F61" s="19" t="s">
        <v>1010</v>
      </c>
      <c r="G61" s="21" t="s">
        <v>1112</v>
      </c>
      <c r="H61" s="23" t="n">
        <v>46305</v>
      </c>
      <c r="I61" s="21" t="s">
        <v>1113</v>
      </c>
    </row>
    <row r="62" customFormat="false" ht="15" hidden="false" customHeight="true" outlineLevel="0" collapsed="false">
      <c r="A62" s="19" t="s">
        <v>527</v>
      </c>
      <c r="B62" s="19" t="s">
        <v>998</v>
      </c>
      <c r="C62" s="36" t="n">
        <v>24365000</v>
      </c>
      <c r="D62" s="36" t="n">
        <v>24365000</v>
      </c>
      <c r="E62" s="37" t="n">
        <f aca="false">IF(OR(C62="",D62=""),"",(C62+D62)/2)</f>
        <v>24365000</v>
      </c>
      <c r="F62" s="19" t="s">
        <v>999</v>
      </c>
      <c r="G62" s="21" t="s">
        <v>1114</v>
      </c>
      <c r="H62" s="23" t="n">
        <v>46305</v>
      </c>
      <c r="I62" s="21" t="s">
        <v>1115</v>
      </c>
    </row>
    <row r="63" customFormat="false" ht="15" hidden="false" customHeight="true" outlineLevel="0" collapsed="false">
      <c r="A63" s="19" t="s">
        <v>527</v>
      </c>
      <c r="B63" s="19" t="s">
        <v>998</v>
      </c>
      <c r="C63" s="36" t="n">
        <v>24361500</v>
      </c>
      <c r="D63" s="36" t="n">
        <v>24361500</v>
      </c>
      <c r="E63" s="37" t="n">
        <f aca="false">IF(OR(C63="",D63=""),"",(C63+D63)/2)</f>
        <v>24361500</v>
      </c>
      <c r="F63" s="19" t="s">
        <v>999</v>
      </c>
      <c r="G63" s="21" t="s">
        <v>1116</v>
      </c>
      <c r="H63" s="23" t="n">
        <v>46305</v>
      </c>
      <c r="I63" s="21" t="s">
        <v>1117</v>
      </c>
    </row>
    <row r="64" customFormat="false" ht="15" hidden="false" customHeight="true" outlineLevel="0" collapsed="false">
      <c r="A64" s="19" t="s">
        <v>527</v>
      </c>
      <c r="B64" s="19" t="s">
        <v>998</v>
      </c>
      <c r="C64" s="36" t="n">
        <v>25126790</v>
      </c>
      <c r="D64" s="36" t="n">
        <v>25126790</v>
      </c>
      <c r="E64" s="37" t="n">
        <f aca="false">IF(OR(C64="",D64=""),"",(C64+D64)/2)</f>
        <v>25126790</v>
      </c>
      <c r="F64" s="19" t="s">
        <v>999</v>
      </c>
      <c r="G64" s="21" t="s">
        <v>1118</v>
      </c>
      <c r="H64" s="23" t="n">
        <v>46305</v>
      </c>
      <c r="I64" s="21" t="s">
        <v>1119</v>
      </c>
    </row>
    <row r="65" customFormat="false" ht="15" hidden="false" customHeight="true" outlineLevel="0" collapsed="false">
      <c r="A65" s="19" t="s">
        <v>527</v>
      </c>
      <c r="B65" s="19" t="s">
        <v>998</v>
      </c>
      <c r="C65" s="36" t="n">
        <v>25999000</v>
      </c>
      <c r="D65" s="36" t="n">
        <v>25999000</v>
      </c>
      <c r="E65" s="37" t="n">
        <f aca="false">IF(OR(C65="",D65=""),"",(C65+D65)/2)</f>
        <v>25999000</v>
      </c>
      <c r="F65" s="19" t="s">
        <v>999</v>
      </c>
      <c r="G65" s="21" t="s">
        <v>1120</v>
      </c>
      <c r="H65" s="23" t="n">
        <v>46305</v>
      </c>
      <c r="I65" s="21" t="s">
        <v>1121</v>
      </c>
    </row>
    <row r="66" customFormat="false" ht="15" hidden="false" customHeight="true" outlineLevel="0" collapsed="false">
      <c r="A66" s="19" t="s">
        <v>535</v>
      </c>
      <c r="B66" s="19" t="s">
        <v>998</v>
      </c>
      <c r="C66" s="36" t="n">
        <v>16906500</v>
      </c>
      <c r="D66" s="36" t="n">
        <v>16906500</v>
      </c>
      <c r="E66" s="37" t="n">
        <f aca="false">IF(OR(C66="",D66=""),"",(C66+D66)/2)</f>
        <v>16906500</v>
      </c>
      <c r="F66" s="19" t="s">
        <v>999</v>
      </c>
      <c r="G66" s="21" t="s">
        <v>1122</v>
      </c>
      <c r="H66" s="23" t="n">
        <v>46305</v>
      </c>
      <c r="I66" s="21" t="s">
        <v>1123</v>
      </c>
    </row>
    <row r="67" customFormat="false" ht="15" hidden="false" customHeight="true" outlineLevel="0" collapsed="false">
      <c r="A67" s="19" t="s">
        <v>535</v>
      </c>
      <c r="B67" s="19" t="s">
        <v>998</v>
      </c>
      <c r="C67" s="36" t="n">
        <v>17119000</v>
      </c>
      <c r="D67" s="36" t="n">
        <v>17119000</v>
      </c>
      <c r="E67" s="37" t="n">
        <f aca="false">IF(OR(C67="",D67=""),"",(C67+D67)/2)</f>
        <v>17119000</v>
      </c>
      <c r="F67" s="19" t="s">
        <v>999</v>
      </c>
      <c r="G67" s="21" t="s">
        <v>1124</v>
      </c>
      <c r="H67" s="23" t="n">
        <v>46305</v>
      </c>
      <c r="I67" s="21" t="s">
        <v>1125</v>
      </c>
    </row>
    <row r="68" customFormat="false" ht="15" hidden="false" customHeight="true" outlineLevel="0" collapsed="false">
      <c r="A68" s="19" t="s">
        <v>535</v>
      </c>
      <c r="B68" s="19" t="s">
        <v>998</v>
      </c>
      <c r="C68" s="36" t="n">
        <v>16390000</v>
      </c>
      <c r="D68" s="36" t="n">
        <v>16390000</v>
      </c>
      <c r="E68" s="37" t="n">
        <f aca="false">IF(OR(C68="",D68=""),"",(C68+D68)/2)</f>
        <v>16390000</v>
      </c>
      <c r="F68" s="19" t="s">
        <v>999</v>
      </c>
      <c r="G68" s="21" t="s">
        <v>1126</v>
      </c>
      <c r="H68" s="23" t="n">
        <v>46305</v>
      </c>
      <c r="I68" s="21" t="s">
        <v>1127</v>
      </c>
    </row>
    <row r="69" customFormat="false" ht="15" hidden="false" customHeight="true" outlineLevel="0" collapsed="false">
      <c r="A69" s="19" t="s">
        <v>541</v>
      </c>
      <c r="B69" s="19" t="s">
        <v>998</v>
      </c>
      <c r="C69" s="36" t="n">
        <v>16999000</v>
      </c>
      <c r="D69" s="36" t="n">
        <v>16999000</v>
      </c>
      <c r="E69" s="37" t="n">
        <f aca="false">IF(OR(C69="",D69=""),"",(C69+D69)/2)</f>
        <v>16999000</v>
      </c>
      <c r="F69" s="19" t="s">
        <v>999</v>
      </c>
      <c r="G69" s="21" t="s">
        <v>1128</v>
      </c>
      <c r="H69" s="23" t="n">
        <v>46305</v>
      </c>
      <c r="I69" s="21" t="s">
        <v>1129</v>
      </c>
    </row>
    <row r="70" customFormat="false" ht="15" hidden="false" customHeight="true" outlineLevel="0" collapsed="false">
      <c r="A70" s="19" t="s">
        <v>541</v>
      </c>
      <c r="B70" s="19" t="s">
        <v>998</v>
      </c>
      <c r="C70" s="36" t="n">
        <v>17350000</v>
      </c>
      <c r="D70" s="36" t="n">
        <v>17350000</v>
      </c>
      <c r="E70" s="37" t="n">
        <f aca="false">IF(OR(C70="",D70=""),"",(C70+D70)/2)</f>
        <v>17350000</v>
      </c>
      <c r="F70" s="19" t="s">
        <v>999</v>
      </c>
      <c r="G70" s="21" t="s">
        <v>1130</v>
      </c>
      <c r="H70" s="23" t="n">
        <v>46305</v>
      </c>
      <c r="I70" s="21" t="s">
        <v>1131</v>
      </c>
    </row>
    <row r="71" customFormat="false" ht="15" hidden="false" customHeight="true" outlineLevel="0" collapsed="false">
      <c r="A71" s="19" t="s">
        <v>541</v>
      </c>
      <c r="B71" s="19" t="s">
        <v>998</v>
      </c>
      <c r="C71" s="36" t="n">
        <v>18589000</v>
      </c>
      <c r="D71" s="36" t="n">
        <v>18589000</v>
      </c>
      <c r="E71" s="37" t="n">
        <f aca="false">IF(OR(C71="",D71=""),"",(C71+D71)/2)</f>
        <v>18589000</v>
      </c>
      <c r="F71" s="19" t="s">
        <v>999</v>
      </c>
      <c r="G71" s="21" t="s">
        <v>1132</v>
      </c>
      <c r="H71" s="23" t="n">
        <v>46305</v>
      </c>
      <c r="I71" s="21" t="s">
        <v>1133</v>
      </c>
    </row>
    <row r="72" customFormat="false" ht="15" hidden="false" customHeight="true" outlineLevel="0" collapsed="false">
      <c r="A72" s="19" t="s">
        <v>545</v>
      </c>
      <c r="B72" s="19" t="s">
        <v>998</v>
      </c>
      <c r="C72" s="36" t="n">
        <v>25189000</v>
      </c>
      <c r="D72" s="36" t="n">
        <v>25189000</v>
      </c>
      <c r="E72" s="37" t="n">
        <f aca="false">IF(OR(C72="",D72=""),"",(C72+D72)/2)</f>
        <v>25189000</v>
      </c>
      <c r="F72" s="19" t="s">
        <v>999</v>
      </c>
      <c r="G72" s="21" t="s">
        <v>1134</v>
      </c>
      <c r="H72" s="23" t="n">
        <v>46305</v>
      </c>
      <c r="I72" s="21" t="s">
        <v>1135</v>
      </c>
    </row>
    <row r="73" customFormat="false" ht="15" hidden="false" customHeight="true" outlineLevel="0" collapsed="false">
      <c r="A73" s="19" t="s">
        <v>545</v>
      </c>
      <c r="B73" s="19" t="s">
        <v>998</v>
      </c>
      <c r="C73" s="36" t="n">
        <v>25389000</v>
      </c>
      <c r="D73" s="36" t="n">
        <v>25389000</v>
      </c>
      <c r="E73" s="37" t="n">
        <f aca="false">IF(OR(C73="",D73=""),"",(C73+D73)/2)</f>
        <v>25389000</v>
      </c>
      <c r="F73" s="19" t="s">
        <v>999</v>
      </c>
      <c r="G73" s="21" t="s">
        <v>1136</v>
      </c>
      <c r="H73" s="23" t="n">
        <v>46305</v>
      </c>
      <c r="I73" s="21" t="s">
        <v>1137</v>
      </c>
    </row>
    <row r="74" customFormat="false" ht="15" hidden="false" customHeight="true" outlineLevel="0" collapsed="false">
      <c r="A74" s="19" t="s">
        <v>545</v>
      </c>
      <c r="B74" s="19" t="s">
        <v>998</v>
      </c>
      <c r="C74" s="36" t="n">
        <v>25499000</v>
      </c>
      <c r="D74" s="36" t="n">
        <v>25499000</v>
      </c>
      <c r="E74" s="37" t="n">
        <f aca="false">IF(OR(C74="",D74=""),"",(C74+D74)/2)</f>
        <v>25499000</v>
      </c>
      <c r="F74" s="19" t="s">
        <v>999</v>
      </c>
      <c r="G74" s="21" t="s">
        <v>1138</v>
      </c>
      <c r="H74" s="23" t="n">
        <v>46305</v>
      </c>
      <c r="I74" s="21" t="s">
        <v>1139</v>
      </c>
    </row>
    <row r="75" customFormat="false" ht="15" hidden="false" customHeight="true" outlineLevel="0" collapsed="false">
      <c r="A75" s="19" t="s">
        <v>551</v>
      </c>
      <c r="B75" s="19" t="s">
        <v>998</v>
      </c>
      <c r="C75" s="36" t="n">
        <v>23249000</v>
      </c>
      <c r="D75" s="36" t="n">
        <v>23249000</v>
      </c>
      <c r="E75" s="37" t="n">
        <f aca="false">IF(OR(C75="",D75=""),"",(C75+D75)/2)</f>
        <v>23249000</v>
      </c>
      <c r="F75" s="19" t="s">
        <v>999</v>
      </c>
      <c r="G75" s="21" t="s">
        <v>1140</v>
      </c>
      <c r="H75" s="23" t="n">
        <v>46305</v>
      </c>
      <c r="I75" s="21" t="s">
        <v>1141</v>
      </c>
    </row>
    <row r="76" customFormat="false" ht="15" hidden="false" customHeight="true" outlineLevel="0" collapsed="false">
      <c r="A76" s="19" t="s">
        <v>551</v>
      </c>
      <c r="B76" s="19" t="s">
        <v>998</v>
      </c>
      <c r="C76" s="36" t="n">
        <v>23999000</v>
      </c>
      <c r="D76" s="36" t="n">
        <v>23999000</v>
      </c>
      <c r="E76" s="37" t="n">
        <f aca="false">IF(OR(C76="",D76=""),"",(C76+D76)/2)</f>
        <v>23999000</v>
      </c>
      <c r="F76" s="19" t="s">
        <v>999</v>
      </c>
      <c r="G76" s="21" t="s">
        <v>1142</v>
      </c>
      <c r="H76" s="23" t="n">
        <v>46305</v>
      </c>
      <c r="I76" s="21" t="s">
        <v>1143</v>
      </c>
    </row>
    <row r="77" customFormat="false" ht="15" hidden="false" customHeight="true" outlineLevel="0" collapsed="false">
      <c r="A77" s="19" t="s">
        <v>551</v>
      </c>
      <c r="B77" s="19" t="s">
        <v>998</v>
      </c>
      <c r="C77" s="36" t="n">
        <v>21250000</v>
      </c>
      <c r="D77" s="36" t="n">
        <v>21250000</v>
      </c>
      <c r="E77" s="37" t="n">
        <f aca="false">IF(OR(C77="",D77=""),"",(C77+D77)/2)</f>
        <v>21250000</v>
      </c>
      <c r="F77" s="19" t="s">
        <v>999</v>
      </c>
      <c r="G77" s="21" t="s">
        <v>1144</v>
      </c>
      <c r="H77" s="23" t="n">
        <v>46305</v>
      </c>
      <c r="I77" s="21" t="s">
        <v>1145</v>
      </c>
    </row>
    <row r="78" customFormat="false" ht="15" hidden="false" customHeight="true" outlineLevel="0" collapsed="false">
      <c r="A78" s="19" t="s">
        <v>556</v>
      </c>
      <c r="B78" s="19" t="s">
        <v>998</v>
      </c>
      <c r="C78" s="36" t="n">
        <v>23699000</v>
      </c>
      <c r="D78" s="36" t="n">
        <v>23699000</v>
      </c>
      <c r="E78" s="37" t="n">
        <f aca="false">IF(OR(C78="",D78=""),"",(C78+D78)/2)</f>
        <v>23699000</v>
      </c>
      <c r="F78" s="19" t="s">
        <v>1010</v>
      </c>
      <c r="G78" s="21" t="s">
        <v>1146</v>
      </c>
      <c r="H78" s="23" t="n">
        <v>46305</v>
      </c>
      <c r="I78" s="21" t="s">
        <v>1147</v>
      </c>
    </row>
    <row r="79" customFormat="false" ht="15" hidden="false" customHeight="true" outlineLevel="0" collapsed="false">
      <c r="A79" s="19" t="s">
        <v>556</v>
      </c>
      <c r="B79" s="19" t="s">
        <v>998</v>
      </c>
      <c r="C79" s="36" t="n">
        <v>21229000</v>
      </c>
      <c r="D79" s="36" t="n">
        <v>21229000</v>
      </c>
      <c r="E79" s="37" t="n">
        <f aca="false">IF(OR(C79="",D79=""),"",(C79+D79)/2)</f>
        <v>21229000</v>
      </c>
      <c r="F79" s="19" t="s">
        <v>999</v>
      </c>
      <c r="G79" s="21" t="s">
        <v>1148</v>
      </c>
      <c r="H79" s="23" t="n">
        <v>46305</v>
      </c>
      <c r="I79" s="21" t="s">
        <v>1149</v>
      </c>
    </row>
    <row r="80" customFormat="false" ht="15" hidden="false" customHeight="true" outlineLevel="0" collapsed="false">
      <c r="A80" s="19" t="s">
        <v>556</v>
      </c>
      <c r="B80" s="19" t="s">
        <v>998</v>
      </c>
      <c r="C80" s="36" t="n">
        <v>21499000</v>
      </c>
      <c r="D80" s="36" t="n">
        <v>21499000</v>
      </c>
      <c r="E80" s="37" t="n">
        <f aca="false">IF(OR(C80="",D80=""),"",(C80+D80)/2)</f>
        <v>21499000</v>
      </c>
      <c r="F80" s="19" t="s">
        <v>999</v>
      </c>
      <c r="G80" s="21" t="s">
        <v>1150</v>
      </c>
      <c r="H80" s="23" t="n">
        <v>46305</v>
      </c>
      <c r="I80" s="21" t="s">
        <v>1151</v>
      </c>
    </row>
    <row r="81" customFormat="false" ht="15" hidden="false" customHeight="true" outlineLevel="0" collapsed="false">
      <c r="A81" s="19" t="s">
        <v>561</v>
      </c>
      <c r="B81" s="19" t="s">
        <v>998</v>
      </c>
      <c r="C81" s="36" t="n">
        <v>23699000</v>
      </c>
      <c r="D81" s="36" t="n">
        <v>23699000</v>
      </c>
      <c r="E81" s="37" t="n">
        <f aca="false">IF(OR(C81="",D81=""),"",(C81+D81)/2)</f>
        <v>23699000</v>
      </c>
      <c r="F81" s="19" t="s">
        <v>1010</v>
      </c>
      <c r="G81" s="21" t="s">
        <v>1152</v>
      </c>
      <c r="H81" s="23" t="n">
        <v>46305</v>
      </c>
      <c r="I81" s="21" t="s">
        <v>1153</v>
      </c>
    </row>
    <row r="82" customFormat="false" ht="15" hidden="false" customHeight="true" outlineLevel="0" collapsed="false">
      <c r="A82" s="19" t="s">
        <v>561</v>
      </c>
      <c r="B82" s="19" t="s">
        <v>998</v>
      </c>
      <c r="C82" s="36" t="n">
        <v>21529000</v>
      </c>
      <c r="D82" s="36" t="n">
        <v>21529000</v>
      </c>
      <c r="E82" s="37" t="n">
        <f aca="false">IF(OR(C82="",D82=""),"",(C82+D82)/2)</f>
        <v>21529000</v>
      </c>
      <c r="F82" s="19" t="s">
        <v>999</v>
      </c>
      <c r="G82" s="21" t="s">
        <v>1154</v>
      </c>
      <c r="H82" s="23" t="n">
        <v>46305</v>
      </c>
      <c r="I82" s="21" t="s">
        <v>1155</v>
      </c>
    </row>
    <row r="83" customFormat="false" ht="15" hidden="false" customHeight="true" outlineLevel="0" collapsed="false">
      <c r="A83" s="19" t="s">
        <v>561</v>
      </c>
      <c r="B83" s="19" t="s">
        <v>998</v>
      </c>
      <c r="C83" s="36" t="n">
        <v>21200000</v>
      </c>
      <c r="D83" s="36" t="n">
        <v>21200000</v>
      </c>
      <c r="E83" s="37" t="n">
        <f aca="false">IF(OR(C83="",D83=""),"",(C83+D83)/2)</f>
        <v>21200000</v>
      </c>
      <c r="F83" s="19" t="s">
        <v>999</v>
      </c>
      <c r="G83" s="21" t="s">
        <v>1156</v>
      </c>
      <c r="H83" s="23" t="n">
        <v>46305</v>
      </c>
      <c r="I83" s="21" t="s">
        <v>1157</v>
      </c>
    </row>
    <row r="84" customFormat="false" ht="15" hidden="false" customHeight="true" outlineLevel="0" collapsed="false">
      <c r="A84" s="19" t="s">
        <v>566</v>
      </c>
      <c r="B84" s="19" t="s">
        <v>1021</v>
      </c>
      <c r="C84" s="36" t="n">
        <v>5000000</v>
      </c>
      <c r="D84" s="36" t="n">
        <v>5000000</v>
      </c>
      <c r="E84" s="37" t="n">
        <f aca="false">IF(OR(C84="",D84=""),"",(C84+D84)/2)</f>
        <v>5000000</v>
      </c>
      <c r="F84" s="19" t="s">
        <v>999</v>
      </c>
      <c r="G84" s="21" t="s">
        <v>1158</v>
      </c>
      <c r="H84" s="23" t="n">
        <v>46305</v>
      </c>
      <c r="I84" s="21" t="s">
        <v>1159</v>
      </c>
    </row>
    <row r="85" customFormat="false" ht="15" hidden="false" customHeight="true" outlineLevel="0" collapsed="false">
      <c r="A85" s="19" t="s">
        <v>566</v>
      </c>
      <c r="B85" s="19" t="s">
        <v>1021</v>
      </c>
      <c r="C85" s="36" t="n">
        <v>4650000</v>
      </c>
      <c r="D85" s="36" t="n">
        <v>4650000</v>
      </c>
      <c r="E85" s="37" t="n">
        <f aca="false">IF(OR(C85="",D85=""),"",(C85+D85)/2)</f>
        <v>4650000</v>
      </c>
      <c r="F85" s="19" t="s">
        <v>999</v>
      </c>
      <c r="G85" s="21" t="s">
        <v>1160</v>
      </c>
      <c r="H85" s="23" t="n">
        <v>46305</v>
      </c>
      <c r="I85" s="21" t="s">
        <v>1161</v>
      </c>
    </row>
    <row r="86" customFormat="false" ht="15" hidden="false" customHeight="true" outlineLevel="0" collapsed="false">
      <c r="A86" s="19" t="s">
        <v>571</v>
      </c>
      <c r="B86" s="19" t="s">
        <v>1021</v>
      </c>
      <c r="C86" s="36" t="n">
        <v>5200000</v>
      </c>
      <c r="D86" s="36" t="n">
        <v>5200000</v>
      </c>
      <c r="E86" s="37" t="n">
        <f aca="false">IF(OR(C86="",D86=""),"",(C86+D86)/2)</f>
        <v>5200000</v>
      </c>
      <c r="F86" s="19" t="s">
        <v>999</v>
      </c>
      <c r="G86" s="21" t="s">
        <v>1162</v>
      </c>
      <c r="H86" s="23" t="n">
        <v>46305</v>
      </c>
      <c r="I86" s="21" t="s">
        <v>1163</v>
      </c>
    </row>
    <row r="87" customFormat="false" ht="15" hidden="false" customHeight="true" outlineLevel="0" collapsed="false">
      <c r="A87" s="19" t="s">
        <v>573</v>
      </c>
      <c r="B87" s="19" t="s">
        <v>1021</v>
      </c>
      <c r="C87" s="36" t="n">
        <v>3950000</v>
      </c>
      <c r="D87" s="36" t="n">
        <v>3950000</v>
      </c>
      <c r="E87" s="37" t="n">
        <f aca="false">IF(OR(C87="",D87=""),"",(C87+D87)/2)</f>
        <v>3950000</v>
      </c>
      <c r="F87" s="19" t="s">
        <v>999</v>
      </c>
      <c r="G87" s="21" t="s">
        <v>1164</v>
      </c>
      <c r="H87" s="23" t="n">
        <v>46305</v>
      </c>
      <c r="I87" s="21" t="s">
        <v>1165</v>
      </c>
    </row>
    <row r="88" customFormat="false" ht="15" hidden="false" customHeight="true" outlineLevel="0" collapsed="false">
      <c r="A88" s="19" t="s">
        <v>573</v>
      </c>
      <c r="B88" s="19" t="s">
        <v>1021</v>
      </c>
      <c r="C88" s="36" t="n">
        <v>4214000</v>
      </c>
      <c r="D88" s="36" t="n">
        <v>4214000</v>
      </c>
      <c r="E88" s="37" t="n">
        <f aca="false">IF(OR(C88="",D88=""),"",(C88+D88)/2)</f>
        <v>4214000</v>
      </c>
      <c r="F88" s="19" t="s">
        <v>999</v>
      </c>
      <c r="G88" s="21" t="s">
        <v>1166</v>
      </c>
      <c r="H88" s="23" t="n">
        <v>46305</v>
      </c>
      <c r="I88" s="21" t="s">
        <v>1167</v>
      </c>
    </row>
    <row r="89" customFormat="false" ht="15" hidden="false" customHeight="true" outlineLevel="0" collapsed="false">
      <c r="A89" s="19" t="s">
        <v>573</v>
      </c>
      <c r="B89" s="19" t="s">
        <v>1021</v>
      </c>
      <c r="C89" s="36" t="n">
        <v>3300000</v>
      </c>
      <c r="D89" s="36" t="n">
        <v>3300000</v>
      </c>
      <c r="E89" s="37" t="n">
        <f aca="false">IF(OR(C89="",D89=""),"",(C89+D89)/2)</f>
        <v>3300000</v>
      </c>
      <c r="F89" s="19" t="s">
        <v>999</v>
      </c>
      <c r="G89" s="21" t="s">
        <v>1168</v>
      </c>
      <c r="H89" s="23" t="n">
        <v>46305</v>
      </c>
      <c r="I89" s="21" t="s">
        <v>1169</v>
      </c>
    </row>
    <row r="90" customFormat="false" ht="15" hidden="false" customHeight="true" outlineLevel="0" collapsed="false">
      <c r="A90" s="19" t="s">
        <v>573</v>
      </c>
      <c r="B90" s="19" t="s">
        <v>1021</v>
      </c>
      <c r="C90" s="36" t="n">
        <v>3500000</v>
      </c>
      <c r="D90" s="36" t="n">
        <v>3500000</v>
      </c>
      <c r="E90" s="37" t="n">
        <f aca="false">IF(OR(C90="",D90=""),"",(C90+D90)/2)</f>
        <v>3500000</v>
      </c>
      <c r="F90" s="19" t="s">
        <v>999</v>
      </c>
      <c r="G90" s="21" t="s">
        <v>1170</v>
      </c>
      <c r="H90" s="23" t="n">
        <v>46305</v>
      </c>
      <c r="I90" s="21" t="s">
        <v>1171</v>
      </c>
    </row>
    <row r="91" customFormat="false" ht="15" hidden="false" customHeight="true" outlineLevel="0" collapsed="false">
      <c r="A91" s="19" t="s">
        <v>577</v>
      </c>
      <c r="B91" s="19" t="s">
        <v>1021</v>
      </c>
      <c r="C91" s="36" t="n">
        <v>4250000</v>
      </c>
      <c r="D91" s="36" t="n">
        <v>4250000</v>
      </c>
      <c r="E91" s="37" t="n">
        <f aca="false">IF(OR(C91="",D91=""),"",(C91+D91)/2)</f>
        <v>4250000</v>
      </c>
      <c r="F91" s="19" t="s">
        <v>999</v>
      </c>
      <c r="G91" s="21" t="s">
        <v>1172</v>
      </c>
      <c r="H91" s="23" t="n">
        <v>46305</v>
      </c>
      <c r="I91" s="21" t="s">
        <v>1173</v>
      </c>
    </row>
    <row r="92" customFormat="false" ht="15" hidden="false" customHeight="true" outlineLevel="0" collapsed="false">
      <c r="A92" s="19" t="s">
        <v>577</v>
      </c>
      <c r="B92" s="19" t="s">
        <v>1021</v>
      </c>
      <c r="C92" s="36" t="n">
        <v>3950000</v>
      </c>
      <c r="D92" s="36" t="n">
        <v>3950000</v>
      </c>
      <c r="E92" s="37" t="n">
        <f aca="false">IF(OR(C92="",D92=""),"",(C92+D92)/2)</f>
        <v>3950000</v>
      </c>
      <c r="F92" s="19" t="s">
        <v>999</v>
      </c>
      <c r="G92" s="21" t="s">
        <v>1174</v>
      </c>
      <c r="H92" s="23" t="n">
        <v>46305</v>
      </c>
      <c r="I92" s="21" t="s">
        <v>1175</v>
      </c>
    </row>
    <row r="93" customFormat="false" ht="15" hidden="false" customHeight="true" outlineLevel="0" collapsed="false">
      <c r="A93" s="19" t="s">
        <v>577</v>
      </c>
      <c r="B93" s="19" t="s">
        <v>1021</v>
      </c>
      <c r="C93" s="36" t="n">
        <v>3799000</v>
      </c>
      <c r="D93" s="36" t="n">
        <v>3799000</v>
      </c>
      <c r="E93" s="37" t="n">
        <f aca="false">IF(OR(C93="",D93=""),"",(C93+D93)/2)</f>
        <v>3799000</v>
      </c>
      <c r="F93" s="19" t="s">
        <v>999</v>
      </c>
      <c r="G93" s="21" t="s">
        <v>1176</v>
      </c>
      <c r="H93" s="23" t="n">
        <v>46305</v>
      </c>
      <c r="I93" s="21" t="s">
        <v>1177</v>
      </c>
    </row>
    <row r="94" customFormat="false" ht="15" hidden="false" customHeight="true" outlineLevel="0" collapsed="false">
      <c r="A94" s="19" t="s">
        <v>581</v>
      </c>
      <c r="B94" s="19" t="s">
        <v>1021</v>
      </c>
      <c r="C94" s="36" t="n">
        <v>4900000</v>
      </c>
      <c r="D94" s="36" t="n">
        <v>4900000</v>
      </c>
      <c r="E94" s="37" t="n">
        <f aca="false">IF(OR(C94="",D94=""),"",(C94+D94)/2)</f>
        <v>4900000</v>
      </c>
      <c r="F94" s="19" t="s">
        <v>999</v>
      </c>
      <c r="G94" s="21" t="s">
        <v>1178</v>
      </c>
      <c r="H94" s="23" t="n">
        <v>46305</v>
      </c>
      <c r="I94" s="21" t="s">
        <v>1179</v>
      </c>
    </row>
    <row r="95" customFormat="false" ht="15" hidden="false" customHeight="true" outlineLevel="0" collapsed="false">
      <c r="A95" s="19" t="s">
        <v>583</v>
      </c>
      <c r="B95" s="19" t="s">
        <v>998</v>
      </c>
      <c r="C95" s="36" t="n">
        <v>17499000</v>
      </c>
      <c r="D95" s="36" t="n">
        <v>17499000</v>
      </c>
      <c r="E95" s="37" t="n">
        <f aca="false">IF(OR(C95="",D95=""),"",(C95+D95)/2)</f>
        <v>17499000</v>
      </c>
      <c r="F95" s="19" t="s">
        <v>1010</v>
      </c>
      <c r="G95" s="21" t="s">
        <v>206</v>
      </c>
      <c r="H95" s="23" t="n">
        <v>46305</v>
      </c>
      <c r="I95" s="21" t="s">
        <v>1180</v>
      </c>
    </row>
    <row r="96" customFormat="false" ht="15" hidden="false" customHeight="true" outlineLevel="0" collapsed="false">
      <c r="A96" s="19" t="s">
        <v>583</v>
      </c>
      <c r="B96" s="19" t="s">
        <v>998</v>
      </c>
      <c r="C96" s="36" t="n">
        <v>16020000</v>
      </c>
      <c r="D96" s="36" t="n">
        <v>16020000</v>
      </c>
      <c r="E96" s="37" t="n">
        <f aca="false">IF(OR(C96="",D96=""),"",(C96+D96)/2)</f>
        <v>16020000</v>
      </c>
      <c r="F96" s="19" t="s">
        <v>999</v>
      </c>
      <c r="G96" s="21" t="s">
        <v>1181</v>
      </c>
      <c r="H96" s="23" t="n">
        <v>46305</v>
      </c>
      <c r="I96" s="21" t="s">
        <v>1182</v>
      </c>
    </row>
    <row r="97" customFormat="false" ht="15" hidden="false" customHeight="true" outlineLevel="0" collapsed="false">
      <c r="A97" s="19" t="s">
        <v>583</v>
      </c>
      <c r="B97" s="19" t="s">
        <v>998</v>
      </c>
      <c r="C97" s="36" t="n">
        <v>16829000</v>
      </c>
      <c r="D97" s="36" t="n">
        <v>16829000</v>
      </c>
      <c r="E97" s="37" t="n">
        <f aca="false">IF(OR(C97="",D97=""),"",(C97+D97)/2)</f>
        <v>16829000</v>
      </c>
      <c r="F97" s="19" t="s">
        <v>999</v>
      </c>
      <c r="G97" s="21" t="s">
        <v>1183</v>
      </c>
      <c r="H97" s="23" t="n">
        <v>46305</v>
      </c>
      <c r="I97" s="21" t="s">
        <v>1184</v>
      </c>
    </row>
    <row r="98" customFormat="false" ht="15" hidden="false" customHeight="true" outlineLevel="0" collapsed="false">
      <c r="A98" s="19" t="s">
        <v>583</v>
      </c>
      <c r="B98" s="19" t="s">
        <v>998</v>
      </c>
      <c r="C98" s="36" t="n">
        <v>16349000</v>
      </c>
      <c r="D98" s="36" t="n">
        <v>16349000</v>
      </c>
      <c r="E98" s="37" t="n">
        <f aca="false">IF(OR(C98="",D98=""),"",(C98+D98)/2)</f>
        <v>16349000</v>
      </c>
      <c r="F98" s="19" t="s">
        <v>999</v>
      </c>
      <c r="G98" s="21" t="s">
        <v>1185</v>
      </c>
      <c r="H98" s="23" t="n">
        <v>46305</v>
      </c>
      <c r="I98" s="21" t="s">
        <v>1186</v>
      </c>
    </row>
    <row r="99" customFormat="false" ht="15" hidden="false" customHeight="true" outlineLevel="0" collapsed="false">
      <c r="A99" s="19" t="s">
        <v>591</v>
      </c>
      <c r="B99" s="19" t="s">
        <v>998</v>
      </c>
      <c r="C99" s="36" t="n">
        <v>14849000</v>
      </c>
      <c r="D99" s="36" t="n">
        <v>14849000</v>
      </c>
      <c r="E99" s="37" t="n">
        <f aca="false">IF(OR(C99="",D99=""),"",(C99+D99)/2)</f>
        <v>14849000</v>
      </c>
      <c r="F99" s="19" t="s">
        <v>999</v>
      </c>
      <c r="G99" s="21" t="s">
        <v>1187</v>
      </c>
      <c r="H99" s="23" t="n">
        <v>46305</v>
      </c>
      <c r="I99" s="21" t="s">
        <v>1188</v>
      </c>
    </row>
    <row r="100" customFormat="false" ht="15" hidden="false" customHeight="true" outlineLevel="0" collapsed="false">
      <c r="A100" s="19" t="s">
        <v>591</v>
      </c>
      <c r="B100" s="19" t="s">
        <v>998</v>
      </c>
      <c r="C100" s="36" t="n">
        <v>14649000</v>
      </c>
      <c r="D100" s="36" t="n">
        <v>14649000</v>
      </c>
      <c r="E100" s="37" t="n">
        <f aca="false">IF(OR(C100="",D100=""),"",(C100+D100)/2)</f>
        <v>14649000</v>
      </c>
      <c r="F100" s="19" t="s">
        <v>999</v>
      </c>
      <c r="G100" s="21" t="s">
        <v>1189</v>
      </c>
      <c r="H100" s="23" t="n">
        <v>46305</v>
      </c>
      <c r="I100" s="21" t="s">
        <v>1190</v>
      </c>
    </row>
    <row r="101" customFormat="false" ht="15" hidden="false" customHeight="true" outlineLevel="0" collapsed="false">
      <c r="A101" s="19" t="s">
        <v>591</v>
      </c>
      <c r="B101" s="19" t="s">
        <v>998</v>
      </c>
      <c r="C101" s="36" t="n">
        <v>14849000</v>
      </c>
      <c r="D101" s="36" t="n">
        <v>14849000</v>
      </c>
      <c r="E101" s="37" t="n">
        <f aca="false">IF(OR(C101="",D101=""),"",(C101+D101)/2)</f>
        <v>14849000</v>
      </c>
      <c r="F101" s="19" t="s">
        <v>999</v>
      </c>
      <c r="G101" s="21" t="s">
        <v>1191</v>
      </c>
      <c r="H101" s="23" t="n">
        <v>46305</v>
      </c>
      <c r="I101" s="21" t="s">
        <v>1192</v>
      </c>
    </row>
    <row r="102" customFormat="false" ht="15" hidden="false" customHeight="true" outlineLevel="0" collapsed="false">
      <c r="A102" s="19" t="s">
        <v>596</v>
      </c>
      <c r="B102" s="19" t="s">
        <v>998</v>
      </c>
      <c r="C102" s="36" t="n">
        <v>30999000</v>
      </c>
      <c r="D102" s="36" t="n">
        <v>30999000</v>
      </c>
      <c r="E102" s="37" t="n">
        <f aca="false">IF(OR(C102="",D102=""),"",(C102+D102)/2)</f>
        <v>30999000</v>
      </c>
      <c r="F102" s="19" t="s">
        <v>1010</v>
      </c>
      <c r="G102" s="21" t="s">
        <v>1193</v>
      </c>
      <c r="H102" s="23" t="n">
        <v>46305</v>
      </c>
      <c r="I102" s="21" t="s">
        <v>1194</v>
      </c>
    </row>
    <row r="103" customFormat="false" ht="15" hidden="false" customHeight="true" outlineLevel="0" collapsed="false">
      <c r="A103" s="19" t="s">
        <v>596</v>
      </c>
      <c r="B103" s="19" t="s">
        <v>998</v>
      </c>
      <c r="C103" s="36" t="n">
        <v>30999000</v>
      </c>
      <c r="D103" s="36" t="n">
        <v>30999000</v>
      </c>
      <c r="E103" s="37" t="n">
        <f aca="false">IF(OR(C103="",D103=""),"",(C103+D103)/2)</f>
        <v>30999000</v>
      </c>
      <c r="F103" s="19" t="s">
        <v>999</v>
      </c>
      <c r="G103" s="21" t="s">
        <v>1195</v>
      </c>
      <c r="H103" s="23" t="n">
        <v>46305</v>
      </c>
      <c r="I103" s="21" t="s">
        <v>1196</v>
      </c>
    </row>
    <row r="104" customFormat="false" ht="15" hidden="false" customHeight="true" outlineLevel="0" collapsed="false">
      <c r="A104" s="19" t="s">
        <v>596</v>
      </c>
      <c r="B104" s="19" t="s">
        <v>998</v>
      </c>
      <c r="C104" s="36" t="n">
        <v>30999000</v>
      </c>
      <c r="D104" s="36" t="n">
        <v>30999000</v>
      </c>
      <c r="E104" s="37" t="n">
        <f aca="false">IF(OR(C104="",D104=""),"",(C104+D104)/2)</f>
        <v>30999000</v>
      </c>
      <c r="F104" s="19" t="s">
        <v>999</v>
      </c>
      <c r="G104" s="21" t="s">
        <v>1197</v>
      </c>
      <c r="H104" s="23" t="n">
        <v>46305</v>
      </c>
      <c r="I104" s="21" t="s">
        <v>1198</v>
      </c>
    </row>
    <row r="105" customFormat="false" ht="15" hidden="false" customHeight="true" outlineLevel="0" collapsed="false">
      <c r="A105" s="19" t="s">
        <v>596</v>
      </c>
      <c r="B105" s="19" t="s">
        <v>998</v>
      </c>
      <c r="C105" s="36" t="n">
        <v>35019000</v>
      </c>
      <c r="D105" s="36" t="n">
        <v>35019000</v>
      </c>
      <c r="E105" s="37" t="n">
        <f aca="false">IF(OR(C105="",D105=""),"",(C105+D105)/2)</f>
        <v>35019000</v>
      </c>
      <c r="F105" s="19" t="s">
        <v>999</v>
      </c>
      <c r="G105" s="21" t="s">
        <v>1199</v>
      </c>
      <c r="H105" s="23" t="n">
        <v>46305</v>
      </c>
      <c r="I105" s="21" t="s">
        <v>1200</v>
      </c>
    </row>
    <row r="106" customFormat="false" ht="15" hidden="false" customHeight="true" outlineLevel="0" collapsed="false">
      <c r="A106" s="19" t="s">
        <v>603</v>
      </c>
      <c r="B106" s="19" t="s">
        <v>998</v>
      </c>
      <c r="C106" s="36" t="n">
        <v>20299000</v>
      </c>
      <c r="D106" s="36" t="n">
        <v>20299000</v>
      </c>
      <c r="E106" s="37" t="n">
        <f aca="false">IF(OR(C106="",D106=""),"",(C106+D106)/2)</f>
        <v>20299000</v>
      </c>
      <c r="F106" s="19" t="s">
        <v>999</v>
      </c>
      <c r="G106" s="21" t="s">
        <v>1201</v>
      </c>
      <c r="H106" s="23" t="n">
        <v>46305</v>
      </c>
      <c r="I106" s="21" t="s">
        <v>1202</v>
      </c>
    </row>
    <row r="107" customFormat="false" ht="15" hidden="false" customHeight="true" outlineLevel="0" collapsed="false">
      <c r="A107" s="19" t="s">
        <v>603</v>
      </c>
      <c r="B107" s="19" t="s">
        <v>998</v>
      </c>
      <c r="C107" s="36" t="n">
        <v>27825000</v>
      </c>
      <c r="D107" s="36" t="n">
        <v>27825000</v>
      </c>
      <c r="E107" s="37" t="n">
        <f aca="false">IF(OR(C107="",D107=""),"",(C107+D107)/2)</f>
        <v>27825000</v>
      </c>
      <c r="F107" s="19" t="s">
        <v>999</v>
      </c>
      <c r="G107" s="21" t="s">
        <v>1203</v>
      </c>
      <c r="H107" s="23" t="n">
        <v>46305</v>
      </c>
      <c r="I107" s="21" t="s">
        <v>1204</v>
      </c>
    </row>
    <row r="108" customFormat="false" ht="15" hidden="false" customHeight="true" outlineLevel="0" collapsed="false">
      <c r="A108" s="19" t="s">
        <v>603</v>
      </c>
      <c r="B108" s="19" t="s">
        <v>998</v>
      </c>
      <c r="C108" s="36" t="n">
        <v>28390000</v>
      </c>
      <c r="D108" s="36" t="n">
        <v>28390000</v>
      </c>
      <c r="E108" s="37" t="n">
        <f aca="false">IF(OR(C108="",D108=""),"",(C108+D108)/2)</f>
        <v>28390000</v>
      </c>
      <c r="F108" s="19" t="s">
        <v>999</v>
      </c>
      <c r="G108" s="21" t="s">
        <v>1205</v>
      </c>
      <c r="H108" s="23" t="n">
        <v>46305</v>
      </c>
      <c r="I108" s="21" t="s">
        <v>1206</v>
      </c>
    </row>
    <row r="109" customFormat="false" ht="15" hidden="false" customHeight="true" outlineLevel="0" collapsed="false">
      <c r="A109" s="19" t="s">
        <v>603</v>
      </c>
      <c r="B109" s="19" t="s">
        <v>998</v>
      </c>
      <c r="C109" s="36" t="n">
        <v>28649000</v>
      </c>
      <c r="D109" s="36" t="n">
        <v>28649000</v>
      </c>
      <c r="E109" s="37" t="n">
        <f aca="false">IF(OR(C109="",D109=""),"",(C109+D109)/2)</f>
        <v>28649000</v>
      </c>
      <c r="F109" s="19" t="s">
        <v>1010</v>
      </c>
      <c r="G109" s="21" t="s">
        <v>1207</v>
      </c>
      <c r="H109" s="23" t="n">
        <v>46305</v>
      </c>
      <c r="I109" s="21" t="s">
        <v>1208</v>
      </c>
    </row>
    <row r="110" customFormat="false" ht="15" hidden="false" customHeight="true" outlineLevel="0" collapsed="false">
      <c r="A110" s="19" t="s">
        <v>609</v>
      </c>
      <c r="B110" s="19" t="s">
        <v>998</v>
      </c>
      <c r="C110" s="36" t="n">
        <v>8758000</v>
      </c>
      <c r="D110" s="36" t="n">
        <v>8758000</v>
      </c>
      <c r="E110" s="37" t="n">
        <f aca="false">IF(OR(C110="",D110=""),"",(C110+D110)/2)</f>
        <v>8758000</v>
      </c>
      <c r="F110" s="19" t="s">
        <v>999</v>
      </c>
      <c r="G110" s="21" t="s">
        <v>1209</v>
      </c>
      <c r="H110" s="23" t="n">
        <v>46305</v>
      </c>
      <c r="I110" s="21" t="s">
        <v>1210</v>
      </c>
    </row>
    <row r="111" customFormat="false" ht="15" hidden="false" customHeight="true" outlineLevel="0" collapsed="false">
      <c r="A111" s="19" t="s">
        <v>609</v>
      </c>
      <c r="B111" s="19" t="s">
        <v>998</v>
      </c>
      <c r="C111" s="36" t="n">
        <v>8649757</v>
      </c>
      <c r="D111" s="36" t="n">
        <v>8649757</v>
      </c>
      <c r="E111" s="37" t="n">
        <f aca="false">IF(OR(C111="",D111=""),"",(C111+D111)/2)</f>
        <v>8649757</v>
      </c>
      <c r="F111" s="19" t="s">
        <v>999</v>
      </c>
      <c r="G111" s="21" t="s">
        <v>1211</v>
      </c>
      <c r="H111" s="23" t="n">
        <v>46305</v>
      </c>
      <c r="I111" s="21" t="s">
        <v>1212</v>
      </c>
    </row>
    <row r="112" customFormat="false" ht="15" hidden="false" customHeight="true" outlineLevel="0" collapsed="false">
      <c r="A112" s="19" t="s">
        <v>609</v>
      </c>
      <c r="B112" s="19" t="s">
        <v>998</v>
      </c>
      <c r="C112" s="36" t="n">
        <v>8549000</v>
      </c>
      <c r="D112" s="36" t="n">
        <v>8549000</v>
      </c>
      <c r="E112" s="37" t="n">
        <f aca="false">IF(OR(C112="",D112=""),"",(C112+D112)/2)</f>
        <v>8549000</v>
      </c>
      <c r="F112" s="19" t="s">
        <v>999</v>
      </c>
      <c r="G112" s="21" t="s">
        <v>1213</v>
      </c>
      <c r="H112" s="23" t="n">
        <v>46305</v>
      </c>
      <c r="I112" s="21" t="s">
        <v>1214</v>
      </c>
    </row>
    <row r="113" customFormat="false" ht="15" hidden="false" customHeight="true" outlineLevel="0" collapsed="false">
      <c r="A113" s="19" t="s">
        <v>609</v>
      </c>
      <c r="B113" s="19" t="s">
        <v>998</v>
      </c>
      <c r="C113" s="36" t="n">
        <v>7599000</v>
      </c>
      <c r="D113" s="36" t="n">
        <v>7599000</v>
      </c>
      <c r="E113" s="37" t="n">
        <f aca="false">IF(OR(C113="",D113=""),"",(C113+D113)/2)</f>
        <v>7599000</v>
      </c>
      <c r="F113" s="19" t="s">
        <v>999</v>
      </c>
      <c r="G113" s="21" t="s">
        <v>1215</v>
      </c>
      <c r="H113" s="23" t="n">
        <v>46305</v>
      </c>
      <c r="I113" s="21" t="s">
        <v>1216</v>
      </c>
    </row>
    <row r="114" customFormat="false" ht="15" hidden="false" customHeight="true" outlineLevel="0" collapsed="false">
      <c r="A114" s="19" t="s">
        <v>616</v>
      </c>
      <c r="B114" s="19" t="s">
        <v>998</v>
      </c>
      <c r="C114" s="36" t="n">
        <v>8249000</v>
      </c>
      <c r="D114" s="36" t="n">
        <v>8249000</v>
      </c>
      <c r="E114" s="37" t="n">
        <f aca="false">IF(OR(C114="",D114=""),"",(C114+D114)/2)</f>
        <v>8249000</v>
      </c>
      <c r="F114" s="19" t="s">
        <v>1010</v>
      </c>
      <c r="G114" s="21" t="s">
        <v>1217</v>
      </c>
      <c r="H114" s="23" t="n">
        <v>46305</v>
      </c>
      <c r="I114" s="21" t="s">
        <v>1218</v>
      </c>
    </row>
    <row r="115" customFormat="false" ht="15" hidden="false" customHeight="true" outlineLevel="0" collapsed="false">
      <c r="A115" s="19" t="s">
        <v>616</v>
      </c>
      <c r="B115" s="19" t="s">
        <v>998</v>
      </c>
      <c r="C115" s="36" t="n">
        <v>7639000</v>
      </c>
      <c r="D115" s="36" t="n">
        <v>7639000</v>
      </c>
      <c r="E115" s="37" t="n">
        <f aca="false">IF(OR(C115="",D115=""),"",(C115+D115)/2)</f>
        <v>7639000</v>
      </c>
      <c r="F115" s="19" t="s">
        <v>999</v>
      </c>
      <c r="G115" s="21" t="s">
        <v>1219</v>
      </c>
      <c r="H115" s="23" t="n">
        <v>46305</v>
      </c>
      <c r="I115" s="21" t="s">
        <v>1220</v>
      </c>
    </row>
    <row r="116" customFormat="false" ht="15" hidden="false" customHeight="true" outlineLevel="0" collapsed="false">
      <c r="A116" s="19" t="s">
        <v>616</v>
      </c>
      <c r="B116" s="19" t="s">
        <v>998</v>
      </c>
      <c r="C116" s="36" t="n">
        <v>7649000</v>
      </c>
      <c r="D116" s="36" t="n">
        <v>7649000</v>
      </c>
      <c r="E116" s="37" t="n">
        <f aca="false">IF(OR(C116="",D116=""),"",(C116+D116)/2)</f>
        <v>7649000</v>
      </c>
      <c r="F116" s="19" t="s">
        <v>999</v>
      </c>
      <c r="G116" s="21" t="s">
        <v>1221</v>
      </c>
      <c r="H116" s="23" t="n">
        <v>46305</v>
      </c>
      <c r="I116" s="21" t="s">
        <v>1222</v>
      </c>
    </row>
    <row r="117" customFormat="false" ht="15" hidden="false" customHeight="true" outlineLevel="0" collapsed="false">
      <c r="A117" s="19" t="s">
        <v>616</v>
      </c>
      <c r="B117" s="19" t="s">
        <v>998</v>
      </c>
      <c r="C117" s="36" t="n">
        <v>7739636</v>
      </c>
      <c r="D117" s="36" t="n">
        <v>7739636</v>
      </c>
      <c r="E117" s="37" t="n">
        <f aca="false">IF(OR(C117="",D117=""),"",(C117+D117)/2)</f>
        <v>7739636</v>
      </c>
      <c r="F117" s="19" t="s">
        <v>999</v>
      </c>
      <c r="G117" s="21" t="s">
        <v>1223</v>
      </c>
      <c r="H117" s="23" t="n">
        <v>46305</v>
      </c>
      <c r="I117" s="21" t="s">
        <v>1224</v>
      </c>
    </row>
    <row r="118" customFormat="false" ht="15" hidden="false" customHeight="true" outlineLevel="0" collapsed="false">
      <c r="A118" s="19" t="s">
        <v>622</v>
      </c>
      <c r="B118" s="19" t="s">
        <v>998</v>
      </c>
      <c r="C118" s="36" t="n">
        <v>10399000</v>
      </c>
      <c r="D118" s="36" t="n">
        <v>10399000</v>
      </c>
      <c r="E118" s="37" t="n">
        <f aca="false">IF(OR(C118="",D118=""),"",(C118+D118)/2)</f>
        <v>10399000</v>
      </c>
      <c r="F118" s="19" t="s">
        <v>1010</v>
      </c>
      <c r="G118" s="21" t="s">
        <v>241</v>
      </c>
      <c r="H118" s="23" t="n">
        <v>46305</v>
      </c>
      <c r="I118" s="21" t="s">
        <v>1225</v>
      </c>
    </row>
    <row r="119" customFormat="false" ht="15" hidden="false" customHeight="true" outlineLevel="0" collapsed="false">
      <c r="A119" s="19" t="s">
        <v>622</v>
      </c>
      <c r="B119" s="19" t="s">
        <v>998</v>
      </c>
      <c r="C119" s="36" t="n">
        <v>10399000</v>
      </c>
      <c r="D119" s="36" t="n">
        <v>10399000</v>
      </c>
      <c r="E119" s="37" t="n">
        <f aca="false">IF(OR(C119="",D119=""),"",(C119+D119)/2)</f>
        <v>10399000</v>
      </c>
      <c r="F119" s="19" t="s">
        <v>1010</v>
      </c>
      <c r="G119" s="21" t="s">
        <v>1226</v>
      </c>
      <c r="H119" s="23" t="n">
        <v>46305</v>
      </c>
      <c r="I119" s="21" t="s">
        <v>1227</v>
      </c>
    </row>
    <row r="120" customFormat="false" ht="15" hidden="false" customHeight="true" outlineLevel="0" collapsed="false">
      <c r="A120" s="19" t="s">
        <v>622</v>
      </c>
      <c r="B120" s="19" t="s">
        <v>998</v>
      </c>
      <c r="C120" s="36" t="n">
        <v>8899000</v>
      </c>
      <c r="D120" s="36" t="n">
        <v>8899000</v>
      </c>
      <c r="E120" s="37" t="n">
        <f aca="false">IF(OR(C120="",D120=""),"",(C120+D120)/2)</f>
        <v>8899000</v>
      </c>
      <c r="F120" s="19" t="s">
        <v>999</v>
      </c>
      <c r="G120" s="21" t="s">
        <v>1228</v>
      </c>
      <c r="H120" s="23" t="n">
        <v>46305</v>
      </c>
      <c r="I120" s="21" t="s">
        <v>1229</v>
      </c>
    </row>
    <row r="121" customFormat="false" ht="15" hidden="false" customHeight="true" outlineLevel="0" collapsed="false">
      <c r="A121" s="19" t="s">
        <v>622</v>
      </c>
      <c r="B121" s="19" t="s">
        <v>998</v>
      </c>
      <c r="C121" s="36" t="n">
        <v>9029000</v>
      </c>
      <c r="D121" s="36" t="n">
        <v>9029000</v>
      </c>
      <c r="E121" s="37" t="n">
        <f aca="false">IF(OR(C121="",D121=""),"",(C121+D121)/2)</f>
        <v>9029000</v>
      </c>
      <c r="F121" s="19" t="s">
        <v>999</v>
      </c>
      <c r="G121" s="21" t="s">
        <v>1230</v>
      </c>
      <c r="H121" s="23" t="n">
        <v>46305</v>
      </c>
      <c r="I121" s="21" t="s">
        <v>1231</v>
      </c>
    </row>
    <row r="122" customFormat="false" ht="15" hidden="false" customHeight="true" outlineLevel="0" collapsed="false">
      <c r="A122" s="19" t="s">
        <v>627</v>
      </c>
      <c r="B122" s="19" t="s">
        <v>998</v>
      </c>
      <c r="C122" s="36" t="n">
        <v>7489000</v>
      </c>
      <c r="D122" s="36" t="n">
        <v>7489000</v>
      </c>
      <c r="E122" s="37" t="n">
        <f aca="false">IF(OR(C122="",D122=""),"",(C122+D122)/2)</f>
        <v>7489000</v>
      </c>
      <c r="F122" s="19" t="s">
        <v>999</v>
      </c>
      <c r="G122" s="21" t="s">
        <v>1232</v>
      </c>
      <c r="H122" s="23" t="n">
        <v>46305</v>
      </c>
      <c r="I122" s="21" t="s">
        <v>1233</v>
      </c>
    </row>
    <row r="123" customFormat="false" ht="15" hidden="false" customHeight="true" outlineLevel="0" collapsed="false">
      <c r="A123" s="19" t="s">
        <v>627</v>
      </c>
      <c r="B123" s="19" t="s">
        <v>998</v>
      </c>
      <c r="C123" s="36" t="n">
        <v>7534000</v>
      </c>
      <c r="D123" s="36" t="n">
        <v>7534000</v>
      </c>
      <c r="E123" s="37" t="n">
        <f aca="false">IF(OR(C123="",D123=""),"",(C123+D123)/2)</f>
        <v>7534000</v>
      </c>
      <c r="F123" s="19" t="s">
        <v>999</v>
      </c>
      <c r="G123" s="21" t="s">
        <v>1234</v>
      </c>
      <c r="H123" s="23" t="n">
        <v>46305</v>
      </c>
      <c r="I123" s="21" t="s">
        <v>1235</v>
      </c>
    </row>
    <row r="124" customFormat="false" ht="15" hidden="false" customHeight="true" outlineLevel="0" collapsed="false">
      <c r="A124" s="19" t="s">
        <v>627</v>
      </c>
      <c r="B124" s="19" t="s">
        <v>998</v>
      </c>
      <c r="C124" s="36" t="n">
        <v>7539000</v>
      </c>
      <c r="D124" s="36" t="n">
        <v>7539000</v>
      </c>
      <c r="E124" s="37" t="n">
        <f aca="false">IF(OR(C124="",D124=""),"",(C124+D124)/2)</f>
        <v>7539000</v>
      </c>
      <c r="F124" s="19" t="s">
        <v>999</v>
      </c>
      <c r="G124" s="21" t="s">
        <v>1236</v>
      </c>
      <c r="H124" s="23" t="n">
        <v>46305</v>
      </c>
      <c r="I124" s="21" t="s">
        <v>1237</v>
      </c>
    </row>
    <row r="125" customFormat="false" ht="15" hidden="false" customHeight="true" outlineLevel="0" collapsed="false">
      <c r="A125" s="19" t="s">
        <v>627</v>
      </c>
      <c r="B125" s="19" t="s">
        <v>998</v>
      </c>
      <c r="C125" s="36" t="n">
        <v>7749000</v>
      </c>
      <c r="D125" s="36" t="n">
        <v>7749000</v>
      </c>
      <c r="E125" s="37" t="n">
        <f aca="false">IF(OR(C125="",D125=""),"",(C125+D125)/2)</f>
        <v>7749000</v>
      </c>
      <c r="F125" s="19" t="s">
        <v>999</v>
      </c>
      <c r="G125" s="21" t="s">
        <v>1238</v>
      </c>
      <c r="H125" s="23" t="n">
        <v>46305</v>
      </c>
      <c r="I125" s="21" t="s">
        <v>1239</v>
      </c>
    </row>
    <row r="126" customFormat="false" ht="15" hidden="false" customHeight="true" outlineLevel="0" collapsed="false">
      <c r="A126" s="19" t="s">
        <v>632</v>
      </c>
      <c r="B126" s="19" t="s">
        <v>998</v>
      </c>
      <c r="C126" s="36" t="n">
        <v>5999000</v>
      </c>
      <c r="D126" s="36" t="n">
        <v>5999000</v>
      </c>
      <c r="E126" s="37" t="n">
        <f aca="false">IF(OR(C126="",D126=""),"",(C126+D126)/2)</f>
        <v>5999000</v>
      </c>
      <c r="F126" s="19" t="s">
        <v>999</v>
      </c>
      <c r="G126" s="21" t="s">
        <v>1240</v>
      </c>
      <c r="H126" s="23" t="n">
        <v>46305</v>
      </c>
      <c r="I126" s="21" t="s">
        <v>1241</v>
      </c>
    </row>
    <row r="127" customFormat="false" ht="15" hidden="false" customHeight="true" outlineLevel="0" collapsed="false">
      <c r="A127" s="19" t="s">
        <v>640</v>
      </c>
      <c r="B127" s="19" t="s">
        <v>1021</v>
      </c>
      <c r="C127" s="36" t="n">
        <v>9315000</v>
      </c>
      <c r="D127" s="36" t="n">
        <v>9315000</v>
      </c>
      <c r="E127" s="37" t="n">
        <f aca="false">IF(OR(C127="",D127=""),"",(C127+D127)/2)</f>
        <v>9315000</v>
      </c>
      <c r="F127" s="19" t="s">
        <v>999</v>
      </c>
      <c r="G127" s="21" t="s">
        <v>1242</v>
      </c>
      <c r="H127" s="23" t="n">
        <v>46310</v>
      </c>
      <c r="I127" s="21" t="s">
        <v>1243</v>
      </c>
    </row>
    <row r="128" customFormat="false" ht="15" hidden="false" customHeight="true" outlineLevel="0" collapsed="false">
      <c r="A128" s="19" t="s">
        <v>640</v>
      </c>
      <c r="B128" s="19" t="s">
        <v>1021</v>
      </c>
      <c r="C128" s="36" t="n">
        <v>9500000</v>
      </c>
      <c r="D128" s="36" t="n">
        <v>9500000</v>
      </c>
      <c r="E128" s="37" t="n">
        <f aca="false">IF(OR(C128="",D128=""),"",(C128+D128)/2)</f>
        <v>9500000</v>
      </c>
      <c r="F128" s="19" t="s">
        <v>999</v>
      </c>
      <c r="G128" s="21" t="s">
        <v>1244</v>
      </c>
      <c r="H128" s="23" t="n">
        <v>46310</v>
      </c>
      <c r="I128" s="21" t="s">
        <v>1245</v>
      </c>
    </row>
    <row r="129" customFormat="false" ht="15" hidden="false" customHeight="true" outlineLevel="0" collapsed="false">
      <c r="A129" s="19" t="s">
        <v>640</v>
      </c>
      <c r="B129" s="19" t="s">
        <v>1021</v>
      </c>
      <c r="C129" s="36" t="n">
        <v>9828000</v>
      </c>
      <c r="D129" s="36" t="n">
        <v>9828000</v>
      </c>
      <c r="E129" s="37" t="n">
        <f aca="false">IF(OR(C129="",D129=""),"",(C129+D129)/2)</f>
        <v>9828000</v>
      </c>
      <c r="F129" s="19" t="s">
        <v>999</v>
      </c>
      <c r="G129" s="21" t="s">
        <v>1246</v>
      </c>
      <c r="H129" s="23" t="n">
        <v>46310</v>
      </c>
      <c r="I129" s="21" t="s">
        <v>1247</v>
      </c>
    </row>
    <row r="130" customFormat="false" ht="15" hidden="false" customHeight="true" outlineLevel="0" collapsed="false">
      <c r="A130" s="19" t="s">
        <v>645</v>
      </c>
      <c r="B130" s="19" t="s">
        <v>1021</v>
      </c>
      <c r="C130" s="36" t="n">
        <v>5000000</v>
      </c>
      <c r="D130" s="36" t="n">
        <v>5000000</v>
      </c>
      <c r="E130" s="37" t="n">
        <f aca="false">IF(OR(C130="",D130=""),"",(C130+D130)/2)</f>
        <v>5000000</v>
      </c>
      <c r="F130" s="19" t="s">
        <v>999</v>
      </c>
      <c r="G130" s="21" t="s">
        <v>1248</v>
      </c>
      <c r="H130" s="23" t="n">
        <v>46310</v>
      </c>
      <c r="I130" s="21" t="s">
        <v>1249</v>
      </c>
    </row>
    <row r="131" customFormat="false" ht="15" hidden="false" customHeight="true" outlineLevel="0" collapsed="false">
      <c r="A131" s="19" t="s">
        <v>645</v>
      </c>
      <c r="B131" s="19" t="s">
        <v>1021</v>
      </c>
      <c r="C131" s="36" t="n">
        <v>5500000</v>
      </c>
      <c r="D131" s="36" t="n">
        <v>5500000</v>
      </c>
      <c r="E131" s="37" t="n">
        <f aca="false">IF(OR(C131="",D131=""),"",(C131+D131)/2)</f>
        <v>5500000</v>
      </c>
      <c r="F131" s="19" t="s">
        <v>999</v>
      </c>
      <c r="G131" s="21" t="s">
        <v>1250</v>
      </c>
      <c r="H131" s="23" t="n">
        <v>46310</v>
      </c>
      <c r="I131" s="21" t="s">
        <v>1251</v>
      </c>
    </row>
    <row r="132" customFormat="false" ht="15" hidden="false" customHeight="true" outlineLevel="0" collapsed="false">
      <c r="A132" s="19" t="s">
        <v>650</v>
      </c>
      <c r="B132" s="19" t="s">
        <v>1021</v>
      </c>
      <c r="C132" s="36" t="n">
        <v>3900000</v>
      </c>
      <c r="D132" s="36" t="n">
        <v>3900000</v>
      </c>
      <c r="E132" s="37" t="n">
        <f aca="false">IF(OR(C132="",D132=""),"",(C132+D132)/2)</f>
        <v>3900000</v>
      </c>
      <c r="F132" s="19" t="s">
        <v>999</v>
      </c>
      <c r="G132" s="21" t="s">
        <v>1252</v>
      </c>
      <c r="H132" s="23" t="n">
        <v>46310</v>
      </c>
      <c r="I132" s="21" t="s">
        <v>1253</v>
      </c>
    </row>
    <row r="133" customFormat="false" ht="15" hidden="false" customHeight="true" outlineLevel="0" collapsed="false">
      <c r="A133" s="19" t="s">
        <v>650</v>
      </c>
      <c r="B133" s="19" t="s">
        <v>1021</v>
      </c>
      <c r="C133" s="36" t="n">
        <v>4150000</v>
      </c>
      <c r="D133" s="36" t="n">
        <v>4150000</v>
      </c>
      <c r="E133" s="37" t="n">
        <f aca="false">IF(OR(C133="",D133=""),"",(C133+D133)/2)</f>
        <v>4150000</v>
      </c>
      <c r="F133" s="19" t="s">
        <v>999</v>
      </c>
      <c r="G133" s="21" t="s">
        <v>1254</v>
      </c>
      <c r="H133" s="23" t="n">
        <v>46310</v>
      </c>
      <c r="I133" s="21" t="s">
        <v>1255</v>
      </c>
    </row>
    <row r="134" customFormat="false" ht="15" hidden="false" customHeight="true" outlineLevel="0" collapsed="false">
      <c r="A134" s="19" t="s">
        <v>650</v>
      </c>
      <c r="B134" s="19" t="s">
        <v>1021</v>
      </c>
      <c r="C134" s="36" t="n">
        <v>4250000</v>
      </c>
      <c r="D134" s="36" t="n">
        <v>4250000</v>
      </c>
      <c r="E134" s="37" t="n">
        <f aca="false">IF(OR(C134="",D134=""),"",(C134+D134)/2)</f>
        <v>4250000</v>
      </c>
      <c r="F134" s="19" t="s">
        <v>999</v>
      </c>
      <c r="G134" s="21" t="s">
        <v>1256</v>
      </c>
      <c r="H134" s="23" t="n">
        <v>46310</v>
      </c>
      <c r="I134" s="21" t="s">
        <v>1257</v>
      </c>
    </row>
    <row r="135" customFormat="false" ht="15" hidden="false" customHeight="true" outlineLevel="0" collapsed="false">
      <c r="A135" s="19" t="s">
        <v>650</v>
      </c>
      <c r="B135" s="19" t="s">
        <v>1021</v>
      </c>
      <c r="C135" s="36" t="n">
        <v>4500000</v>
      </c>
      <c r="D135" s="36" t="n">
        <v>4500000</v>
      </c>
      <c r="E135" s="37" t="n">
        <f aca="false">IF(OR(C135="",D135=""),"",(C135+D135)/2)</f>
        <v>4500000</v>
      </c>
      <c r="F135" s="19" t="s">
        <v>999</v>
      </c>
      <c r="G135" s="21" t="s">
        <v>1258</v>
      </c>
      <c r="H135" s="23" t="n">
        <v>46310</v>
      </c>
      <c r="I135" s="21" t="s">
        <v>1259</v>
      </c>
    </row>
    <row r="136" customFormat="false" ht="15" hidden="false" customHeight="true" outlineLevel="0" collapsed="false">
      <c r="A136" s="19" t="s">
        <v>655</v>
      </c>
      <c r="B136" s="19" t="s">
        <v>998</v>
      </c>
      <c r="C136" s="36" t="n">
        <v>12074000</v>
      </c>
      <c r="D136" s="36" t="n">
        <v>12074000</v>
      </c>
      <c r="E136" s="37" t="n">
        <f aca="false">IF(OR(C136="",D136=""),"",(C136+D136)/2)</f>
        <v>12074000</v>
      </c>
      <c r="F136" s="19" t="s">
        <v>999</v>
      </c>
      <c r="G136" s="21" t="s">
        <v>1260</v>
      </c>
      <c r="H136" s="23" t="n">
        <v>46310</v>
      </c>
      <c r="I136" s="21" t="s">
        <v>1261</v>
      </c>
    </row>
    <row r="137" customFormat="false" ht="15" hidden="false" customHeight="true" outlineLevel="0" collapsed="false">
      <c r="A137" s="19" t="s">
        <v>655</v>
      </c>
      <c r="B137" s="19" t="s">
        <v>998</v>
      </c>
      <c r="C137" s="36" t="n">
        <v>18649000</v>
      </c>
      <c r="D137" s="36" t="n">
        <v>18649000</v>
      </c>
      <c r="E137" s="37" t="n">
        <f aca="false">IF(OR(C137="",D137=""),"",(C137+D137)/2)</f>
        <v>18649000</v>
      </c>
      <c r="F137" s="19" t="s">
        <v>1010</v>
      </c>
      <c r="G137" s="21" t="s">
        <v>1262</v>
      </c>
      <c r="H137" s="23" t="n">
        <v>46310</v>
      </c>
      <c r="I137" s="21" t="s">
        <v>1263</v>
      </c>
    </row>
    <row r="138" customFormat="false" ht="15" hidden="false" customHeight="true" outlineLevel="0" collapsed="false">
      <c r="A138" s="19" t="s">
        <v>655</v>
      </c>
      <c r="B138" s="19" t="s">
        <v>998</v>
      </c>
      <c r="C138" s="36" t="n">
        <v>18141035</v>
      </c>
      <c r="D138" s="36" t="n">
        <v>18141035</v>
      </c>
      <c r="E138" s="37" t="n">
        <f aca="false">IF(OR(C138="",D138=""),"",(C138+D138)/2)</f>
        <v>18141035</v>
      </c>
      <c r="F138" s="19" t="s">
        <v>1010</v>
      </c>
      <c r="G138" s="21" t="s">
        <v>1264</v>
      </c>
      <c r="H138" s="23" t="n">
        <v>46310</v>
      </c>
      <c r="I138" s="21" t="s">
        <v>1265</v>
      </c>
    </row>
    <row r="139" customFormat="false" ht="15" hidden="false" customHeight="true" outlineLevel="0" collapsed="false">
      <c r="A139" s="19" t="s">
        <v>664</v>
      </c>
      <c r="B139" s="19" t="s">
        <v>998</v>
      </c>
      <c r="C139" s="36" t="n">
        <v>16999000</v>
      </c>
      <c r="D139" s="36" t="n">
        <v>16999000</v>
      </c>
      <c r="E139" s="37" t="n">
        <f aca="false">IF(OR(C139="",D139=""),"",(C139+D139)/2)</f>
        <v>16999000</v>
      </c>
      <c r="F139" s="19" t="s">
        <v>1010</v>
      </c>
      <c r="G139" s="21" t="s">
        <v>1266</v>
      </c>
      <c r="H139" s="23" t="n">
        <v>46310</v>
      </c>
      <c r="I139" s="21" t="s">
        <v>1267</v>
      </c>
    </row>
    <row r="140" customFormat="false" ht="15" hidden="false" customHeight="true" outlineLevel="0" collapsed="false">
      <c r="A140" s="19" t="s">
        <v>664</v>
      </c>
      <c r="B140" s="19" t="s">
        <v>998</v>
      </c>
      <c r="C140" s="36" t="n">
        <v>10865000</v>
      </c>
      <c r="D140" s="36" t="n">
        <v>10865000</v>
      </c>
      <c r="E140" s="37" t="n">
        <f aca="false">IF(OR(C140="",D140=""),"",(C140+D140)/2)</f>
        <v>10865000</v>
      </c>
      <c r="F140" s="19" t="s">
        <v>999</v>
      </c>
      <c r="G140" s="21" t="s">
        <v>1268</v>
      </c>
      <c r="H140" s="23" t="n">
        <v>46310</v>
      </c>
      <c r="I140" s="21" t="s">
        <v>1269</v>
      </c>
    </row>
    <row r="141" customFormat="false" ht="15" hidden="false" customHeight="true" outlineLevel="0" collapsed="false">
      <c r="A141" s="19" t="s">
        <v>664</v>
      </c>
      <c r="B141" s="19" t="s">
        <v>998</v>
      </c>
      <c r="C141" s="36" t="n">
        <v>12974051</v>
      </c>
      <c r="D141" s="36" t="n">
        <v>12974051</v>
      </c>
      <c r="E141" s="37" t="n">
        <f aca="false">IF(OR(C141="",D141=""),"",(C141+D141)/2)</f>
        <v>12974051</v>
      </c>
      <c r="F141" s="19" t="s">
        <v>999</v>
      </c>
      <c r="G141" s="21" t="s">
        <v>1270</v>
      </c>
      <c r="H141" s="23" t="n">
        <v>46310</v>
      </c>
      <c r="I141" s="21" t="s">
        <v>1271</v>
      </c>
    </row>
    <row r="142" customFormat="false" ht="15" hidden="false" customHeight="true" outlineLevel="0" collapsed="false">
      <c r="A142" s="19" t="s">
        <v>670</v>
      </c>
      <c r="B142" s="19" t="s">
        <v>998</v>
      </c>
      <c r="C142" s="36" t="n">
        <v>11170000</v>
      </c>
      <c r="D142" s="36" t="n">
        <v>11170000</v>
      </c>
      <c r="E142" s="37" t="n">
        <f aca="false">IF(OR(C142="",D142=""),"",(C142+D142)/2)</f>
        <v>11170000</v>
      </c>
      <c r="F142" s="19" t="s">
        <v>999</v>
      </c>
      <c r="G142" s="21" t="s">
        <v>1272</v>
      </c>
      <c r="H142" s="23" t="n">
        <v>46310</v>
      </c>
      <c r="I142" s="21" t="s">
        <v>1273</v>
      </c>
    </row>
    <row r="143" customFormat="false" ht="15" hidden="false" customHeight="true" outlineLevel="0" collapsed="false">
      <c r="A143" s="19" t="s">
        <v>670</v>
      </c>
      <c r="B143" s="19" t="s">
        <v>998</v>
      </c>
      <c r="C143" s="36" t="n">
        <v>12065000</v>
      </c>
      <c r="D143" s="36" t="n">
        <v>12065000</v>
      </c>
      <c r="E143" s="37" t="n">
        <f aca="false">IF(OR(C143="",D143=""),"",(C143+D143)/2)</f>
        <v>12065000</v>
      </c>
      <c r="F143" s="19" t="s">
        <v>999</v>
      </c>
      <c r="G143" s="21" t="s">
        <v>1274</v>
      </c>
      <c r="H143" s="23" t="n">
        <v>46310</v>
      </c>
      <c r="I143" s="21" t="s">
        <v>1275</v>
      </c>
    </row>
    <row r="144" customFormat="false" ht="15" hidden="false" customHeight="true" outlineLevel="0" collapsed="false">
      <c r="A144" s="19" t="s">
        <v>670</v>
      </c>
      <c r="B144" s="19" t="s">
        <v>998</v>
      </c>
      <c r="C144" s="36" t="n">
        <v>13099000</v>
      </c>
      <c r="D144" s="36" t="n">
        <v>13099000</v>
      </c>
      <c r="E144" s="37" t="n">
        <f aca="false">IF(OR(C144="",D144=""),"",(C144+D144)/2)</f>
        <v>13099000</v>
      </c>
      <c r="F144" s="19" t="s">
        <v>999</v>
      </c>
      <c r="G144" s="21" t="s">
        <v>1276</v>
      </c>
      <c r="H144" s="23" t="n">
        <v>46310</v>
      </c>
      <c r="I144" s="21" t="s">
        <v>1277</v>
      </c>
    </row>
    <row r="145" customFormat="false" ht="15" hidden="false" customHeight="true" outlineLevel="0" collapsed="false">
      <c r="A145" s="19" t="s">
        <v>674</v>
      </c>
      <c r="B145" s="19" t="s">
        <v>998</v>
      </c>
      <c r="C145" s="36" t="n">
        <v>13294000</v>
      </c>
      <c r="D145" s="36" t="n">
        <v>13294000</v>
      </c>
      <c r="E145" s="37" t="n">
        <f aca="false">IF(OR(C145="",D145=""),"",(C145+D145)/2)</f>
        <v>13294000</v>
      </c>
      <c r="F145" s="19" t="s">
        <v>1010</v>
      </c>
      <c r="G145" s="21" t="s">
        <v>1278</v>
      </c>
      <c r="H145" s="23" t="n">
        <v>46310</v>
      </c>
      <c r="I145" s="21" t="s">
        <v>1279</v>
      </c>
    </row>
    <row r="146" customFormat="false" ht="15" hidden="false" customHeight="true" outlineLevel="0" collapsed="false">
      <c r="A146" s="19" t="s">
        <v>674</v>
      </c>
      <c r="B146" s="19" t="s">
        <v>998</v>
      </c>
      <c r="C146" s="36" t="n">
        <v>12137000</v>
      </c>
      <c r="D146" s="36" t="n">
        <v>12137000</v>
      </c>
      <c r="E146" s="37" t="n">
        <f aca="false">IF(OR(C146="",D146=""),"",(C146+D146)/2)</f>
        <v>12137000</v>
      </c>
      <c r="F146" s="19" t="s">
        <v>999</v>
      </c>
      <c r="G146" s="21" t="s">
        <v>1280</v>
      </c>
      <c r="H146" s="23" t="n">
        <v>46310</v>
      </c>
      <c r="I146" s="21" t="s">
        <v>1281</v>
      </c>
    </row>
    <row r="147" customFormat="false" ht="15" hidden="false" customHeight="true" outlineLevel="0" collapsed="false">
      <c r="A147" s="19" t="s">
        <v>674</v>
      </c>
      <c r="B147" s="19" t="s">
        <v>998</v>
      </c>
      <c r="C147" s="36" t="n">
        <v>13450000</v>
      </c>
      <c r="D147" s="36" t="n">
        <v>13450000</v>
      </c>
      <c r="E147" s="37" t="n">
        <f aca="false">IF(OR(C147="",D147=""),"",(C147+D147)/2)</f>
        <v>13450000</v>
      </c>
      <c r="F147" s="19" t="s">
        <v>999</v>
      </c>
      <c r="G147" s="21" t="s">
        <v>1282</v>
      </c>
      <c r="H147" s="23" t="n">
        <v>46310</v>
      </c>
      <c r="I147" s="21" t="s">
        <v>1283</v>
      </c>
    </row>
    <row r="148" customFormat="false" ht="15" hidden="false" customHeight="true" outlineLevel="0" collapsed="false">
      <c r="A148" s="19" t="s">
        <v>679</v>
      </c>
      <c r="B148" s="19" t="s">
        <v>998</v>
      </c>
      <c r="C148" s="36" t="n">
        <v>36499000</v>
      </c>
      <c r="D148" s="36" t="n">
        <v>36499000</v>
      </c>
      <c r="E148" s="37" t="n">
        <f aca="false">IF(OR(C148="",D148=""),"",(C148+D148)/2)</f>
        <v>36499000</v>
      </c>
      <c r="F148" s="19" t="s">
        <v>999</v>
      </c>
      <c r="G148" s="21" t="s">
        <v>1284</v>
      </c>
      <c r="H148" s="23" t="n">
        <v>46305</v>
      </c>
      <c r="I148" s="21" t="s">
        <v>1285</v>
      </c>
    </row>
    <row r="149" customFormat="false" ht="15" hidden="false" customHeight="true" outlineLevel="0" collapsed="false">
      <c r="A149" s="19" t="s">
        <v>679</v>
      </c>
      <c r="B149" s="19" t="s">
        <v>998</v>
      </c>
      <c r="C149" s="36" t="n">
        <v>32809000</v>
      </c>
      <c r="D149" s="36" t="n">
        <v>32809000</v>
      </c>
      <c r="E149" s="37" t="n">
        <f aca="false">IF(OR(C149="",D149=""),"",(C149+D149)/2)</f>
        <v>32809000</v>
      </c>
      <c r="F149" s="19" t="s">
        <v>999</v>
      </c>
      <c r="G149" s="21" t="s">
        <v>1286</v>
      </c>
      <c r="H149" s="23" t="n">
        <v>46305</v>
      </c>
      <c r="I149" s="21" t="s">
        <v>1287</v>
      </c>
    </row>
    <row r="150" customFormat="false" ht="15" hidden="false" customHeight="true" outlineLevel="0" collapsed="false">
      <c r="A150" s="19" t="s">
        <v>679</v>
      </c>
      <c r="B150" s="19" t="s">
        <v>998</v>
      </c>
      <c r="C150" s="36" t="n">
        <v>31489000</v>
      </c>
      <c r="D150" s="36" t="n">
        <v>31489000</v>
      </c>
      <c r="E150" s="37" t="n">
        <f aca="false">IF(OR(C150="",D150=""),"",(C150+D150)/2)</f>
        <v>31489000</v>
      </c>
      <c r="F150" s="19" t="s">
        <v>999</v>
      </c>
      <c r="G150" s="21" t="s">
        <v>1288</v>
      </c>
      <c r="H150" s="23" t="n">
        <v>46305</v>
      </c>
      <c r="I150" s="21" t="s">
        <v>1289</v>
      </c>
    </row>
    <row r="151" customFormat="false" ht="15" hidden="false" customHeight="true" outlineLevel="0" collapsed="false">
      <c r="A151" s="19" t="s">
        <v>679</v>
      </c>
      <c r="B151" s="19" t="s">
        <v>998</v>
      </c>
      <c r="C151" s="36" t="n">
        <v>30499000</v>
      </c>
      <c r="D151" s="36" t="n">
        <v>30499000</v>
      </c>
      <c r="E151" s="37" t="n">
        <f aca="false">IF(OR(C151="",D151=""),"",(C151+D151)/2)</f>
        <v>30499000</v>
      </c>
      <c r="F151" s="19" t="s">
        <v>999</v>
      </c>
      <c r="G151" s="21" t="s">
        <v>1290</v>
      </c>
      <c r="H151" s="23" t="n">
        <v>46305</v>
      </c>
      <c r="I151" s="21" t="s">
        <v>1291</v>
      </c>
    </row>
    <row r="152" customFormat="false" ht="15" hidden="false" customHeight="true" outlineLevel="0" collapsed="false">
      <c r="A152" s="19" t="s">
        <v>685</v>
      </c>
      <c r="B152" s="19" t="s">
        <v>998</v>
      </c>
      <c r="C152" s="36" t="n">
        <v>15394000</v>
      </c>
      <c r="D152" s="36" t="n">
        <v>15394000</v>
      </c>
      <c r="E152" s="37" t="n">
        <f aca="false">IF(OR(C152="",D152=""),"",(C152+D152)/2)</f>
        <v>15394000</v>
      </c>
      <c r="F152" s="19" t="s">
        <v>999</v>
      </c>
      <c r="G152" s="21" t="s">
        <v>1292</v>
      </c>
      <c r="H152" s="23" t="n">
        <v>46305</v>
      </c>
      <c r="I152" s="21" t="s">
        <v>1293</v>
      </c>
    </row>
    <row r="153" customFormat="false" ht="15" hidden="false" customHeight="true" outlineLevel="0" collapsed="false">
      <c r="A153" s="19" t="s">
        <v>685</v>
      </c>
      <c r="B153" s="19" t="s">
        <v>998</v>
      </c>
      <c r="C153" s="36" t="n">
        <v>14073999</v>
      </c>
      <c r="D153" s="36" t="n">
        <v>14073999</v>
      </c>
      <c r="E153" s="37" t="n">
        <f aca="false">IF(OR(C153="",D153=""),"",(C153+D153)/2)</f>
        <v>14073999</v>
      </c>
      <c r="F153" s="19" t="s">
        <v>999</v>
      </c>
      <c r="G153" s="21" t="s">
        <v>1294</v>
      </c>
      <c r="H153" s="23" t="n">
        <v>46305</v>
      </c>
      <c r="I153" s="21" t="s">
        <v>1295</v>
      </c>
    </row>
    <row r="154" customFormat="false" ht="15" hidden="false" customHeight="true" outlineLevel="0" collapsed="false">
      <c r="A154" s="19" t="s">
        <v>685</v>
      </c>
      <c r="B154" s="19" t="s">
        <v>998</v>
      </c>
      <c r="C154" s="36" t="n">
        <v>14869000</v>
      </c>
      <c r="D154" s="36" t="n">
        <v>14869000</v>
      </c>
      <c r="E154" s="37" t="n">
        <f aca="false">IF(OR(C154="",D154=""),"",(C154+D154)/2)</f>
        <v>14869000</v>
      </c>
      <c r="F154" s="19" t="s">
        <v>1010</v>
      </c>
      <c r="G154" s="21" t="s">
        <v>1296</v>
      </c>
      <c r="H154" s="23" t="n">
        <v>46305</v>
      </c>
      <c r="I154" s="21" t="s">
        <v>1297</v>
      </c>
    </row>
    <row r="155" customFormat="false" ht="15" hidden="false" customHeight="true" outlineLevel="0" collapsed="false">
      <c r="A155" s="19" t="s">
        <v>692</v>
      </c>
      <c r="B155" s="19" t="s">
        <v>998</v>
      </c>
      <c r="C155" s="36" t="n">
        <v>24150590</v>
      </c>
      <c r="D155" s="36" t="n">
        <v>24150590</v>
      </c>
      <c r="E155" s="37" t="n">
        <f aca="false">IF(OR(C155="",D155=""),"",(C155+D155)/2)</f>
        <v>24150590</v>
      </c>
      <c r="F155" s="19" t="s">
        <v>999</v>
      </c>
      <c r="G155" s="21" t="s">
        <v>1298</v>
      </c>
      <c r="H155" s="23" t="n">
        <v>46305</v>
      </c>
      <c r="I155" s="21" t="s">
        <v>1299</v>
      </c>
    </row>
    <row r="156" customFormat="false" ht="15" hidden="false" customHeight="true" outlineLevel="0" collapsed="false">
      <c r="A156" s="19" t="s">
        <v>692</v>
      </c>
      <c r="B156" s="19" t="s">
        <v>998</v>
      </c>
      <c r="C156" s="36" t="n">
        <v>27100000</v>
      </c>
      <c r="D156" s="36" t="n">
        <v>27100000</v>
      </c>
      <c r="E156" s="37" t="n">
        <f aca="false">IF(OR(C156="",D156=""),"",(C156+D156)/2)</f>
        <v>27100000</v>
      </c>
      <c r="F156" s="19" t="s">
        <v>999</v>
      </c>
      <c r="G156" s="21" t="s">
        <v>1300</v>
      </c>
      <c r="H156" s="23" t="n">
        <v>46305</v>
      </c>
      <c r="I156" s="21" t="s">
        <v>1301</v>
      </c>
    </row>
    <row r="157" customFormat="false" ht="15" hidden="false" customHeight="true" outlineLevel="0" collapsed="false">
      <c r="A157" s="19" t="s">
        <v>692</v>
      </c>
      <c r="B157" s="19" t="s">
        <v>998</v>
      </c>
      <c r="C157" s="36" t="n">
        <v>22699000</v>
      </c>
      <c r="D157" s="36" t="n">
        <v>22699000</v>
      </c>
      <c r="E157" s="37" t="n">
        <f aca="false">IF(OR(C157="",D157=""),"",(C157+D157)/2)</f>
        <v>22699000</v>
      </c>
      <c r="F157" s="19" t="s">
        <v>999</v>
      </c>
      <c r="G157" s="21" t="s">
        <v>1302</v>
      </c>
      <c r="H157" s="23" t="n">
        <v>46305</v>
      </c>
      <c r="I157" s="21" t="s">
        <v>1303</v>
      </c>
    </row>
  </sheetData>
  <autoFilter ref="A3:I157"/>
  <dataValidations count="5">
    <dataValidation allowBlank="true" error="Isi tanggal antara 2020-01-01 dan 2035-12-31, misalnya 2026-10-08." errorStyle="warning" errorTitle="Tanggal tidak wajar" operator="between" showDropDown="false" showErrorMessage="true" showInputMessage="false" sqref="H5:H194" type="date">
      <formula1>43831</formula1>
      <formula2>49674</formula2>
    </dataValidation>
    <dataValidation allowBlank="true" error="Nilai ini belum ada di tab asalnya. Tambahkan di tab itu terlebih dahulu, lalu pilih dari daftar." errorStyle="warning" errorTitle="Belum ada di tab asalnya" operator="between" showDropDown="false" showErrorMessage="true" showInputMessage="false" sqref="A5:A194" type="list">
      <formula1>Varian!$A$5:$A$64</formula1>
      <formula2>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B5:B194" type="list">
      <formula1>Pilihan!$W$2:$W$3</formula1>
      <formula2>0</formula2>
    </dataValidation>
    <dataValidation allowBlank="true" error="Isi harga dalam rupiah tanpa titik atau koma, antara 0 dan 300000000." errorStyle="warning" errorTitle="Harga tidak wajar" operator="between" showDropDown="false" showErrorMessage="true" showInputMessage="false" sqref="C5:D194" type="whole">
      <formula1>0</formula1>
      <formula2>300000000</formula2>
    </dataValidation>
    <dataValidation allowBlank="true" error="Nilai ini tidak ada di daftar pilihan. Pilih dari daftar, atau ketik unknown bila belum tahu." errorStyle="warning" errorTitle="Nilai di luar daftar" operator="between" showDropDown="false" showErrorMessage="true" showInputMessage="false" sqref="F5:F194" type="list">
      <formula1>Pilihan!$X$2:$X$5</formula1>
      <formula2>0</formula2>
    </dataValidation>
  </dataValidations>
  <hyperlinks>
    <hyperlink ref="G5" r:id="rId2" display="https://poinxtra.cimbniaga.co.id/TD/29907030/Asus-Vivobook-14-Ryzen-5-7430U-16-512GB-Cool-Silver-M1405YA-VIPS555"/>
    <hyperlink ref="G6" r:id="rId3" display="https://ekatalog.its.ac.id/shop/product/asus-m1405ya-vips555-non-tkdn-5972?page=3"/>
    <hyperlink ref="G7" r:id="rId4" display="https://www.tokopedia.com/decacom/asus-vivobook-14-oled-m1405ya-ryzen-7-7730u-ryzen-5-7430u-16gb-512ssd-1tb-w11-ohs-1730850621135292383"/>
    <hyperlink ref="G8" r:id="rId5" display="https://www.tokopedia.com/find/asus-vivobook-14-m1405ya-ryzen-5-7430u-16gb-512gb"/>
    <hyperlink ref="G9" r:id="rId6" display="https://hp.com/id-id/shop/hp-pavilion-x360-2-in-1-laptop-14-ek1005tu-7n725pa.html"/>
    <hyperlink ref="G10" r:id="rId7" display="https://www.tokopedia.com/find/laptop-hp-pavilion-x360-core-i5-1335u-16gb-512gb"/>
    <hyperlink ref="G11" r:id="rId8" display="https://www.erablue.id/laptop/laptop-axioo-slimbook-hype-10-celeron-n4020-8gb-256gb-win11-midnight-black"/>
    <hyperlink ref="G12" r:id="rId9" display="https://www.tokopedia.com/find/axioo-hype-10"/>
    <hyperlink ref="G13" r:id="rId10" display="https://poinxtra.cimbniaga.co.id/TD/29772632/AXIOO-HYPE-10-N4020-8GB-256GB-W10-14-0-244C08HNR0-MIDNIGHT-BLACK"/>
    <hyperlink ref="G14" r:id="rId11" display="https://www.tokopedia.com/find/axioo-hype-10"/>
    <hyperlink ref="G15" r:id="rId12" display="https://www.tokopedia.com/find/thinkpad-t480-i5-8350u-8gb-256gb"/>
    <hyperlink ref="G16" r:id="rId13" display="https://www.tokopedia.com/tiercom/laptop-lenovo-thinkpad-t480-intel-core-i5-gen-8th-ram-8gb-ssd-256gb-99-like-new-laptop-second-murah-berkualitas-bergaransi"/>
    <hyperlink ref="G17" r:id="rId14" display="https://www.tokopedia.com/find/thinkpad-t480-i5-8350u-16gb-512gb"/>
    <hyperlink ref="G18" r:id="rId15" display="https://www.tokopedia.com/find/dell-latitude-5400-i5-8265u"/>
    <hyperlink ref="G19" r:id="rId16" display="https://www.tokopedia.com/find/dell-latitude-5400-i5-8365u-8gb-256gb"/>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7"/>
  <legacyDrawing r:id="rId18"/>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G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2"/>
    <col collapsed="false" customWidth="true" hidden="false" outlineLevel="0" max="3" min="3" style="1" width="14"/>
    <col collapsed="false" customWidth="true" hidden="false" outlineLevel="0" max="4" min="4" style="1" width="44"/>
    <col collapsed="false" customWidth="true" hidden="false" outlineLevel="0" max="5" min="5" style="1" width="52"/>
    <col collapsed="false" customWidth="true" hidden="false" outlineLevel="0" max="6" min="6" style="1" width="44"/>
    <col collapsed="false" customWidth="true" hidden="false" outlineLevel="0" max="7" min="7" style="1" width="66"/>
  </cols>
  <sheetData>
    <row r="1" customFormat="false" ht="17.25" hidden="false" customHeight="true" outlineLevel="0" collapsed="false">
      <c r="A1" s="2" t="s">
        <v>1304</v>
      </c>
    </row>
    <row r="2" customFormat="false" ht="15" hidden="false" customHeight="true" outlineLevel="0" collapsed="false">
      <c r="A2" s="9" t="s">
        <v>1305</v>
      </c>
    </row>
    <row r="3" customFormat="false" ht="43.5" hidden="false" customHeight="true" outlineLevel="0" collapsed="false">
      <c r="A3" s="25" t="s">
        <v>1306</v>
      </c>
      <c r="B3" s="25" t="s">
        <v>1307</v>
      </c>
      <c r="C3" s="25" t="s">
        <v>1308</v>
      </c>
      <c r="D3" s="25" t="s">
        <v>1309</v>
      </c>
      <c r="E3" s="25" t="s">
        <v>1310</v>
      </c>
      <c r="F3" s="25" t="s">
        <v>1311</v>
      </c>
      <c r="G3" s="30" t="s">
        <v>1312</v>
      </c>
    </row>
    <row r="4" customFormat="false" ht="85.5" hidden="false" customHeight="true" outlineLevel="0" collapsed="false">
      <c r="A4" s="33" t="str">
        <f aca="false">IF(Model!C5="","",Model!B5&amp;" "&amp;Model!C5)</f>
        <v>ASUS Vivobook 14 M1405YA</v>
      </c>
      <c r="B4" s="33" t="str">
        <f aca="false">IF(Model!D5="","",Model!D5)</f>
        <v>Baru populer</v>
      </c>
      <c r="C4" s="39"/>
      <c r="D4" s="21" t="s">
        <v>1313</v>
      </c>
      <c r="E4" s="21" t="s">
        <v>1314</v>
      </c>
      <c r="F4" s="21" t="s">
        <v>1315</v>
      </c>
      <c r="G4" s="21" t="s">
        <v>1316</v>
      </c>
    </row>
    <row r="5" customFormat="false" ht="85.5" hidden="false" customHeight="true" outlineLevel="0" collapsed="false">
      <c r="A5" s="33" t="str">
        <f aca="false">IF(Model!C6="","",Model!B6&amp;" "&amp;Model!C6)</f>
        <v>HP Pavilion x360 14-ek1000</v>
      </c>
      <c r="B5" s="33" t="str">
        <f aca="false">IF(Model!D6="","",Model!D6)</f>
        <v>Baru tipis atau 2-in-1</v>
      </c>
      <c r="C5" s="39"/>
      <c r="D5" s="21" t="s">
        <v>1317</v>
      </c>
      <c r="E5" s="21" t="s">
        <v>1318</v>
      </c>
      <c r="F5" s="21" t="s">
        <v>1319</v>
      </c>
      <c r="G5" s="21" t="s">
        <v>1320</v>
      </c>
    </row>
    <row r="6" customFormat="false" ht="124.5" hidden="false" customHeight="true" outlineLevel="0" collapsed="false">
      <c r="A6" s="33" t="str">
        <f aca="false">IF(Model!C7="","",Model!B7&amp;" "&amp;Model!C7)</f>
        <v>Axioo Hype 10</v>
      </c>
      <c r="B6" s="33" t="str">
        <f aca="false">IF(Model!D7="","",Model!D7)</f>
        <v>Merek lokal</v>
      </c>
      <c r="C6" s="39"/>
      <c r="D6" s="21" t="s">
        <v>1321</v>
      </c>
      <c r="E6" s="21" t="s">
        <v>1322</v>
      </c>
      <c r="F6" s="21" t="s">
        <v>1323</v>
      </c>
      <c r="G6" s="21" t="s">
        <v>1324</v>
      </c>
    </row>
    <row r="7" customFormat="false" ht="85.5" hidden="false" customHeight="true" outlineLevel="0" collapsed="false">
      <c r="A7" s="33" t="str">
        <f aca="false">IF(Model!C8="","",Model!B8&amp;" "&amp;Model!C8)</f>
        <v>Lenovo ThinkPad T480</v>
      </c>
      <c r="B7" s="33" t="str">
        <f aca="false">IF(Model!D8="","",Model!D8)</f>
        <v>Bekas 1</v>
      </c>
      <c r="C7" s="39"/>
      <c r="D7" s="21" t="s">
        <v>1325</v>
      </c>
      <c r="E7" s="21" t="s">
        <v>1326</v>
      </c>
      <c r="F7" s="21" t="s">
        <v>1327</v>
      </c>
      <c r="G7" s="21" t="s">
        <v>1328</v>
      </c>
    </row>
    <row r="8" customFormat="false" ht="85.5" hidden="false" customHeight="true" outlineLevel="0" collapsed="false">
      <c r="A8" s="33" t="str">
        <f aca="false">IF(Model!C9="","",Model!B9&amp;" "&amp;Model!C9)</f>
        <v>Dell Latitude 5400</v>
      </c>
      <c r="B8" s="33" t="str">
        <f aca="false">IF(Model!D9="","",Model!D9)</f>
        <v>Bekas 2</v>
      </c>
      <c r="C8" s="39"/>
      <c r="D8" s="21" t="s">
        <v>1329</v>
      </c>
      <c r="E8" s="21" t="s">
        <v>1330</v>
      </c>
      <c r="F8" s="21" t="s">
        <v>1331</v>
      </c>
      <c r="G8" s="21" t="s">
        <v>1332</v>
      </c>
    </row>
    <row r="9" customFormat="false" ht="85.5" hidden="false" customHeight="true" outlineLevel="0" collapsed="false">
      <c r="A9" s="33" t="str">
        <f aca="false">IF(Model!C10="","",Model!B10&amp;" "&amp;Model!C10)</f>
        <v>ASUS Zenbook 14 OLED UX3405MA</v>
      </c>
      <c r="B9" s="33" t="str">
        <f aca="false">IF(Model!D10="","",Model!D10)</f>
        <v/>
      </c>
      <c r="C9" s="39"/>
      <c r="D9" s="21" t="s">
        <v>1333</v>
      </c>
      <c r="E9" s="21" t="s">
        <v>1334</v>
      </c>
      <c r="F9" s="21" t="s">
        <v>1335</v>
      </c>
      <c r="G9" s="21"/>
    </row>
    <row r="10" customFormat="false" ht="85.5" hidden="false" customHeight="true" outlineLevel="0" collapsed="false">
      <c r="A10" s="33" t="str">
        <f aca="false">IF(Model!C11="","",Model!B11&amp;" "&amp;Model!C11)</f>
        <v>Acer Aspire 3 Slim A314-23M</v>
      </c>
      <c r="B10" s="33" t="str">
        <f aca="false">IF(Model!D11="","",Model!D11)</f>
        <v/>
      </c>
      <c r="C10" s="39"/>
      <c r="D10" s="21" t="s">
        <v>1336</v>
      </c>
      <c r="E10" s="21" t="s">
        <v>1337</v>
      </c>
      <c r="F10" s="21" t="s">
        <v>1338</v>
      </c>
      <c r="G10" s="21" t="s">
        <v>1339</v>
      </c>
    </row>
    <row r="11" customFormat="false" ht="85.5" hidden="false" customHeight="true" outlineLevel="0" collapsed="false">
      <c r="A11" s="33" t="str">
        <f aca="false">IF(Model!C12="","",Model!B12&amp;" "&amp;Model!C12)</f>
        <v>Lenovo IdeaPad Slim 3 14IAH8</v>
      </c>
      <c r="B11" s="33" t="str">
        <f aca="false">IF(Model!D12="","",Model!D12)</f>
        <v/>
      </c>
      <c r="C11" s="39"/>
      <c r="D11" s="21" t="s">
        <v>1340</v>
      </c>
      <c r="E11" s="21" t="s">
        <v>1341</v>
      </c>
      <c r="F11" s="21" t="s">
        <v>1342</v>
      </c>
      <c r="G11" s="21" t="s">
        <v>1343</v>
      </c>
    </row>
    <row r="12" customFormat="false" ht="85.5" hidden="false" customHeight="true" outlineLevel="0" collapsed="false">
      <c r="A12" s="33" t="str">
        <f aca="false">IF(Model!C13="","",Model!B13&amp;" "&amp;Model!C13)</f>
        <v>ASUS Vivobook Go 14 E1404</v>
      </c>
      <c r="B12" s="33" t="str">
        <f aca="false">IF(Model!D13="","",Model!D13)</f>
        <v/>
      </c>
      <c r="C12" s="39"/>
      <c r="D12" s="21" t="s">
        <v>1344</v>
      </c>
      <c r="E12" s="21" t="s">
        <v>1345</v>
      </c>
      <c r="F12" s="21" t="s">
        <v>1346</v>
      </c>
      <c r="G12" s="21" t="s">
        <v>1347</v>
      </c>
    </row>
    <row r="13" customFormat="false" ht="85.5" hidden="false" customHeight="true" outlineLevel="0" collapsed="false">
      <c r="A13" s="33" t="str">
        <f aca="false">IF(Model!C14="","",Model!B14&amp;" "&amp;Model!C14)</f>
        <v>ASUS Vivobook 15 A1504 (di luar negeri bernama X1504)</v>
      </c>
      <c r="B13" s="33" t="str">
        <f aca="false">IF(Model!D14="","",Model!D14)</f>
        <v/>
      </c>
      <c r="C13" s="39"/>
      <c r="D13" s="21" t="s">
        <v>1348</v>
      </c>
      <c r="E13" s="21" t="s">
        <v>1349</v>
      </c>
      <c r="F13" s="21" t="s">
        <v>1350</v>
      </c>
      <c r="G13" s="21"/>
    </row>
    <row r="14" customFormat="false" ht="85.5" hidden="false" customHeight="true" outlineLevel="0" collapsed="false">
      <c r="A14" s="33" t="str">
        <f aca="false">IF(Model!C15="","",Model!B15&amp;" "&amp;Model!C15)</f>
        <v>HP HP Laptop 14 (14-ep1xxx); di sebagian toko seri 14-ep ditulis sebagai 14s-ep</v>
      </c>
      <c r="B14" s="33" t="str">
        <f aca="false">IF(Model!D15="","",Model!D15)</f>
        <v/>
      </c>
      <c r="C14" s="39"/>
      <c r="D14" s="21" t="s">
        <v>1351</v>
      </c>
      <c r="E14" s="21" t="s">
        <v>1352</v>
      </c>
      <c r="F14" s="21" t="s">
        <v>1353</v>
      </c>
      <c r="G14" s="21" t="s">
        <v>1354</v>
      </c>
    </row>
    <row r="15" customFormat="false" ht="85.5" hidden="false" customHeight="true" outlineLevel="0" collapsed="false">
      <c r="A15" s="33" t="str">
        <f aca="false">IF(Model!C16="","",Model!B16&amp;" "&amp;Model!C16)</f>
        <v>Lenovo IdeaPad Slim 5 14IRH10R (Gen 10, prosesor Intel)</v>
      </c>
      <c r="B15" s="33" t="str">
        <f aca="false">IF(Model!D16="","",Model!D16)</f>
        <v/>
      </c>
      <c r="C15" s="39"/>
      <c r="D15" s="21" t="s">
        <v>1355</v>
      </c>
      <c r="E15" s="21" t="s">
        <v>1356</v>
      </c>
      <c r="F15" s="21" t="s">
        <v>1357</v>
      </c>
      <c r="G15" s="21" t="s">
        <v>1358</v>
      </c>
    </row>
    <row r="16" customFormat="false" ht="85.5" hidden="false" customHeight="true" outlineLevel="0" collapsed="false">
      <c r="A16" s="33" t="str">
        <f aca="false">IF(Model!C17="","",Model!B17&amp;" "&amp;Model!C17)</f>
        <v>Lenovo ThinkBook 14 Gen 9 (G9 IPL, prosesor Intel)</v>
      </c>
      <c r="B16" s="33" t="str">
        <f aca="false">IF(Model!D17="","",Model!D17)</f>
        <v/>
      </c>
      <c r="C16" s="39"/>
      <c r="D16" s="21" t="s">
        <v>1359</v>
      </c>
      <c r="E16" s="21" t="s">
        <v>1360</v>
      </c>
      <c r="F16" s="21" t="s">
        <v>1361</v>
      </c>
      <c r="G16" s="21" t="s">
        <v>1362</v>
      </c>
    </row>
    <row r="17" customFormat="false" ht="85.5" hidden="false" customHeight="true" outlineLevel="0" collapsed="false">
      <c r="A17" s="33" t="str">
        <f aca="false">IF(Model!C18="","",Model!B18&amp;" "&amp;Model!C18)</f>
        <v>Acer Swift Go 14 AI SFG14-64 (prosesor AMD)</v>
      </c>
      <c r="B17" s="33" t="str">
        <f aca="false">IF(Model!D18="","",Model!D18)</f>
        <v/>
      </c>
      <c r="C17" s="39"/>
      <c r="D17" s="21" t="s">
        <v>1363</v>
      </c>
      <c r="E17" s="21" t="s">
        <v>1364</v>
      </c>
      <c r="F17" s="21" t="s">
        <v>1365</v>
      </c>
      <c r="G17" s="21" t="s">
        <v>1366</v>
      </c>
    </row>
    <row r="18" customFormat="false" ht="85.5" hidden="false" customHeight="true" outlineLevel="0" collapsed="false">
      <c r="A18" s="33" t="str">
        <f aca="false">IF(Model!C19="","",Model!B19&amp;" "&amp;Model!C19)</f>
        <v>Apple MacBook Air 13 inci (chip M5, 2026)</v>
      </c>
      <c r="B18" s="33" t="str">
        <f aca="false">IF(Model!D19="","",Model!D19)</f>
        <v/>
      </c>
      <c r="C18" s="39"/>
      <c r="D18" s="21" t="s">
        <v>1367</v>
      </c>
      <c r="E18" s="21" t="s">
        <v>1368</v>
      </c>
      <c r="F18" s="21" t="s">
        <v>1369</v>
      </c>
      <c r="G18" s="21" t="s">
        <v>1370</v>
      </c>
    </row>
    <row r="19" customFormat="false" ht="85.5" hidden="false" customHeight="true" outlineLevel="0" collapsed="false">
      <c r="A19" s="33" t="str">
        <f aca="false">IF(Model!C20="","",Model!B20&amp;" "&amp;Model!C20)</f>
        <v>ASUS TUF Gaming A15 FA507N (varian FA507NUR dan FA507NVR)</v>
      </c>
      <c r="B19" s="33" t="str">
        <f aca="false">IF(Model!D20="","",Model!D20)</f>
        <v/>
      </c>
      <c r="C19" s="39"/>
      <c r="D19" s="21" t="s">
        <v>1371</v>
      </c>
      <c r="E19" s="21" t="s">
        <v>1372</v>
      </c>
      <c r="F19" s="21" t="s">
        <v>1373</v>
      </c>
      <c r="G19" s="21" t="s">
        <v>1374</v>
      </c>
    </row>
    <row r="20" customFormat="false" ht="85.5" hidden="false" customHeight="true" outlineLevel="0" collapsed="false">
      <c r="A20" s="33" t="str">
        <f aca="false">IF(Model!C21="","",Model!B21&amp;" "&amp;Model!C21)</f>
        <v>Lenovo LOQ 15IRX10 (Intel)</v>
      </c>
      <c r="B20" s="33" t="str">
        <f aca="false">IF(Model!D21="","",Model!D21)</f>
        <v/>
      </c>
      <c r="C20" s="39"/>
      <c r="D20" s="21" t="s">
        <v>1375</v>
      </c>
      <c r="E20" s="21" t="s">
        <v>1376</v>
      </c>
      <c r="F20" s="21" t="s">
        <v>1377</v>
      </c>
      <c r="G20" s="21" t="s">
        <v>1378</v>
      </c>
    </row>
    <row r="21" customFormat="false" ht="85.5" hidden="false" customHeight="true" outlineLevel="0" collapsed="false">
      <c r="A21" s="33" t="str">
        <f aca="false">IF(Model!C22="","",Model!B22&amp;" "&amp;Model!C22)</f>
        <v>Acer Nitro V 15 ANV15-52 (Intel)</v>
      </c>
      <c r="B21" s="33" t="str">
        <f aca="false">IF(Model!D22="","",Model!D22)</f>
        <v/>
      </c>
      <c r="C21" s="39"/>
      <c r="D21" s="21" t="s">
        <v>1379</v>
      </c>
      <c r="E21" s="21" t="s">
        <v>1380</v>
      </c>
      <c r="F21" s="21" t="s">
        <v>1381</v>
      </c>
      <c r="G21" s="21" t="s">
        <v>1382</v>
      </c>
    </row>
    <row r="22" customFormat="false" ht="85.5" hidden="false" customHeight="true" outlineLevel="0" collapsed="false">
      <c r="A22" s="33" t="str">
        <f aca="false">IF(Model!C23="","",Model!B23&amp;" "&amp;Model!C23)</f>
        <v>Lenovo ThinkPad T14 Gen 1 (Intel)</v>
      </c>
      <c r="B22" s="33" t="str">
        <f aca="false">IF(Model!D23="","",Model!D23)</f>
        <v/>
      </c>
      <c r="C22" s="39"/>
      <c r="D22" s="21" t="s">
        <v>1383</v>
      </c>
      <c r="E22" s="21" t="s">
        <v>1384</v>
      </c>
      <c r="F22" s="21" t="s">
        <v>1385</v>
      </c>
      <c r="G22" s="21" t="s">
        <v>1386</v>
      </c>
    </row>
    <row r="23" customFormat="false" ht="85.5" hidden="false" customHeight="true" outlineLevel="0" collapsed="false">
      <c r="A23" s="33" t="str">
        <f aca="false">IF(Model!C24="","",Model!B24&amp;" "&amp;Model!C24)</f>
        <v>Dell Latitude 7490</v>
      </c>
      <c r="B23" s="33" t="str">
        <f aca="false">IF(Model!D24="","",Model!D24)</f>
        <v/>
      </c>
      <c r="C23" s="39"/>
      <c r="D23" s="21" t="s">
        <v>1387</v>
      </c>
      <c r="E23" s="21" t="s">
        <v>1388</v>
      </c>
      <c r="F23" s="21" t="s">
        <v>1389</v>
      </c>
      <c r="G23" s="21" t="s">
        <v>1390</v>
      </c>
    </row>
    <row r="24" customFormat="false" ht="85.5" hidden="false" customHeight="true" outlineLevel="0" collapsed="false">
      <c r="A24" s="33" t="str">
        <f aca="false">IF(Model!C25="","",Model!B25&amp;" "&amp;Model!C25)</f>
        <v>HP EliteBook 840 G6</v>
      </c>
      <c r="B24" s="33" t="str">
        <f aca="false">IF(Model!D25="","",Model!D25)</f>
        <v/>
      </c>
      <c r="C24" s="39"/>
      <c r="D24" s="21" t="s">
        <v>1391</v>
      </c>
      <c r="E24" s="21" t="s">
        <v>1392</v>
      </c>
      <c r="F24" s="21" t="s">
        <v>1393</v>
      </c>
      <c r="G24" s="21" t="s">
        <v>1394</v>
      </c>
    </row>
    <row r="25" customFormat="false" ht="85.5" hidden="false" customHeight="true" outlineLevel="0" collapsed="false">
      <c r="A25" s="33" t="str">
        <f aca="false">IF(Model!C26="","",Model!B26&amp;" "&amp;Model!C26)</f>
        <v>HP Victus 15 fa2666TX</v>
      </c>
      <c r="B25" s="33" t="str">
        <f aca="false">IF(Model!D26="","",Model!D26)</f>
        <v/>
      </c>
      <c r="C25" s="39"/>
      <c r="D25" s="21" t="s">
        <v>1395</v>
      </c>
      <c r="E25" s="21" t="s">
        <v>1396</v>
      </c>
      <c r="F25" s="21" t="s">
        <v>1397</v>
      </c>
      <c r="G25" s="21"/>
    </row>
    <row r="26" customFormat="false" ht="85.5" hidden="false" customHeight="true" outlineLevel="0" collapsed="false">
      <c r="A26" s="33" t="str">
        <f aca="false">IF(Model!C27="","",Model!B27&amp;" "&amp;Model!C27)</f>
        <v>MSI Thin 15 B13UC</v>
      </c>
      <c r="B26" s="33" t="str">
        <f aca="false">IF(Model!D27="","",Model!D27)</f>
        <v/>
      </c>
      <c r="C26" s="39"/>
      <c r="D26" s="21" t="s">
        <v>1398</v>
      </c>
      <c r="E26" s="21" t="s">
        <v>1399</v>
      </c>
      <c r="F26" s="21" t="s">
        <v>1400</v>
      </c>
      <c r="G26" s="21" t="s">
        <v>1401</v>
      </c>
    </row>
    <row r="27" customFormat="false" ht="85.5" hidden="false" customHeight="true" outlineLevel="0" collapsed="false">
      <c r="A27" s="33" t="str">
        <f aca="false">IF(Model!C28="","",Model!B28&amp;" "&amp;Model!C28)</f>
        <v>ASUS ROG Strix G16 (2025) G614PM</v>
      </c>
      <c r="B27" s="33" t="str">
        <f aca="false">IF(Model!D28="","",Model!D28)</f>
        <v/>
      </c>
      <c r="C27" s="39"/>
      <c r="D27" s="21" t="s">
        <v>1402</v>
      </c>
      <c r="E27" s="21" t="s">
        <v>1403</v>
      </c>
      <c r="F27" s="21" t="s">
        <v>1404</v>
      </c>
      <c r="G27" s="21"/>
    </row>
    <row r="28" customFormat="false" ht="85.5" hidden="false" customHeight="true" outlineLevel="0" collapsed="false">
      <c r="A28" s="33" t="str">
        <f aca="false">IF(Model!C29="","",Model!B29&amp;" "&amp;Model!C29)</f>
        <v>Lenovo Legion 5 15IRX10</v>
      </c>
      <c r="B28" s="33" t="str">
        <f aca="false">IF(Model!D29="","",Model!D29)</f>
        <v/>
      </c>
      <c r="C28" s="39"/>
      <c r="D28" s="21" t="s">
        <v>1405</v>
      </c>
      <c r="E28" s="21" t="s">
        <v>1406</v>
      </c>
      <c r="F28" s="21" t="s">
        <v>1407</v>
      </c>
      <c r="G28" s="21"/>
    </row>
    <row r="29" customFormat="false" ht="85.5" hidden="false" customHeight="true" outlineLevel="0" collapsed="false">
      <c r="A29" s="33" t="str">
        <f aca="false">IF(Model!C30="","",Model!B30&amp;" "&amp;Model!C30)</f>
        <v>Acer Aspire Lite 14 AL14-32P</v>
      </c>
      <c r="B29" s="33" t="str">
        <f aca="false">IF(Model!D30="","",Model!D30)</f>
        <v/>
      </c>
      <c r="C29" s="39"/>
      <c r="D29" s="21" t="s">
        <v>1408</v>
      </c>
      <c r="E29" s="21" t="s">
        <v>1409</v>
      </c>
      <c r="F29" s="21" t="s">
        <v>1410</v>
      </c>
      <c r="G29" s="21" t="s">
        <v>1411</v>
      </c>
    </row>
    <row r="30" customFormat="false" ht="85.5" hidden="false" customHeight="true" outlineLevel="0" collapsed="false">
      <c r="A30" s="33" t="str">
        <f aca="false">IF(Model!C31="","",Model!B31&amp;" "&amp;Model!C31)</f>
        <v>Axioo Hype 5 Gen 12 v2</v>
      </c>
      <c r="B30" s="33" t="str">
        <f aca="false">IF(Model!D31="","",Model!D31)</f>
        <v/>
      </c>
      <c r="C30" s="39"/>
      <c r="D30" s="21" t="s">
        <v>1412</v>
      </c>
      <c r="E30" s="21" t="s">
        <v>1413</v>
      </c>
      <c r="F30" s="21" t="s">
        <v>1414</v>
      </c>
      <c r="G30" s="21" t="s">
        <v>1415</v>
      </c>
    </row>
    <row r="31" customFormat="false" ht="85.5" hidden="false" customHeight="true" outlineLevel="0" collapsed="false">
      <c r="A31" s="33" t="str">
        <f aca="false">IF(Model!C32="","",Model!B32&amp;" "&amp;Model!C32)</f>
        <v>Advan Workplus AI (Ryzen 7 255)</v>
      </c>
      <c r="B31" s="33" t="str">
        <f aca="false">IF(Model!D32="","",Model!D32)</f>
        <v/>
      </c>
      <c r="C31" s="39"/>
      <c r="D31" s="21" t="s">
        <v>1416</v>
      </c>
      <c r="E31" s="21" t="s">
        <v>1417</v>
      </c>
      <c r="F31" s="21" t="s">
        <v>1418</v>
      </c>
      <c r="G31" s="21" t="s">
        <v>1419</v>
      </c>
    </row>
    <row r="32" customFormat="false" ht="85.5" hidden="false" customHeight="true" outlineLevel="0" collapsed="false">
      <c r="A32" s="33" t="str">
        <f aca="false">IF(Model!C33="","",Model!B33&amp;" "&amp;Model!C33)</f>
        <v>Infinix XBOOK 14 NEO</v>
      </c>
      <c r="B32" s="33" t="str">
        <f aca="false">IF(Model!D33="","",Model!D33)</f>
        <v/>
      </c>
      <c r="C32" s="39"/>
      <c r="D32" s="21" t="s">
        <v>1420</v>
      </c>
      <c r="E32" s="21" t="s">
        <v>1421</v>
      </c>
      <c r="F32" s="21" t="s">
        <v>1422</v>
      </c>
      <c r="G32" s="21" t="s">
        <v>1423</v>
      </c>
    </row>
    <row r="33" customFormat="false" ht="85.5" hidden="false" customHeight="true" outlineLevel="0" collapsed="false">
      <c r="A33" s="33" t="str">
        <f aca="false">IF(Model!C34="","",Model!B34&amp;" "&amp;Model!C34)</f>
        <v>Acer Chromebook 311 C733T</v>
      </c>
      <c r="B33" s="33" t="str">
        <f aca="false">IF(Model!D34="","",Model!D34)</f>
        <v/>
      </c>
      <c r="C33" s="39"/>
      <c r="D33" s="21" t="s">
        <v>1424</v>
      </c>
      <c r="E33" s="21" t="s">
        <v>1425</v>
      </c>
      <c r="F33" s="21" t="s">
        <v>1426</v>
      </c>
      <c r="G33" s="21" t="s">
        <v>1427</v>
      </c>
    </row>
    <row r="34" customFormat="false" ht="85.5" hidden="false" customHeight="true" outlineLevel="0" collapsed="false">
      <c r="A34" s="33" t="str">
        <f aca="false">IF(Model!C35="","",Model!B35&amp;" "&amp;Model!C35)</f>
        <v>Apple MacBook Air 13 inci (chip M1, 2020)</v>
      </c>
      <c r="B34" s="33" t="str">
        <f aca="false">IF(Model!D35="","",Model!D35)</f>
        <v/>
      </c>
      <c r="C34" s="39"/>
      <c r="D34" s="21" t="s">
        <v>1428</v>
      </c>
      <c r="E34" s="21" t="s">
        <v>1429</v>
      </c>
      <c r="F34" s="21" t="s">
        <v>1430</v>
      </c>
      <c r="G34" s="21"/>
    </row>
    <row r="35" customFormat="false" ht="85.5" hidden="false" customHeight="true" outlineLevel="0" collapsed="false">
      <c r="A35" s="33" t="str">
        <f aca="false">IF(Model!C36="","",Model!B36&amp;" "&amp;Model!C36)</f>
        <v>Lenovo ThinkPad X1 Carbon Gen 8 (2020)</v>
      </c>
      <c r="B35" s="33" t="str">
        <f aca="false">IF(Model!D36="","",Model!D36)</f>
        <v/>
      </c>
      <c r="C35" s="39"/>
      <c r="D35" s="21" t="s">
        <v>1431</v>
      </c>
      <c r="E35" s="21" t="s">
        <v>1432</v>
      </c>
      <c r="F35" s="21" t="s">
        <v>1433</v>
      </c>
      <c r="G35" s="21"/>
    </row>
    <row r="36" customFormat="false" ht="85.5" hidden="false" customHeight="true" outlineLevel="0" collapsed="false">
      <c r="A36" s="33" t="str">
        <f aca="false">IF(Model!C37="","",Model!B37&amp;" "&amp;Model!C37)</f>
        <v>Dell XPS 13 9360 (2016-2017)</v>
      </c>
      <c r="B36" s="33" t="str">
        <f aca="false">IF(Model!D37="","",Model!D37)</f>
        <v/>
      </c>
      <c r="C36" s="39"/>
      <c r="D36" s="21" t="s">
        <v>1434</v>
      </c>
      <c r="E36" s="21" t="s">
        <v>1435</v>
      </c>
      <c r="F36" s="21" t="s">
        <v>1436</v>
      </c>
      <c r="G36" s="21" t="s">
        <v>1437</v>
      </c>
    </row>
    <row r="37" customFormat="false" ht="85.5" hidden="false" customHeight="true" outlineLevel="0" collapsed="false">
      <c r="A37" s="33" t="str">
        <f aca="false">IF(Model!C38="","",Model!B38&amp;" "&amp;Model!C38)</f>
        <v>Lenovo ThinkPad E14 Gen 7 (Intel, Core 3 100U)</v>
      </c>
      <c r="B37" s="33" t="str">
        <f aca="false">IF(Model!D38="","",Model!D38)</f>
        <v/>
      </c>
      <c r="C37" s="39"/>
      <c r="D37" s="21" t="s">
        <v>1438</v>
      </c>
      <c r="E37" s="21" t="s">
        <v>1439</v>
      </c>
      <c r="F37" s="21" t="s">
        <v>1440</v>
      </c>
      <c r="G37" s="21" t="s">
        <v>1441</v>
      </c>
    </row>
    <row r="38" customFormat="false" ht="85.5" hidden="false" customHeight="true" outlineLevel="0" collapsed="false">
      <c r="A38" s="33" t="str">
        <f aca="false">IF(Model!C39="","",Model!B39&amp;" "&amp;Model!C39)</f>
        <v>Dell Inspiron 15 3530 (Core i7-1355U)</v>
      </c>
      <c r="B38" s="33" t="str">
        <f aca="false">IF(Model!D39="","",Model!D39)</f>
        <v/>
      </c>
      <c r="C38" s="39"/>
      <c r="D38" s="21" t="s">
        <v>1442</v>
      </c>
      <c r="E38" s="21" t="s">
        <v>1443</v>
      </c>
      <c r="F38" s="21" t="s">
        <v>1444</v>
      </c>
      <c r="G38" s="21" t="s">
        <v>1445</v>
      </c>
    </row>
    <row r="39" customFormat="false" ht="85.5" hidden="false" customHeight="true" outlineLevel="0" collapsed="false">
      <c r="A39" s="33" t="str">
        <f aca="false">IF(Model!C40="","",Model!B40&amp;" "&amp;Model!C40)</f>
        <v>HP Pavilion Plus Laptop 14-ew0021TU</v>
      </c>
      <c r="B39" s="33" t="str">
        <f aca="false">IF(Model!D40="","",Model!D40)</f>
        <v/>
      </c>
      <c r="C39" s="39"/>
      <c r="D39" s="21" t="s">
        <v>1446</v>
      </c>
      <c r="E39" s="21" t="s">
        <v>1447</v>
      </c>
      <c r="F39" s="21" t="s">
        <v>1448</v>
      </c>
      <c r="G39" s="21" t="s">
        <v>1449</v>
      </c>
    </row>
    <row r="40" customFormat="false" ht="85.5" hidden="false" customHeight="true" outlineLevel="0" collapsed="false">
      <c r="A40" s="33" t="str">
        <f aca="false">IF(Model!C41="","",Model!B41&amp;" "&amp;Model!C41)</f>
        <v>ASUS ExpertBook P1 P1403CVA (Core 5 210H)</v>
      </c>
      <c r="B40" s="33" t="str">
        <f aca="false">IF(Model!D41="","",Model!D41)</f>
        <v/>
      </c>
      <c r="C40" s="39"/>
      <c r="D40" s="21" t="s">
        <v>1450</v>
      </c>
      <c r="E40" s="21" t="s">
        <v>1451</v>
      </c>
      <c r="F40" s="21" t="s">
        <v>1452</v>
      </c>
      <c r="G40" s="21" t="s">
        <v>1453</v>
      </c>
    </row>
    <row r="41" customFormat="false" ht="85.5" hidden="false" customHeight="true" outlineLevel="0" collapsed="false">
      <c r="A41" s="33" t="str">
        <f aca="false">IF(Model!C42="","",Model!B42&amp;" "&amp;Model!C42)</f>
        <v>ASUS Vivobook Pro 15 OLED N6506</v>
      </c>
      <c r="B41" s="33" t="str">
        <f aca="false">IF(Model!D42="","",Model!D42)</f>
        <v/>
      </c>
      <c r="C41" s="39"/>
      <c r="D41" s="21" t="s">
        <v>1454</v>
      </c>
      <c r="E41" s="21" t="s">
        <v>1455</v>
      </c>
      <c r="F41" s="21" t="s">
        <v>1456</v>
      </c>
      <c r="G41" s="21" t="s">
        <v>1457</v>
      </c>
    </row>
    <row r="42" customFormat="false" ht="85.5" hidden="false" customHeight="true" outlineLevel="0" collapsed="false">
      <c r="A42" s="33" t="str">
        <f aca="false">IF(Model!C43="","",Model!B43&amp;" "&amp;Model!C43)</f>
        <v>ASUS Vivobook S14 S3407QA (Snapdragon X)</v>
      </c>
      <c r="B42" s="33" t="str">
        <f aca="false">IF(Model!D43="","",Model!D43)</f>
        <v/>
      </c>
      <c r="C42" s="39"/>
      <c r="D42" s="21" t="s">
        <v>1458</v>
      </c>
      <c r="E42" s="21" t="s">
        <v>1459</v>
      </c>
      <c r="F42" s="21" t="s">
        <v>1460</v>
      </c>
      <c r="G42" s="21"/>
    </row>
    <row r="43" customFormat="false" ht="85.5" hidden="false" customHeight="true" outlineLevel="0" collapsed="false">
      <c r="A43" s="33" t="str">
        <f aca="false">IF(Model!C44="","",Model!B44&amp;" "&amp;Model!C44)</f>
        <v>Lenovo Yoga 7i 2-in-1 14 Gen 10 (14ILL10)</v>
      </c>
      <c r="B43" s="33" t="str">
        <f aca="false">IF(Model!D44="","",Model!D44)</f>
        <v/>
      </c>
      <c r="C43" s="39"/>
      <c r="D43" s="21" t="s">
        <v>1461</v>
      </c>
      <c r="E43" s="21" t="s">
        <v>1462</v>
      </c>
      <c r="F43" s="21" t="s">
        <v>1463</v>
      </c>
      <c r="G43" s="21"/>
    </row>
    <row r="44" customFormat="false" ht="15" hidden="false" customHeight="true" outlineLevel="0" collapsed="false"/>
    <row r="45" customFormat="false" ht="15" hidden="false" customHeight="true" outlineLevel="0" collapsed="false">
      <c r="A45" s="40" t="s">
        <v>1464</v>
      </c>
      <c r="B45" s="40"/>
    </row>
    <row r="46" customFormat="false" ht="15" hidden="false" customHeight="true" outlineLevel="0" collapsed="false">
      <c r="A46" s="41" t="s">
        <v>1465</v>
      </c>
      <c r="B46" s="32" t="n">
        <f aca="false">COUNT(C4:C43)</f>
        <v>0</v>
      </c>
    </row>
    <row r="47" customFormat="false" ht="15" hidden="false" customHeight="true" outlineLevel="0" collapsed="false">
      <c r="A47" s="41" t="s">
        <v>1466</v>
      </c>
      <c r="B47" s="42" t="str">
        <f aca="false">IFERROR(AVERAGE(C4:C43),"")</f>
        <v/>
      </c>
    </row>
    <row r="48" customFormat="false" ht="15" hidden="false" customHeight="true" outlineLevel="0" collapsed="false">
      <c r="A48" s="41" t="s">
        <v>1467</v>
      </c>
      <c r="B48" s="43" t="n">
        <v>40</v>
      </c>
    </row>
    <row r="49" customFormat="false" ht="15" hidden="false" customHeight="true" outlineLevel="0" collapsed="false">
      <c r="A49" s="41" t="s">
        <v>1468</v>
      </c>
      <c r="B49" s="43" t="n">
        <v>60</v>
      </c>
    </row>
    <row r="50" customFormat="false" ht="15" hidden="false" customHeight="true" outlineLevel="0" collapsed="false">
      <c r="A50" s="41" t="s">
        <v>1469</v>
      </c>
      <c r="B50" s="42" t="str">
        <f aca="false">IFERROR(B47*B48/60,"")</f>
        <v/>
      </c>
    </row>
    <row r="51" customFormat="false" ht="15" hidden="false" customHeight="true" outlineLevel="0" collapsed="false">
      <c r="A51" s="41" t="s">
        <v>1470</v>
      </c>
      <c r="B51" s="42" t="str">
        <f aca="false">IFERROR(B47*B49/60,"")</f>
        <v/>
      </c>
    </row>
    <row r="53" customFormat="false" ht="15" hidden="false" customHeight="true" outlineLevel="0" collapsed="false">
      <c r="A53" s="44" t="s">
        <v>1471</v>
      </c>
    </row>
  </sheetData>
  <dataValidations count="1">
    <dataValidation allowBlank="true" error="Isi lama pemeriksaan dalam menit, antara 0 dan 600." errorStyle="warning" errorTitle="Angka tidak wajar" operator="between" showDropDown="false" showErrorMessage="true" showInputMessage="false" sqref="C4:C8" type="decimal">
      <formula1>0</formula1>
      <formula2>600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true"/>
  </sheetPr>
  <dimension ref="A1:G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4" min="3" style="1" width="14"/>
    <col collapsed="false" customWidth="true" hidden="false" outlineLevel="0" max="5" min="5" style="1" width="12"/>
    <col collapsed="false" customWidth="true" hidden="false" outlineLevel="0" max="6" min="6" style="1" width="70"/>
    <col collapsed="false" customWidth="true" hidden="false" outlineLevel="0" max="7" min="7" style="1" width="46"/>
  </cols>
  <sheetData>
    <row r="1" customFormat="false" ht="17.25" hidden="false" customHeight="true" outlineLevel="0" collapsed="false">
      <c r="A1" s="45" t="s">
        <v>1472</v>
      </c>
    </row>
    <row r="2" customFormat="false" ht="15" hidden="false" customHeight="true" outlineLevel="0" collapsed="false">
      <c r="A2" s="46" t="s">
        <v>1473</v>
      </c>
    </row>
    <row r="4" customFormat="false" ht="19.5" hidden="false" customHeight="true" outlineLevel="0" collapsed="false">
      <c r="A4" s="47" t="s">
        <v>1474</v>
      </c>
      <c r="B4" s="48"/>
      <c r="C4" s="48"/>
      <c r="D4" s="48"/>
      <c r="E4" s="48"/>
      <c r="F4" s="48"/>
      <c r="G4" s="48"/>
    </row>
    <row r="5" customFormat="false" ht="27.75" hidden="false" customHeight="true" outlineLevel="0" collapsed="false">
      <c r="A5" s="10" t="s">
        <v>1475</v>
      </c>
      <c r="B5" s="10" t="s">
        <v>1476</v>
      </c>
      <c r="C5" s="10"/>
      <c r="D5" s="10"/>
      <c r="E5" s="10"/>
      <c r="F5" s="10"/>
    </row>
    <row r="6" customFormat="false" ht="18" hidden="false" customHeight="true" outlineLevel="0" collapsed="false">
      <c r="A6" s="49" t="s">
        <v>1477</v>
      </c>
      <c r="B6" s="50" t="s">
        <v>1478</v>
      </c>
      <c r="C6" s="50"/>
      <c r="D6" s="50"/>
      <c r="E6" s="50"/>
      <c r="F6" s="50"/>
    </row>
    <row r="7" customFormat="false" ht="18" hidden="false" customHeight="true" outlineLevel="0" collapsed="false">
      <c r="A7" s="49" t="s">
        <v>1479</v>
      </c>
      <c r="B7" s="50" t="s">
        <v>1480</v>
      </c>
      <c r="C7" s="50"/>
      <c r="D7" s="50"/>
      <c r="E7" s="50"/>
      <c r="F7" s="50"/>
    </row>
    <row r="8" customFormat="false" ht="18" hidden="false" customHeight="true" outlineLevel="0" collapsed="false">
      <c r="A8" s="49" t="s">
        <v>1481</v>
      </c>
      <c r="B8" s="50" t="s">
        <v>1482</v>
      </c>
      <c r="C8" s="50"/>
      <c r="D8" s="50"/>
      <c r="E8" s="50"/>
      <c r="F8" s="50"/>
    </row>
    <row r="9" customFormat="false" ht="18" hidden="false" customHeight="true" outlineLevel="0" collapsed="false">
      <c r="A9" s="49" t="s">
        <v>1483</v>
      </c>
      <c r="B9" s="50" t="s">
        <v>1484</v>
      </c>
      <c r="C9" s="50"/>
      <c r="D9" s="50"/>
      <c r="E9" s="50"/>
      <c r="F9" s="50"/>
    </row>
    <row r="10" customFormat="false" ht="18" hidden="false" customHeight="true" outlineLevel="0" collapsed="false">
      <c r="A10" s="49" t="s">
        <v>1485</v>
      </c>
      <c r="B10" s="50" t="s">
        <v>1486</v>
      </c>
      <c r="C10" s="50"/>
      <c r="D10" s="50"/>
      <c r="E10" s="50"/>
      <c r="F10" s="50"/>
    </row>
    <row r="12" customFormat="false" ht="27.75" hidden="false" customHeight="true" outlineLevel="0" collapsed="false">
      <c r="A12" s="10" t="s">
        <v>1487</v>
      </c>
      <c r="B12" s="10" t="s">
        <v>1488</v>
      </c>
      <c r="C12" s="10"/>
      <c r="D12" s="10"/>
      <c r="E12" s="10"/>
      <c r="F12" s="10"/>
    </row>
    <row r="13" customFormat="false" ht="18" hidden="false" customHeight="true" outlineLevel="0" collapsed="false">
      <c r="A13" s="49" t="s">
        <v>1489</v>
      </c>
      <c r="B13" s="50" t="s">
        <v>1490</v>
      </c>
      <c r="C13" s="50"/>
      <c r="D13" s="50"/>
      <c r="E13" s="50"/>
      <c r="F13" s="50"/>
    </row>
    <row r="14" customFormat="false" ht="18" hidden="false" customHeight="true" outlineLevel="0" collapsed="false">
      <c r="A14" s="49" t="s">
        <v>1491</v>
      </c>
      <c r="B14" s="50" t="s">
        <v>1492</v>
      </c>
      <c r="C14" s="50"/>
      <c r="D14" s="50"/>
      <c r="E14" s="50"/>
      <c r="F14" s="50"/>
    </row>
    <row r="15" customFormat="false" ht="18" hidden="false" customHeight="true" outlineLevel="0" collapsed="false">
      <c r="A15" s="49" t="s">
        <v>1493</v>
      </c>
      <c r="B15" s="50" t="s">
        <v>1494</v>
      </c>
      <c r="C15" s="50"/>
      <c r="D15" s="50"/>
      <c r="E15" s="50"/>
      <c r="F15" s="50"/>
    </row>
    <row r="16" customFormat="false" ht="18" hidden="false" customHeight="true" outlineLevel="0" collapsed="false">
      <c r="A16" s="49" t="s">
        <v>1495</v>
      </c>
      <c r="B16" s="50" t="s">
        <v>1496</v>
      </c>
      <c r="C16" s="50"/>
      <c r="D16" s="50"/>
      <c r="E16" s="50"/>
      <c r="F16" s="50"/>
    </row>
    <row r="17" customFormat="false" ht="18" hidden="false" customHeight="true" outlineLevel="0" collapsed="false">
      <c r="A17" s="49" t="s">
        <v>1485</v>
      </c>
      <c r="B17" s="50" t="s">
        <v>1497</v>
      </c>
      <c r="C17" s="50"/>
      <c r="D17" s="50"/>
      <c r="E17" s="50"/>
      <c r="F17" s="50"/>
    </row>
    <row r="19" customFormat="false" ht="19.5" hidden="false" customHeight="true" outlineLevel="0" collapsed="false">
      <c r="A19" s="47" t="s">
        <v>1498</v>
      </c>
      <c r="B19" s="48"/>
      <c r="C19" s="48"/>
      <c r="D19" s="48"/>
      <c r="E19" s="48"/>
      <c r="F19" s="48"/>
      <c r="G19" s="48"/>
    </row>
    <row r="20" customFormat="false" ht="27.75" hidden="false" customHeight="true" outlineLevel="0" collapsed="false">
      <c r="A20" s="10" t="s">
        <v>1499</v>
      </c>
      <c r="B20" s="10" t="s">
        <v>1500</v>
      </c>
      <c r="C20" s="10"/>
      <c r="D20" s="10"/>
      <c r="E20" s="10"/>
      <c r="F20" s="10"/>
    </row>
    <row r="21" customFormat="false" ht="18" hidden="false" customHeight="true" outlineLevel="0" collapsed="false">
      <c r="A21" s="21" t="s">
        <v>1501</v>
      </c>
      <c r="B21" s="21" t="s">
        <v>1502</v>
      </c>
      <c r="C21" s="21"/>
      <c r="D21" s="21"/>
      <c r="E21" s="21"/>
      <c r="F21" s="21"/>
    </row>
    <row r="22" customFormat="false" ht="18" hidden="false" customHeight="true" outlineLevel="0" collapsed="false">
      <c r="A22" s="21" t="s">
        <v>1503</v>
      </c>
      <c r="B22" s="21" t="s">
        <v>1504</v>
      </c>
      <c r="C22" s="21"/>
      <c r="D22" s="21"/>
      <c r="E22" s="21"/>
      <c r="F22" s="21"/>
    </row>
    <row r="23" customFormat="false" ht="18" hidden="false" customHeight="true" outlineLevel="0" collapsed="false">
      <c r="A23" s="21" t="s">
        <v>1505</v>
      </c>
      <c r="B23" s="21" t="s">
        <v>1506</v>
      </c>
      <c r="C23" s="21"/>
      <c r="D23" s="21"/>
      <c r="E23" s="21"/>
      <c r="F23" s="21"/>
    </row>
    <row r="24" customFormat="false" ht="18" hidden="false" customHeight="true" outlineLevel="0" collapsed="false">
      <c r="A24" s="21" t="s">
        <v>1507</v>
      </c>
      <c r="B24" s="21" t="s">
        <v>1508</v>
      </c>
      <c r="C24" s="21"/>
      <c r="D24" s="21"/>
      <c r="E24" s="21"/>
      <c r="F24" s="21"/>
    </row>
    <row r="25" customFormat="false" ht="18" hidden="false" customHeight="true" outlineLevel="0" collapsed="false">
      <c r="A25" s="21" t="s">
        <v>1509</v>
      </c>
      <c r="B25" s="21" t="s">
        <v>1510</v>
      </c>
      <c r="C25" s="21"/>
      <c r="D25" s="21"/>
      <c r="E25" s="21"/>
      <c r="F25" s="21"/>
    </row>
    <row r="27" customFormat="false" ht="19.5" hidden="false" customHeight="true" outlineLevel="0" collapsed="false">
      <c r="A27" s="47" t="s">
        <v>1511</v>
      </c>
      <c r="B27" s="48"/>
      <c r="C27" s="48"/>
      <c r="D27" s="48"/>
      <c r="E27" s="48"/>
      <c r="F27" s="48"/>
      <c r="G27" s="48"/>
    </row>
    <row r="28" customFormat="false" ht="30" hidden="false" customHeight="true" outlineLevel="0" collapsed="false">
      <c r="A28" s="51" t="s">
        <v>1512</v>
      </c>
      <c r="B28" s="51"/>
      <c r="C28" s="51"/>
      <c r="D28" s="51"/>
      <c r="E28" s="51"/>
      <c r="F28" s="51"/>
      <c r="G28" s="51"/>
    </row>
    <row r="29" customFormat="false" ht="27.75" hidden="false" customHeight="true" outlineLevel="0" collapsed="false">
      <c r="A29" s="10" t="s">
        <v>1499</v>
      </c>
      <c r="B29" s="10" t="s">
        <v>1513</v>
      </c>
      <c r="C29" s="10" t="s">
        <v>1514</v>
      </c>
      <c r="D29" s="10" t="s">
        <v>1515</v>
      </c>
      <c r="E29" s="10" t="s">
        <v>1516</v>
      </c>
      <c r="F29" s="10" t="s">
        <v>1517</v>
      </c>
      <c r="G29" s="10" t="s">
        <v>1518</v>
      </c>
    </row>
    <row r="30" customFormat="false" ht="43.5" hidden="false" customHeight="true" outlineLevel="0" collapsed="false">
      <c r="A30" s="52" t="str">
        <f aca="false">$A$21</f>
        <v>Kuliah dan kantor</v>
      </c>
      <c r="B30" s="53" t="s">
        <v>1519</v>
      </c>
      <c r="C30" s="54" t="n">
        <v>1</v>
      </c>
      <c r="D30" s="54" t="n">
        <v>2</v>
      </c>
      <c r="E30" s="55" t="s">
        <v>1520</v>
      </c>
      <c r="F30" s="56" t="s">
        <v>1521</v>
      </c>
      <c r="G30" s="56" t="s">
        <v>1522</v>
      </c>
    </row>
    <row r="31" customFormat="false" ht="18" hidden="false" customHeight="true" outlineLevel="0" collapsed="false">
      <c r="A31" s="57" t="str">
        <f aca="false">$A$21</f>
        <v>Kuliah dan kantor</v>
      </c>
      <c r="B31" s="50" t="s">
        <v>1523</v>
      </c>
      <c r="C31" s="58"/>
      <c r="D31" s="58"/>
      <c r="E31" s="59" t="s">
        <v>1520</v>
      </c>
      <c r="F31" s="21" t="s">
        <v>1524</v>
      </c>
      <c r="G31" s="21" t="s">
        <v>1525</v>
      </c>
    </row>
    <row r="32" customFormat="false" ht="30.75" hidden="false" customHeight="true" outlineLevel="0" collapsed="false">
      <c r="A32" s="57" t="str">
        <f aca="false">$A$21</f>
        <v>Kuliah dan kantor</v>
      </c>
      <c r="B32" s="50" t="s">
        <v>1526</v>
      </c>
      <c r="C32" s="58" t="n">
        <v>4</v>
      </c>
      <c r="D32" s="58" t="n">
        <v>8</v>
      </c>
      <c r="E32" s="59" t="s">
        <v>1527</v>
      </c>
      <c r="F32" s="21" t="s">
        <v>1528</v>
      </c>
      <c r="G32" s="21" t="s">
        <v>1529</v>
      </c>
    </row>
    <row r="33" customFormat="false" ht="30.75" hidden="false" customHeight="true" outlineLevel="0" collapsed="false">
      <c r="A33" s="57" t="str">
        <f aca="false">$A$21</f>
        <v>Kuliah dan kantor</v>
      </c>
      <c r="B33" s="50" t="s">
        <v>1530</v>
      </c>
      <c r="C33" s="58" t="n">
        <v>128</v>
      </c>
      <c r="D33" s="58" t="n">
        <v>256</v>
      </c>
      <c r="E33" s="59" t="s">
        <v>1527</v>
      </c>
      <c r="F33" s="21" t="s">
        <v>1531</v>
      </c>
      <c r="G33" s="21" t="s">
        <v>1532</v>
      </c>
    </row>
    <row r="34" customFormat="false" ht="30.75" hidden="false" customHeight="true" outlineLevel="0" collapsed="false">
      <c r="A34" s="57" t="str">
        <f aca="false">$A$21</f>
        <v>Kuliah dan kantor</v>
      </c>
      <c r="B34" s="50" t="s">
        <v>1533</v>
      </c>
      <c r="C34" s="58"/>
      <c r="D34" s="58"/>
      <c r="E34" s="59" t="s">
        <v>1534</v>
      </c>
      <c r="F34" s="21" t="s">
        <v>1535</v>
      </c>
      <c r="G34" s="21" t="s">
        <v>1525</v>
      </c>
    </row>
    <row r="35" customFormat="false" ht="18" hidden="false" customHeight="true" outlineLevel="0" collapsed="false">
      <c r="A35" s="57" t="str">
        <f aca="false">$A$21</f>
        <v>Kuliah dan kantor</v>
      </c>
      <c r="B35" s="50" t="s">
        <v>1536</v>
      </c>
      <c r="C35" s="58"/>
      <c r="D35" s="58"/>
      <c r="E35" s="59" t="s">
        <v>1537</v>
      </c>
      <c r="F35" s="21" t="s">
        <v>1538</v>
      </c>
      <c r="G35" s="21" t="s">
        <v>1525</v>
      </c>
    </row>
    <row r="36" customFormat="false" ht="30.75" hidden="false" customHeight="true" outlineLevel="0" collapsed="false">
      <c r="A36" s="52" t="str">
        <f aca="false">$A$22</f>
        <v>Desain grafis</v>
      </c>
      <c r="B36" s="53" t="s">
        <v>1519</v>
      </c>
      <c r="C36" s="54" t="n">
        <v>2</v>
      </c>
      <c r="D36" s="54" t="n">
        <v>3</v>
      </c>
      <c r="E36" s="55" t="s">
        <v>1520</v>
      </c>
      <c r="F36" s="56" t="s">
        <v>1539</v>
      </c>
      <c r="G36" s="56" t="s">
        <v>1540</v>
      </c>
    </row>
    <row r="37" customFormat="false" ht="30.75" hidden="false" customHeight="true" outlineLevel="0" collapsed="false">
      <c r="A37" s="57" t="str">
        <f aca="false">$A$22</f>
        <v>Desain grafis</v>
      </c>
      <c r="B37" s="50" t="s">
        <v>1523</v>
      </c>
      <c r="C37" s="58" t="n">
        <v>1</v>
      </c>
      <c r="D37" s="58" t="n">
        <v>2</v>
      </c>
      <c r="E37" s="59" t="s">
        <v>1520</v>
      </c>
      <c r="F37" s="21" t="s">
        <v>1541</v>
      </c>
      <c r="G37" s="21" t="s">
        <v>1540</v>
      </c>
    </row>
    <row r="38" customFormat="false" ht="30.75" hidden="false" customHeight="true" outlineLevel="0" collapsed="false">
      <c r="A38" s="57" t="str">
        <f aca="false">$A$22</f>
        <v>Desain grafis</v>
      </c>
      <c r="B38" s="50" t="s">
        <v>1526</v>
      </c>
      <c r="C38" s="58" t="n">
        <v>8</v>
      </c>
      <c r="D38" s="58" t="n">
        <v>16</v>
      </c>
      <c r="E38" s="59" t="s">
        <v>1527</v>
      </c>
      <c r="F38" s="21" t="s">
        <v>1542</v>
      </c>
      <c r="G38" s="21" t="s">
        <v>1540</v>
      </c>
    </row>
    <row r="39" customFormat="false" ht="18" hidden="false" customHeight="true" outlineLevel="0" collapsed="false">
      <c r="A39" s="57" t="str">
        <f aca="false">$A$22</f>
        <v>Desain grafis</v>
      </c>
      <c r="B39" s="50" t="s">
        <v>1530</v>
      </c>
      <c r="C39" s="58" t="n">
        <v>256</v>
      </c>
      <c r="D39" s="58" t="n">
        <v>512</v>
      </c>
      <c r="E39" s="59" t="s">
        <v>1527</v>
      </c>
      <c r="F39" s="21" t="s">
        <v>1543</v>
      </c>
      <c r="G39" s="21" t="s">
        <v>1522</v>
      </c>
    </row>
    <row r="40" customFormat="false" ht="57" hidden="false" customHeight="true" outlineLevel="0" collapsed="false">
      <c r="A40" s="57" t="str">
        <f aca="false">$A$22</f>
        <v>Desain grafis</v>
      </c>
      <c r="B40" s="50" t="s">
        <v>1533</v>
      </c>
      <c r="C40" s="58" t="n">
        <v>3</v>
      </c>
      <c r="D40" s="58" t="n">
        <v>4</v>
      </c>
      <c r="E40" s="59" t="s">
        <v>1534</v>
      </c>
      <c r="F40" s="21" t="s">
        <v>1544</v>
      </c>
      <c r="G40" s="21" t="s">
        <v>1522</v>
      </c>
    </row>
    <row r="41" customFormat="false" ht="18" hidden="false" customHeight="true" outlineLevel="0" collapsed="false">
      <c r="A41" s="57" t="str">
        <f aca="false">$A$22</f>
        <v>Desain grafis</v>
      </c>
      <c r="B41" s="50" t="s">
        <v>1536</v>
      </c>
      <c r="C41" s="58"/>
      <c r="D41" s="58"/>
      <c r="E41" s="59" t="s">
        <v>1537</v>
      </c>
      <c r="F41" s="21" t="s">
        <v>1545</v>
      </c>
      <c r="G41" s="21" t="s">
        <v>1525</v>
      </c>
    </row>
    <row r="42" customFormat="false" ht="30.75" hidden="false" customHeight="true" outlineLevel="0" collapsed="false">
      <c r="A42" s="52" t="str">
        <f aca="false">$A$23</f>
        <v>Pemrograman</v>
      </c>
      <c r="B42" s="53" t="s">
        <v>1519</v>
      </c>
      <c r="C42" s="54" t="n">
        <v>2</v>
      </c>
      <c r="D42" s="54" t="n">
        <v>3</v>
      </c>
      <c r="E42" s="55" t="s">
        <v>1520</v>
      </c>
      <c r="F42" s="56" t="s">
        <v>1546</v>
      </c>
      <c r="G42" s="56" t="s">
        <v>1540</v>
      </c>
    </row>
    <row r="43" customFormat="false" ht="43.5" hidden="false" customHeight="true" outlineLevel="0" collapsed="false">
      <c r="A43" s="57" t="str">
        <f aca="false">$A$23</f>
        <v>Pemrograman</v>
      </c>
      <c r="B43" s="50" t="s">
        <v>1523</v>
      </c>
      <c r="C43" s="58"/>
      <c r="D43" s="58"/>
      <c r="E43" s="59" t="s">
        <v>1520</v>
      </c>
      <c r="F43" s="21" t="s">
        <v>1547</v>
      </c>
      <c r="G43" s="21" t="s">
        <v>1525</v>
      </c>
    </row>
    <row r="44" customFormat="false" ht="30.75" hidden="false" customHeight="true" outlineLevel="0" collapsed="false">
      <c r="A44" s="57" t="str">
        <f aca="false">$A$23</f>
        <v>Pemrograman</v>
      </c>
      <c r="B44" s="50" t="s">
        <v>1526</v>
      </c>
      <c r="C44" s="58" t="n">
        <v>8</v>
      </c>
      <c r="D44" s="58" t="n">
        <v>16</v>
      </c>
      <c r="E44" s="59" t="s">
        <v>1527</v>
      </c>
      <c r="F44" s="21" t="s">
        <v>1548</v>
      </c>
      <c r="G44" s="21" t="s">
        <v>1540</v>
      </c>
    </row>
    <row r="45" customFormat="false" ht="30.75" hidden="false" customHeight="true" outlineLevel="0" collapsed="false">
      <c r="A45" s="57" t="str">
        <f aca="false">$A$23</f>
        <v>Pemrograman</v>
      </c>
      <c r="B45" s="50" t="s">
        <v>1530</v>
      </c>
      <c r="C45" s="58" t="n">
        <v>256</v>
      </c>
      <c r="D45" s="58" t="n">
        <v>512</v>
      </c>
      <c r="E45" s="59" t="s">
        <v>1527</v>
      </c>
      <c r="F45" s="21" t="s">
        <v>1549</v>
      </c>
      <c r="G45" s="21" t="s">
        <v>1522</v>
      </c>
    </row>
    <row r="46" customFormat="false" ht="18" hidden="false" customHeight="true" outlineLevel="0" collapsed="false">
      <c r="A46" s="57" t="str">
        <f aca="false">$A$23</f>
        <v>Pemrograman</v>
      </c>
      <c r="B46" s="50" t="s">
        <v>1533</v>
      </c>
      <c r="C46" s="58"/>
      <c r="D46" s="58"/>
      <c r="E46" s="59" t="s">
        <v>1534</v>
      </c>
      <c r="F46" s="21" t="s">
        <v>1550</v>
      </c>
      <c r="G46" s="21" t="s">
        <v>1525</v>
      </c>
    </row>
    <row r="47" customFormat="false" ht="18" hidden="false" customHeight="true" outlineLevel="0" collapsed="false">
      <c r="A47" s="57" t="str">
        <f aca="false">$A$23</f>
        <v>Pemrograman</v>
      </c>
      <c r="B47" s="50" t="s">
        <v>1536</v>
      </c>
      <c r="C47" s="58"/>
      <c r="D47" s="58"/>
      <c r="E47" s="59" t="s">
        <v>1537</v>
      </c>
      <c r="F47" s="21" t="s">
        <v>1551</v>
      </c>
      <c r="G47" s="21" t="s">
        <v>1525</v>
      </c>
    </row>
    <row r="48" customFormat="false" ht="30.75" hidden="false" customHeight="true" outlineLevel="0" collapsed="false">
      <c r="A48" s="52" t="str">
        <f aca="false">$A$24</f>
        <v>Game ringan</v>
      </c>
      <c r="B48" s="53" t="s">
        <v>1519</v>
      </c>
      <c r="C48" s="54" t="n">
        <v>2</v>
      </c>
      <c r="D48" s="54" t="n">
        <v>3</v>
      </c>
      <c r="E48" s="55" t="s">
        <v>1520</v>
      </c>
      <c r="F48" s="56" t="s">
        <v>1552</v>
      </c>
      <c r="G48" s="56" t="s">
        <v>1522</v>
      </c>
    </row>
    <row r="49" customFormat="false" ht="43.5" hidden="false" customHeight="true" outlineLevel="0" collapsed="false">
      <c r="A49" s="57" t="str">
        <f aca="false">$A$24</f>
        <v>Game ringan</v>
      </c>
      <c r="B49" s="50" t="s">
        <v>1523</v>
      </c>
      <c r="C49" s="58" t="n">
        <v>1</v>
      </c>
      <c r="D49" s="58" t="n">
        <v>2</v>
      </c>
      <c r="E49" s="59" t="s">
        <v>1520</v>
      </c>
      <c r="F49" s="21" t="s">
        <v>1553</v>
      </c>
      <c r="G49" s="21" t="s">
        <v>1554</v>
      </c>
    </row>
    <row r="50" customFormat="false" ht="43.5" hidden="false" customHeight="true" outlineLevel="0" collapsed="false">
      <c r="A50" s="57" t="str">
        <f aca="false">$A$24</f>
        <v>Game ringan</v>
      </c>
      <c r="B50" s="50" t="s">
        <v>1526</v>
      </c>
      <c r="C50" s="58" t="n">
        <v>4</v>
      </c>
      <c r="D50" s="58" t="n">
        <v>8</v>
      </c>
      <c r="E50" s="59" t="s">
        <v>1527</v>
      </c>
      <c r="F50" s="21" t="s">
        <v>1555</v>
      </c>
      <c r="G50" s="21" t="s">
        <v>1554</v>
      </c>
    </row>
    <row r="51" customFormat="false" ht="30.75" hidden="false" customHeight="true" outlineLevel="0" collapsed="false">
      <c r="A51" s="57" t="str">
        <f aca="false">$A$24</f>
        <v>Game ringan</v>
      </c>
      <c r="B51" s="50" t="s">
        <v>1530</v>
      </c>
      <c r="C51" s="58" t="n">
        <v>128</v>
      </c>
      <c r="D51" s="58" t="n">
        <v>256</v>
      </c>
      <c r="E51" s="59" t="s">
        <v>1527</v>
      </c>
      <c r="F51" s="21" t="s">
        <v>1556</v>
      </c>
      <c r="G51" s="21" t="s">
        <v>1522</v>
      </c>
    </row>
    <row r="52" customFormat="false" ht="18" hidden="false" customHeight="true" outlineLevel="0" collapsed="false">
      <c r="A52" s="57" t="str">
        <f aca="false">$A$24</f>
        <v>Game ringan</v>
      </c>
      <c r="B52" s="50" t="s">
        <v>1533</v>
      </c>
      <c r="C52" s="58"/>
      <c r="D52" s="58"/>
      <c r="E52" s="59" t="s">
        <v>1534</v>
      </c>
      <c r="F52" s="21" t="s">
        <v>1557</v>
      </c>
      <c r="G52" s="21" t="s">
        <v>1525</v>
      </c>
    </row>
    <row r="53" customFormat="false" ht="18" hidden="false" customHeight="true" outlineLevel="0" collapsed="false">
      <c r="A53" s="57" t="str">
        <f aca="false">$A$24</f>
        <v>Game ringan</v>
      </c>
      <c r="B53" s="50" t="s">
        <v>1536</v>
      </c>
      <c r="C53" s="58"/>
      <c r="D53" s="58"/>
      <c r="E53" s="59" t="s">
        <v>1537</v>
      </c>
      <c r="F53" s="21" t="s">
        <v>1558</v>
      </c>
      <c r="G53" s="21" t="s">
        <v>1525</v>
      </c>
    </row>
    <row r="54" customFormat="false" ht="30.75" hidden="false" customHeight="true" outlineLevel="0" collapsed="false">
      <c r="A54" s="52" t="str">
        <f aca="false">$A$25</f>
        <v>Game berat</v>
      </c>
      <c r="B54" s="53" t="s">
        <v>1519</v>
      </c>
      <c r="C54" s="54" t="n">
        <v>3</v>
      </c>
      <c r="D54" s="54" t="n">
        <v>4</v>
      </c>
      <c r="E54" s="55" t="s">
        <v>1520</v>
      </c>
      <c r="F54" s="56" t="s">
        <v>1559</v>
      </c>
      <c r="G54" s="56" t="s">
        <v>1522</v>
      </c>
    </row>
    <row r="55" customFormat="false" ht="30.75" hidden="false" customHeight="true" outlineLevel="0" collapsed="false">
      <c r="A55" s="57" t="str">
        <f aca="false">$A$25</f>
        <v>Game berat</v>
      </c>
      <c r="B55" s="50" t="s">
        <v>1523</v>
      </c>
      <c r="C55" s="58" t="n">
        <v>3</v>
      </c>
      <c r="D55" s="58" t="n">
        <v>4</v>
      </c>
      <c r="E55" s="59" t="s">
        <v>1520</v>
      </c>
      <c r="F55" s="21" t="s">
        <v>1560</v>
      </c>
      <c r="G55" s="21" t="s">
        <v>1522</v>
      </c>
    </row>
    <row r="56" customFormat="false" ht="18" hidden="false" customHeight="true" outlineLevel="0" collapsed="false">
      <c r="A56" s="57" t="str">
        <f aca="false">$A$25</f>
        <v>Game berat</v>
      </c>
      <c r="B56" s="50" t="s">
        <v>1526</v>
      </c>
      <c r="C56" s="58" t="n">
        <v>8</v>
      </c>
      <c r="D56" s="58" t="n">
        <v>16</v>
      </c>
      <c r="E56" s="59" t="s">
        <v>1527</v>
      </c>
      <c r="F56" s="21" t="s">
        <v>1561</v>
      </c>
      <c r="G56" s="21" t="s">
        <v>1562</v>
      </c>
    </row>
    <row r="57" customFormat="false" ht="30.75" hidden="false" customHeight="true" outlineLevel="0" collapsed="false">
      <c r="A57" s="57" t="str">
        <f aca="false">$A$25</f>
        <v>Game berat</v>
      </c>
      <c r="B57" s="50" t="s">
        <v>1530</v>
      </c>
      <c r="C57" s="58" t="n">
        <v>512</v>
      </c>
      <c r="D57" s="58" t="n">
        <v>1000</v>
      </c>
      <c r="E57" s="59" t="s">
        <v>1527</v>
      </c>
      <c r="F57" s="21" t="s">
        <v>1563</v>
      </c>
      <c r="G57" s="21" t="s">
        <v>1564</v>
      </c>
    </row>
    <row r="58" customFormat="false" ht="18" hidden="false" customHeight="true" outlineLevel="0" collapsed="false">
      <c r="A58" s="57" t="str">
        <f aca="false">$A$25</f>
        <v>Game berat</v>
      </c>
      <c r="B58" s="50" t="s">
        <v>1533</v>
      </c>
      <c r="C58" s="58"/>
      <c r="D58" s="58"/>
      <c r="E58" s="59" t="s">
        <v>1534</v>
      </c>
      <c r="F58" s="21" t="s">
        <v>1565</v>
      </c>
      <c r="G58" s="21" t="s">
        <v>1525</v>
      </c>
    </row>
    <row r="59" customFormat="false" ht="30.75" hidden="false" customHeight="true" outlineLevel="0" collapsed="false">
      <c r="A59" s="57" t="str">
        <f aca="false">$A$25</f>
        <v>Game berat</v>
      </c>
      <c r="B59" s="50" t="s">
        <v>1536</v>
      </c>
      <c r="C59" s="58" t="n">
        <v>60</v>
      </c>
      <c r="D59" s="58" t="n">
        <v>120</v>
      </c>
      <c r="E59" s="59" t="s">
        <v>1537</v>
      </c>
      <c r="F59" s="21" t="s">
        <v>1566</v>
      </c>
      <c r="G59" s="21" t="s">
        <v>1522</v>
      </c>
    </row>
    <row r="61" customFormat="false" ht="19.5" hidden="false" customHeight="true" outlineLevel="0" collapsed="false">
      <c r="A61" s="47" t="s">
        <v>1567</v>
      </c>
      <c r="B61" s="48"/>
      <c r="C61" s="48"/>
      <c r="D61" s="48"/>
      <c r="E61" s="48"/>
      <c r="F61" s="48"/>
      <c r="G61" s="48"/>
    </row>
    <row r="62" customFormat="false" ht="27.75" hidden="false" customHeight="true" outlineLevel="0" collapsed="false">
      <c r="A62" s="10" t="s">
        <v>1568</v>
      </c>
      <c r="B62" s="10" t="s">
        <v>1569</v>
      </c>
      <c r="C62" s="10" t="s">
        <v>1570</v>
      </c>
      <c r="D62" s="10"/>
      <c r="E62" s="10"/>
      <c r="F62" s="10"/>
    </row>
    <row r="63" customFormat="false" ht="18" hidden="false" customHeight="true" outlineLevel="0" collapsed="false">
      <c r="A63" s="19" t="s">
        <v>422</v>
      </c>
      <c r="B63" s="20" t="n">
        <v>1</v>
      </c>
      <c r="C63" s="21" t="s">
        <v>1571</v>
      </c>
      <c r="D63" s="21"/>
      <c r="E63" s="21"/>
      <c r="F63" s="21"/>
    </row>
    <row r="64" customFormat="false" ht="18" hidden="false" customHeight="true" outlineLevel="0" collapsed="false">
      <c r="A64" s="19" t="s">
        <v>1572</v>
      </c>
      <c r="B64" s="20" t="n">
        <v>2</v>
      </c>
      <c r="C64" s="21" t="s">
        <v>1573</v>
      </c>
      <c r="D64" s="21"/>
      <c r="E64" s="21"/>
      <c r="F64" s="21"/>
    </row>
    <row r="65" customFormat="false" ht="18" hidden="false" customHeight="true" outlineLevel="0" collapsed="false">
      <c r="A65" s="19" t="s">
        <v>381</v>
      </c>
      <c r="B65" s="20" t="n">
        <v>3</v>
      </c>
      <c r="C65" s="21" t="s">
        <v>1574</v>
      </c>
      <c r="D65" s="21"/>
      <c r="E65" s="21"/>
      <c r="F65" s="21"/>
    </row>
    <row r="66" customFormat="false" ht="18" hidden="false" customHeight="true" outlineLevel="0" collapsed="false">
      <c r="A66" s="19" t="s">
        <v>455</v>
      </c>
      <c r="B66" s="20" t="n">
        <v>4</v>
      </c>
      <c r="C66" s="21" t="s">
        <v>1575</v>
      </c>
      <c r="D66" s="21"/>
      <c r="E66" s="21"/>
      <c r="F66" s="21"/>
    </row>
    <row r="67" customFormat="false" ht="30" hidden="false" customHeight="true" outlineLevel="0" collapsed="false">
      <c r="A67" s="51" t="s">
        <v>1576</v>
      </c>
      <c r="B67" s="51"/>
      <c r="C67" s="51"/>
      <c r="D67" s="51"/>
      <c r="E67" s="51"/>
      <c r="F67" s="51"/>
      <c r="G67" s="51"/>
    </row>
    <row r="69" customFormat="false" ht="19.5" hidden="false" customHeight="true" outlineLevel="0" collapsed="false">
      <c r="A69" s="47" t="s">
        <v>1577</v>
      </c>
      <c r="B69" s="48"/>
      <c r="C69" s="48"/>
      <c r="D69" s="48"/>
      <c r="E69" s="48"/>
      <c r="F69" s="48"/>
      <c r="G69" s="48"/>
    </row>
    <row r="70" customFormat="false" ht="27.75" hidden="false" customHeight="true" outlineLevel="0" collapsed="false">
      <c r="A70" s="10" t="s">
        <v>1578</v>
      </c>
      <c r="B70" s="10" t="s">
        <v>1579</v>
      </c>
      <c r="C70" s="10"/>
      <c r="D70" s="10"/>
      <c r="E70" s="10" t="s">
        <v>1580</v>
      </c>
      <c r="F70" s="10"/>
      <c r="G70" s="10"/>
    </row>
    <row r="71" customFormat="false" ht="18" hidden="false" customHeight="true" outlineLevel="0" collapsed="false">
      <c r="A71" s="60" t="s">
        <v>1581</v>
      </c>
      <c r="B71" s="50" t="s">
        <v>1582</v>
      </c>
      <c r="C71" s="50"/>
      <c r="D71" s="50"/>
      <c r="E71" s="21" t="s">
        <v>1583</v>
      </c>
      <c r="F71" s="21"/>
      <c r="G71" s="21"/>
    </row>
    <row r="72" customFormat="false" ht="30.75" hidden="false" customHeight="true" outlineLevel="0" collapsed="false">
      <c r="A72" s="60" t="s">
        <v>1584</v>
      </c>
      <c r="B72" s="50" t="s">
        <v>1585</v>
      </c>
      <c r="C72" s="50"/>
      <c r="D72" s="50"/>
      <c r="E72" s="21" t="s">
        <v>1586</v>
      </c>
      <c r="F72" s="21"/>
      <c r="G72" s="21"/>
    </row>
    <row r="73" customFormat="false" ht="18" hidden="false" customHeight="true" outlineLevel="0" collapsed="false">
      <c r="A73" s="60" t="s">
        <v>1587</v>
      </c>
      <c r="B73" s="50" t="s">
        <v>1588</v>
      </c>
      <c r="C73" s="50"/>
      <c r="D73" s="50"/>
      <c r="E73" s="21" t="s">
        <v>1589</v>
      </c>
      <c r="F73" s="21"/>
      <c r="G73" s="21"/>
    </row>
    <row r="74" customFormat="false" ht="18" hidden="false" customHeight="true" outlineLevel="0" collapsed="false">
      <c r="A74" s="60" t="s">
        <v>1590</v>
      </c>
      <c r="B74" s="50" t="s">
        <v>1591</v>
      </c>
      <c r="C74" s="50"/>
      <c r="D74" s="50"/>
      <c r="E74" s="21" t="s">
        <v>1592</v>
      </c>
      <c r="F74" s="21"/>
      <c r="G74" s="21"/>
    </row>
    <row r="75" customFormat="false" ht="18" hidden="false" customHeight="true" outlineLevel="0" collapsed="false">
      <c r="A75" s="60" t="s">
        <v>1593</v>
      </c>
      <c r="B75" s="50" t="s">
        <v>1594</v>
      </c>
      <c r="C75" s="50"/>
      <c r="D75" s="50"/>
      <c r="E75" s="21" t="s">
        <v>1595</v>
      </c>
      <c r="F75" s="21"/>
      <c r="G75" s="21"/>
    </row>
    <row r="76" customFormat="false" ht="18" hidden="false" customHeight="true" outlineLevel="0" collapsed="false">
      <c r="A76" s="60" t="s">
        <v>1596</v>
      </c>
      <c r="B76" s="50" t="s">
        <v>1597</v>
      </c>
      <c r="C76" s="50"/>
      <c r="D76" s="50"/>
      <c r="E76" s="21" t="s">
        <v>1598</v>
      </c>
      <c r="F76" s="21"/>
      <c r="G76" s="21"/>
    </row>
    <row r="77" customFormat="false" ht="30" hidden="false" customHeight="true" outlineLevel="0" collapsed="false">
      <c r="A77" s="51" t="s">
        <v>1599</v>
      </c>
      <c r="B77" s="51"/>
      <c r="C77" s="51"/>
      <c r="D77" s="51"/>
      <c r="E77" s="51"/>
      <c r="F77" s="51"/>
      <c r="G77" s="51"/>
    </row>
    <row r="79" customFormat="false" ht="19.5" hidden="false" customHeight="true" outlineLevel="0" collapsed="false">
      <c r="A79" s="47" t="s">
        <v>1600</v>
      </c>
      <c r="B79" s="48"/>
      <c r="C79" s="48"/>
      <c r="D79" s="48"/>
      <c r="E79" s="48"/>
      <c r="F79" s="48"/>
      <c r="G79" s="48"/>
    </row>
    <row r="80" customFormat="false" ht="27.75" hidden="false" customHeight="true" outlineLevel="0" collapsed="false">
      <c r="A80" s="10" t="s">
        <v>1601</v>
      </c>
      <c r="B80" s="10" t="s">
        <v>1602</v>
      </c>
      <c r="C80" s="10"/>
      <c r="D80" s="10"/>
      <c r="E80" s="10"/>
      <c r="F80" s="10" t="s">
        <v>1603</v>
      </c>
    </row>
    <row r="81" customFormat="false" ht="30.75" hidden="false" customHeight="true" outlineLevel="0" collapsed="false">
      <c r="A81" s="60" t="n">
        <v>1</v>
      </c>
      <c r="B81" s="50" t="s">
        <v>1604</v>
      </c>
      <c r="C81" s="50"/>
      <c r="D81" s="50"/>
      <c r="E81" s="50"/>
      <c r="F81" s="50" t="s">
        <v>1605</v>
      </c>
    </row>
    <row r="82" customFormat="false" ht="18" hidden="false" customHeight="true" outlineLevel="0" collapsed="false">
      <c r="A82" s="60" t="n">
        <v>2</v>
      </c>
      <c r="B82" s="50" t="s">
        <v>1606</v>
      </c>
      <c r="C82" s="50"/>
      <c r="D82" s="50"/>
      <c r="E82" s="50"/>
      <c r="F82" s="50" t="s">
        <v>1607</v>
      </c>
    </row>
    <row r="83" customFormat="false" ht="30.75" hidden="false" customHeight="true" outlineLevel="0" collapsed="false">
      <c r="A83" s="60" t="n">
        <v>3</v>
      </c>
      <c r="B83" s="50" t="s">
        <v>1608</v>
      </c>
      <c r="C83" s="50"/>
      <c r="D83" s="50"/>
      <c r="E83" s="50"/>
      <c r="F83" s="50" t="s">
        <v>1609</v>
      </c>
    </row>
    <row r="84" customFormat="false" ht="30.75" hidden="false" customHeight="true" outlineLevel="0" collapsed="false">
      <c r="A84" s="60" t="n">
        <v>4</v>
      </c>
      <c r="B84" s="50" t="s">
        <v>1610</v>
      </c>
      <c r="C84" s="50"/>
      <c r="D84" s="50"/>
      <c r="E84" s="50"/>
      <c r="F84" s="50" t="s">
        <v>1611</v>
      </c>
    </row>
    <row r="85" customFormat="false" ht="18" hidden="false" customHeight="true" outlineLevel="0" collapsed="false">
      <c r="A85" s="60" t="n">
        <v>5</v>
      </c>
      <c r="B85" s="50" t="s">
        <v>1612</v>
      </c>
      <c r="C85" s="50"/>
      <c r="D85" s="50"/>
      <c r="E85" s="50"/>
      <c r="F85" s="50" t="s">
        <v>1613</v>
      </c>
    </row>
    <row r="86" customFormat="false" ht="18" hidden="false" customHeight="true" outlineLevel="0" collapsed="false">
      <c r="A86" s="51" t="s">
        <v>1614</v>
      </c>
      <c r="B86" s="51"/>
      <c r="C86" s="51"/>
      <c r="D86" s="51"/>
      <c r="E86" s="51"/>
      <c r="F86" s="51"/>
      <c r="G86" s="51"/>
    </row>
    <row r="88" customFormat="false" ht="19.5" hidden="false" customHeight="true" outlineLevel="0" collapsed="false">
      <c r="A88" s="47" t="s">
        <v>1615</v>
      </c>
      <c r="B88" s="48"/>
      <c r="C88" s="48"/>
      <c r="D88" s="48"/>
      <c r="E88" s="48"/>
      <c r="F88" s="48"/>
      <c r="G88" s="48"/>
    </row>
    <row r="89" customFormat="false" ht="27.75" hidden="false" customHeight="true" outlineLevel="0" collapsed="false">
      <c r="A89" s="10" t="s">
        <v>1616</v>
      </c>
      <c r="B89" s="10" t="s">
        <v>1617</v>
      </c>
      <c r="C89" s="10"/>
      <c r="D89" s="10"/>
      <c r="E89" s="10"/>
      <c r="F89" s="10"/>
    </row>
    <row r="90" customFormat="false" ht="18" hidden="false" customHeight="true" outlineLevel="0" collapsed="false">
      <c r="A90" s="50" t="s">
        <v>1618</v>
      </c>
      <c r="B90" s="50" t="s">
        <v>1619</v>
      </c>
      <c r="C90" s="50"/>
      <c r="D90" s="50"/>
      <c r="E90" s="50"/>
      <c r="F90" s="50"/>
    </row>
    <row r="91" customFormat="false" ht="30.75" hidden="false" customHeight="true" outlineLevel="0" collapsed="false">
      <c r="A91" s="50" t="s">
        <v>1620</v>
      </c>
      <c r="B91" s="50" t="s">
        <v>1621</v>
      </c>
      <c r="C91" s="50"/>
      <c r="D91" s="50"/>
      <c r="E91" s="50"/>
      <c r="F91" s="50"/>
    </row>
    <row r="92" customFormat="false" ht="30.75" hidden="false" customHeight="true" outlineLevel="0" collapsed="false">
      <c r="A92" s="50" t="s">
        <v>1622</v>
      </c>
      <c r="B92" s="50" t="s">
        <v>1623</v>
      </c>
      <c r="C92" s="50"/>
      <c r="D92" s="50"/>
      <c r="E92" s="50"/>
      <c r="F92" s="50"/>
    </row>
    <row r="93" customFormat="false" ht="18" hidden="false" customHeight="true" outlineLevel="0" collapsed="false">
      <c r="A93" s="50" t="s">
        <v>1624</v>
      </c>
      <c r="B93" s="50" t="s">
        <v>1625</v>
      </c>
      <c r="C93" s="50"/>
      <c r="D93" s="50"/>
      <c r="E93" s="50"/>
      <c r="F93" s="50"/>
    </row>
    <row r="94" customFormat="false" ht="18" hidden="false" customHeight="true" outlineLevel="0" collapsed="false">
      <c r="A94" s="50" t="s">
        <v>1626</v>
      </c>
      <c r="B94" s="50" t="s">
        <v>1627</v>
      </c>
      <c r="C94" s="50"/>
      <c r="D94" s="50"/>
      <c r="E94" s="50"/>
      <c r="F94" s="50"/>
    </row>
    <row r="95" customFormat="false" ht="18" hidden="false" customHeight="true" outlineLevel="0" collapsed="false">
      <c r="A95" s="50" t="s">
        <v>1628</v>
      </c>
      <c r="B95" s="50" t="s">
        <v>1629</v>
      </c>
      <c r="C95" s="50"/>
      <c r="D95" s="50"/>
      <c r="E95" s="50"/>
      <c r="F95" s="50"/>
    </row>
  </sheetData>
  <mergeCells count="54">
    <mergeCell ref="B5:F5"/>
    <mergeCell ref="B6:F6"/>
    <mergeCell ref="B7:F7"/>
    <mergeCell ref="B8:F8"/>
    <mergeCell ref="B9:F9"/>
    <mergeCell ref="B10:F10"/>
    <mergeCell ref="B12:F12"/>
    <mergeCell ref="B13:F13"/>
    <mergeCell ref="B14:F14"/>
    <mergeCell ref="B15:F15"/>
    <mergeCell ref="B16:F16"/>
    <mergeCell ref="B17:F17"/>
    <mergeCell ref="B20:F20"/>
    <mergeCell ref="B21:F21"/>
    <mergeCell ref="B22:F22"/>
    <mergeCell ref="B23:F23"/>
    <mergeCell ref="B24:F24"/>
    <mergeCell ref="B25:F25"/>
    <mergeCell ref="A28:G28"/>
    <mergeCell ref="C62:F62"/>
    <mergeCell ref="C63:F63"/>
    <mergeCell ref="C64:F64"/>
    <mergeCell ref="C65:F65"/>
    <mergeCell ref="C66:F66"/>
    <mergeCell ref="A67:G67"/>
    <mergeCell ref="B70:D70"/>
    <mergeCell ref="E70:G70"/>
    <mergeCell ref="B71:D71"/>
    <mergeCell ref="E71:G71"/>
    <mergeCell ref="B72:D72"/>
    <mergeCell ref="E72:G72"/>
    <mergeCell ref="B73:D73"/>
    <mergeCell ref="E73:G73"/>
    <mergeCell ref="B74:D74"/>
    <mergeCell ref="E74:G74"/>
    <mergeCell ref="B75:D75"/>
    <mergeCell ref="E75:G75"/>
    <mergeCell ref="B76:D76"/>
    <mergeCell ref="E76:G76"/>
    <mergeCell ref="A77:G77"/>
    <mergeCell ref="B80:E80"/>
    <mergeCell ref="B81:E81"/>
    <mergeCell ref="B82:E82"/>
    <mergeCell ref="B83:E83"/>
    <mergeCell ref="B84:E84"/>
    <mergeCell ref="B85:E85"/>
    <mergeCell ref="A86:G86"/>
    <mergeCell ref="B89:F89"/>
    <mergeCell ref="B90:F90"/>
    <mergeCell ref="B91:F91"/>
    <mergeCell ref="B92:F92"/>
    <mergeCell ref="B93:F93"/>
    <mergeCell ref="B94:F94"/>
    <mergeCell ref="B95:F95"/>
  </mergeCells>
  <dataValidations count="1">
    <dataValidation allowBlank="true" error="Isi angka 0 atau lebih, atau kosongkan bila kriteria ini tidak dinilai." errorStyle="stop" errorTitle="Isi angka" operator="between" showDropDown="false" showErrorMessage="true" showInputMessage="false" sqref="C30:D59"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false"/>
  </sheetPr>
  <dimension ref="A1:AC3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18"/>
    <col collapsed="false" customWidth="true" hidden="false" outlineLevel="0" max="4" min="3" style="1" width="11"/>
    <col collapsed="false" customWidth="true" hidden="false" outlineLevel="0" max="5" min="5" style="1" width="10"/>
    <col collapsed="false" customWidth="true" hidden="false" outlineLevel="0" max="6" min="6" style="1" width="13"/>
    <col collapsed="false" customWidth="true" hidden="false" outlineLevel="0" max="7" min="7" style="1" width="11"/>
    <col collapsed="false" customWidth="true" hidden="false" outlineLevel="0" max="8" min="8" style="1" width="10"/>
    <col collapsed="false" customWidth="true" hidden="false" outlineLevel="0" max="9" min="9" style="1" width="40"/>
    <col collapsed="false" customWidth="true" hidden="false" outlineLevel="0" max="10" min="10" style="1" width="36"/>
    <col collapsed="false" customWidth="true" hidden="false" outlineLevel="0" max="16" min="11" style="1" width="15"/>
    <col collapsed="false" customWidth="true" hidden="false" outlineLevel="0" max="17" min="17" style="1" width="22"/>
    <col collapsed="false" customWidth="true" hidden="false" outlineLevel="0" max="24" min="18" style="1" width="40"/>
    <col collapsed="false" customWidth="true" hidden="false" outlineLevel="0" max="25" min="25" style="1" width="30"/>
    <col collapsed="false" customWidth="true" hidden="false" outlineLevel="0" max="26" min="26" style="1" width="80"/>
    <col collapsed="false" customWidth="true" hidden="false" outlineLevel="0" max="27" min="27" style="1" width="40"/>
    <col collapsed="false" customWidth="true" hidden="false" outlineLevel="0" max="28" min="28" style="1" width="60"/>
    <col collapsed="false" customWidth="true" hidden="false" outlineLevel="0" max="29" min="29" style="1" width="12"/>
  </cols>
  <sheetData>
    <row r="1" customFormat="false" ht="17.25" hidden="false" customHeight="true" outlineLevel="0" collapsed="false">
      <c r="A1" s="45" t="s">
        <v>1630</v>
      </c>
    </row>
    <row r="2" customFormat="false" ht="15" hidden="false" customHeight="true" outlineLevel="0" collapsed="false">
      <c r="A2" s="46" t="s">
        <v>1631</v>
      </c>
    </row>
    <row r="3" customFormat="false" ht="15" hidden="false" customHeight="true" outlineLevel="0" collapsed="false">
      <c r="A3" s="61" t="s">
        <v>1632</v>
      </c>
      <c r="B3" s="61"/>
      <c r="C3" s="62" t="s">
        <v>1633</v>
      </c>
      <c r="D3" s="62"/>
      <c r="E3" s="62"/>
      <c r="F3" s="62"/>
      <c r="G3" s="62"/>
      <c r="H3" s="62"/>
      <c r="I3" s="62" t="s">
        <v>1634</v>
      </c>
      <c r="J3" s="62"/>
      <c r="K3" s="63" t="s">
        <v>1475</v>
      </c>
      <c r="L3" s="63"/>
      <c r="M3" s="63"/>
      <c r="N3" s="63"/>
      <c r="O3" s="63"/>
      <c r="P3" s="63"/>
      <c r="Q3" s="61" t="s">
        <v>1635</v>
      </c>
      <c r="R3" s="64" t="s">
        <v>1636</v>
      </c>
      <c r="S3" s="64"/>
      <c r="T3" s="64"/>
      <c r="U3" s="64"/>
      <c r="V3" s="64"/>
      <c r="W3" s="64"/>
      <c r="X3" s="64" t="s">
        <v>1637</v>
      </c>
      <c r="Y3" s="64"/>
      <c r="Z3" s="64"/>
      <c r="AA3" s="65" t="s">
        <v>1638</v>
      </c>
      <c r="AB3" s="65"/>
      <c r="AC3" s="65"/>
    </row>
    <row r="4" customFormat="false" ht="43.5" hidden="false" customHeight="true" outlineLevel="0" collapsed="false">
      <c r="A4" s="10" t="s">
        <v>1639</v>
      </c>
      <c r="B4" s="10" t="s">
        <v>1640</v>
      </c>
      <c r="C4" s="11" t="s">
        <v>1641</v>
      </c>
      <c r="D4" s="11" t="s">
        <v>1642</v>
      </c>
      <c r="E4" s="11" t="s">
        <v>1643</v>
      </c>
      <c r="F4" s="11" t="s">
        <v>1644</v>
      </c>
      <c r="G4" s="11" t="s">
        <v>1645</v>
      </c>
      <c r="H4" s="11" t="s">
        <v>1646</v>
      </c>
      <c r="I4" s="11" t="s">
        <v>1647</v>
      </c>
      <c r="J4" s="11" t="s">
        <v>1648</v>
      </c>
      <c r="K4" s="24" t="s">
        <v>1649</v>
      </c>
      <c r="L4" s="24" t="s">
        <v>1650</v>
      </c>
      <c r="M4" s="24" t="s">
        <v>1651</v>
      </c>
      <c r="N4" s="24" t="s">
        <v>1652</v>
      </c>
      <c r="O4" s="24" t="s">
        <v>1653</v>
      </c>
      <c r="P4" s="24" t="s">
        <v>1654</v>
      </c>
      <c r="Q4" s="10" t="s">
        <v>1655</v>
      </c>
      <c r="R4" s="30" t="s">
        <v>1656</v>
      </c>
      <c r="S4" s="30" t="s">
        <v>1657</v>
      </c>
      <c r="T4" s="30" t="s">
        <v>1658</v>
      </c>
      <c r="U4" s="30" t="s">
        <v>1659</v>
      </c>
      <c r="V4" s="30" t="s">
        <v>1660</v>
      </c>
      <c r="W4" s="30" t="s">
        <v>1661</v>
      </c>
      <c r="X4" s="30" t="s">
        <v>1662</v>
      </c>
      <c r="Y4" s="30" t="s">
        <v>1663</v>
      </c>
      <c r="Z4" s="30" t="s">
        <v>1664</v>
      </c>
      <c r="AA4" s="12" t="s">
        <v>1665</v>
      </c>
      <c r="AB4" s="12" t="s">
        <v>1666</v>
      </c>
      <c r="AC4" s="12" t="s">
        <v>1667</v>
      </c>
    </row>
    <row r="5" customFormat="false" ht="15" hidden="false" customHeight="true" outlineLevel="0" collapsed="false">
      <c r="A5" s="66" t="str">
        <f aca="false">IF(Varian!$A5="","",Varian!$A5)</f>
        <v>asus-m1405ya-r5-7430u-16-512</v>
      </c>
      <c r="B5" s="66" t="str">
        <f aca="false">IF($A5="","",Aturan!$A$21)</f>
        <v>Kuliah dan kantor</v>
      </c>
      <c r="C5" s="67" t="n">
        <f aca="false">IF($A5="","",IFERROR(IF(ISNUMBER(INDEX(CPU!$J$4:$J$64,MATCH(Varian!$J5,CPU!$A$4:$A$64,0))),INDEX(CPU!$J$4:$J$64,MATCH(Varian!$J5,CPU!$A$4:$A$64,0)),""),""))</f>
        <v>3</v>
      </c>
      <c r="D5" s="67" t="n">
        <f aca="false">IF($A5="","",IFERROR(IF(ISNUMBER(INDEX(GPU!$G$4:$G$64,MATCH(Varian!$K5,GPU!$A$4:$A$64,0))),INDEX(GPU!$G$4:$G$64,MATCH(Varian!$K5,GPU!$A$4:$A$64,0)),""),""))</f>
        <v>2</v>
      </c>
      <c r="E5" s="67" t="n">
        <f aca="false">IF($A5="","",IF(ISNUMBER(Varian!$M5),Varian!$M5,""))</f>
        <v>16</v>
      </c>
      <c r="F5" s="67" t="n">
        <f aca="false">IF($A5="","",IF(ISNUMBER(Varian!$V5),Varian!$V5,""))</f>
        <v>512</v>
      </c>
      <c r="G5" s="67" t="n">
        <f aca="false">IF($A5="","",IFERROR(INDEX(Aturan!$B$63:$B$66,MATCH(Varian!$AG5,Aturan!$A$63:$A$66,0)),""))</f>
        <v>3</v>
      </c>
      <c r="H5" s="67" t="n">
        <f aca="false">IF($A5="","",IF(ISNUMBER(Varian!$AI5),Varian!$AI5,""))</f>
        <v>60</v>
      </c>
      <c r="I5" s="66" t="str">
        <f aca="false">IF($A5="","",IF(Varian!$Q5="disolder","menempel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5" s="66" t="str">
        <f aca="false">IF($A5="","",IF(Varian!$Z5="ya","bisa diganti dengan yang lebih besar",IF(Varian!$Z5="tidak","menempel, tidak bisa diganti","belum diketahui apakah bisa diganti")))</f>
        <v>bisa diganti dengan yang lebih besar</v>
      </c>
      <c r="K5" s="68" t="str">
        <f aca="false">IF($A5="","",IF(AND(Aturan!$C$30="",Aturan!$D$30=""),"Tidak dinilai",IF(C5="","Belum ada data",IF(C5&lt;IF(Aturan!$C$30="",0,Aturan!$C$30),"Kurang",IF(C5&gt;=IF(Aturan!$D$30="",Aturan!$C$30,Aturan!$D$30),"Nyaman","Cukup")))))</f>
        <v>Nyaman</v>
      </c>
      <c r="L5" s="68" t="str">
        <f aca="false">IF($A5="","",IF(AND(Aturan!$C$31="",Aturan!$D$31=""),"Tidak dinilai",IF(D5="","Belum ada data",IF(D5&lt;IF(Aturan!$C$31="",0,Aturan!$C$31),"Kurang",IF(D5&gt;=IF(Aturan!$D$31="",Aturan!$C$31,Aturan!$D$31),"Nyaman","Cukup")))))</f>
        <v>Tidak dinilai</v>
      </c>
      <c r="M5" s="68" t="str">
        <f aca="false">IF($A5="","",IF(AND(Aturan!$C$32="",Aturan!$D$32=""),"Tidak dinilai",IF(E5="","Belum ada data",IF(E5&lt;IF(Aturan!$C$32="",0,Aturan!$C$32),"Kurang",IF(E5&gt;=IF(Aturan!$D$32="",Aturan!$C$32,Aturan!$D$32),"Nyaman","Cukup")))))</f>
        <v>Nyaman</v>
      </c>
      <c r="N5" s="68" t="str">
        <f aca="false">IF($A5="","",IF(AND(Aturan!$C$33="",Aturan!$D$33=""),"Tidak dinilai",IF(F5="","Belum ada data",IF(F5&lt;IF(Aturan!$C$33="",0,Aturan!$C$33),"Kurang",IF(F5&gt;=IF(Aturan!$D$33="",Aturan!$C$33,Aturan!$D$33),"Nyaman","Cukup")))))</f>
        <v>Nyaman</v>
      </c>
      <c r="O5" s="68" t="str">
        <f aca="false">IF($A5="","",IF(AND(Aturan!$C$34="",Aturan!$D$34=""),"Tidak dinilai",IF(G5="","Belum ada data",IF(G5&lt;IF(Aturan!$C$34="",0,Aturan!$C$34),"Kurang",IF(G5&gt;=IF(Aturan!$D$34="",Aturan!$C$34,Aturan!$D$34),"Nyaman","Cukup")))))</f>
        <v>Tidak dinilai</v>
      </c>
      <c r="P5" s="68" t="str">
        <f aca="false">IF($A5="","",IF(AND(Aturan!$C$35="",Aturan!$D$35=""),"Tidak dinilai",IF(H5="","Belum ada data",IF(H5&lt;IF(Aturan!$C$35="",0,Aturan!$C$35),"Kurang",IF(H5&gt;=IF(Aturan!$D$35="",Aturan!$C$35,Aturan!$D$35),"Nyaman","Cukup")))))</f>
        <v>Tidak dinilai</v>
      </c>
      <c r="Q5" s="68" t="str">
        <f aca="false">IF($A5="","",IF(COUNTIF(K5:P5,"Tidak dinilai")=6,"Tidak dinilai",IF(COUNTIF(K5:P5,"Kurang")&gt;0,"Kurang cocok",IF(COUNTIF(K5:P5,"Belum ada data")&gt;0,"Data belum lengkap",IF(COUNTIF(K5:P5,"Cukup")&gt;0,"Bisa, dengan catatan","Cocok")))))</f>
        <v>Cocok</v>
      </c>
      <c r="R5" s="66" t="str">
        <f aca="false">IF($A5="","",IF(K5="Kurang","prosesor tingkat "&amp;C5&amp;" dari 5, di bawah batas minimal (tingkat "&amp;Aturan!$C$30&amp;")",IF(K5="Cukup","prosesor tingkat "&amp;C5&amp;" dari 5 cukup, nyamannya mulai tingkat "&amp;Aturan!$D$30,IF(K5="Belum ada data","tingkat prosesor belum diisi",""))))</f>
        <v/>
      </c>
      <c r="S5" s="66" t="str">
        <f aca="false">IF($A5="","",IF(L5="Kurang","grafis tingkat "&amp;D5&amp;" dari 5, di bawah batas minimal (tingkat "&amp;Aturan!$C$31&amp;")",IF(L5="Cukup","grafis tingkat "&amp;D5&amp;" dari 5 cukup, nyamannya mulai tingkat "&amp;Aturan!$D$31,IF(L5="Belum ada data","tingkat grafis belum diisi",""))))</f>
        <v/>
      </c>
      <c r="T5" s="66" t="str">
        <f aca="false">IF($A5="","",IF(M5="Kurang","RAM "&amp;E5&amp;" GB, di bawah batas minimal "&amp;Aturan!$C$32&amp;" GB ("&amp;I5&amp;")",IF(M5="Cukup","RAM "&amp;E5&amp;" GB cukup, nyamannya "&amp;Aturan!$D$32&amp;" GB atau lebih ("&amp;I5&amp;")",IF(M5="Belum ada data","ukuran RAM belum diisi",""))))</f>
        <v/>
      </c>
      <c r="U5" s="66" t="str">
        <f aca="false">IF($A5="","",IF(N5="Kurang","penyimpanan "&amp;F5&amp;" GB, di bawah batas minimal "&amp;Aturan!$C$33&amp;" GB ("&amp;J5&amp;")",IF(N5="Cukup","penyimpanan "&amp;F5&amp;" GB cukup, nyamannya "&amp;Aturan!$D$33&amp;" GB atau lebih ("&amp;J5&amp;")",IF(N5="Belum ada data","ukuran penyimpanan belum diisi",""))))</f>
        <v/>
      </c>
      <c r="V5" s="66" t="str">
        <f aca="false">IF($A5="","",IF(O5="Kurang","layar "&amp;Varian!$AG5&amp;", di bawah batas minimal ("&amp;IFERROR(INDEX(Aturan!$A$63:$A$66,MATCH(Aturan!$C$34,Aturan!$B$63:$B$66,0)),"peringkat "&amp;Aturan!$C$34)&amp;")",IF(O5="Cukup","layar "&amp;Varian!$AG5&amp;" cukup, nyamannya "&amp;IFERROR(INDEX(Aturan!$A$63:$A$66,MATCH(Aturan!$D$34,Aturan!$B$63:$B$66,0)),"peringkat "&amp;Aturan!$D$34),IF(O5="Belum ada data","jenis layar belum diketahui",""))))</f>
        <v/>
      </c>
      <c r="W5" s="66" t="str">
        <f aca="false">IF($A5="","",IF(P5="Kurang","layar "&amp;H5&amp;" Hz, di bawah batas minimal "&amp;Aturan!$C$35&amp;" Hz",IF(P5="Cukup","layar "&amp;H5&amp;" Hz cukup, nyamannya "&amp;Aturan!$D$35&amp;" Hz atau lebih",IF(P5="Belum ada data","refresh rate belum diketahui",""))))</f>
        <v/>
      </c>
      <c r="X5" s="66" t="str">
        <f aca="false">IF($A5="","",IF(K5="Kurang",R5&amp;"; ","")&amp;IF(L5="Kurang",S5&amp;"; ","")&amp;IF(M5="Kurang",T5&amp;"; ","")&amp;IF(N5="Kurang",U5&amp;"; ","")&amp;IF(O5="Kurang",V5&amp;"; ","")&amp;IF(P5="Kurang",W5&amp;"; ","")&amp;IF(K5="Belum ada data",R5&amp;"; ","")&amp;IF(L5="Belum ada data",S5&amp;"; ","")&amp;IF(M5="Belum ada data",T5&amp;"; ","")&amp;IF(N5="Belum ada data",U5&amp;"; ","")&amp;IF(O5="Belum ada data",V5&amp;"; ","")&amp;IF(P5="Belum ada data",W5&amp;"; ","")&amp;IF(K5="Cukup",R5&amp;"; ","")&amp;IF(L5="Cukup",S5&amp;"; ","")&amp;IF(M5="Cukup",T5&amp;"; ","")&amp;IF(N5="Cukup",U5&amp;"; ","")&amp;IF(O5="Cukup",V5&amp;"; ","")&amp;IF(P5="Cukup",W5&amp;"; ",""))</f>
        <v/>
      </c>
      <c r="Y5" s="66" t="str">
        <f aca="false">IF($A5="","",IF(K5="Nyaman","prosesor, ","")&amp;IF(L5="Nyaman","grafis, ","")&amp;IF(M5="Nyaman","RAM, ","")&amp;IF(N5="Nyaman","penyimpanan, ","")&amp;IF(O5="Nyaman","layar, ","")&amp;IF(P5="Nyaman","refresh rate, ",""))</f>
        <v>prosesor, RAM, penyimpanan, </v>
      </c>
      <c r="Z5" s="66" t="str">
        <f aca="false">IF($A5="","",IF(Q5="Tidak dinilai","Belum ada kriteria yang dinilai untuk kebutuhan ini.",IF(Q5="Cocok","Semua kriteria yang dinilai sudah nyaman: "&amp;LEFT(Y5,LEN(Y5)-2)&amp;".",UPPER(LEFT(X5,1))&amp;MID(X5,2,LEN(X5)-3)&amp;"."&amp;IF(Y5="",""," Sudah nyaman: "&amp;LEFT(Y5,LEN(Y5)-2)&amp;"."))))</f>
        <v>Semua kriteria yang dinilai sudah nyaman: prosesor, RAM, penyimpanan.</v>
      </c>
      <c r="AA5" s="66" t="str">
        <f aca="false">IF($A5="","",IF(Varian!$AR5="Windows 10","• "&amp;Aturan!$E$71&amp;CHAR(10),"")&amp;IF(Varian!$BB5="tidak","• "&amp;Aturan!$E$72&amp;CHAR(10),"")&amp;IF(OR(Varian!$AD5="belum terverifikasi",Varian!$AD5="tidak diketahui"),"• "&amp;Aturan!$E$73&amp;CHAR(10),"")&amp;IF(Varian!$AH5="1366x768","• "&amp;Aturan!$E$74&amp;CHAR(10),"")&amp;IF(Varian!$AG5="TN","• "&amp;Aturan!$E$75&amp;CHAR(10),"")&amp;IF(AND(Varian!$Q5="disolder",ISNUMBER(Varian!$M5),Varian!$M5&lt;=8),"• "&amp;Aturan!$E$76&amp;CHAR(10),""))</f>
        <v/>
      </c>
      <c r="AB5" s="66" t="str">
        <f aca="false">IF($A5="","",IF(AA5="","",LEFT(AA5,LEN(AA5)-1)))</f>
        <v/>
      </c>
      <c r="AC5" s="67" t="n">
        <f aca="false">IF($A5="","",IF(AA5="",0,LEN(AA5)-LEN(SUBSTITUTE(AA5,CHAR(10),""))))</f>
        <v>0</v>
      </c>
    </row>
    <row r="6" customFormat="false" ht="15" hidden="false" customHeight="true" outlineLevel="0" collapsed="false">
      <c r="A6" s="33" t="str">
        <f aca="false">IF(Varian!$A5="","",Varian!$A5)</f>
        <v>asus-m1405ya-r5-7430u-16-512</v>
      </c>
      <c r="B6" s="33" t="str">
        <f aca="false">IF($A6="","",Aturan!$A$22)</f>
        <v>Desain grafis</v>
      </c>
      <c r="C6" s="69" t="n">
        <f aca="false">IF($A6="","",IFERROR(IF(ISNUMBER(INDEX(CPU!$J$4:$J$64,MATCH(Varian!$J5,CPU!$A$4:$A$64,0))),INDEX(CPU!$J$4:$J$64,MATCH(Varian!$J5,CPU!$A$4:$A$64,0)),""),""))</f>
        <v>3</v>
      </c>
      <c r="D6" s="69" t="n">
        <f aca="false">IF($A6="","",IFERROR(IF(ISNUMBER(INDEX(GPU!$G$4:$G$64,MATCH(Varian!$K5,GPU!$A$4:$A$64,0))),INDEX(GPU!$G$4:$G$64,MATCH(Varian!$K5,GPU!$A$4:$A$64,0)),""),""))</f>
        <v>2</v>
      </c>
      <c r="E6" s="69" t="n">
        <f aca="false">IF($A6="","",IF(ISNUMBER(Varian!$M5),Varian!$M5,""))</f>
        <v>16</v>
      </c>
      <c r="F6" s="69" t="n">
        <f aca="false">IF($A6="","",IF(ISNUMBER(Varian!$V5),Varian!$V5,""))</f>
        <v>512</v>
      </c>
      <c r="G6" s="69" t="n">
        <f aca="false">IF($A6="","",IFERROR(INDEX(Aturan!$B$63:$B$66,MATCH(Varian!$AG5,Aturan!$A$63:$A$66,0)),""))</f>
        <v>3</v>
      </c>
      <c r="H6" s="69" t="n">
        <f aca="false">IF($A6="","",IF(ISNUMBER(Varian!$AI5),Varian!$AI5,""))</f>
        <v>60</v>
      </c>
      <c r="I6" s="33" t="str">
        <f aca="false">IF($A6="","",IF(Varian!$Q5="disolder","menempel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6" s="33" t="str">
        <f aca="false">IF($A6="","",IF(Varian!$Z5="ya","bisa diganti dengan yang lebih besar",IF(Varian!$Z5="tidak","menempel, tidak bisa diganti","belum diketahui apakah bisa diganti")))</f>
        <v>bisa diganti dengan yang lebih besar</v>
      </c>
      <c r="K6" s="70" t="str">
        <f aca="false">IF($A6="","",IF(AND(Aturan!$C$36="",Aturan!$D$36=""),"Tidak dinilai",IF(C6="","Belum ada data",IF(C6&lt;IF(Aturan!$C$36="",0,Aturan!$C$36),"Kurang",IF(C6&gt;=IF(Aturan!$D$36="",Aturan!$C$36,Aturan!$D$36),"Nyaman","Cukup")))))</f>
        <v>Nyaman</v>
      </c>
      <c r="L6" s="70" t="str">
        <f aca="false">IF($A6="","",IF(AND(Aturan!$C$37="",Aturan!$D$37=""),"Tidak dinilai",IF(D6="","Belum ada data",IF(D6&lt;IF(Aturan!$C$37="",0,Aturan!$C$37),"Kurang",IF(D6&gt;=IF(Aturan!$D$37="",Aturan!$C$37,Aturan!$D$37),"Nyaman","Cukup")))))</f>
        <v>Nyaman</v>
      </c>
      <c r="M6" s="70" t="str">
        <f aca="false">IF($A6="","",IF(AND(Aturan!$C$38="",Aturan!$D$38=""),"Tidak dinilai",IF(E6="","Belum ada data",IF(E6&lt;IF(Aturan!$C$38="",0,Aturan!$C$38),"Kurang",IF(E6&gt;=IF(Aturan!$D$38="",Aturan!$C$38,Aturan!$D$38),"Nyaman","Cukup")))))</f>
        <v>Nyaman</v>
      </c>
      <c r="N6" s="70" t="str">
        <f aca="false">IF($A6="","",IF(AND(Aturan!$C$39="",Aturan!$D$39=""),"Tidak dinilai",IF(F6="","Belum ada data",IF(F6&lt;IF(Aturan!$C$39="",0,Aturan!$C$39),"Kurang",IF(F6&gt;=IF(Aturan!$D$39="",Aturan!$C$39,Aturan!$D$39),"Nyaman","Cukup")))))</f>
        <v>Nyaman</v>
      </c>
      <c r="O6" s="70" t="str">
        <f aca="false">IF($A6="","",IF(AND(Aturan!$C$40="",Aturan!$D$40=""),"Tidak dinilai",IF(G6="","Belum ada data",IF(G6&lt;IF(Aturan!$C$40="",0,Aturan!$C$40),"Kurang",IF(G6&gt;=IF(Aturan!$D$40="",Aturan!$C$40,Aturan!$D$40),"Nyaman","Cukup")))))</f>
        <v>Cukup</v>
      </c>
      <c r="P6" s="70" t="str">
        <f aca="false">IF($A6="","",IF(AND(Aturan!$C$41="",Aturan!$D$41=""),"Tidak dinilai",IF(H6="","Belum ada data",IF(H6&lt;IF(Aturan!$C$41="",0,Aturan!$C$41),"Kurang",IF(H6&gt;=IF(Aturan!$D$41="",Aturan!$C$41,Aturan!$D$41),"Nyaman","Cukup")))))</f>
        <v>Tidak dinilai</v>
      </c>
      <c r="Q6" s="70" t="str">
        <f aca="false">IF($A6="","",IF(COUNTIF(K6:P6,"Tidak dinilai")=6,"Tidak dinilai",IF(COUNTIF(K6:P6,"Kurang")&gt;0,"Kurang cocok",IF(COUNTIF(K6:P6,"Belum ada data")&gt;0,"Data belum lengkap",IF(COUNTIF(K6:P6,"Cukup")&gt;0,"Bisa, dengan catatan","Cocok")))))</f>
        <v>Bisa, dengan catatan</v>
      </c>
      <c r="R6" s="33" t="str">
        <f aca="false">IF($A6="","",IF(K6="Kurang","prosesor tingkat "&amp;C6&amp;" dari 5, di bawah batas minimal (tingkat "&amp;Aturan!$C$36&amp;")",IF(K6="Cukup","prosesor tingkat "&amp;C6&amp;" dari 5 cukup, nyamannya mulai tingkat "&amp;Aturan!$D$36,IF(K6="Belum ada data","tingkat prosesor belum diisi",""))))</f>
        <v/>
      </c>
      <c r="S6" s="33" t="str">
        <f aca="false">IF($A6="","",IF(L6="Kurang","grafis tingkat "&amp;D6&amp;" dari 5, di bawah batas minimal (tingkat "&amp;Aturan!$C$37&amp;")",IF(L6="Cukup","grafis tingkat "&amp;D6&amp;" dari 5 cukup, nyamannya mulai tingkat "&amp;Aturan!$D$37,IF(L6="Belum ada data","tingkat grafis belum diisi",""))))</f>
        <v/>
      </c>
      <c r="T6" s="33" t="str">
        <f aca="false">IF($A6="","",IF(M6="Kurang","RAM "&amp;E6&amp;" GB, di bawah batas minimal "&amp;Aturan!$C$38&amp;" GB ("&amp;I6&amp;")",IF(M6="Cukup","RAM "&amp;E6&amp;" GB cukup, nyamannya "&amp;Aturan!$D$38&amp;" GB atau lebih ("&amp;I6&amp;")",IF(M6="Belum ada data","ukuran RAM belum diisi",""))))</f>
        <v/>
      </c>
      <c r="U6" s="33" t="str">
        <f aca="false">IF($A6="","",IF(N6="Kurang","penyimpanan "&amp;F6&amp;" GB, di bawah batas minimal "&amp;Aturan!$C$39&amp;" GB ("&amp;J6&amp;")",IF(N6="Cukup","penyimpanan "&amp;F6&amp;" GB cukup, nyamannya "&amp;Aturan!$D$39&amp;" GB atau lebih ("&amp;J6&amp;")",IF(N6="Belum ada data","ukuran penyimpanan belum diisi",""))))</f>
        <v/>
      </c>
      <c r="V6" s="33" t="str">
        <f aca="false">IF($A6="","",IF(O6="Kurang","layar "&amp;Varian!$AG5&amp;", di bawah batas minimal ("&amp;IFERROR(INDEX(Aturan!$A$63:$A$66,MATCH(Aturan!$C$40,Aturan!$B$63:$B$66,0)),"peringkat "&amp;Aturan!$C$40)&amp;")",IF(O6="Cukup","layar "&amp;Varian!$AG5&amp;" cukup, nyamannya "&amp;IFERROR(INDEX(Aturan!$A$63:$A$66,MATCH(Aturan!$D$40,Aturan!$B$63:$B$66,0)),"peringkat "&amp;Aturan!$D$40),IF(O6="Belum ada data","jenis layar belum diketahui",""))))</f>
        <v>layar IPS cukup, nyamannya OLED</v>
      </c>
      <c r="W6" s="33" t="str">
        <f aca="false">IF($A6="","",IF(P6="Kurang","layar "&amp;H6&amp;" Hz, di bawah batas minimal "&amp;Aturan!$C$41&amp;" Hz",IF(P6="Cukup","layar "&amp;H6&amp;" Hz cukup, nyamannya "&amp;Aturan!$D$41&amp;" Hz atau lebih",IF(P6="Belum ada data","refresh rate belum diketahui",""))))</f>
        <v/>
      </c>
      <c r="X6" s="33" t="str">
        <f aca="false">IF($A6="","",IF(K6="Kurang",R6&amp;"; ","")&amp;IF(L6="Kurang",S6&amp;"; ","")&amp;IF(M6="Kurang",T6&amp;"; ","")&amp;IF(N6="Kurang",U6&amp;"; ","")&amp;IF(O6="Kurang",V6&amp;"; ","")&amp;IF(P6="Kurang",W6&amp;"; ","")&amp;IF(K6="Belum ada data",R6&amp;"; ","")&amp;IF(L6="Belum ada data",S6&amp;"; ","")&amp;IF(M6="Belum ada data",T6&amp;"; ","")&amp;IF(N6="Belum ada data",U6&amp;"; ","")&amp;IF(O6="Belum ada data",V6&amp;"; ","")&amp;IF(P6="Belum ada data",W6&amp;"; ","")&amp;IF(K6="Cukup",R6&amp;"; ","")&amp;IF(L6="Cukup",S6&amp;"; ","")&amp;IF(M6="Cukup",T6&amp;"; ","")&amp;IF(N6="Cukup",U6&amp;"; ","")&amp;IF(O6="Cukup",V6&amp;"; ","")&amp;IF(P6="Cukup",W6&amp;"; ",""))</f>
        <v>layar IPS cukup, nyamannya OLED; </v>
      </c>
      <c r="Y6" s="33" t="str">
        <f aca="false">IF($A6="","",IF(K6="Nyaman","prosesor, ","")&amp;IF(L6="Nyaman","grafis, ","")&amp;IF(M6="Nyaman","RAM, ","")&amp;IF(N6="Nyaman","penyimpanan, ","")&amp;IF(O6="Nyaman","layar, ","")&amp;IF(P6="Nyaman","refresh rate, ",""))</f>
        <v>prosesor, grafis, RAM, penyimpanan, </v>
      </c>
      <c r="Z6" s="33" t="str">
        <f aca="false">IF($A6="","",IF(Q6="Tidak dinilai","Belum ada kriteria yang dinilai untuk kebutuhan ini.",IF(Q6="Cocok","Semua kriteria yang dinilai sudah nyaman: "&amp;LEFT(Y6,LEN(Y6)-2)&amp;".",UPPER(LEFT(X6,1))&amp;MID(X6,2,LEN(X6)-3)&amp;"."&amp;IF(Y6="",""," Sudah nyaman: "&amp;LEFT(Y6,LEN(Y6)-2)&amp;"."))))</f>
        <v>Layar IPS cukup, nyamannya OLED. Sudah nyaman: prosesor, grafis, RAM, penyimpanan.</v>
      </c>
      <c r="AA6" s="33"/>
      <c r="AB6" s="33"/>
      <c r="AC6" s="69"/>
    </row>
    <row r="7" customFormat="false" ht="15" hidden="false" customHeight="true" outlineLevel="0" collapsed="false">
      <c r="A7" s="33" t="str">
        <f aca="false">IF(Varian!$A5="","",Varian!$A5)</f>
        <v>asus-m1405ya-r5-7430u-16-512</v>
      </c>
      <c r="B7" s="33" t="str">
        <f aca="false">IF($A7="","",Aturan!$A$23)</f>
        <v>Pemrograman</v>
      </c>
      <c r="C7" s="69" t="n">
        <f aca="false">IF($A7="","",IFERROR(IF(ISNUMBER(INDEX(CPU!$J$4:$J$64,MATCH(Varian!$J5,CPU!$A$4:$A$64,0))),INDEX(CPU!$J$4:$J$64,MATCH(Varian!$J5,CPU!$A$4:$A$64,0)),""),""))</f>
        <v>3</v>
      </c>
      <c r="D7" s="69" t="n">
        <f aca="false">IF($A7="","",IFERROR(IF(ISNUMBER(INDEX(GPU!$G$4:$G$64,MATCH(Varian!$K5,GPU!$A$4:$A$64,0))),INDEX(GPU!$G$4:$G$64,MATCH(Varian!$K5,GPU!$A$4:$A$64,0)),""),""))</f>
        <v>2</v>
      </c>
      <c r="E7" s="69" t="n">
        <f aca="false">IF($A7="","",IF(ISNUMBER(Varian!$M5),Varian!$M5,""))</f>
        <v>16</v>
      </c>
      <c r="F7" s="69" t="n">
        <f aca="false">IF($A7="","",IF(ISNUMBER(Varian!$V5),Varian!$V5,""))</f>
        <v>512</v>
      </c>
      <c r="G7" s="69" t="n">
        <f aca="false">IF($A7="","",IFERROR(INDEX(Aturan!$B$63:$B$66,MATCH(Varian!$AG5,Aturan!$A$63:$A$66,0)),""))</f>
        <v>3</v>
      </c>
      <c r="H7" s="69" t="n">
        <f aca="false">IF($A7="","",IF(ISNUMBER(Varian!$AI5),Varian!$AI5,""))</f>
        <v>60</v>
      </c>
      <c r="I7" s="33" t="str">
        <f aca="false">IF($A7="","",IF(Varian!$Q5="disolder","menempel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7" s="33" t="str">
        <f aca="false">IF($A7="","",IF(Varian!$Z5="ya","bisa diganti dengan yang lebih besar",IF(Varian!$Z5="tidak","menempel, tidak bisa diganti","belum diketahui apakah bisa diganti")))</f>
        <v>bisa diganti dengan yang lebih besar</v>
      </c>
      <c r="K7" s="70" t="str">
        <f aca="false">IF($A7="","",IF(AND(Aturan!$C$42="",Aturan!$D$42=""),"Tidak dinilai",IF(C7="","Belum ada data",IF(C7&lt;IF(Aturan!$C$42="",0,Aturan!$C$42),"Kurang",IF(C7&gt;=IF(Aturan!$D$42="",Aturan!$C$42,Aturan!$D$42),"Nyaman","Cukup")))))</f>
        <v>Nyaman</v>
      </c>
      <c r="L7" s="70" t="str">
        <f aca="false">IF($A7="","",IF(AND(Aturan!$C$43="",Aturan!$D$43=""),"Tidak dinilai",IF(D7="","Belum ada data",IF(D7&lt;IF(Aturan!$C$43="",0,Aturan!$C$43),"Kurang",IF(D7&gt;=IF(Aturan!$D$43="",Aturan!$C$43,Aturan!$D$43),"Nyaman","Cukup")))))</f>
        <v>Tidak dinilai</v>
      </c>
      <c r="M7" s="70" t="str">
        <f aca="false">IF($A7="","",IF(AND(Aturan!$C$44="",Aturan!$D$44=""),"Tidak dinilai",IF(E7="","Belum ada data",IF(E7&lt;IF(Aturan!$C$44="",0,Aturan!$C$44),"Kurang",IF(E7&gt;=IF(Aturan!$D$44="",Aturan!$C$44,Aturan!$D$44),"Nyaman","Cukup")))))</f>
        <v>Nyaman</v>
      </c>
      <c r="N7" s="70" t="str">
        <f aca="false">IF($A7="","",IF(AND(Aturan!$C$45="",Aturan!$D$45=""),"Tidak dinilai",IF(F7="","Belum ada data",IF(F7&lt;IF(Aturan!$C$45="",0,Aturan!$C$45),"Kurang",IF(F7&gt;=IF(Aturan!$D$45="",Aturan!$C$45,Aturan!$D$45),"Nyaman","Cukup")))))</f>
        <v>Nyaman</v>
      </c>
      <c r="O7" s="70" t="str">
        <f aca="false">IF($A7="","",IF(AND(Aturan!$C$46="",Aturan!$D$46=""),"Tidak dinilai",IF(G7="","Belum ada data",IF(G7&lt;IF(Aturan!$C$46="",0,Aturan!$C$46),"Kurang",IF(G7&gt;=IF(Aturan!$D$46="",Aturan!$C$46,Aturan!$D$46),"Nyaman","Cukup")))))</f>
        <v>Tidak dinilai</v>
      </c>
      <c r="P7" s="70" t="str">
        <f aca="false">IF($A7="","",IF(AND(Aturan!$C$47="",Aturan!$D$47=""),"Tidak dinilai",IF(H7="","Belum ada data",IF(H7&lt;IF(Aturan!$C$47="",0,Aturan!$C$47),"Kurang",IF(H7&gt;=IF(Aturan!$D$47="",Aturan!$C$47,Aturan!$D$47),"Nyaman","Cukup")))))</f>
        <v>Tidak dinilai</v>
      </c>
      <c r="Q7" s="70" t="str">
        <f aca="false">IF($A7="","",IF(COUNTIF(K7:P7,"Tidak dinilai")=6,"Tidak dinilai",IF(COUNTIF(K7:P7,"Kurang")&gt;0,"Kurang cocok",IF(COUNTIF(K7:P7,"Belum ada data")&gt;0,"Data belum lengkap",IF(COUNTIF(K7:P7,"Cukup")&gt;0,"Bisa, dengan catatan","Cocok")))))</f>
        <v>Cocok</v>
      </c>
      <c r="R7" s="33" t="str">
        <f aca="false">IF($A7="","",IF(K7="Kurang","prosesor tingkat "&amp;C7&amp;" dari 5, di bawah batas minimal (tingkat "&amp;Aturan!$C$42&amp;")",IF(K7="Cukup","prosesor tingkat "&amp;C7&amp;" dari 5 cukup, nyamannya mulai tingkat "&amp;Aturan!$D$42,IF(K7="Belum ada data","tingkat prosesor belum diisi",""))))</f>
        <v/>
      </c>
      <c r="S7" s="33" t="str">
        <f aca="false">IF($A7="","",IF(L7="Kurang","grafis tingkat "&amp;D7&amp;" dari 5, di bawah batas minimal (tingkat "&amp;Aturan!$C$43&amp;")",IF(L7="Cukup","grafis tingkat "&amp;D7&amp;" dari 5 cukup, nyamannya mulai tingkat "&amp;Aturan!$D$43,IF(L7="Belum ada data","tingkat grafis belum diisi",""))))</f>
        <v/>
      </c>
      <c r="T7" s="33" t="str">
        <f aca="false">IF($A7="","",IF(M7="Kurang","RAM "&amp;E7&amp;" GB, di bawah batas minimal "&amp;Aturan!$C$44&amp;" GB ("&amp;I7&amp;")",IF(M7="Cukup","RAM "&amp;E7&amp;" GB cukup, nyamannya "&amp;Aturan!$D$44&amp;" GB atau lebih ("&amp;I7&amp;")",IF(M7="Belum ada data","ukuran RAM belum diisi",""))))</f>
        <v/>
      </c>
      <c r="U7" s="33" t="str">
        <f aca="false">IF($A7="","",IF(N7="Kurang","penyimpanan "&amp;F7&amp;" GB, di bawah batas minimal "&amp;Aturan!$C$45&amp;" GB ("&amp;J7&amp;")",IF(N7="Cukup","penyimpanan "&amp;F7&amp;" GB cukup, nyamannya "&amp;Aturan!$D$45&amp;" GB atau lebih ("&amp;J7&amp;")",IF(N7="Belum ada data","ukuran penyimpanan belum diisi",""))))</f>
        <v/>
      </c>
      <c r="V7" s="33" t="str">
        <f aca="false">IF($A7="","",IF(O7="Kurang","layar "&amp;Varian!$AG5&amp;", di bawah batas minimal ("&amp;IFERROR(INDEX(Aturan!$A$63:$A$66,MATCH(Aturan!$C$46,Aturan!$B$63:$B$66,0)),"peringkat "&amp;Aturan!$C$46)&amp;")",IF(O7="Cukup","layar "&amp;Varian!$AG5&amp;" cukup, nyamannya "&amp;IFERROR(INDEX(Aturan!$A$63:$A$66,MATCH(Aturan!$D$46,Aturan!$B$63:$B$66,0)),"peringkat "&amp;Aturan!$D$46),IF(O7="Belum ada data","jenis layar belum diketahui",""))))</f>
        <v/>
      </c>
      <c r="W7" s="33" t="str">
        <f aca="false">IF($A7="","",IF(P7="Kurang","layar "&amp;H7&amp;" Hz, di bawah batas minimal "&amp;Aturan!$C$47&amp;" Hz",IF(P7="Cukup","layar "&amp;H7&amp;" Hz cukup, nyamannya "&amp;Aturan!$D$47&amp;" Hz atau lebih",IF(P7="Belum ada data","refresh rate belum diketahui",""))))</f>
        <v/>
      </c>
      <c r="X7" s="33" t="str">
        <f aca="false">IF($A7="","",IF(K7="Kurang",R7&amp;"; ","")&amp;IF(L7="Kurang",S7&amp;"; ","")&amp;IF(M7="Kurang",T7&amp;"; ","")&amp;IF(N7="Kurang",U7&amp;"; ","")&amp;IF(O7="Kurang",V7&amp;"; ","")&amp;IF(P7="Kurang",W7&amp;"; ","")&amp;IF(K7="Belum ada data",R7&amp;"; ","")&amp;IF(L7="Belum ada data",S7&amp;"; ","")&amp;IF(M7="Belum ada data",T7&amp;"; ","")&amp;IF(N7="Belum ada data",U7&amp;"; ","")&amp;IF(O7="Belum ada data",V7&amp;"; ","")&amp;IF(P7="Belum ada data",W7&amp;"; ","")&amp;IF(K7="Cukup",R7&amp;"; ","")&amp;IF(L7="Cukup",S7&amp;"; ","")&amp;IF(M7="Cukup",T7&amp;"; ","")&amp;IF(N7="Cukup",U7&amp;"; ","")&amp;IF(O7="Cukup",V7&amp;"; ","")&amp;IF(P7="Cukup",W7&amp;"; ",""))</f>
        <v/>
      </c>
      <c r="Y7" s="33" t="str">
        <f aca="false">IF($A7="","",IF(K7="Nyaman","prosesor, ","")&amp;IF(L7="Nyaman","grafis, ","")&amp;IF(M7="Nyaman","RAM, ","")&amp;IF(N7="Nyaman","penyimpanan, ","")&amp;IF(O7="Nyaman","layar, ","")&amp;IF(P7="Nyaman","refresh rate, ",""))</f>
        <v>prosesor, RAM, penyimpanan, </v>
      </c>
      <c r="Z7" s="33" t="str">
        <f aca="false">IF($A7="","",IF(Q7="Tidak dinilai","Belum ada kriteria yang dinilai untuk kebutuhan ini.",IF(Q7="Cocok","Semua kriteria yang dinilai sudah nyaman: "&amp;LEFT(Y7,LEN(Y7)-2)&amp;".",UPPER(LEFT(X7,1))&amp;MID(X7,2,LEN(X7)-3)&amp;"."&amp;IF(Y7="",""," Sudah nyaman: "&amp;LEFT(Y7,LEN(Y7)-2)&amp;"."))))</f>
        <v>Semua kriteria yang dinilai sudah nyaman: prosesor, RAM, penyimpanan.</v>
      </c>
      <c r="AA7" s="33"/>
      <c r="AB7" s="33"/>
      <c r="AC7" s="69"/>
    </row>
    <row r="8" customFormat="false" ht="15" hidden="false" customHeight="true" outlineLevel="0" collapsed="false">
      <c r="A8" s="33" t="str">
        <f aca="false">IF(Varian!$A5="","",Varian!$A5)</f>
        <v>asus-m1405ya-r5-7430u-16-512</v>
      </c>
      <c r="B8" s="33" t="str">
        <f aca="false">IF($A8="","",Aturan!$A$24)</f>
        <v>Game ringan</v>
      </c>
      <c r="C8" s="69" t="n">
        <f aca="false">IF($A8="","",IFERROR(IF(ISNUMBER(INDEX(CPU!$J$4:$J$64,MATCH(Varian!$J5,CPU!$A$4:$A$64,0))),INDEX(CPU!$J$4:$J$64,MATCH(Varian!$J5,CPU!$A$4:$A$64,0)),""),""))</f>
        <v>3</v>
      </c>
      <c r="D8" s="69" t="n">
        <f aca="false">IF($A8="","",IFERROR(IF(ISNUMBER(INDEX(GPU!$G$4:$G$64,MATCH(Varian!$K5,GPU!$A$4:$A$64,0))),INDEX(GPU!$G$4:$G$64,MATCH(Varian!$K5,GPU!$A$4:$A$64,0)),""),""))</f>
        <v>2</v>
      </c>
      <c r="E8" s="69" t="n">
        <f aca="false">IF($A8="","",IF(ISNUMBER(Varian!$M5),Varian!$M5,""))</f>
        <v>16</v>
      </c>
      <c r="F8" s="69" t="n">
        <f aca="false">IF($A8="","",IF(ISNUMBER(Varian!$V5),Varian!$V5,""))</f>
        <v>512</v>
      </c>
      <c r="G8" s="69" t="n">
        <f aca="false">IF($A8="","",IFERROR(INDEX(Aturan!$B$63:$B$66,MATCH(Varian!$AG5,Aturan!$A$63:$A$66,0)),""))</f>
        <v>3</v>
      </c>
      <c r="H8" s="69" t="n">
        <f aca="false">IF($A8="","",IF(ISNUMBER(Varian!$AI5),Varian!$AI5,""))</f>
        <v>60</v>
      </c>
      <c r="I8" s="33" t="str">
        <f aca="false">IF($A8="","",IF(Varian!$Q5="disolder","menempel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8" s="33" t="str">
        <f aca="false">IF($A8="","",IF(Varian!$Z5="ya","bisa diganti dengan yang lebih besar",IF(Varian!$Z5="tidak","menempel, tidak bisa diganti","belum diketahui apakah bisa diganti")))</f>
        <v>bisa diganti dengan yang lebih besar</v>
      </c>
      <c r="K8" s="70" t="str">
        <f aca="false">IF($A8="","",IF(AND(Aturan!$C$48="",Aturan!$D$48=""),"Tidak dinilai",IF(C8="","Belum ada data",IF(C8&lt;IF(Aturan!$C$48="",0,Aturan!$C$48),"Kurang",IF(C8&gt;=IF(Aturan!$D$48="",Aturan!$C$48,Aturan!$D$48),"Nyaman","Cukup")))))</f>
        <v>Nyaman</v>
      </c>
      <c r="L8" s="70" t="str">
        <f aca="false">IF($A8="","",IF(AND(Aturan!$C$49="",Aturan!$D$49=""),"Tidak dinilai",IF(D8="","Belum ada data",IF(D8&lt;IF(Aturan!$C$49="",0,Aturan!$C$49),"Kurang",IF(D8&gt;=IF(Aturan!$D$49="",Aturan!$C$49,Aturan!$D$49),"Nyaman","Cukup")))))</f>
        <v>Nyaman</v>
      </c>
      <c r="M8" s="70" t="str">
        <f aca="false">IF($A8="","",IF(AND(Aturan!$C$50="",Aturan!$D$50=""),"Tidak dinilai",IF(E8="","Belum ada data",IF(E8&lt;IF(Aturan!$C$50="",0,Aturan!$C$50),"Kurang",IF(E8&gt;=IF(Aturan!$D$50="",Aturan!$C$50,Aturan!$D$50),"Nyaman","Cukup")))))</f>
        <v>Nyaman</v>
      </c>
      <c r="N8" s="70" t="str">
        <f aca="false">IF($A8="","",IF(AND(Aturan!$C$51="",Aturan!$D$51=""),"Tidak dinilai",IF(F8="","Belum ada data",IF(F8&lt;IF(Aturan!$C$51="",0,Aturan!$C$51),"Kurang",IF(F8&gt;=IF(Aturan!$D$51="",Aturan!$C$51,Aturan!$D$51),"Nyaman","Cukup")))))</f>
        <v>Nyaman</v>
      </c>
      <c r="O8" s="70" t="str">
        <f aca="false">IF($A8="","",IF(AND(Aturan!$C$52="",Aturan!$D$52=""),"Tidak dinilai",IF(G8="","Belum ada data",IF(G8&lt;IF(Aturan!$C$52="",0,Aturan!$C$52),"Kurang",IF(G8&gt;=IF(Aturan!$D$52="",Aturan!$C$52,Aturan!$D$52),"Nyaman","Cukup")))))</f>
        <v>Tidak dinilai</v>
      </c>
      <c r="P8" s="70" t="str">
        <f aca="false">IF($A8="","",IF(AND(Aturan!$C$53="",Aturan!$D$53=""),"Tidak dinilai",IF(H8="","Belum ada data",IF(H8&lt;IF(Aturan!$C$53="",0,Aturan!$C$53),"Kurang",IF(H8&gt;=IF(Aturan!$D$53="",Aturan!$C$53,Aturan!$D$53),"Nyaman","Cukup")))))</f>
        <v>Tidak dinilai</v>
      </c>
      <c r="Q8" s="70" t="str">
        <f aca="false">IF($A8="","",IF(COUNTIF(K8:P8,"Tidak dinilai")=6,"Tidak dinilai",IF(COUNTIF(K8:P8,"Kurang")&gt;0,"Kurang cocok",IF(COUNTIF(K8:P8,"Belum ada data")&gt;0,"Data belum lengkap",IF(COUNTIF(K8:P8,"Cukup")&gt;0,"Bisa, dengan catatan","Cocok")))))</f>
        <v>Cocok</v>
      </c>
      <c r="R8" s="33" t="str">
        <f aca="false">IF($A8="","",IF(K8="Kurang","prosesor tingkat "&amp;C8&amp;" dari 5, di bawah batas minimal (tingkat "&amp;Aturan!$C$48&amp;")",IF(K8="Cukup","prosesor tingkat "&amp;C8&amp;" dari 5 cukup, nyamannya mulai tingkat "&amp;Aturan!$D$48,IF(K8="Belum ada data","tingkat prosesor belum diisi",""))))</f>
        <v/>
      </c>
      <c r="S8" s="33" t="str">
        <f aca="false">IF($A8="","",IF(L8="Kurang","grafis tingkat "&amp;D8&amp;" dari 5, di bawah batas minimal (tingkat "&amp;Aturan!$C$49&amp;")",IF(L8="Cukup","grafis tingkat "&amp;D8&amp;" dari 5 cukup, nyamannya mulai tingkat "&amp;Aturan!$D$49,IF(L8="Belum ada data","tingkat grafis belum diisi",""))))</f>
        <v/>
      </c>
      <c r="T8" s="33" t="str">
        <f aca="false">IF($A8="","",IF(M8="Kurang","RAM "&amp;E8&amp;" GB, di bawah batas minimal "&amp;Aturan!$C$50&amp;" GB ("&amp;I8&amp;")",IF(M8="Cukup","RAM "&amp;E8&amp;" GB cukup, nyamannya "&amp;Aturan!$D$50&amp;" GB atau lebih ("&amp;I8&amp;")",IF(M8="Belum ada data","ukuran RAM belum diisi",""))))</f>
        <v/>
      </c>
      <c r="U8" s="33" t="str">
        <f aca="false">IF($A8="","",IF(N8="Kurang","penyimpanan "&amp;F8&amp;" GB, di bawah batas minimal "&amp;Aturan!$C$51&amp;" GB ("&amp;J8&amp;")",IF(N8="Cukup","penyimpanan "&amp;F8&amp;" GB cukup, nyamannya "&amp;Aturan!$D$51&amp;" GB atau lebih ("&amp;J8&amp;")",IF(N8="Belum ada data","ukuran penyimpanan belum diisi",""))))</f>
        <v/>
      </c>
      <c r="V8" s="33" t="str">
        <f aca="false">IF($A8="","",IF(O8="Kurang","layar "&amp;Varian!$AG5&amp;", di bawah batas minimal ("&amp;IFERROR(INDEX(Aturan!$A$63:$A$66,MATCH(Aturan!$C$52,Aturan!$B$63:$B$66,0)),"peringkat "&amp;Aturan!$C$52)&amp;")",IF(O8="Cukup","layar "&amp;Varian!$AG5&amp;" cukup, nyamannya "&amp;IFERROR(INDEX(Aturan!$A$63:$A$66,MATCH(Aturan!$D$52,Aturan!$B$63:$B$66,0)),"peringkat "&amp;Aturan!$D$52),IF(O8="Belum ada data","jenis layar belum diketahui",""))))</f>
        <v/>
      </c>
      <c r="W8" s="33" t="str">
        <f aca="false">IF($A8="","",IF(P8="Kurang","layar "&amp;H8&amp;" Hz, di bawah batas minimal "&amp;Aturan!$C$53&amp;" Hz",IF(P8="Cukup","layar "&amp;H8&amp;" Hz cukup, nyamannya "&amp;Aturan!$D$53&amp;" Hz atau lebih",IF(P8="Belum ada data","refresh rate belum diketahui",""))))</f>
        <v/>
      </c>
      <c r="X8" s="33" t="str">
        <f aca="false">IF($A8="","",IF(K8="Kurang",R8&amp;"; ","")&amp;IF(L8="Kurang",S8&amp;"; ","")&amp;IF(M8="Kurang",T8&amp;"; ","")&amp;IF(N8="Kurang",U8&amp;"; ","")&amp;IF(O8="Kurang",V8&amp;"; ","")&amp;IF(P8="Kurang",W8&amp;"; ","")&amp;IF(K8="Belum ada data",R8&amp;"; ","")&amp;IF(L8="Belum ada data",S8&amp;"; ","")&amp;IF(M8="Belum ada data",T8&amp;"; ","")&amp;IF(N8="Belum ada data",U8&amp;"; ","")&amp;IF(O8="Belum ada data",V8&amp;"; ","")&amp;IF(P8="Belum ada data",W8&amp;"; ","")&amp;IF(K8="Cukup",R8&amp;"; ","")&amp;IF(L8="Cukup",S8&amp;"; ","")&amp;IF(M8="Cukup",T8&amp;"; ","")&amp;IF(N8="Cukup",U8&amp;"; ","")&amp;IF(O8="Cukup",V8&amp;"; ","")&amp;IF(P8="Cukup",W8&amp;"; ",""))</f>
        <v/>
      </c>
      <c r="Y8" s="33" t="str">
        <f aca="false">IF($A8="","",IF(K8="Nyaman","prosesor, ","")&amp;IF(L8="Nyaman","grafis, ","")&amp;IF(M8="Nyaman","RAM, ","")&amp;IF(N8="Nyaman","penyimpanan, ","")&amp;IF(O8="Nyaman","layar, ","")&amp;IF(P8="Nyaman","refresh rate, ",""))</f>
        <v>prosesor, grafis, RAM, penyimpanan, </v>
      </c>
      <c r="Z8" s="33" t="str">
        <f aca="false">IF($A8="","",IF(Q8="Tidak dinilai","Belum ada kriteria yang dinilai untuk kebutuhan ini.",IF(Q8="Cocok","Semua kriteria yang dinilai sudah nyaman: "&amp;LEFT(Y8,LEN(Y8)-2)&amp;".",UPPER(LEFT(X8,1))&amp;MID(X8,2,LEN(X8)-3)&amp;"."&amp;IF(Y8="",""," Sudah nyaman: "&amp;LEFT(Y8,LEN(Y8)-2)&amp;"."))))</f>
        <v>Semua kriteria yang dinilai sudah nyaman: prosesor, grafis, RAM, penyimpanan.</v>
      </c>
      <c r="AA8" s="33"/>
      <c r="AB8" s="33"/>
      <c r="AC8" s="69"/>
    </row>
    <row r="9" customFormat="false" ht="15" hidden="false" customHeight="true" outlineLevel="0" collapsed="false">
      <c r="A9" s="33" t="str">
        <f aca="false">IF(Varian!$A5="","",Varian!$A5)</f>
        <v>asus-m1405ya-r5-7430u-16-512</v>
      </c>
      <c r="B9" s="33" t="str">
        <f aca="false">IF($A9="","",Aturan!$A$25)</f>
        <v>Game berat</v>
      </c>
      <c r="C9" s="69" t="n">
        <f aca="false">IF($A9="","",IFERROR(IF(ISNUMBER(INDEX(CPU!$J$4:$J$64,MATCH(Varian!$J5,CPU!$A$4:$A$64,0))),INDEX(CPU!$J$4:$J$64,MATCH(Varian!$J5,CPU!$A$4:$A$64,0)),""),""))</f>
        <v>3</v>
      </c>
      <c r="D9" s="69" t="n">
        <f aca="false">IF($A9="","",IFERROR(IF(ISNUMBER(INDEX(GPU!$G$4:$G$64,MATCH(Varian!$K5,GPU!$A$4:$A$64,0))),INDEX(GPU!$G$4:$G$64,MATCH(Varian!$K5,GPU!$A$4:$A$64,0)),""),""))</f>
        <v>2</v>
      </c>
      <c r="E9" s="69" t="n">
        <f aca="false">IF($A9="","",IF(ISNUMBER(Varian!$M5),Varian!$M5,""))</f>
        <v>16</v>
      </c>
      <c r="F9" s="69" t="n">
        <f aca="false">IF($A9="","",IF(ISNUMBER(Varian!$V5),Varian!$V5,""))</f>
        <v>512</v>
      </c>
      <c r="G9" s="69" t="n">
        <f aca="false">IF($A9="","",IFERROR(INDEX(Aturan!$B$63:$B$66,MATCH(Varian!$AG5,Aturan!$A$63:$A$66,0)),""))</f>
        <v>3</v>
      </c>
      <c r="H9" s="69" t="n">
        <f aca="false">IF($A9="","",IF(ISNUMBER(Varian!$AI5),Varian!$AI5,""))</f>
        <v>60</v>
      </c>
      <c r="I9" s="33" t="str">
        <f aca="false">IF($A9="","",IF(Varian!$Q5="disolder","menempel di papan utama, tidak bisa ditambah",IF(OR(Varian!$Q5="slot",Varian!$Q5="setengah_disolder"),IF(Varian!$Q5="setengah_disolder","sebagian menempel, ","")&amp;IF(ISNUMBER(Varian!$U5),IF(AND(ISNUMBER(Varian!$M5),Varian!$U5&gt;Varian!$M5),"bisa dinaikkan lewat slot sampai "&amp;Varian!$U5&amp;" GB","sudah di batas maksimal "&amp;Varian!$U5&amp;" GB"),"ada slot, batas maksimalnya belum diketahui"),"belum diketahui apakah bisa ditambah")))</f>
        <v>sebagian menempel, sudah di batas maksimal 16 GB</v>
      </c>
      <c r="J9" s="33" t="str">
        <f aca="false">IF($A9="","",IF(Varian!$Z5="ya","bisa diganti dengan yang lebih besar",IF(Varian!$Z5="tidak","menempel, tidak bisa diganti","belum diketahui apakah bisa diganti")))</f>
        <v>bisa diganti dengan yang lebih besar</v>
      </c>
      <c r="K9" s="70" t="str">
        <f aca="false">IF($A9="","",IF(AND(Aturan!$C$54="",Aturan!$D$54=""),"Tidak dinilai",IF(C9="","Belum ada data",IF(C9&lt;IF(Aturan!$C$54="",0,Aturan!$C$54),"Kurang",IF(C9&gt;=IF(Aturan!$D$54="",Aturan!$C$54,Aturan!$D$54),"Nyaman","Cukup")))))</f>
        <v>Cukup</v>
      </c>
      <c r="L9" s="70" t="str">
        <f aca="false">IF($A9="","",IF(AND(Aturan!$C$55="",Aturan!$D$55=""),"Tidak dinilai",IF(D9="","Belum ada data",IF(D9&lt;IF(Aturan!$C$55="",0,Aturan!$C$55),"Kurang",IF(D9&gt;=IF(Aturan!$D$55="",Aturan!$C$55,Aturan!$D$55),"Nyaman","Cukup")))))</f>
        <v>Kurang</v>
      </c>
      <c r="M9" s="70" t="str">
        <f aca="false">IF($A9="","",IF(AND(Aturan!$C$56="",Aturan!$D$56=""),"Tidak dinilai",IF(E9="","Belum ada data",IF(E9&lt;IF(Aturan!$C$56="",0,Aturan!$C$56),"Kurang",IF(E9&gt;=IF(Aturan!$D$56="",Aturan!$C$56,Aturan!$D$56),"Nyaman","Cukup")))))</f>
        <v>Nyaman</v>
      </c>
      <c r="N9" s="70" t="str">
        <f aca="false">IF($A9="","",IF(AND(Aturan!$C$57="",Aturan!$D$57=""),"Tidak dinilai",IF(F9="","Belum ada data",IF(F9&lt;IF(Aturan!$C$57="",0,Aturan!$C$57),"Kurang",IF(F9&gt;=IF(Aturan!$D$57="",Aturan!$C$57,Aturan!$D$57),"Nyaman","Cukup")))))</f>
        <v>Cukup</v>
      </c>
      <c r="O9" s="70" t="str">
        <f aca="false">IF($A9="","",IF(AND(Aturan!$C$58="",Aturan!$D$58=""),"Tidak dinilai",IF(G9="","Belum ada data",IF(G9&lt;IF(Aturan!$C$58="",0,Aturan!$C$58),"Kurang",IF(G9&gt;=IF(Aturan!$D$58="",Aturan!$C$58,Aturan!$D$58),"Nyaman","Cukup")))))</f>
        <v>Tidak dinilai</v>
      </c>
      <c r="P9" s="70" t="str">
        <f aca="false">IF($A9="","",IF(AND(Aturan!$C$59="",Aturan!$D$59=""),"Tidak dinilai",IF(H9="","Belum ada data",IF(H9&lt;IF(Aturan!$C$59="",0,Aturan!$C$59),"Kurang",IF(H9&gt;=IF(Aturan!$D$59="",Aturan!$C$59,Aturan!$D$59),"Nyaman","Cukup")))))</f>
        <v>Cukup</v>
      </c>
      <c r="Q9" s="70" t="str">
        <f aca="false">IF($A9="","",IF(COUNTIF(K9:P9,"Tidak dinilai")=6,"Tidak dinilai",IF(COUNTIF(K9:P9,"Kurang")&gt;0,"Kurang cocok",IF(COUNTIF(K9:P9,"Belum ada data")&gt;0,"Data belum lengkap",IF(COUNTIF(K9:P9,"Cukup")&gt;0,"Bisa, dengan catatan","Cocok")))))</f>
        <v>Kurang cocok</v>
      </c>
      <c r="R9" s="33" t="str">
        <f aca="false">IF($A9="","",IF(K9="Kurang","prosesor tingkat "&amp;C9&amp;" dari 5, di bawah batas minimal (tingkat "&amp;Aturan!$C$54&amp;")",IF(K9="Cukup","prosesor tingkat "&amp;C9&amp;" dari 5 cukup, nyamannya mulai tingkat "&amp;Aturan!$D$54,IF(K9="Belum ada data","tingkat prosesor belum diisi",""))))</f>
        <v>prosesor tingkat 3 dari 5 cukup, nyamannya mulai tingkat 4</v>
      </c>
      <c r="S9" s="33" t="str">
        <f aca="false">IF($A9="","",IF(L9="Kurang","grafis tingkat "&amp;D9&amp;" dari 5, di bawah batas minimal (tingkat "&amp;Aturan!$C$55&amp;")",IF(L9="Cukup","grafis tingkat "&amp;D9&amp;" dari 5 cukup, nyamannya mulai tingkat "&amp;Aturan!$D$55,IF(L9="Belum ada data","tingkat grafis belum diisi",""))))</f>
        <v>grafis tingkat 2 dari 5, di bawah batas minimal (tingkat 3)</v>
      </c>
      <c r="T9" s="33" t="str">
        <f aca="false">IF($A9="","",IF(M9="Kurang","RAM "&amp;E9&amp;" GB, di bawah batas minimal "&amp;Aturan!$C$56&amp;" GB ("&amp;I9&amp;")",IF(M9="Cukup","RAM "&amp;E9&amp;" GB cukup, nyamannya "&amp;Aturan!$D$56&amp;" GB atau lebih ("&amp;I9&amp;")",IF(M9="Belum ada data","ukuran RAM belum diisi",""))))</f>
        <v/>
      </c>
      <c r="U9" s="33" t="str">
        <f aca="false">IF($A9="","",IF(N9="Kurang","penyimpanan "&amp;F9&amp;" GB, di bawah batas minimal "&amp;Aturan!$C$57&amp;" GB ("&amp;J9&amp;")",IF(N9="Cukup","penyimpanan "&amp;F9&amp;" GB cukup, nyamannya "&amp;Aturan!$D$57&amp;" GB atau lebih ("&amp;J9&amp;")",IF(N9="Belum ada data","ukuran penyimpanan belum diisi",""))))</f>
        <v>penyimpanan 512 GB cukup, nyamannya 1000 GB atau lebih (bisa diganti dengan yang lebih besar)</v>
      </c>
      <c r="V9" s="33" t="str">
        <f aca="false">IF($A9="","",IF(O9="Kurang","layar "&amp;Varian!$AG5&amp;", di bawah batas minimal ("&amp;IFERROR(INDEX(Aturan!$A$63:$A$66,MATCH(Aturan!$C$58,Aturan!$B$63:$B$66,0)),"peringkat "&amp;Aturan!$C$58)&amp;")",IF(O9="Cukup","layar "&amp;Varian!$AG5&amp;" cukup, nyamannya "&amp;IFERROR(INDEX(Aturan!$A$63:$A$66,MATCH(Aturan!$D$58,Aturan!$B$63:$B$66,0)),"peringkat "&amp;Aturan!$D$58),IF(O9="Belum ada data","jenis layar belum diketahui",""))))</f>
        <v/>
      </c>
      <c r="W9" s="33" t="str">
        <f aca="false">IF($A9="","",IF(P9="Kurang","layar "&amp;H9&amp;" Hz, di bawah batas minimal "&amp;Aturan!$C$59&amp;" Hz",IF(P9="Cukup","layar "&amp;H9&amp;" Hz cukup, nyamannya "&amp;Aturan!$D$59&amp;" Hz atau lebih",IF(P9="Belum ada data","refresh rate belum diketahui",""))))</f>
        <v>layar 60 Hz cukup, nyamannya 120 Hz atau lebih</v>
      </c>
      <c r="X9" s="33" t="str">
        <f aca="false">IF($A9="","",IF(K9="Kurang",R9&amp;"; ","")&amp;IF(L9="Kurang",S9&amp;"; ","")&amp;IF(M9="Kurang",T9&amp;"; ","")&amp;IF(N9="Kurang",U9&amp;"; ","")&amp;IF(O9="Kurang",V9&amp;"; ","")&amp;IF(P9="Kurang",W9&amp;"; ","")&amp;IF(K9="Belum ada data",R9&amp;"; ","")&amp;IF(L9="Belum ada data",S9&amp;"; ","")&amp;IF(M9="Belum ada data",T9&amp;"; ","")&amp;IF(N9="Belum ada data",U9&amp;"; ","")&amp;IF(O9="Belum ada data",V9&amp;"; ","")&amp;IF(P9="Belum ada data",W9&amp;"; ","")&amp;IF(K9="Cukup",R9&amp;"; ","")&amp;IF(L9="Cukup",S9&amp;"; ","")&amp;IF(M9="Cukup",T9&amp;"; ","")&amp;IF(N9="Cukup",U9&amp;"; ","")&amp;IF(O9="Cukup",V9&amp;"; ","")&amp;IF(P9="Cukup",W9&amp;"; ",""))</f>
        <v>grafis tingkat 2 dari 5, di bawah batas minimal (tingkat 3); prosesor tingkat 3 dari 5 cukup, nyamannya mulai tingkat 4; penyimpanan 512 GB cukup, nyamannya 1000 GB atau lebih (bisa diganti dengan yang lebih besar); layar 60 Hz cukup, nyamannya 120 Hz atau lebih; </v>
      </c>
      <c r="Y9" s="33" t="str">
        <f aca="false">IF($A9="","",IF(K9="Nyaman","prosesor, ","")&amp;IF(L9="Nyaman","grafis, ","")&amp;IF(M9="Nyaman","RAM, ","")&amp;IF(N9="Nyaman","penyimpanan, ","")&amp;IF(O9="Nyaman","layar, ","")&amp;IF(P9="Nyaman","refresh rate, ",""))</f>
        <v>RAM, </v>
      </c>
      <c r="Z9" s="33" t="str">
        <f aca="false">IF($A9="","",IF(Q9="Tidak dinilai","Belum ada kriteria yang dinilai untuk kebutuhan ini.",IF(Q9="Cocok","Semua kriteria yang dinilai sudah nyaman: "&amp;LEFT(Y9,LEN(Y9)-2)&amp;".",UPPER(LEFT(X9,1))&amp;MID(X9,2,LEN(X9)-3)&amp;"."&amp;IF(Y9="",""," Sudah nyaman: "&amp;LEFT(Y9,LEN(Y9)-2)&amp;"."))))</f>
        <v>Grafis tingkat 2 dari 5, di bawah batas minimal (tingkat 3); prosesor tingkat 3 dari 5 cukup, nyamannya mulai tingkat 4; penyimpanan 512 GB cukup, nyamannya 1000 GB atau lebih (bisa diganti dengan yang lebih besar); layar 60 Hz cukup, nyamannya 120 Hz atau lebih. Sudah nyaman: RAM.</v>
      </c>
      <c r="AA9" s="33"/>
      <c r="AB9" s="33"/>
      <c r="AC9" s="69"/>
    </row>
    <row r="10" customFormat="false" ht="15" hidden="false" customHeight="true" outlineLevel="0" collapsed="false">
      <c r="A10" s="66" t="str">
        <f aca="false">IF(Varian!$A6="","",Varian!$A6)</f>
        <v>hp-pavilion-x360-14-ek1005tu-i5-1335u-16-512</v>
      </c>
      <c r="B10" s="66" t="str">
        <f aca="false">IF($A10="","",Aturan!$A$21)</f>
        <v>Kuliah dan kantor</v>
      </c>
      <c r="C10" s="67" t="n">
        <f aca="false">IF($A10="","",IFERROR(IF(ISNUMBER(INDEX(CPU!$J$4:$J$64,MATCH(Varian!$J6,CPU!$A$4:$A$64,0))),INDEX(CPU!$J$4:$J$64,MATCH(Varian!$J6,CPU!$A$4:$A$64,0)),""),""))</f>
        <v>3</v>
      </c>
      <c r="D10" s="67" t="n">
        <f aca="false">IF($A10="","",IFERROR(IF(ISNUMBER(INDEX(GPU!$G$4:$G$64,MATCH(Varian!$K6,GPU!$A$4:$A$64,0))),INDEX(GPU!$G$4:$G$64,MATCH(Varian!$K6,GPU!$A$4:$A$64,0)),""),""))</f>
        <v>2</v>
      </c>
      <c r="E10" s="67" t="n">
        <f aca="false">IF($A10="","",IF(ISNUMBER(Varian!$M6),Varian!$M6,""))</f>
        <v>16</v>
      </c>
      <c r="F10" s="67" t="n">
        <f aca="false">IF($A10="","",IF(ISNUMBER(Varian!$V6),Varian!$V6,""))</f>
        <v>512</v>
      </c>
      <c r="G10" s="67" t="n">
        <f aca="false">IF($A10="","",IFERROR(INDEX(Aturan!$B$63:$B$66,MATCH(Varian!$AG6,Aturan!$A$63:$A$66,0)),""))</f>
        <v>3</v>
      </c>
      <c r="H10" s="67" t="str">
        <f aca="false">IF($A10="","",IF(ISNUMBER(Varian!$AI6),Varian!$AI6,""))</f>
        <v/>
      </c>
      <c r="I10" s="66" t="str">
        <f aca="false">IF($A10="","",IF(Varian!$Q6="disolder","menempel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0" s="66" t="str">
        <f aca="false">IF($A10="","",IF(Varian!$Z6="ya","bisa diganti dengan yang lebih besar",IF(Varian!$Z6="tidak","menempel, tidak bisa diganti","belum diketahui apakah bisa diganti")))</f>
        <v>bisa diganti dengan yang lebih besar</v>
      </c>
      <c r="K10" s="68" t="str">
        <f aca="false">IF($A10="","",IF(AND(Aturan!$C$30="",Aturan!$D$30=""),"Tidak dinilai",IF(C10="","Belum ada data",IF(C10&lt;IF(Aturan!$C$30="",0,Aturan!$C$30),"Kurang",IF(C10&gt;=IF(Aturan!$D$30="",Aturan!$C$30,Aturan!$D$30),"Nyaman","Cukup")))))</f>
        <v>Nyaman</v>
      </c>
      <c r="L10" s="68" t="str">
        <f aca="false">IF($A10="","",IF(AND(Aturan!$C$31="",Aturan!$D$31=""),"Tidak dinilai",IF(D10="","Belum ada data",IF(D10&lt;IF(Aturan!$C$31="",0,Aturan!$C$31),"Kurang",IF(D10&gt;=IF(Aturan!$D$31="",Aturan!$C$31,Aturan!$D$31),"Nyaman","Cukup")))))</f>
        <v>Tidak dinilai</v>
      </c>
      <c r="M10" s="68" t="str">
        <f aca="false">IF($A10="","",IF(AND(Aturan!$C$32="",Aturan!$D$32=""),"Tidak dinilai",IF(E10="","Belum ada data",IF(E10&lt;IF(Aturan!$C$32="",0,Aturan!$C$32),"Kurang",IF(E10&gt;=IF(Aturan!$D$32="",Aturan!$C$32,Aturan!$D$32),"Nyaman","Cukup")))))</f>
        <v>Nyaman</v>
      </c>
      <c r="N10" s="68" t="str">
        <f aca="false">IF($A10="","",IF(AND(Aturan!$C$33="",Aturan!$D$33=""),"Tidak dinilai",IF(F10="","Belum ada data",IF(F10&lt;IF(Aturan!$C$33="",0,Aturan!$C$33),"Kurang",IF(F10&gt;=IF(Aturan!$D$33="",Aturan!$C$33,Aturan!$D$33),"Nyaman","Cukup")))))</f>
        <v>Nyaman</v>
      </c>
      <c r="O10" s="68" t="str">
        <f aca="false">IF($A10="","",IF(AND(Aturan!$C$34="",Aturan!$D$34=""),"Tidak dinilai",IF(G10="","Belum ada data",IF(G10&lt;IF(Aturan!$C$34="",0,Aturan!$C$34),"Kurang",IF(G10&gt;=IF(Aturan!$D$34="",Aturan!$C$34,Aturan!$D$34),"Nyaman","Cukup")))))</f>
        <v>Tidak dinilai</v>
      </c>
      <c r="P10" s="68" t="str">
        <f aca="false">IF($A10="","",IF(AND(Aturan!$C$35="",Aturan!$D$35=""),"Tidak dinilai",IF(H10="","Belum ada data",IF(H10&lt;IF(Aturan!$C$35="",0,Aturan!$C$35),"Kurang",IF(H10&gt;=IF(Aturan!$D$35="",Aturan!$C$35,Aturan!$D$35),"Nyaman","Cukup")))))</f>
        <v>Tidak dinilai</v>
      </c>
      <c r="Q10" s="68" t="str">
        <f aca="false">IF($A10="","",IF(COUNTIF(K10:P10,"Tidak dinilai")=6,"Tidak dinilai",IF(COUNTIF(K10:P10,"Kurang")&gt;0,"Kurang cocok",IF(COUNTIF(K10:P10,"Belum ada data")&gt;0,"Data belum lengkap",IF(COUNTIF(K10:P10,"Cukup")&gt;0,"Bisa, dengan catatan","Cocok")))))</f>
        <v>Cocok</v>
      </c>
      <c r="R10" s="66" t="str">
        <f aca="false">IF($A10="","",IF(K10="Kurang","prosesor tingkat "&amp;C10&amp;" dari 5, di bawah batas minimal (tingkat "&amp;Aturan!$C$30&amp;")",IF(K10="Cukup","prosesor tingkat "&amp;C10&amp;" dari 5 cukup, nyamannya mulai tingkat "&amp;Aturan!$D$30,IF(K10="Belum ada data","tingkat prosesor belum diisi",""))))</f>
        <v/>
      </c>
      <c r="S10" s="66" t="str">
        <f aca="false">IF($A10="","",IF(L10="Kurang","grafis tingkat "&amp;D10&amp;" dari 5, di bawah batas minimal (tingkat "&amp;Aturan!$C$31&amp;")",IF(L10="Cukup","grafis tingkat "&amp;D10&amp;" dari 5 cukup, nyamannya mulai tingkat "&amp;Aturan!$D$31,IF(L10="Belum ada data","tingkat grafis belum diisi",""))))</f>
        <v/>
      </c>
      <c r="T10" s="66" t="str">
        <f aca="false">IF($A10="","",IF(M10="Kurang","RAM "&amp;E10&amp;" GB, di bawah batas minimal "&amp;Aturan!$C$32&amp;" GB ("&amp;I10&amp;")",IF(M10="Cukup","RAM "&amp;E10&amp;" GB cukup, nyamannya "&amp;Aturan!$D$32&amp;" GB atau lebih ("&amp;I10&amp;")",IF(M10="Belum ada data","ukuran RAM belum diisi",""))))</f>
        <v/>
      </c>
      <c r="U10" s="66" t="str">
        <f aca="false">IF($A10="","",IF(N10="Kurang","penyimpanan "&amp;F10&amp;" GB, di bawah batas minimal "&amp;Aturan!$C$33&amp;" GB ("&amp;J10&amp;")",IF(N10="Cukup","penyimpanan "&amp;F10&amp;" GB cukup, nyamannya "&amp;Aturan!$D$33&amp;" GB atau lebih ("&amp;J10&amp;")",IF(N10="Belum ada data","ukuran penyimpanan belum diisi",""))))</f>
        <v/>
      </c>
      <c r="V10" s="66" t="str">
        <f aca="false">IF($A10="","",IF(O10="Kurang","layar "&amp;Varian!$AG6&amp;", di bawah batas minimal ("&amp;IFERROR(INDEX(Aturan!$A$63:$A$66,MATCH(Aturan!$C$34,Aturan!$B$63:$B$66,0)),"peringkat "&amp;Aturan!$C$34)&amp;")",IF(O10="Cukup","layar "&amp;Varian!$AG6&amp;" cukup, nyamannya "&amp;IFERROR(INDEX(Aturan!$A$63:$A$66,MATCH(Aturan!$D$34,Aturan!$B$63:$B$66,0)),"peringkat "&amp;Aturan!$D$34),IF(O10="Belum ada data","jenis layar belum diketahui",""))))</f>
        <v/>
      </c>
      <c r="W10" s="66" t="str">
        <f aca="false">IF($A10="","",IF(P10="Kurang","layar "&amp;H10&amp;" Hz, di bawah batas minimal "&amp;Aturan!$C$35&amp;" Hz",IF(P10="Cukup","layar "&amp;H10&amp;" Hz cukup, nyamannya "&amp;Aturan!$D$35&amp;" Hz atau lebih",IF(P10="Belum ada data","refresh rate belum diketahui",""))))</f>
        <v/>
      </c>
      <c r="X10" s="66" t="str">
        <f aca="false">IF($A10="","",IF(K10="Kurang",R10&amp;"; ","")&amp;IF(L10="Kurang",S10&amp;"; ","")&amp;IF(M10="Kurang",T10&amp;"; ","")&amp;IF(N10="Kurang",U10&amp;"; ","")&amp;IF(O10="Kurang",V10&amp;"; ","")&amp;IF(P10="Kurang",W10&amp;"; ","")&amp;IF(K10="Belum ada data",R10&amp;"; ","")&amp;IF(L10="Belum ada data",S10&amp;"; ","")&amp;IF(M10="Belum ada data",T10&amp;"; ","")&amp;IF(N10="Belum ada data",U10&amp;"; ","")&amp;IF(O10="Belum ada data",V10&amp;"; ","")&amp;IF(P10="Belum ada data",W10&amp;"; ","")&amp;IF(K10="Cukup",R10&amp;"; ","")&amp;IF(L10="Cukup",S10&amp;"; ","")&amp;IF(M10="Cukup",T10&amp;"; ","")&amp;IF(N10="Cukup",U10&amp;"; ","")&amp;IF(O10="Cukup",V10&amp;"; ","")&amp;IF(P10="Cukup",W10&amp;"; ",""))</f>
        <v/>
      </c>
      <c r="Y10" s="66" t="str">
        <f aca="false">IF($A10="","",IF(K10="Nyaman","prosesor, ","")&amp;IF(L10="Nyaman","grafis, ","")&amp;IF(M10="Nyaman","RAM, ","")&amp;IF(N10="Nyaman","penyimpanan, ","")&amp;IF(O10="Nyaman","layar, ","")&amp;IF(P10="Nyaman","refresh rate, ",""))</f>
        <v>prosesor, RAM, penyimpanan, </v>
      </c>
      <c r="Z10" s="66" t="str">
        <f aca="false">IF($A10="","",IF(Q10="Tidak dinilai","Belum ada kriteria yang dinilai untuk kebutuhan ini.",IF(Q10="Cocok","Semua kriteria yang dinilai sudah nyaman: "&amp;LEFT(Y10,LEN(Y10)-2)&amp;".",UPPER(LEFT(X10,1))&amp;MID(X10,2,LEN(X10)-3)&amp;"."&amp;IF(Y10="",""," Sudah nyaman: "&amp;LEFT(Y10,LEN(Y10)-2)&amp;"."))))</f>
        <v>Semua kriteria yang dinilai sudah nyaman: prosesor, RAM, penyimpanan.</v>
      </c>
      <c r="AA10" s="71" t="str">
        <f aca="false">IF($A10="","",IF(Varian!$AR6="Windows 10","• "&amp;Aturan!$E$71&amp;CHAR(10),"")&amp;IF(Varian!$BB6="tidak","• "&amp;Aturan!$E$72&amp;CHAR(10),"")&amp;IF(OR(Varian!$AD6="belum terverifikasi",Varian!$AD6="tidak diketahui"),"• "&amp;Aturan!$E$73&amp;CHAR(10),"")&amp;IF(Varian!$AH6="1366x768","• "&amp;Aturan!$E$74&amp;CHAR(10),"")&amp;IF(Varian!$AG6="TN","• "&amp;Aturan!$E$75&amp;CHAR(10),"")&amp;IF(AND(Varian!$Q6="disolder",ISNUMBER(Varian!$M6),Varian!$M6&lt;=8),"• "&amp;Aturan!$E$76&amp;CHAR(10),""))</f>
        <v>• Info RAM dan penyimpanan (bisa diganti atau tidak) belum terverifikasi. Periksa lagi sebelum membeli.
</v>
      </c>
      <c r="AB10" s="66" t="str">
        <f aca="false">IF($A10="","",IF(AA10="","",LEFT(AA10,LEN(AA10)-1)))</f>
        <v>• Info RAM dan penyimpanan (bisa diganti atau tidak) belum terverifikasi. Periksa lagi sebelum membeli.</v>
      </c>
      <c r="AC10" s="67" t="n">
        <f aca="false">IF($A10="","",IF(AA10="",0,LEN(AA10)-LEN(SUBSTITUTE(AA10,CHAR(10),""))))</f>
        <v>1</v>
      </c>
    </row>
    <row r="11" customFormat="false" ht="15" hidden="false" customHeight="true" outlineLevel="0" collapsed="false">
      <c r="A11" s="33" t="str">
        <f aca="false">IF(Varian!$A6="","",Varian!$A6)</f>
        <v>hp-pavilion-x360-14-ek1005tu-i5-1335u-16-512</v>
      </c>
      <c r="B11" s="33" t="str">
        <f aca="false">IF($A11="","",Aturan!$A$22)</f>
        <v>Desain grafis</v>
      </c>
      <c r="C11" s="69" t="n">
        <f aca="false">IF($A11="","",IFERROR(IF(ISNUMBER(INDEX(CPU!$J$4:$J$64,MATCH(Varian!$J6,CPU!$A$4:$A$64,0))),INDEX(CPU!$J$4:$J$64,MATCH(Varian!$J6,CPU!$A$4:$A$64,0)),""),""))</f>
        <v>3</v>
      </c>
      <c r="D11" s="69" t="n">
        <f aca="false">IF($A11="","",IFERROR(IF(ISNUMBER(INDEX(GPU!$G$4:$G$64,MATCH(Varian!$K6,GPU!$A$4:$A$64,0))),INDEX(GPU!$G$4:$G$64,MATCH(Varian!$K6,GPU!$A$4:$A$64,0)),""),""))</f>
        <v>2</v>
      </c>
      <c r="E11" s="69" t="n">
        <f aca="false">IF($A11="","",IF(ISNUMBER(Varian!$M6),Varian!$M6,""))</f>
        <v>16</v>
      </c>
      <c r="F11" s="69" t="n">
        <f aca="false">IF($A11="","",IF(ISNUMBER(Varian!$V6),Varian!$V6,""))</f>
        <v>512</v>
      </c>
      <c r="G11" s="69" t="n">
        <f aca="false">IF($A11="","",IFERROR(INDEX(Aturan!$B$63:$B$66,MATCH(Varian!$AG6,Aturan!$A$63:$A$66,0)),""))</f>
        <v>3</v>
      </c>
      <c r="H11" s="69" t="str">
        <f aca="false">IF($A11="","",IF(ISNUMBER(Varian!$AI6),Varian!$AI6,""))</f>
        <v/>
      </c>
      <c r="I11" s="33" t="str">
        <f aca="false">IF($A11="","",IF(Varian!$Q6="disolder","menempel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1" s="33" t="str">
        <f aca="false">IF($A11="","",IF(Varian!$Z6="ya","bisa diganti dengan yang lebih besar",IF(Varian!$Z6="tidak","menempel, tidak bisa diganti","belum diketahui apakah bisa diganti")))</f>
        <v>bisa diganti dengan yang lebih besar</v>
      </c>
      <c r="K11" s="70" t="str">
        <f aca="false">IF($A11="","",IF(AND(Aturan!$C$36="",Aturan!$D$36=""),"Tidak dinilai",IF(C11="","Belum ada data",IF(C11&lt;IF(Aturan!$C$36="",0,Aturan!$C$36),"Kurang",IF(C11&gt;=IF(Aturan!$D$36="",Aturan!$C$36,Aturan!$D$36),"Nyaman","Cukup")))))</f>
        <v>Nyaman</v>
      </c>
      <c r="L11" s="70" t="str">
        <f aca="false">IF($A11="","",IF(AND(Aturan!$C$37="",Aturan!$D$37=""),"Tidak dinilai",IF(D11="","Belum ada data",IF(D11&lt;IF(Aturan!$C$37="",0,Aturan!$C$37),"Kurang",IF(D11&gt;=IF(Aturan!$D$37="",Aturan!$C$37,Aturan!$D$37),"Nyaman","Cukup")))))</f>
        <v>Nyaman</v>
      </c>
      <c r="M11" s="70" t="str">
        <f aca="false">IF($A11="","",IF(AND(Aturan!$C$38="",Aturan!$D$38=""),"Tidak dinilai",IF(E11="","Belum ada data",IF(E11&lt;IF(Aturan!$C$38="",0,Aturan!$C$38),"Kurang",IF(E11&gt;=IF(Aturan!$D$38="",Aturan!$C$38,Aturan!$D$38),"Nyaman","Cukup")))))</f>
        <v>Nyaman</v>
      </c>
      <c r="N11" s="70" t="str">
        <f aca="false">IF($A11="","",IF(AND(Aturan!$C$39="",Aturan!$D$39=""),"Tidak dinilai",IF(F11="","Belum ada data",IF(F11&lt;IF(Aturan!$C$39="",0,Aturan!$C$39),"Kurang",IF(F11&gt;=IF(Aturan!$D$39="",Aturan!$C$39,Aturan!$D$39),"Nyaman","Cukup")))))</f>
        <v>Nyaman</v>
      </c>
      <c r="O11" s="70" t="str">
        <f aca="false">IF($A11="","",IF(AND(Aturan!$C$40="",Aturan!$D$40=""),"Tidak dinilai",IF(G11="","Belum ada data",IF(G11&lt;IF(Aturan!$C$40="",0,Aturan!$C$40),"Kurang",IF(G11&gt;=IF(Aturan!$D$40="",Aturan!$C$40,Aturan!$D$40),"Nyaman","Cukup")))))</f>
        <v>Cukup</v>
      </c>
      <c r="P11" s="70" t="str">
        <f aca="false">IF($A11="","",IF(AND(Aturan!$C$41="",Aturan!$D$41=""),"Tidak dinilai",IF(H11="","Belum ada data",IF(H11&lt;IF(Aturan!$C$41="",0,Aturan!$C$41),"Kurang",IF(H11&gt;=IF(Aturan!$D$41="",Aturan!$C$41,Aturan!$D$41),"Nyaman","Cukup")))))</f>
        <v>Tidak dinilai</v>
      </c>
      <c r="Q11" s="70" t="str">
        <f aca="false">IF($A11="","",IF(COUNTIF(K11:P11,"Tidak dinilai")=6,"Tidak dinilai",IF(COUNTIF(K11:P11,"Kurang")&gt;0,"Kurang cocok",IF(COUNTIF(K11:P11,"Belum ada data")&gt;0,"Data belum lengkap",IF(COUNTIF(K11:P11,"Cukup")&gt;0,"Bisa, dengan catatan","Cocok")))))</f>
        <v>Bisa, dengan catatan</v>
      </c>
      <c r="R11" s="33" t="str">
        <f aca="false">IF($A11="","",IF(K11="Kurang","prosesor tingkat "&amp;C11&amp;" dari 5, di bawah batas minimal (tingkat "&amp;Aturan!$C$36&amp;")",IF(K11="Cukup","prosesor tingkat "&amp;C11&amp;" dari 5 cukup, nyamannya mulai tingkat "&amp;Aturan!$D$36,IF(K11="Belum ada data","tingkat prosesor belum diisi",""))))</f>
        <v/>
      </c>
      <c r="S11" s="33" t="str">
        <f aca="false">IF($A11="","",IF(L11="Kurang","grafis tingkat "&amp;D11&amp;" dari 5, di bawah batas minimal (tingkat "&amp;Aturan!$C$37&amp;")",IF(L11="Cukup","grafis tingkat "&amp;D11&amp;" dari 5 cukup, nyamannya mulai tingkat "&amp;Aturan!$D$37,IF(L11="Belum ada data","tingkat grafis belum diisi",""))))</f>
        <v/>
      </c>
      <c r="T11" s="33" t="str">
        <f aca="false">IF($A11="","",IF(M11="Kurang","RAM "&amp;E11&amp;" GB, di bawah batas minimal "&amp;Aturan!$C$38&amp;" GB ("&amp;I11&amp;")",IF(M11="Cukup","RAM "&amp;E11&amp;" GB cukup, nyamannya "&amp;Aturan!$D$38&amp;" GB atau lebih ("&amp;I11&amp;")",IF(M11="Belum ada data","ukuran RAM belum diisi",""))))</f>
        <v/>
      </c>
      <c r="U11" s="33" t="str">
        <f aca="false">IF($A11="","",IF(N11="Kurang","penyimpanan "&amp;F11&amp;" GB, di bawah batas minimal "&amp;Aturan!$C$39&amp;" GB ("&amp;J11&amp;")",IF(N11="Cukup","penyimpanan "&amp;F11&amp;" GB cukup, nyamannya "&amp;Aturan!$D$39&amp;" GB atau lebih ("&amp;J11&amp;")",IF(N11="Belum ada data","ukuran penyimpanan belum diisi",""))))</f>
        <v/>
      </c>
      <c r="V11" s="33" t="str">
        <f aca="false">IF($A11="","",IF(O11="Kurang","layar "&amp;Varian!$AG6&amp;", di bawah batas minimal ("&amp;IFERROR(INDEX(Aturan!$A$63:$A$66,MATCH(Aturan!$C$40,Aturan!$B$63:$B$66,0)),"peringkat "&amp;Aturan!$C$40)&amp;")",IF(O11="Cukup","layar "&amp;Varian!$AG6&amp;" cukup, nyamannya "&amp;IFERROR(INDEX(Aturan!$A$63:$A$66,MATCH(Aturan!$D$40,Aturan!$B$63:$B$66,0)),"peringkat "&amp;Aturan!$D$40),IF(O11="Belum ada data","jenis layar belum diketahui",""))))</f>
        <v>layar IPS cukup, nyamannya OLED</v>
      </c>
      <c r="W11" s="33" t="str">
        <f aca="false">IF($A11="","",IF(P11="Kurang","layar "&amp;H11&amp;" Hz, di bawah batas minimal "&amp;Aturan!$C$41&amp;" Hz",IF(P11="Cukup","layar "&amp;H11&amp;" Hz cukup, nyamannya "&amp;Aturan!$D$41&amp;" Hz atau lebih",IF(P11="Belum ada data","refresh rate belum diketahui",""))))</f>
        <v/>
      </c>
      <c r="X11" s="33" t="str">
        <f aca="false">IF($A11="","",IF(K11="Kurang",R11&amp;"; ","")&amp;IF(L11="Kurang",S11&amp;"; ","")&amp;IF(M11="Kurang",T11&amp;"; ","")&amp;IF(N11="Kurang",U11&amp;"; ","")&amp;IF(O11="Kurang",V11&amp;"; ","")&amp;IF(P11="Kurang",W11&amp;"; ","")&amp;IF(K11="Belum ada data",R11&amp;"; ","")&amp;IF(L11="Belum ada data",S11&amp;"; ","")&amp;IF(M11="Belum ada data",T11&amp;"; ","")&amp;IF(N11="Belum ada data",U11&amp;"; ","")&amp;IF(O11="Belum ada data",V11&amp;"; ","")&amp;IF(P11="Belum ada data",W11&amp;"; ","")&amp;IF(K11="Cukup",R11&amp;"; ","")&amp;IF(L11="Cukup",S11&amp;"; ","")&amp;IF(M11="Cukup",T11&amp;"; ","")&amp;IF(N11="Cukup",U11&amp;"; ","")&amp;IF(O11="Cukup",V11&amp;"; ","")&amp;IF(P11="Cukup",W11&amp;"; ",""))</f>
        <v>layar IPS cukup, nyamannya OLED; </v>
      </c>
      <c r="Y11" s="33" t="str">
        <f aca="false">IF($A11="","",IF(K11="Nyaman","prosesor, ","")&amp;IF(L11="Nyaman","grafis, ","")&amp;IF(M11="Nyaman","RAM, ","")&amp;IF(N11="Nyaman","penyimpanan, ","")&amp;IF(O11="Nyaman","layar, ","")&amp;IF(P11="Nyaman","refresh rate, ",""))</f>
        <v>prosesor, grafis, RAM, penyimpanan, </v>
      </c>
      <c r="Z11" s="33" t="str">
        <f aca="false">IF($A11="","",IF(Q11="Tidak dinilai","Belum ada kriteria yang dinilai untuk kebutuhan ini.",IF(Q11="Cocok","Semua kriteria yang dinilai sudah nyaman: "&amp;LEFT(Y11,LEN(Y11)-2)&amp;".",UPPER(LEFT(X11,1))&amp;MID(X11,2,LEN(X11)-3)&amp;"."&amp;IF(Y11="",""," Sudah nyaman: "&amp;LEFT(Y11,LEN(Y11)-2)&amp;"."))))</f>
        <v>Layar IPS cukup, nyamannya OLED. Sudah nyaman: prosesor, grafis, RAM, penyimpanan.</v>
      </c>
      <c r="AA11" s="33"/>
      <c r="AB11" s="33"/>
      <c r="AC11" s="69"/>
    </row>
    <row r="12" customFormat="false" ht="15" hidden="false" customHeight="true" outlineLevel="0" collapsed="false">
      <c r="A12" s="33" t="str">
        <f aca="false">IF(Varian!$A6="","",Varian!$A6)</f>
        <v>hp-pavilion-x360-14-ek1005tu-i5-1335u-16-512</v>
      </c>
      <c r="B12" s="33" t="str">
        <f aca="false">IF($A12="","",Aturan!$A$23)</f>
        <v>Pemrograman</v>
      </c>
      <c r="C12" s="69" t="n">
        <f aca="false">IF($A12="","",IFERROR(IF(ISNUMBER(INDEX(CPU!$J$4:$J$64,MATCH(Varian!$J6,CPU!$A$4:$A$64,0))),INDEX(CPU!$J$4:$J$64,MATCH(Varian!$J6,CPU!$A$4:$A$64,0)),""),""))</f>
        <v>3</v>
      </c>
      <c r="D12" s="69" t="n">
        <f aca="false">IF($A12="","",IFERROR(IF(ISNUMBER(INDEX(GPU!$G$4:$G$64,MATCH(Varian!$K6,GPU!$A$4:$A$64,0))),INDEX(GPU!$G$4:$G$64,MATCH(Varian!$K6,GPU!$A$4:$A$64,0)),""),""))</f>
        <v>2</v>
      </c>
      <c r="E12" s="69" t="n">
        <f aca="false">IF($A12="","",IF(ISNUMBER(Varian!$M6),Varian!$M6,""))</f>
        <v>16</v>
      </c>
      <c r="F12" s="69" t="n">
        <f aca="false">IF($A12="","",IF(ISNUMBER(Varian!$V6),Varian!$V6,""))</f>
        <v>512</v>
      </c>
      <c r="G12" s="69" t="n">
        <f aca="false">IF($A12="","",IFERROR(INDEX(Aturan!$B$63:$B$66,MATCH(Varian!$AG6,Aturan!$A$63:$A$66,0)),""))</f>
        <v>3</v>
      </c>
      <c r="H12" s="69" t="str">
        <f aca="false">IF($A12="","",IF(ISNUMBER(Varian!$AI6),Varian!$AI6,""))</f>
        <v/>
      </c>
      <c r="I12" s="33" t="str">
        <f aca="false">IF($A12="","",IF(Varian!$Q6="disolder","menempel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2" s="33" t="str">
        <f aca="false">IF($A12="","",IF(Varian!$Z6="ya","bisa diganti dengan yang lebih besar",IF(Varian!$Z6="tidak","menempel, tidak bisa diganti","belum diketahui apakah bisa diganti")))</f>
        <v>bisa diganti dengan yang lebih besar</v>
      </c>
      <c r="K12" s="70" t="str">
        <f aca="false">IF($A12="","",IF(AND(Aturan!$C$42="",Aturan!$D$42=""),"Tidak dinilai",IF(C12="","Belum ada data",IF(C12&lt;IF(Aturan!$C$42="",0,Aturan!$C$42),"Kurang",IF(C12&gt;=IF(Aturan!$D$42="",Aturan!$C$42,Aturan!$D$42),"Nyaman","Cukup")))))</f>
        <v>Nyaman</v>
      </c>
      <c r="L12" s="70" t="str">
        <f aca="false">IF($A12="","",IF(AND(Aturan!$C$43="",Aturan!$D$43=""),"Tidak dinilai",IF(D12="","Belum ada data",IF(D12&lt;IF(Aturan!$C$43="",0,Aturan!$C$43),"Kurang",IF(D12&gt;=IF(Aturan!$D$43="",Aturan!$C$43,Aturan!$D$43),"Nyaman","Cukup")))))</f>
        <v>Tidak dinilai</v>
      </c>
      <c r="M12" s="70" t="str">
        <f aca="false">IF($A12="","",IF(AND(Aturan!$C$44="",Aturan!$D$44=""),"Tidak dinilai",IF(E12="","Belum ada data",IF(E12&lt;IF(Aturan!$C$44="",0,Aturan!$C$44),"Kurang",IF(E12&gt;=IF(Aturan!$D$44="",Aturan!$C$44,Aturan!$D$44),"Nyaman","Cukup")))))</f>
        <v>Nyaman</v>
      </c>
      <c r="N12" s="70" t="str">
        <f aca="false">IF($A12="","",IF(AND(Aturan!$C$45="",Aturan!$D$45=""),"Tidak dinilai",IF(F12="","Belum ada data",IF(F12&lt;IF(Aturan!$C$45="",0,Aturan!$C$45),"Kurang",IF(F12&gt;=IF(Aturan!$D$45="",Aturan!$C$45,Aturan!$D$45),"Nyaman","Cukup")))))</f>
        <v>Nyaman</v>
      </c>
      <c r="O12" s="70" t="str">
        <f aca="false">IF($A12="","",IF(AND(Aturan!$C$46="",Aturan!$D$46=""),"Tidak dinilai",IF(G12="","Belum ada data",IF(G12&lt;IF(Aturan!$C$46="",0,Aturan!$C$46),"Kurang",IF(G12&gt;=IF(Aturan!$D$46="",Aturan!$C$46,Aturan!$D$46),"Nyaman","Cukup")))))</f>
        <v>Tidak dinilai</v>
      </c>
      <c r="P12" s="70" t="str">
        <f aca="false">IF($A12="","",IF(AND(Aturan!$C$47="",Aturan!$D$47=""),"Tidak dinilai",IF(H12="","Belum ada data",IF(H12&lt;IF(Aturan!$C$47="",0,Aturan!$C$47),"Kurang",IF(H12&gt;=IF(Aturan!$D$47="",Aturan!$C$47,Aturan!$D$47),"Nyaman","Cukup")))))</f>
        <v>Tidak dinilai</v>
      </c>
      <c r="Q12" s="70" t="str">
        <f aca="false">IF($A12="","",IF(COUNTIF(K12:P12,"Tidak dinilai")=6,"Tidak dinilai",IF(COUNTIF(K12:P12,"Kurang")&gt;0,"Kurang cocok",IF(COUNTIF(K12:P12,"Belum ada data")&gt;0,"Data belum lengkap",IF(COUNTIF(K12:P12,"Cukup")&gt;0,"Bisa, dengan catatan","Cocok")))))</f>
        <v>Cocok</v>
      </c>
      <c r="R12" s="33" t="str">
        <f aca="false">IF($A12="","",IF(K12="Kurang","prosesor tingkat "&amp;C12&amp;" dari 5, di bawah batas minimal (tingkat "&amp;Aturan!$C$42&amp;")",IF(K12="Cukup","prosesor tingkat "&amp;C12&amp;" dari 5 cukup, nyamannya mulai tingkat "&amp;Aturan!$D$42,IF(K12="Belum ada data","tingkat prosesor belum diisi",""))))</f>
        <v/>
      </c>
      <c r="S12" s="33" t="str">
        <f aca="false">IF($A12="","",IF(L12="Kurang","grafis tingkat "&amp;D12&amp;" dari 5, di bawah batas minimal (tingkat "&amp;Aturan!$C$43&amp;")",IF(L12="Cukup","grafis tingkat "&amp;D12&amp;" dari 5 cukup, nyamannya mulai tingkat "&amp;Aturan!$D$43,IF(L12="Belum ada data","tingkat grafis belum diisi",""))))</f>
        <v/>
      </c>
      <c r="T12" s="33" t="str">
        <f aca="false">IF($A12="","",IF(M12="Kurang","RAM "&amp;E12&amp;" GB, di bawah batas minimal "&amp;Aturan!$C$44&amp;" GB ("&amp;I12&amp;")",IF(M12="Cukup","RAM "&amp;E12&amp;" GB cukup, nyamannya "&amp;Aturan!$D$44&amp;" GB atau lebih ("&amp;I12&amp;")",IF(M12="Belum ada data","ukuran RAM belum diisi",""))))</f>
        <v/>
      </c>
      <c r="U12" s="33" t="str">
        <f aca="false">IF($A12="","",IF(N12="Kurang","penyimpanan "&amp;F12&amp;" GB, di bawah batas minimal "&amp;Aturan!$C$45&amp;" GB ("&amp;J12&amp;")",IF(N12="Cukup","penyimpanan "&amp;F12&amp;" GB cukup, nyamannya "&amp;Aturan!$D$45&amp;" GB atau lebih ("&amp;J12&amp;")",IF(N12="Belum ada data","ukuran penyimpanan belum diisi",""))))</f>
        <v/>
      </c>
      <c r="V12" s="33" t="str">
        <f aca="false">IF($A12="","",IF(O12="Kurang","layar "&amp;Varian!$AG6&amp;", di bawah batas minimal ("&amp;IFERROR(INDEX(Aturan!$A$63:$A$66,MATCH(Aturan!$C$46,Aturan!$B$63:$B$66,0)),"peringkat "&amp;Aturan!$C$46)&amp;")",IF(O12="Cukup","layar "&amp;Varian!$AG6&amp;" cukup, nyamannya "&amp;IFERROR(INDEX(Aturan!$A$63:$A$66,MATCH(Aturan!$D$46,Aturan!$B$63:$B$66,0)),"peringkat "&amp;Aturan!$D$46),IF(O12="Belum ada data","jenis layar belum diketahui",""))))</f>
        <v/>
      </c>
      <c r="W12" s="33" t="str">
        <f aca="false">IF($A12="","",IF(P12="Kurang","layar "&amp;H12&amp;" Hz, di bawah batas minimal "&amp;Aturan!$C$47&amp;" Hz",IF(P12="Cukup","layar "&amp;H12&amp;" Hz cukup, nyamannya "&amp;Aturan!$D$47&amp;" Hz atau lebih",IF(P12="Belum ada data","refresh rate belum diketahui",""))))</f>
        <v/>
      </c>
      <c r="X12" s="33" t="str">
        <f aca="false">IF($A12="","",IF(K12="Kurang",R12&amp;"; ","")&amp;IF(L12="Kurang",S12&amp;"; ","")&amp;IF(M12="Kurang",T12&amp;"; ","")&amp;IF(N12="Kurang",U12&amp;"; ","")&amp;IF(O12="Kurang",V12&amp;"; ","")&amp;IF(P12="Kurang",W12&amp;"; ","")&amp;IF(K12="Belum ada data",R12&amp;"; ","")&amp;IF(L12="Belum ada data",S12&amp;"; ","")&amp;IF(M12="Belum ada data",T12&amp;"; ","")&amp;IF(N12="Belum ada data",U12&amp;"; ","")&amp;IF(O12="Belum ada data",V12&amp;"; ","")&amp;IF(P12="Belum ada data",W12&amp;"; ","")&amp;IF(K12="Cukup",R12&amp;"; ","")&amp;IF(L12="Cukup",S12&amp;"; ","")&amp;IF(M12="Cukup",T12&amp;"; ","")&amp;IF(N12="Cukup",U12&amp;"; ","")&amp;IF(O12="Cukup",V12&amp;"; ","")&amp;IF(P12="Cukup",W12&amp;"; ",""))</f>
        <v/>
      </c>
      <c r="Y12" s="33" t="str">
        <f aca="false">IF($A12="","",IF(K12="Nyaman","prosesor, ","")&amp;IF(L12="Nyaman","grafis, ","")&amp;IF(M12="Nyaman","RAM, ","")&amp;IF(N12="Nyaman","penyimpanan, ","")&amp;IF(O12="Nyaman","layar, ","")&amp;IF(P12="Nyaman","refresh rate, ",""))</f>
        <v>prosesor, RAM, penyimpanan, </v>
      </c>
      <c r="Z12" s="33" t="str">
        <f aca="false">IF($A12="","",IF(Q12="Tidak dinilai","Belum ada kriteria yang dinilai untuk kebutuhan ini.",IF(Q12="Cocok","Semua kriteria yang dinilai sudah nyaman: "&amp;LEFT(Y12,LEN(Y12)-2)&amp;".",UPPER(LEFT(X12,1))&amp;MID(X12,2,LEN(X12)-3)&amp;"."&amp;IF(Y12="",""," Sudah nyaman: "&amp;LEFT(Y12,LEN(Y12)-2)&amp;"."))))</f>
        <v>Semua kriteria yang dinilai sudah nyaman: prosesor, RAM, penyimpanan.</v>
      </c>
      <c r="AA12" s="33"/>
      <c r="AB12" s="33"/>
      <c r="AC12" s="69"/>
    </row>
    <row r="13" customFormat="false" ht="15" hidden="false" customHeight="true" outlineLevel="0" collapsed="false">
      <c r="A13" s="33" t="str">
        <f aca="false">IF(Varian!$A6="","",Varian!$A6)</f>
        <v>hp-pavilion-x360-14-ek1005tu-i5-1335u-16-512</v>
      </c>
      <c r="B13" s="33" t="str">
        <f aca="false">IF($A13="","",Aturan!$A$24)</f>
        <v>Game ringan</v>
      </c>
      <c r="C13" s="69" t="n">
        <f aca="false">IF($A13="","",IFERROR(IF(ISNUMBER(INDEX(CPU!$J$4:$J$64,MATCH(Varian!$J6,CPU!$A$4:$A$64,0))),INDEX(CPU!$J$4:$J$64,MATCH(Varian!$J6,CPU!$A$4:$A$64,0)),""),""))</f>
        <v>3</v>
      </c>
      <c r="D13" s="69" t="n">
        <f aca="false">IF($A13="","",IFERROR(IF(ISNUMBER(INDEX(GPU!$G$4:$G$64,MATCH(Varian!$K6,GPU!$A$4:$A$64,0))),INDEX(GPU!$G$4:$G$64,MATCH(Varian!$K6,GPU!$A$4:$A$64,0)),""),""))</f>
        <v>2</v>
      </c>
      <c r="E13" s="69" t="n">
        <f aca="false">IF($A13="","",IF(ISNUMBER(Varian!$M6),Varian!$M6,""))</f>
        <v>16</v>
      </c>
      <c r="F13" s="69" t="n">
        <f aca="false">IF($A13="","",IF(ISNUMBER(Varian!$V6),Varian!$V6,""))</f>
        <v>512</v>
      </c>
      <c r="G13" s="69" t="n">
        <f aca="false">IF($A13="","",IFERROR(INDEX(Aturan!$B$63:$B$66,MATCH(Varian!$AG6,Aturan!$A$63:$A$66,0)),""))</f>
        <v>3</v>
      </c>
      <c r="H13" s="69" t="str">
        <f aca="false">IF($A13="","",IF(ISNUMBER(Varian!$AI6),Varian!$AI6,""))</f>
        <v/>
      </c>
      <c r="I13" s="33" t="str">
        <f aca="false">IF($A13="","",IF(Varian!$Q6="disolder","menempel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3" s="33" t="str">
        <f aca="false">IF($A13="","",IF(Varian!$Z6="ya","bisa diganti dengan yang lebih besar",IF(Varian!$Z6="tidak","menempel, tidak bisa diganti","belum diketahui apakah bisa diganti")))</f>
        <v>bisa diganti dengan yang lebih besar</v>
      </c>
      <c r="K13" s="70" t="str">
        <f aca="false">IF($A13="","",IF(AND(Aturan!$C$48="",Aturan!$D$48=""),"Tidak dinilai",IF(C13="","Belum ada data",IF(C13&lt;IF(Aturan!$C$48="",0,Aturan!$C$48),"Kurang",IF(C13&gt;=IF(Aturan!$D$48="",Aturan!$C$48,Aturan!$D$48),"Nyaman","Cukup")))))</f>
        <v>Nyaman</v>
      </c>
      <c r="L13" s="70" t="str">
        <f aca="false">IF($A13="","",IF(AND(Aturan!$C$49="",Aturan!$D$49=""),"Tidak dinilai",IF(D13="","Belum ada data",IF(D13&lt;IF(Aturan!$C$49="",0,Aturan!$C$49),"Kurang",IF(D13&gt;=IF(Aturan!$D$49="",Aturan!$C$49,Aturan!$D$49),"Nyaman","Cukup")))))</f>
        <v>Nyaman</v>
      </c>
      <c r="M13" s="70" t="str">
        <f aca="false">IF($A13="","",IF(AND(Aturan!$C$50="",Aturan!$D$50=""),"Tidak dinilai",IF(E13="","Belum ada data",IF(E13&lt;IF(Aturan!$C$50="",0,Aturan!$C$50),"Kurang",IF(E13&gt;=IF(Aturan!$D$50="",Aturan!$C$50,Aturan!$D$50),"Nyaman","Cukup")))))</f>
        <v>Nyaman</v>
      </c>
      <c r="N13" s="70" t="str">
        <f aca="false">IF($A13="","",IF(AND(Aturan!$C$51="",Aturan!$D$51=""),"Tidak dinilai",IF(F13="","Belum ada data",IF(F13&lt;IF(Aturan!$C$51="",0,Aturan!$C$51),"Kurang",IF(F13&gt;=IF(Aturan!$D$51="",Aturan!$C$51,Aturan!$D$51),"Nyaman","Cukup")))))</f>
        <v>Nyaman</v>
      </c>
      <c r="O13" s="70" t="str">
        <f aca="false">IF($A13="","",IF(AND(Aturan!$C$52="",Aturan!$D$52=""),"Tidak dinilai",IF(G13="","Belum ada data",IF(G13&lt;IF(Aturan!$C$52="",0,Aturan!$C$52),"Kurang",IF(G13&gt;=IF(Aturan!$D$52="",Aturan!$C$52,Aturan!$D$52),"Nyaman","Cukup")))))</f>
        <v>Tidak dinilai</v>
      </c>
      <c r="P13" s="70" t="str">
        <f aca="false">IF($A13="","",IF(AND(Aturan!$C$53="",Aturan!$D$53=""),"Tidak dinilai",IF(H13="","Belum ada data",IF(H13&lt;IF(Aturan!$C$53="",0,Aturan!$C$53),"Kurang",IF(H13&gt;=IF(Aturan!$D$53="",Aturan!$C$53,Aturan!$D$53),"Nyaman","Cukup")))))</f>
        <v>Tidak dinilai</v>
      </c>
      <c r="Q13" s="70" t="str">
        <f aca="false">IF($A13="","",IF(COUNTIF(K13:P13,"Tidak dinilai")=6,"Tidak dinilai",IF(COUNTIF(K13:P13,"Kurang")&gt;0,"Kurang cocok",IF(COUNTIF(K13:P13,"Belum ada data")&gt;0,"Data belum lengkap",IF(COUNTIF(K13:P13,"Cukup")&gt;0,"Bisa, dengan catatan","Cocok")))))</f>
        <v>Cocok</v>
      </c>
      <c r="R13" s="33" t="str">
        <f aca="false">IF($A13="","",IF(K13="Kurang","prosesor tingkat "&amp;C13&amp;" dari 5, di bawah batas minimal (tingkat "&amp;Aturan!$C$48&amp;")",IF(K13="Cukup","prosesor tingkat "&amp;C13&amp;" dari 5 cukup, nyamannya mulai tingkat "&amp;Aturan!$D$48,IF(K13="Belum ada data","tingkat prosesor belum diisi",""))))</f>
        <v/>
      </c>
      <c r="S13" s="33" t="str">
        <f aca="false">IF($A13="","",IF(L13="Kurang","grafis tingkat "&amp;D13&amp;" dari 5, di bawah batas minimal (tingkat "&amp;Aturan!$C$49&amp;")",IF(L13="Cukup","grafis tingkat "&amp;D13&amp;" dari 5 cukup, nyamannya mulai tingkat "&amp;Aturan!$D$49,IF(L13="Belum ada data","tingkat grafis belum diisi",""))))</f>
        <v/>
      </c>
      <c r="T13" s="33" t="str">
        <f aca="false">IF($A13="","",IF(M13="Kurang","RAM "&amp;E13&amp;" GB, di bawah batas minimal "&amp;Aturan!$C$50&amp;" GB ("&amp;I13&amp;")",IF(M13="Cukup","RAM "&amp;E13&amp;" GB cukup, nyamannya "&amp;Aturan!$D$50&amp;" GB atau lebih ("&amp;I13&amp;")",IF(M13="Belum ada data","ukuran RAM belum diisi",""))))</f>
        <v/>
      </c>
      <c r="U13" s="33" t="str">
        <f aca="false">IF($A13="","",IF(N13="Kurang","penyimpanan "&amp;F13&amp;" GB, di bawah batas minimal "&amp;Aturan!$C$51&amp;" GB ("&amp;J13&amp;")",IF(N13="Cukup","penyimpanan "&amp;F13&amp;" GB cukup, nyamannya "&amp;Aturan!$D$51&amp;" GB atau lebih ("&amp;J13&amp;")",IF(N13="Belum ada data","ukuran penyimpanan belum diisi",""))))</f>
        <v/>
      </c>
      <c r="V13" s="33" t="str">
        <f aca="false">IF($A13="","",IF(O13="Kurang","layar "&amp;Varian!$AG6&amp;", di bawah batas minimal ("&amp;IFERROR(INDEX(Aturan!$A$63:$A$66,MATCH(Aturan!$C$52,Aturan!$B$63:$B$66,0)),"peringkat "&amp;Aturan!$C$52)&amp;")",IF(O13="Cukup","layar "&amp;Varian!$AG6&amp;" cukup, nyamannya "&amp;IFERROR(INDEX(Aturan!$A$63:$A$66,MATCH(Aturan!$D$52,Aturan!$B$63:$B$66,0)),"peringkat "&amp;Aturan!$D$52),IF(O13="Belum ada data","jenis layar belum diketahui",""))))</f>
        <v/>
      </c>
      <c r="W13" s="33" t="str">
        <f aca="false">IF($A13="","",IF(P13="Kurang","layar "&amp;H13&amp;" Hz, di bawah batas minimal "&amp;Aturan!$C$53&amp;" Hz",IF(P13="Cukup","layar "&amp;H13&amp;" Hz cukup, nyamannya "&amp;Aturan!$D$53&amp;" Hz atau lebih",IF(P13="Belum ada data","refresh rate belum diketahui",""))))</f>
        <v/>
      </c>
      <c r="X13" s="33" t="str">
        <f aca="false">IF($A13="","",IF(K13="Kurang",R13&amp;"; ","")&amp;IF(L13="Kurang",S13&amp;"; ","")&amp;IF(M13="Kurang",T13&amp;"; ","")&amp;IF(N13="Kurang",U13&amp;"; ","")&amp;IF(O13="Kurang",V13&amp;"; ","")&amp;IF(P13="Kurang",W13&amp;"; ","")&amp;IF(K13="Belum ada data",R13&amp;"; ","")&amp;IF(L13="Belum ada data",S13&amp;"; ","")&amp;IF(M13="Belum ada data",T13&amp;"; ","")&amp;IF(N13="Belum ada data",U13&amp;"; ","")&amp;IF(O13="Belum ada data",V13&amp;"; ","")&amp;IF(P13="Belum ada data",W13&amp;"; ","")&amp;IF(K13="Cukup",R13&amp;"; ","")&amp;IF(L13="Cukup",S13&amp;"; ","")&amp;IF(M13="Cukup",T13&amp;"; ","")&amp;IF(N13="Cukup",U13&amp;"; ","")&amp;IF(O13="Cukup",V13&amp;"; ","")&amp;IF(P13="Cukup",W13&amp;"; ",""))</f>
        <v/>
      </c>
      <c r="Y13" s="33" t="str">
        <f aca="false">IF($A13="","",IF(K13="Nyaman","prosesor, ","")&amp;IF(L13="Nyaman","grafis, ","")&amp;IF(M13="Nyaman","RAM, ","")&amp;IF(N13="Nyaman","penyimpanan, ","")&amp;IF(O13="Nyaman","layar, ","")&amp;IF(P13="Nyaman","refresh rate, ",""))</f>
        <v>prosesor, grafis, RAM, penyimpanan, </v>
      </c>
      <c r="Z13" s="33" t="str">
        <f aca="false">IF($A13="","",IF(Q13="Tidak dinilai","Belum ada kriteria yang dinilai untuk kebutuhan ini.",IF(Q13="Cocok","Semua kriteria yang dinilai sudah nyaman: "&amp;LEFT(Y13,LEN(Y13)-2)&amp;".",UPPER(LEFT(X13,1))&amp;MID(X13,2,LEN(X13)-3)&amp;"."&amp;IF(Y13="",""," Sudah nyaman: "&amp;LEFT(Y13,LEN(Y13)-2)&amp;"."))))</f>
        <v>Semua kriteria yang dinilai sudah nyaman: prosesor, grafis, RAM, penyimpanan.</v>
      </c>
      <c r="AA13" s="33"/>
      <c r="AB13" s="33"/>
      <c r="AC13" s="69"/>
    </row>
    <row r="14" customFormat="false" ht="15" hidden="false" customHeight="true" outlineLevel="0" collapsed="false">
      <c r="A14" s="33" t="str">
        <f aca="false">IF(Varian!$A6="","",Varian!$A6)</f>
        <v>hp-pavilion-x360-14-ek1005tu-i5-1335u-16-512</v>
      </c>
      <c r="B14" s="33" t="str">
        <f aca="false">IF($A14="","",Aturan!$A$25)</f>
        <v>Game berat</v>
      </c>
      <c r="C14" s="69" t="n">
        <f aca="false">IF($A14="","",IFERROR(IF(ISNUMBER(INDEX(CPU!$J$4:$J$64,MATCH(Varian!$J6,CPU!$A$4:$A$64,0))),INDEX(CPU!$J$4:$J$64,MATCH(Varian!$J6,CPU!$A$4:$A$64,0)),""),""))</f>
        <v>3</v>
      </c>
      <c r="D14" s="69" t="n">
        <f aca="false">IF($A14="","",IFERROR(IF(ISNUMBER(INDEX(GPU!$G$4:$G$64,MATCH(Varian!$K6,GPU!$A$4:$A$64,0))),INDEX(GPU!$G$4:$G$64,MATCH(Varian!$K6,GPU!$A$4:$A$64,0)),""),""))</f>
        <v>2</v>
      </c>
      <c r="E14" s="69" t="n">
        <f aca="false">IF($A14="","",IF(ISNUMBER(Varian!$M6),Varian!$M6,""))</f>
        <v>16</v>
      </c>
      <c r="F14" s="69" t="n">
        <f aca="false">IF($A14="","",IF(ISNUMBER(Varian!$V6),Varian!$V6,""))</f>
        <v>512</v>
      </c>
      <c r="G14" s="69" t="n">
        <f aca="false">IF($A14="","",IFERROR(INDEX(Aturan!$B$63:$B$66,MATCH(Varian!$AG6,Aturan!$A$63:$A$66,0)),""))</f>
        <v>3</v>
      </c>
      <c r="H14" s="69" t="str">
        <f aca="false">IF($A14="","",IF(ISNUMBER(Varian!$AI6),Varian!$AI6,""))</f>
        <v/>
      </c>
      <c r="I14" s="33" t="str">
        <f aca="false">IF($A14="","",IF(Varian!$Q6="disolder","menempel di papan utama, tidak bisa ditambah",IF(OR(Varian!$Q6="slot",Varian!$Q6="setengah_disolder"),IF(Varian!$Q6="setengah_disolder","sebagian menempel, ","")&amp;IF(ISNUMBER(Varian!$U6),IF(AND(ISNUMBER(Varian!$M6),Varian!$U6&gt;Varian!$M6),"bisa dinaikkan lewat slot sampai "&amp;Varian!$U6&amp;" GB","sudah di batas maksimal "&amp;Varian!$U6&amp;" GB"),"ada slot, batas maksimalnya belum diketahui"),"belum diketahui apakah bisa ditambah")))</f>
        <v>menempel di papan utama, tidak bisa ditambah</v>
      </c>
      <c r="J14" s="33" t="str">
        <f aca="false">IF($A14="","",IF(Varian!$Z6="ya","bisa diganti dengan yang lebih besar",IF(Varian!$Z6="tidak","menempel, tidak bisa diganti","belum diketahui apakah bisa diganti")))</f>
        <v>bisa diganti dengan yang lebih besar</v>
      </c>
      <c r="K14" s="70" t="str">
        <f aca="false">IF($A14="","",IF(AND(Aturan!$C$54="",Aturan!$D$54=""),"Tidak dinilai",IF(C14="","Belum ada data",IF(C14&lt;IF(Aturan!$C$54="",0,Aturan!$C$54),"Kurang",IF(C14&gt;=IF(Aturan!$D$54="",Aturan!$C$54,Aturan!$D$54),"Nyaman","Cukup")))))</f>
        <v>Cukup</v>
      </c>
      <c r="L14" s="70" t="str">
        <f aca="false">IF($A14="","",IF(AND(Aturan!$C$55="",Aturan!$D$55=""),"Tidak dinilai",IF(D14="","Belum ada data",IF(D14&lt;IF(Aturan!$C$55="",0,Aturan!$C$55),"Kurang",IF(D14&gt;=IF(Aturan!$D$55="",Aturan!$C$55,Aturan!$D$55),"Nyaman","Cukup")))))</f>
        <v>Kurang</v>
      </c>
      <c r="M14" s="70" t="str">
        <f aca="false">IF($A14="","",IF(AND(Aturan!$C$56="",Aturan!$D$56=""),"Tidak dinilai",IF(E14="","Belum ada data",IF(E14&lt;IF(Aturan!$C$56="",0,Aturan!$C$56),"Kurang",IF(E14&gt;=IF(Aturan!$D$56="",Aturan!$C$56,Aturan!$D$56),"Nyaman","Cukup")))))</f>
        <v>Nyaman</v>
      </c>
      <c r="N14" s="70" t="str">
        <f aca="false">IF($A14="","",IF(AND(Aturan!$C$57="",Aturan!$D$57=""),"Tidak dinilai",IF(F14="","Belum ada data",IF(F14&lt;IF(Aturan!$C$57="",0,Aturan!$C$57),"Kurang",IF(F14&gt;=IF(Aturan!$D$57="",Aturan!$C$57,Aturan!$D$57),"Nyaman","Cukup")))))</f>
        <v>Cukup</v>
      </c>
      <c r="O14" s="70" t="str">
        <f aca="false">IF($A14="","",IF(AND(Aturan!$C$58="",Aturan!$D$58=""),"Tidak dinilai",IF(G14="","Belum ada data",IF(G14&lt;IF(Aturan!$C$58="",0,Aturan!$C$58),"Kurang",IF(G14&gt;=IF(Aturan!$D$58="",Aturan!$C$58,Aturan!$D$58),"Nyaman","Cukup")))))</f>
        <v>Tidak dinilai</v>
      </c>
      <c r="P14" s="70" t="str">
        <f aca="false">IF($A14="","",IF(AND(Aturan!$C$59="",Aturan!$D$59=""),"Tidak dinilai",IF(H14="","Belum ada data",IF(H14&lt;IF(Aturan!$C$59="",0,Aturan!$C$59),"Kurang",IF(H14&gt;=IF(Aturan!$D$59="",Aturan!$C$59,Aturan!$D$59),"Nyaman","Cukup")))))</f>
        <v>Belum ada data</v>
      </c>
      <c r="Q14" s="70" t="str">
        <f aca="false">IF($A14="","",IF(COUNTIF(K14:P14,"Tidak dinilai")=6,"Tidak dinilai",IF(COUNTIF(K14:P14,"Kurang")&gt;0,"Kurang cocok",IF(COUNTIF(K14:P14,"Belum ada data")&gt;0,"Data belum lengkap",IF(COUNTIF(K14:P14,"Cukup")&gt;0,"Bisa, dengan catatan","Cocok")))))</f>
        <v>Kurang cocok</v>
      </c>
      <c r="R14" s="33" t="str">
        <f aca="false">IF($A14="","",IF(K14="Kurang","prosesor tingkat "&amp;C14&amp;" dari 5, di bawah batas minimal (tingkat "&amp;Aturan!$C$54&amp;")",IF(K14="Cukup","prosesor tingkat "&amp;C14&amp;" dari 5 cukup, nyamannya mulai tingkat "&amp;Aturan!$D$54,IF(K14="Belum ada data","tingkat prosesor belum diisi",""))))</f>
        <v>prosesor tingkat 3 dari 5 cukup, nyamannya mulai tingkat 4</v>
      </c>
      <c r="S14" s="33" t="str">
        <f aca="false">IF($A14="","",IF(L14="Kurang","grafis tingkat "&amp;D14&amp;" dari 5, di bawah batas minimal (tingkat "&amp;Aturan!$C$55&amp;")",IF(L14="Cukup","grafis tingkat "&amp;D14&amp;" dari 5 cukup, nyamannya mulai tingkat "&amp;Aturan!$D$55,IF(L14="Belum ada data","tingkat grafis belum diisi",""))))</f>
        <v>grafis tingkat 2 dari 5, di bawah batas minimal (tingkat 3)</v>
      </c>
      <c r="T14" s="33" t="str">
        <f aca="false">IF($A14="","",IF(M14="Kurang","RAM "&amp;E14&amp;" GB, di bawah batas minimal "&amp;Aturan!$C$56&amp;" GB ("&amp;I14&amp;")",IF(M14="Cukup","RAM "&amp;E14&amp;" GB cukup, nyamannya "&amp;Aturan!$D$56&amp;" GB atau lebih ("&amp;I14&amp;")",IF(M14="Belum ada data","ukuran RAM belum diisi",""))))</f>
        <v/>
      </c>
      <c r="U14" s="33" t="str">
        <f aca="false">IF($A14="","",IF(N14="Kurang","penyimpanan "&amp;F14&amp;" GB, di bawah batas minimal "&amp;Aturan!$C$57&amp;" GB ("&amp;J14&amp;")",IF(N14="Cukup","penyimpanan "&amp;F14&amp;" GB cukup, nyamannya "&amp;Aturan!$D$57&amp;" GB atau lebih ("&amp;J14&amp;")",IF(N14="Belum ada data","ukuran penyimpanan belum diisi",""))))</f>
        <v>penyimpanan 512 GB cukup, nyamannya 1000 GB atau lebih (bisa diganti dengan yang lebih besar)</v>
      </c>
      <c r="V14" s="33" t="str">
        <f aca="false">IF($A14="","",IF(O14="Kurang","layar "&amp;Varian!$AG6&amp;", di bawah batas minimal ("&amp;IFERROR(INDEX(Aturan!$A$63:$A$66,MATCH(Aturan!$C$58,Aturan!$B$63:$B$66,0)),"peringkat "&amp;Aturan!$C$58)&amp;")",IF(O14="Cukup","layar "&amp;Varian!$AG6&amp;" cukup, nyamannya "&amp;IFERROR(INDEX(Aturan!$A$63:$A$66,MATCH(Aturan!$D$58,Aturan!$B$63:$B$66,0)),"peringkat "&amp;Aturan!$D$58),IF(O14="Belum ada data","jenis layar belum diketahui",""))))</f>
        <v/>
      </c>
      <c r="W14" s="33" t="str">
        <f aca="false">IF($A14="","",IF(P14="Kurang","layar "&amp;H14&amp;" Hz, di bawah batas minimal "&amp;Aturan!$C$59&amp;" Hz",IF(P14="Cukup","layar "&amp;H14&amp;" Hz cukup, nyamannya "&amp;Aturan!$D$59&amp;" Hz atau lebih",IF(P14="Belum ada data","refresh rate belum diketahui",""))))</f>
        <v>refresh rate belum diketahui</v>
      </c>
      <c r="X14" s="33" t="str">
        <f aca="false">IF($A14="","",IF(K14="Kurang",R14&amp;"; ","")&amp;IF(L14="Kurang",S14&amp;"; ","")&amp;IF(M14="Kurang",T14&amp;"; ","")&amp;IF(N14="Kurang",U14&amp;"; ","")&amp;IF(O14="Kurang",V14&amp;"; ","")&amp;IF(P14="Kurang",W14&amp;"; ","")&amp;IF(K14="Belum ada data",R14&amp;"; ","")&amp;IF(L14="Belum ada data",S14&amp;"; ","")&amp;IF(M14="Belum ada data",T14&amp;"; ","")&amp;IF(N14="Belum ada data",U14&amp;"; ","")&amp;IF(O14="Belum ada data",V14&amp;"; ","")&amp;IF(P14="Belum ada data",W14&amp;"; ","")&amp;IF(K14="Cukup",R14&amp;"; ","")&amp;IF(L14="Cukup",S14&amp;"; ","")&amp;IF(M14="Cukup",T14&amp;"; ","")&amp;IF(N14="Cukup",U14&amp;"; ","")&amp;IF(O14="Cukup",V14&amp;"; ","")&amp;IF(P14="Cukup",W14&amp;"; ",""))</f>
        <v>grafis tingkat 2 dari 5, di bawah batas minimal (tingkat 3); refresh rate belum diketahui; prosesor tingkat 3 dari 5 cukup, nyamannya mulai tingkat 4; penyimpanan 512 GB cukup, nyamannya 1000 GB atau lebih (bisa diganti dengan yang lebih besar); </v>
      </c>
      <c r="Y14" s="33" t="str">
        <f aca="false">IF($A14="","",IF(K14="Nyaman","prosesor, ","")&amp;IF(L14="Nyaman","grafis, ","")&amp;IF(M14="Nyaman","RAM, ","")&amp;IF(N14="Nyaman","penyimpanan, ","")&amp;IF(O14="Nyaman","layar, ","")&amp;IF(P14="Nyaman","refresh rate, ",""))</f>
        <v>RAM, </v>
      </c>
      <c r="Z14" s="33" t="str">
        <f aca="false">IF($A14="","",IF(Q14="Tidak dinilai","Belum ada kriteria yang dinilai untuk kebutuhan ini.",IF(Q14="Cocok","Semua kriteria yang dinilai sudah nyaman: "&amp;LEFT(Y14,LEN(Y14)-2)&amp;".",UPPER(LEFT(X14,1))&amp;MID(X14,2,LEN(X14)-3)&amp;"."&amp;IF(Y14="",""," Sudah nyaman: "&amp;LEFT(Y14,LEN(Y14)-2)&amp;"."))))</f>
        <v>Grafis tingkat 2 dari 5, di bawah batas minimal (tingkat 3); refresh rate belum diketahui; prosesor tingkat 3 dari 5 cukup, nyamannya mulai tingkat 4; penyimpanan 512 GB cukup, nyamannya 1000 GB atau lebih (bisa diganti dengan yang lebih besar). Sudah nyaman: RAM.</v>
      </c>
      <c r="AA14" s="33"/>
      <c r="AB14" s="33"/>
      <c r="AC14" s="69"/>
    </row>
    <row r="15" customFormat="false" ht="15" hidden="false" customHeight="true" outlineLevel="0" collapsed="false">
      <c r="A15" s="66" t="str">
        <f aca="false">IF(Varian!$A7="","",Varian!$A7)</f>
        <v>axioo-hype-10-n4020-8-256-w11</v>
      </c>
      <c r="B15" s="66" t="str">
        <f aca="false">IF($A15="","",Aturan!$A$21)</f>
        <v>Kuliah dan kantor</v>
      </c>
      <c r="C15" s="67" t="n">
        <f aca="false">IF($A15="","",IFERROR(IF(ISNUMBER(INDEX(CPU!$J$4:$J$64,MATCH(Varian!$J7,CPU!$A$4:$A$64,0))),INDEX(CPU!$J$4:$J$64,MATCH(Varian!$J7,CPU!$A$4:$A$64,0)),""),""))</f>
        <v>1</v>
      </c>
      <c r="D15" s="67" t="n">
        <f aca="false">IF($A15="","",IFERROR(IF(ISNUMBER(INDEX(GPU!$G$4:$G$64,MATCH(Varian!$K7,GPU!$A$4:$A$64,0))),INDEX(GPU!$G$4:$G$64,MATCH(Varian!$K7,GPU!$A$4:$A$64,0)),""),""))</f>
        <v>1</v>
      </c>
      <c r="E15" s="67" t="n">
        <f aca="false">IF($A15="","",IF(ISNUMBER(Varian!$M7),Varian!$M7,""))</f>
        <v>8</v>
      </c>
      <c r="F15" s="67" t="n">
        <f aca="false">IF($A15="","",IF(ISNUMBER(Varian!$V7),Varian!$V7,""))</f>
        <v>256</v>
      </c>
      <c r="G15" s="67" t="n">
        <f aca="false">IF($A15="","",IFERROR(INDEX(Aturan!$B$63:$B$66,MATCH(Varian!$AG7,Aturan!$A$63:$A$66,0)),""))</f>
        <v>1</v>
      </c>
      <c r="H15" s="67" t="n">
        <f aca="false">IF($A15="","",IF(ISNUMBER(Varian!$AI7),Varian!$AI7,""))</f>
        <v>60</v>
      </c>
      <c r="I15" s="66" t="str">
        <f aca="false">IF($A15="","",IF(Varian!$Q7="disolder","menempel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5" s="66" t="str">
        <f aca="false">IF($A15="","",IF(Varian!$Z7="ya","bisa diganti dengan yang lebih besar",IF(Varian!$Z7="tidak","menempel, tidak bisa diganti","belum diketahui apakah bisa diganti")))</f>
        <v>bisa diganti dengan yang lebih besar</v>
      </c>
      <c r="K15" s="68" t="str">
        <f aca="false">IF($A15="","",IF(AND(Aturan!$C$30="",Aturan!$D$30=""),"Tidak dinilai",IF(C15="","Belum ada data",IF(C15&lt;IF(Aturan!$C$30="",0,Aturan!$C$30),"Kurang",IF(C15&gt;=IF(Aturan!$D$30="",Aturan!$C$30,Aturan!$D$30),"Nyaman","Cukup")))))</f>
        <v>Cukup</v>
      </c>
      <c r="L15" s="68" t="str">
        <f aca="false">IF($A15="","",IF(AND(Aturan!$C$31="",Aturan!$D$31=""),"Tidak dinilai",IF(D15="","Belum ada data",IF(D15&lt;IF(Aturan!$C$31="",0,Aturan!$C$31),"Kurang",IF(D15&gt;=IF(Aturan!$D$31="",Aturan!$C$31,Aturan!$D$31),"Nyaman","Cukup")))))</f>
        <v>Tidak dinilai</v>
      </c>
      <c r="M15" s="68" t="str">
        <f aca="false">IF($A15="","",IF(AND(Aturan!$C$32="",Aturan!$D$32=""),"Tidak dinilai",IF(E15="","Belum ada data",IF(E15&lt;IF(Aturan!$C$32="",0,Aturan!$C$32),"Kurang",IF(E15&gt;=IF(Aturan!$D$32="",Aturan!$C$32,Aturan!$D$32),"Nyaman","Cukup")))))</f>
        <v>Nyaman</v>
      </c>
      <c r="N15" s="68" t="str">
        <f aca="false">IF($A15="","",IF(AND(Aturan!$C$33="",Aturan!$D$33=""),"Tidak dinilai",IF(F15="","Belum ada data",IF(F15&lt;IF(Aturan!$C$33="",0,Aturan!$C$33),"Kurang",IF(F15&gt;=IF(Aturan!$D$33="",Aturan!$C$33,Aturan!$D$33),"Nyaman","Cukup")))))</f>
        <v>Nyaman</v>
      </c>
      <c r="O15" s="68" t="str">
        <f aca="false">IF($A15="","",IF(AND(Aturan!$C$34="",Aturan!$D$34=""),"Tidak dinilai",IF(G15="","Belum ada data",IF(G15&lt;IF(Aturan!$C$34="",0,Aturan!$C$34),"Kurang",IF(G15&gt;=IF(Aturan!$D$34="",Aturan!$C$34,Aturan!$D$34),"Nyaman","Cukup")))))</f>
        <v>Tidak dinilai</v>
      </c>
      <c r="P15" s="68" t="str">
        <f aca="false">IF($A15="","",IF(AND(Aturan!$C$35="",Aturan!$D$35=""),"Tidak dinilai",IF(H15="","Belum ada data",IF(H15&lt;IF(Aturan!$C$35="",0,Aturan!$C$35),"Kurang",IF(H15&gt;=IF(Aturan!$D$35="",Aturan!$C$35,Aturan!$D$35),"Nyaman","Cukup")))))</f>
        <v>Tidak dinilai</v>
      </c>
      <c r="Q15" s="68" t="str">
        <f aca="false">IF($A15="","",IF(COUNTIF(K15:P15,"Tidak dinilai")=6,"Tidak dinilai",IF(COUNTIF(K15:P15,"Kurang")&gt;0,"Kurang cocok",IF(COUNTIF(K15:P15,"Belum ada data")&gt;0,"Data belum lengkap",IF(COUNTIF(K15:P15,"Cukup")&gt;0,"Bisa, dengan catatan","Cocok")))))</f>
        <v>Bisa, dengan catatan</v>
      </c>
      <c r="R15" s="66" t="str">
        <f aca="false">IF($A15="","",IF(K15="Kurang","prosesor tingkat "&amp;C15&amp;" dari 5, di bawah batas minimal (tingkat "&amp;Aturan!$C$30&amp;")",IF(K15="Cukup","prosesor tingkat "&amp;C15&amp;" dari 5 cukup, nyamannya mulai tingkat "&amp;Aturan!$D$30,IF(K15="Belum ada data","tingkat prosesor belum diisi",""))))</f>
        <v>prosesor tingkat 1 dari 5 cukup, nyamannya mulai tingkat 2</v>
      </c>
      <c r="S15" s="66" t="str">
        <f aca="false">IF($A15="","",IF(L15="Kurang","grafis tingkat "&amp;D15&amp;" dari 5, di bawah batas minimal (tingkat "&amp;Aturan!$C$31&amp;")",IF(L15="Cukup","grafis tingkat "&amp;D15&amp;" dari 5 cukup, nyamannya mulai tingkat "&amp;Aturan!$D$31,IF(L15="Belum ada data","tingkat grafis belum diisi",""))))</f>
        <v/>
      </c>
      <c r="T15" s="66" t="str">
        <f aca="false">IF($A15="","",IF(M15="Kurang","RAM "&amp;E15&amp;" GB, di bawah batas minimal "&amp;Aturan!$C$32&amp;" GB ("&amp;I15&amp;")",IF(M15="Cukup","RAM "&amp;E15&amp;" GB cukup, nyamannya "&amp;Aturan!$D$32&amp;" GB atau lebih ("&amp;I15&amp;")",IF(M15="Belum ada data","ukuran RAM belum diisi",""))))</f>
        <v/>
      </c>
      <c r="U15" s="66" t="str">
        <f aca="false">IF($A15="","",IF(N15="Kurang","penyimpanan "&amp;F15&amp;" GB, di bawah batas minimal "&amp;Aturan!$C$33&amp;" GB ("&amp;J15&amp;")",IF(N15="Cukup","penyimpanan "&amp;F15&amp;" GB cukup, nyamannya "&amp;Aturan!$D$33&amp;" GB atau lebih ("&amp;J15&amp;")",IF(N15="Belum ada data","ukuran penyimpanan belum diisi",""))))</f>
        <v/>
      </c>
      <c r="V15" s="66" t="str">
        <f aca="false">IF($A15="","",IF(O15="Kurang","layar "&amp;Varian!$AG7&amp;", di bawah batas minimal ("&amp;IFERROR(INDEX(Aturan!$A$63:$A$66,MATCH(Aturan!$C$34,Aturan!$B$63:$B$66,0)),"peringkat "&amp;Aturan!$C$34)&amp;")",IF(O15="Cukup","layar "&amp;Varian!$AG7&amp;" cukup, nyamannya "&amp;IFERROR(INDEX(Aturan!$A$63:$A$66,MATCH(Aturan!$D$34,Aturan!$B$63:$B$66,0)),"peringkat "&amp;Aturan!$D$34),IF(O15="Belum ada data","jenis layar belum diketahui",""))))</f>
        <v/>
      </c>
      <c r="W15" s="66" t="str">
        <f aca="false">IF($A15="","",IF(P15="Kurang","layar "&amp;H15&amp;" Hz, di bawah batas minimal "&amp;Aturan!$C$35&amp;" Hz",IF(P15="Cukup","layar "&amp;H15&amp;" Hz cukup, nyamannya "&amp;Aturan!$D$35&amp;" Hz atau lebih",IF(P15="Belum ada data","refresh rate belum diketahui",""))))</f>
        <v/>
      </c>
      <c r="X15" s="66" t="str">
        <f aca="false">IF($A15="","",IF(K15="Kurang",R15&amp;"; ","")&amp;IF(L15="Kurang",S15&amp;"; ","")&amp;IF(M15="Kurang",T15&amp;"; ","")&amp;IF(N15="Kurang",U15&amp;"; ","")&amp;IF(O15="Kurang",V15&amp;"; ","")&amp;IF(P15="Kurang",W15&amp;"; ","")&amp;IF(K15="Belum ada data",R15&amp;"; ","")&amp;IF(L15="Belum ada data",S15&amp;"; ","")&amp;IF(M15="Belum ada data",T15&amp;"; ","")&amp;IF(N15="Belum ada data",U15&amp;"; ","")&amp;IF(O15="Belum ada data",V15&amp;"; ","")&amp;IF(P15="Belum ada data",W15&amp;"; ","")&amp;IF(K15="Cukup",R15&amp;"; ","")&amp;IF(L15="Cukup",S15&amp;"; ","")&amp;IF(M15="Cukup",T15&amp;"; ","")&amp;IF(N15="Cukup",U15&amp;"; ","")&amp;IF(O15="Cukup",V15&amp;"; ","")&amp;IF(P15="Cukup",W15&amp;"; ",""))</f>
        <v>prosesor tingkat 1 dari 5 cukup, nyamannya mulai tingkat 2; </v>
      </c>
      <c r="Y15" s="66" t="str">
        <f aca="false">IF($A15="","",IF(K15="Nyaman","prosesor, ","")&amp;IF(L15="Nyaman","grafis, ","")&amp;IF(M15="Nyaman","RAM, ","")&amp;IF(N15="Nyaman","penyimpanan, ","")&amp;IF(O15="Nyaman","layar, ","")&amp;IF(P15="Nyaman","refresh rate, ",""))</f>
        <v>RAM, penyimpanan, </v>
      </c>
      <c r="Z15" s="66" t="str">
        <f aca="false">IF($A15="","",IF(Q15="Tidak dinilai","Belum ada kriteria yang dinilai untuk kebutuhan ini.",IF(Q15="Cocok","Semua kriteria yang dinilai sudah nyaman: "&amp;LEFT(Y15,LEN(Y15)-2)&amp;".",UPPER(LEFT(X15,1))&amp;MID(X15,2,LEN(X15)-3)&amp;"."&amp;IF(Y15="",""," Sudah nyaman: "&amp;LEFT(Y15,LEN(Y15)-2)&amp;"."))))</f>
        <v>Prosesor tingkat 1 dari 5 cukup, nyamannya mulai tingkat 2. Sudah nyaman: RAM, penyimpanan.</v>
      </c>
      <c r="AA15" s="71" t="str">
        <f aca="false">IF($A15="","",IF(Varian!$AR7="Windows 10","• "&amp;Aturan!$E$71&amp;CHAR(10),"")&amp;IF(Varian!$BB7="tidak","• "&amp;Aturan!$E$72&amp;CHAR(10),"")&amp;IF(OR(Varian!$AD7="belum terverifikasi",Varian!$AD7="tidak diketahui"),"• "&amp;Aturan!$E$73&amp;CHAR(10),"")&amp;IF(Varian!$AH7="1366x768","• "&amp;Aturan!$E$74&amp;CHAR(10),"")&amp;IF(Varian!$AG7="TN","• "&amp;Aturan!$E$75&amp;CHAR(10),"")&amp;IF(AND(Varian!$Q7="disolder",ISNUMBER(Varian!$M7),Varian!$M7&lt;=8),"• "&amp;Aturan!$E$76&amp;CHAR(10),""))</f>
        <v>• Info RAM dan penyimpanan (bisa diganti atau tidak) belum terverifikasi. Periksa lagi sebelum membeli.
• Layar beresolusi rendah (1366x768): ruang kerja sempit dan tulisan kurang tajam.
• Panel TN: warna cenderung pucat dan sudut pandang sempit.
</v>
      </c>
      <c r="AB15" s="71" t="str">
        <f aca="false">IF($A15="","",IF(AA15="","",LEFT(AA15,LEN(AA15)-1)))</f>
        <v>• Info RAM dan penyimpanan (bisa diganti atau tidak) belum terverifikasi. Periksa lagi sebelum membeli.
• Layar beresolusi rendah (1366x768): ruang kerja sempit dan tulisan kurang tajam.
• Panel TN: warna cenderung pucat dan sudut pandang sempit.</v>
      </c>
      <c r="AC15" s="67" t="n">
        <f aca="false">IF($A15="","",IF(AA15="",0,LEN(AA15)-LEN(SUBSTITUTE(AA15,CHAR(10),""))))</f>
        <v>3</v>
      </c>
    </row>
    <row r="16" customFormat="false" ht="15" hidden="false" customHeight="true" outlineLevel="0" collapsed="false">
      <c r="A16" s="33" t="str">
        <f aca="false">IF(Varian!$A7="","",Varian!$A7)</f>
        <v>axioo-hype-10-n4020-8-256-w11</v>
      </c>
      <c r="B16" s="33" t="str">
        <f aca="false">IF($A16="","",Aturan!$A$22)</f>
        <v>Desain grafis</v>
      </c>
      <c r="C16" s="69" t="n">
        <f aca="false">IF($A16="","",IFERROR(IF(ISNUMBER(INDEX(CPU!$J$4:$J$64,MATCH(Varian!$J7,CPU!$A$4:$A$64,0))),INDEX(CPU!$J$4:$J$64,MATCH(Varian!$J7,CPU!$A$4:$A$64,0)),""),""))</f>
        <v>1</v>
      </c>
      <c r="D16" s="69" t="n">
        <f aca="false">IF($A16="","",IFERROR(IF(ISNUMBER(INDEX(GPU!$G$4:$G$64,MATCH(Varian!$K7,GPU!$A$4:$A$64,0))),INDEX(GPU!$G$4:$G$64,MATCH(Varian!$K7,GPU!$A$4:$A$64,0)),""),""))</f>
        <v>1</v>
      </c>
      <c r="E16" s="69" t="n">
        <f aca="false">IF($A16="","",IF(ISNUMBER(Varian!$M7),Varian!$M7,""))</f>
        <v>8</v>
      </c>
      <c r="F16" s="69" t="n">
        <f aca="false">IF($A16="","",IF(ISNUMBER(Varian!$V7),Varian!$V7,""))</f>
        <v>256</v>
      </c>
      <c r="G16" s="69" t="n">
        <f aca="false">IF($A16="","",IFERROR(INDEX(Aturan!$B$63:$B$66,MATCH(Varian!$AG7,Aturan!$A$63:$A$66,0)),""))</f>
        <v>1</v>
      </c>
      <c r="H16" s="69" t="n">
        <f aca="false">IF($A16="","",IF(ISNUMBER(Varian!$AI7),Varian!$AI7,""))</f>
        <v>60</v>
      </c>
      <c r="I16" s="33" t="str">
        <f aca="false">IF($A16="","",IF(Varian!$Q7="disolder","menempel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6" s="33" t="str">
        <f aca="false">IF($A16="","",IF(Varian!$Z7="ya","bisa diganti dengan yang lebih besar",IF(Varian!$Z7="tidak","menempel, tidak bisa diganti","belum diketahui apakah bisa diganti")))</f>
        <v>bisa diganti dengan yang lebih besar</v>
      </c>
      <c r="K16" s="70" t="str">
        <f aca="false">IF($A16="","",IF(AND(Aturan!$C$36="",Aturan!$D$36=""),"Tidak dinilai",IF(C16="","Belum ada data",IF(C16&lt;IF(Aturan!$C$36="",0,Aturan!$C$36),"Kurang",IF(C16&gt;=IF(Aturan!$D$36="",Aturan!$C$36,Aturan!$D$36),"Nyaman","Cukup")))))</f>
        <v>Kurang</v>
      </c>
      <c r="L16" s="70" t="str">
        <f aca="false">IF($A16="","",IF(AND(Aturan!$C$37="",Aturan!$D$37=""),"Tidak dinilai",IF(D16="","Belum ada data",IF(D16&lt;IF(Aturan!$C$37="",0,Aturan!$C$37),"Kurang",IF(D16&gt;=IF(Aturan!$D$37="",Aturan!$C$37,Aturan!$D$37),"Nyaman","Cukup")))))</f>
        <v>Cukup</v>
      </c>
      <c r="M16" s="70" t="str">
        <f aca="false">IF($A16="","",IF(AND(Aturan!$C$38="",Aturan!$D$38=""),"Tidak dinilai",IF(E16="","Belum ada data",IF(E16&lt;IF(Aturan!$C$38="",0,Aturan!$C$38),"Kurang",IF(E16&gt;=IF(Aturan!$D$38="",Aturan!$C$38,Aturan!$D$38),"Nyaman","Cukup")))))</f>
        <v>Cukup</v>
      </c>
      <c r="N16" s="70" t="str">
        <f aca="false">IF($A16="","",IF(AND(Aturan!$C$39="",Aturan!$D$39=""),"Tidak dinilai",IF(F16="","Belum ada data",IF(F16&lt;IF(Aturan!$C$39="",0,Aturan!$C$39),"Kurang",IF(F16&gt;=IF(Aturan!$D$39="",Aturan!$C$39,Aturan!$D$39),"Nyaman","Cukup")))))</f>
        <v>Cukup</v>
      </c>
      <c r="O16" s="70" t="str">
        <f aca="false">IF($A16="","",IF(AND(Aturan!$C$40="",Aturan!$D$40=""),"Tidak dinilai",IF(G16="","Belum ada data",IF(G16&lt;IF(Aturan!$C$40="",0,Aturan!$C$40),"Kurang",IF(G16&gt;=IF(Aturan!$D$40="",Aturan!$C$40,Aturan!$D$40),"Nyaman","Cukup")))))</f>
        <v>Kurang</v>
      </c>
      <c r="P16" s="70" t="str">
        <f aca="false">IF($A16="","",IF(AND(Aturan!$C$41="",Aturan!$D$41=""),"Tidak dinilai",IF(H16="","Belum ada data",IF(H16&lt;IF(Aturan!$C$41="",0,Aturan!$C$41),"Kurang",IF(H16&gt;=IF(Aturan!$D$41="",Aturan!$C$41,Aturan!$D$41),"Nyaman","Cukup")))))</f>
        <v>Tidak dinilai</v>
      </c>
      <c r="Q16" s="70" t="str">
        <f aca="false">IF($A16="","",IF(COUNTIF(K16:P16,"Tidak dinilai")=6,"Tidak dinilai",IF(COUNTIF(K16:P16,"Kurang")&gt;0,"Kurang cocok",IF(COUNTIF(K16:P16,"Belum ada data")&gt;0,"Data belum lengkap",IF(COUNTIF(K16:P16,"Cukup")&gt;0,"Bisa, dengan catatan","Cocok")))))</f>
        <v>Kurang cocok</v>
      </c>
      <c r="R16" s="33" t="str">
        <f aca="false">IF($A16="","",IF(K16="Kurang","prosesor tingkat "&amp;C16&amp;" dari 5, di bawah batas minimal (tingkat "&amp;Aturan!$C$36&amp;")",IF(K16="Cukup","prosesor tingkat "&amp;C16&amp;" dari 5 cukup, nyamannya mulai tingkat "&amp;Aturan!$D$36,IF(K16="Belum ada data","tingkat prosesor belum diisi",""))))</f>
        <v>prosesor tingkat 1 dari 5, di bawah batas minimal (tingkat 2)</v>
      </c>
      <c r="S16" s="33" t="str">
        <f aca="false">IF($A16="","",IF(L16="Kurang","grafis tingkat "&amp;D16&amp;" dari 5, di bawah batas minimal (tingkat "&amp;Aturan!$C$37&amp;")",IF(L16="Cukup","grafis tingkat "&amp;D16&amp;" dari 5 cukup, nyamannya mulai tingkat "&amp;Aturan!$D$37,IF(L16="Belum ada data","tingkat grafis belum diisi",""))))</f>
        <v>grafis tingkat 1 dari 5 cukup, nyamannya mulai tingkat 2</v>
      </c>
      <c r="T16" s="33" t="str">
        <f aca="false">IF($A16="","",IF(M16="Kurang","RAM "&amp;E16&amp;" GB, di bawah batas minimal "&amp;Aturan!$C$38&amp;" GB ("&amp;I16&amp;")",IF(M16="Cukup","RAM "&amp;E16&amp;" GB cukup, nyamannya "&amp;Aturan!$D$38&amp;" GB atau lebih ("&amp;I16&amp;")",IF(M16="Belum ada data","ukuran RAM belum diisi",""))))</f>
        <v>RAM 8 GB cukup, nyamannya 16 GB atau lebih (sudah di batas maksimal 8 GB)</v>
      </c>
      <c r="U16" s="33" t="str">
        <f aca="false">IF($A16="","",IF(N16="Kurang","penyimpanan "&amp;F16&amp;" GB, di bawah batas minimal "&amp;Aturan!$C$39&amp;" GB ("&amp;J16&amp;")",IF(N16="Cukup","penyimpanan "&amp;F16&amp;" GB cukup, nyamannya "&amp;Aturan!$D$39&amp;" GB atau lebih ("&amp;J16&amp;")",IF(N16="Belum ada data","ukuran penyimpanan belum diisi",""))))</f>
        <v>penyimpanan 256 GB cukup, nyamannya 512 GB atau lebih (bisa diganti dengan yang lebih besar)</v>
      </c>
      <c r="V16" s="33" t="str">
        <f aca="false">IF($A16="","",IF(O16="Kurang","layar "&amp;Varian!$AG7&amp;", di bawah batas minimal ("&amp;IFERROR(INDEX(Aturan!$A$63:$A$66,MATCH(Aturan!$C$40,Aturan!$B$63:$B$66,0)),"peringkat "&amp;Aturan!$C$40)&amp;")",IF(O16="Cukup","layar "&amp;Varian!$AG7&amp;" cukup, nyamannya "&amp;IFERROR(INDEX(Aturan!$A$63:$A$66,MATCH(Aturan!$D$40,Aturan!$B$63:$B$66,0)),"peringkat "&amp;Aturan!$D$40),IF(O16="Belum ada data","jenis layar belum diketahui",""))))</f>
        <v>layar TN, di bawah batas minimal (IPS)</v>
      </c>
      <c r="W16" s="33" t="str">
        <f aca="false">IF($A16="","",IF(P16="Kurang","layar "&amp;H16&amp;" Hz, di bawah batas minimal "&amp;Aturan!$C$41&amp;" Hz",IF(P16="Cukup","layar "&amp;H16&amp;" Hz cukup, nyamannya "&amp;Aturan!$D$41&amp;" Hz atau lebih",IF(P16="Belum ada data","refresh rate belum diketahui",""))))</f>
        <v/>
      </c>
      <c r="X16" s="33" t="str">
        <f aca="false">IF($A16="","",IF(K16="Kurang",R16&amp;"; ","")&amp;IF(L16="Kurang",S16&amp;"; ","")&amp;IF(M16="Kurang",T16&amp;"; ","")&amp;IF(N16="Kurang",U16&amp;"; ","")&amp;IF(O16="Kurang",V16&amp;"; ","")&amp;IF(P16="Kurang",W16&amp;"; ","")&amp;IF(K16="Belum ada data",R16&amp;"; ","")&amp;IF(L16="Belum ada data",S16&amp;"; ","")&amp;IF(M16="Belum ada data",T16&amp;"; ","")&amp;IF(N16="Belum ada data",U16&amp;"; ","")&amp;IF(O16="Belum ada data",V16&amp;"; ","")&amp;IF(P16="Belum ada data",W16&amp;"; ","")&amp;IF(K16="Cukup",R16&amp;"; ","")&amp;IF(L16="Cukup",S16&amp;"; ","")&amp;IF(M16="Cukup",T16&amp;"; ","")&amp;IF(N16="Cukup",U16&amp;"; ","")&amp;IF(O16="Cukup",V16&amp;"; ","")&amp;IF(P16="Cukup",W16&amp;"; ",""))</f>
        <v>prosesor tingkat 1 dari 5, di bawah batas minimal (tingkat 2); layar TN, di bawah batas minimal (IPS); grafis tingkat 1 dari 5 cukup, nyamannya mulai tingkat 2; RAM 8 GB cukup, nyamannya 16 GB atau lebih (sudah di batas maksimal 8 GB); penyimpanan 256 GB cukup, nyamannya 512 GB atau lebih (bisa diganti dengan yang lebih besar); </v>
      </c>
      <c r="Y16" s="33" t="str">
        <f aca="false">IF($A16="","",IF(K16="Nyaman","prosesor, ","")&amp;IF(L16="Nyaman","grafis, ","")&amp;IF(M16="Nyaman","RAM, ","")&amp;IF(N16="Nyaman","penyimpanan, ","")&amp;IF(O16="Nyaman","layar, ","")&amp;IF(P16="Nyaman","refresh rate, ",""))</f>
        <v/>
      </c>
      <c r="Z16" s="33" t="str">
        <f aca="false">IF($A16="","",IF(Q16="Tidak dinilai","Belum ada kriteria yang dinilai untuk kebutuhan ini.",IF(Q16="Cocok","Semua kriteria yang dinilai sudah nyaman: "&amp;LEFT(Y16,LEN(Y16)-2)&amp;".",UPPER(LEFT(X16,1))&amp;MID(X16,2,LEN(X16)-3)&amp;"."&amp;IF(Y16="",""," Sudah nyaman: "&amp;LEFT(Y16,LEN(Y16)-2)&amp;"."))))</f>
        <v>Prosesor tingkat 1 dari 5, di bawah batas minimal (tingkat 2); layar TN, di bawah batas minimal (IPS); grafis tingkat 1 dari 5 cukup, nyamannya mulai tingkat 2; RAM 8 GB cukup, nyamannya 16 GB atau lebih (sudah di batas maksimal 8 GB); penyimpanan 256 GB cukup, nyamannya 512 GB atau lebih (bisa diganti dengan yang lebih besar).</v>
      </c>
      <c r="AA16" s="33"/>
      <c r="AB16" s="33"/>
      <c r="AC16" s="69"/>
    </row>
    <row r="17" customFormat="false" ht="15" hidden="false" customHeight="true" outlineLevel="0" collapsed="false">
      <c r="A17" s="33" t="str">
        <f aca="false">IF(Varian!$A7="","",Varian!$A7)</f>
        <v>axioo-hype-10-n4020-8-256-w11</v>
      </c>
      <c r="B17" s="33" t="str">
        <f aca="false">IF($A17="","",Aturan!$A$23)</f>
        <v>Pemrograman</v>
      </c>
      <c r="C17" s="69" t="n">
        <f aca="false">IF($A17="","",IFERROR(IF(ISNUMBER(INDEX(CPU!$J$4:$J$64,MATCH(Varian!$J7,CPU!$A$4:$A$64,0))),INDEX(CPU!$J$4:$J$64,MATCH(Varian!$J7,CPU!$A$4:$A$64,0)),""),""))</f>
        <v>1</v>
      </c>
      <c r="D17" s="69" t="n">
        <f aca="false">IF($A17="","",IFERROR(IF(ISNUMBER(INDEX(GPU!$G$4:$G$64,MATCH(Varian!$K7,GPU!$A$4:$A$64,0))),INDEX(GPU!$G$4:$G$64,MATCH(Varian!$K7,GPU!$A$4:$A$64,0)),""),""))</f>
        <v>1</v>
      </c>
      <c r="E17" s="69" t="n">
        <f aca="false">IF($A17="","",IF(ISNUMBER(Varian!$M7),Varian!$M7,""))</f>
        <v>8</v>
      </c>
      <c r="F17" s="69" t="n">
        <f aca="false">IF($A17="","",IF(ISNUMBER(Varian!$V7),Varian!$V7,""))</f>
        <v>256</v>
      </c>
      <c r="G17" s="69" t="n">
        <f aca="false">IF($A17="","",IFERROR(INDEX(Aturan!$B$63:$B$66,MATCH(Varian!$AG7,Aturan!$A$63:$A$66,0)),""))</f>
        <v>1</v>
      </c>
      <c r="H17" s="69" t="n">
        <f aca="false">IF($A17="","",IF(ISNUMBER(Varian!$AI7),Varian!$AI7,""))</f>
        <v>60</v>
      </c>
      <c r="I17" s="33" t="str">
        <f aca="false">IF($A17="","",IF(Varian!$Q7="disolder","menempel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7" s="33" t="str">
        <f aca="false">IF($A17="","",IF(Varian!$Z7="ya","bisa diganti dengan yang lebih besar",IF(Varian!$Z7="tidak","menempel, tidak bisa diganti","belum diketahui apakah bisa diganti")))</f>
        <v>bisa diganti dengan yang lebih besar</v>
      </c>
      <c r="K17" s="70" t="str">
        <f aca="false">IF($A17="","",IF(AND(Aturan!$C$42="",Aturan!$D$42=""),"Tidak dinilai",IF(C17="","Belum ada data",IF(C17&lt;IF(Aturan!$C$42="",0,Aturan!$C$42),"Kurang",IF(C17&gt;=IF(Aturan!$D$42="",Aturan!$C$42,Aturan!$D$42),"Nyaman","Cukup")))))</f>
        <v>Kurang</v>
      </c>
      <c r="L17" s="70" t="str">
        <f aca="false">IF($A17="","",IF(AND(Aturan!$C$43="",Aturan!$D$43=""),"Tidak dinilai",IF(D17="","Belum ada data",IF(D17&lt;IF(Aturan!$C$43="",0,Aturan!$C$43),"Kurang",IF(D17&gt;=IF(Aturan!$D$43="",Aturan!$C$43,Aturan!$D$43),"Nyaman","Cukup")))))</f>
        <v>Tidak dinilai</v>
      </c>
      <c r="M17" s="70" t="str">
        <f aca="false">IF($A17="","",IF(AND(Aturan!$C$44="",Aturan!$D$44=""),"Tidak dinilai",IF(E17="","Belum ada data",IF(E17&lt;IF(Aturan!$C$44="",0,Aturan!$C$44),"Kurang",IF(E17&gt;=IF(Aturan!$D$44="",Aturan!$C$44,Aturan!$D$44),"Nyaman","Cukup")))))</f>
        <v>Cukup</v>
      </c>
      <c r="N17" s="70" t="str">
        <f aca="false">IF($A17="","",IF(AND(Aturan!$C$45="",Aturan!$D$45=""),"Tidak dinilai",IF(F17="","Belum ada data",IF(F17&lt;IF(Aturan!$C$45="",0,Aturan!$C$45),"Kurang",IF(F17&gt;=IF(Aturan!$D$45="",Aturan!$C$45,Aturan!$D$45),"Nyaman","Cukup")))))</f>
        <v>Cukup</v>
      </c>
      <c r="O17" s="70" t="str">
        <f aca="false">IF($A17="","",IF(AND(Aturan!$C$46="",Aturan!$D$46=""),"Tidak dinilai",IF(G17="","Belum ada data",IF(G17&lt;IF(Aturan!$C$46="",0,Aturan!$C$46),"Kurang",IF(G17&gt;=IF(Aturan!$D$46="",Aturan!$C$46,Aturan!$D$46),"Nyaman","Cukup")))))</f>
        <v>Tidak dinilai</v>
      </c>
      <c r="P17" s="70" t="str">
        <f aca="false">IF($A17="","",IF(AND(Aturan!$C$47="",Aturan!$D$47=""),"Tidak dinilai",IF(H17="","Belum ada data",IF(H17&lt;IF(Aturan!$C$47="",0,Aturan!$C$47),"Kurang",IF(H17&gt;=IF(Aturan!$D$47="",Aturan!$C$47,Aturan!$D$47),"Nyaman","Cukup")))))</f>
        <v>Tidak dinilai</v>
      </c>
      <c r="Q17" s="70" t="str">
        <f aca="false">IF($A17="","",IF(COUNTIF(K17:P17,"Tidak dinilai")=6,"Tidak dinilai",IF(COUNTIF(K17:P17,"Kurang")&gt;0,"Kurang cocok",IF(COUNTIF(K17:P17,"Belum ada data")&gt;0,"Data belum lengkap",IF(COUNTIF(K17:P17,"Cukup")&gt;0,"Bisa, dengan catatan","Cocok")))))</f>
        <v>Kurang cocok</v>
      </c>
      <c r="R17" s="33" t="str">
        <f aca="false">IF($A17="","",IF(K17="Kurang","prosesor tingkat "&amp;C17&amp;" dari 5, di bawah batas minimal (tingkat "&amp;Aturan!$C$42&amp;")",IF(K17="Cukup","prosesor tingkat "&amp;C17&amp;" dari 5 cukup, nyamannya mulai tingkat "&amp;Aturan!$D$42,IF(K17="Belum ada data","tingkat prosesor belum diisi",""))))</f>
        <v>prosesor tingkat 1 dari 5, di bawah batas minimal (tingkat 2)</v>
      </c>
      <c r="S17" s="33" t="str">
        <f aca="false">IF($A17="","",IF(L17="Kurang","grafis tingkat "&amp;D17&amp;" dari 5, di bawah batas minimal (tingkat "&amp;Aturan!$C$43&amp;")",IF(L17="Cukup","grafis tingkat "&amp;D17&amp;" dari 5 cukup, nyamannya mulai tingkat "&amp;Aturan!$D$43,IF(L17="Belum ada data","tingkat grafis belum diisi",""))))</f>
        <v/>
      </c>
      <c r="T17" s="33" t="str">
        <f aca="false">IF($A17="","",IF(M17="Kurang","RAM "&amp;E17&amp;" GB, di bawah batas minimal "&amp;Aturan!$C$44&amp;" GB ("&amp;I17&amp;")",IF(M17="Cukup","RAM "&amp;E17&amp;" GB cukup, nyamannya "&amp;Aturan!$D$44&amp;" GB atau lebih ("&amp;I17&amp;")",IF(M17="Belum ada data","ukuran RAM belum diisi",""))))</f>
        <v>RAM 8 GB cukup, nyamannya 16 GB atau lebih (sudah di batas maksimal 8 GB)</v>
      </c>
      <c r="U17" s="33" t="str">
        <f aca="false">IF($A17="","",IF(N17="Kurang","penyimpanan "&amp;F17&amp;" GB, di bawah batas minimal "&amp;Aturan!$C$45&amp;" GB ("&amp;J17&amp;")",IF(N17="Cukup","penyimpanan "&amp;F17&amp;" GB cukup, nyamannya "&amp;Aturan!$D$45&amp;" GB atau lebih ("&amp;J17&amp;")",IF(N17="Belum ada data","ukuran penyimpanan belum diisi",""))))</f>
        <v>penyimpanan 256 GB cukup, nyamannya 512 GB atau lebih (bisa diganti dengan yang lebih besar)</v>
      </c>
      <c r="V17" s="33" t="str">
        <f aca="false">IF($A17="","",IF(O17="Kurang","layar "&amp;Varian!$AG7&amp;", di bawah batas minimal ("&amp;IFERROR(INDEX(Aturan!$A$63:$A$66,MATCH(Aturan!$C$46,Aturan!$B$63:$B$66,0)),"peringkat "&amp;Aturan!$C$46)&amp;")",IF(O17="Cukup","layar "&amp;Varian!$AG7&amp;" cukup, nyamannya "&amp;IFERROR(INDEX(Aturan!$A$63:$A$66,MATCH(Aturan!$D$46,Aturan!$B$63:$B$66,0)),"peringkat "&amp;Aturan!$D$46),IF(O17="Belum ada data","jenis layar belum diketahui",""))))</f>
        <v/>
      </c>
      <c r="W17" s="33" t="str">
        <f aca="false">IF($A17="","",IF(P17="Kurang","layar "&amp;H17&amp;" Hz, di bawah batas minimal "&amp;Aturan!$C$47&amp;" Hz",IF(P17="Cukup","layar "&amp;H17&amp;" Hz cukup, nyamannya "&amp;Aturan!$D$47&amp;" Hz atau lebih",IF(P17="Belum ada data","refresh rate belum diketahui",""))))</f>
        <v/>
      </c>
      <c r="X17" s="33" t="str">
        <f aca="false">IF($A17="","",IF(K17="Kurang",R17&amp;"; ","")&amp;IF(L17="Kurang",S17&amp;"; ","")&amp;IF(M17="Kurang",T17&amp;"; ","")&amp;IF(N17="Kurang",U17&amp;"; ","")&amp;IF(O17="Kurang",V17&amp;"; ","")&amp;IF(P17="Kurang",W17&amp;"; ","")&amp;IF(K17="Belum ada data",R17&amp;"; ","")&amp;IF(L17="Belum ada data",S17&amp;"; ","")&amp;IF(M17="Belum ada data",T17&amp;"; ","")&amp;IF(N17="Belum ada data",U17&amp;"; ","")&amp;IF(O17="Belum ada data",V17&amp;"; ","")&amp;IF(P17="Belum ada data",W17&amp;"; ","")&amp;IF(K17="Cukup",R17&amp;"; ","")&amp;IF(L17="Cukup",S17&amp;"; ","")&amp;IF(M17="Cukup",T17&amp;"; ","")&amp;IF(N17="Cukup",U17&amp;"; ","")&amp;IF(O17="Cukup",V17&amp;"; ","")&amp;IF(P17="Cukup",W17&amp;"; ",""))</f>
        <v>prosesor tingkat 1 dari 5, di bawah batas minimal (tingkat 2); RAM 8 GB cukup, nyamannya 16 GB atau lebih (sudah di batas maksimal 8 GB); penyimpanan 256 GB cukup, nyamannya 512 GB atau lebih (bisa diganti dengan yang lebih besar); </v>
      </c>
      <c r="Y17" s="33" t="str">
        <f aca="false">IF($A17="","",IF(K17="Nyaman","prosesor, ","")&amp;IF(L17="Nyaman","grafis, ","")&amp;IF(M17="Nyaman","RAM, ","")&amp;IF(N17="Nyaman","penyimpanan, ","")&amp;IF(O17="Nyaman","layar, ","")&amp;IF(P17="Nyaman","refresh rate, ",""))</f>
        <v/>
      </c>
      <c r="Z17" s="33" t="str">
        <f aca="false">IF($A17="","",IF(Q17="Tidak dinilai","Belum ada kriteria yang dinilai untuk kebutuhan ini.",IF(Q17="Cocok","Semua kriteria yang dinilai sudah nyaman: "&amp;LEFT(Y17,LEN(Y17)-2)&amp;".",UPPER(LEFT(X17,1))&amp;MID(X17,2,LEN(X17)-3)&amp;"."&amp;IF(Y17="",""," Sudah nyaman: "&amp;LEFT(Y17,LEN(Y17)-2)&amp;"."))))</f>
        <v>Prosesor tingkat 1 dari 5, di bawah batas minimal (tingkat 2); RAM 8 GB cukup, nyamannya 16 GB atau lebih (sudah di batas maksimal 8 GB); penyimpanan 256 GB cukup, nyamannya 512 GB atau lebih (bisa diganti dengan yang lebih besar).</v>
      </c>
      <c r="AA17" s="33"/>
      <c r="AB17" s="33"/>
      <c r="AC17" s="69"/>
    </row>
    <row r="18" customFormat="false" ht="15" hidden="false" customHeight="true" outlineLevel="0" collapsed="false">
      <c r="A18" s="33" t="str">
        <f aca="false">IF(Varian!$A7="","",Varian!$A7)</f>
        <v>axioo-hype-10-n4020-8-256-w11</v>
      </c>
      <c r="B18" s="33" t="str">
        <f aca="false">IF($A18="","",Aturan!$A$24)</f>
        <v>Game ringan</v>
      </c>
      <c r="C18" s="69" t="n">
        <f aca="false">IF($A18="","",IFERROR(IF(ISNUMBER(INDEX(CPU!$J$4:$J$64,MATCH(Varian!$J7,CPU!$A$4:$A$64,0))),INDEX(CPU!$J$4:$J$64,MATCH(Varian!$J7,CPU!$A$4:$A$64,0)),""),""))</f>
        <v>1</v>
      </c>
      <c r="D18" s="69" t="n">
        <f aca="false">IF($A18="","",IFERROR(IF(ISNUMBER(INDEX(GPU!$G$4:$G$64,MATCH(Varian!$K7,GPU!$A$4:$A$64,0))),INDEX(GPU!$G$4:$G$64,MATCH(Varian!$K7,GPU!$A$4:$A$64,0)),""),""))</f>
        <v>1</v>
      </c>
      <c r="E18" s="69" t="n">
        <f aca="false">IF($A18="","",IF(ISNUMBER(Varian!$M7),Varian!$M7,""))</f>
        <v>8</v>
      </c>
      <c r="F18" s="69" t="n">
        <f aca="false">IF($A18="","",IF(ISNUMBER(Varian!$V7),Varian!$V7,""))</f>
        <v>256</v>
      </c>
      <c r="G18" s="69" t="n">
        <f aca="false">IF($A18="","",IFERROR(INDEX(Aturan!$B$63:$B$66,MATCH(Varian!$AG7,Aturan!$A$63:$A$66,0)),""))</f>
        <v>1</v>
      </c>
      <c r="H18" s="69" t="n">
        <f aca="false">IF($A18="","",IF(ISNUMBER(Varian!$AI7),Varian!$AI7,""))</f>
        <v>60</v>
      </c>
      <c r="I18" s="33" t="str">
        <f aca="false">IF($A18="","",IF(Varian!$Q7="disolder","menempel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8" s="33" t="str">
        <f aca="false">IF($A18="","",IF(Varian!$Z7="ya","bisa diganti dengan yang lebih besar",IF(Varian!$Z7="tidak","menempel, tidak bisa diganti","belum diketahui apakah bisa diganti")))</f>
        <v>bisa diganti dengan yang lebih besar</v>
      </c>
      <c r="K18" s="70" t="str">
        <f aca="false">IF($A18="","",IF(AND(Aturan!$C$48="",Aturan!$D$48=""),"Tidak dinilai",IF(C18="","Belum ada data",IF(C18&lt;IF(Aturan!$C$48="",0,Aturan!$C$48),"Kurang",IF(C18&gt;=IF(Aturan!$D$48="",Aturan!$C$48,Aturan!$D$48),"Nyaman","Cukup")))))</f>
        <v>Kurang</v>
      </c>
      <c r="L18" s="70" t="str">
        <f aca="false">IF($A18="","",IF(AND(Aturan!$C$49="",Aturan!$D$49=""),"Tidak dinilai",IF(D18="","Belum ada data",IF(D18&lt;IF(Aturan!$C$49="",0,Aturan!$C$49),"Kurang",IF(D18&gt;=IF(Aturan!$D$49="",Aturan!$C$49,Aturan!$D$49),"Nyaman","Cukup")))))</f>
        <v>Cukup</v>
      </c>
      <c r="M18" s="70" t="str">
        <f aca="false">IF($A18="","",IF(AND(Aturan!$C$50="",Aturan!$D$50=""),"Tidak dinilai",IF(E18="","Belum ada data",IF(E18&lt;IF(Aturan!$C$50="",0,Aturan!$C$50),"Kurang",IF(E18&gt;=IF(Aturan!$D$50="",Aturan!$C$50,Aturan!$D$50),"Nyaman","Cukup")))))</f>
        <v>Nyaman</v>
      </c>
      <c r="N18" s="70" t="str">
        <f aca="false">IF($A18="","",IF(AND(Aturan!$C$51="",Aturan!$D$51=""),"Tidak dinilai",IF(F18="","Belum ada data",IF(F18&lt;IF(Aturan!$C$51="",0,Aturan!$C$51),"Kurang",IF(F18&gt;=IF(Aturan!$D$51="",Aturan!$C$51,Aturan!$D$51),"Nyaman","Cukup")))))</f>
        <v>Nyaman</v>
      </c>
      <c r="O18" s="70" t="str">
        <f aca="false">IF($A18="","",IF(AND(Aturan!$C$52="",Aturan!$D$52=""),"Tidak dinilai",IF(G18="","Belum ada data",IF(G18&lt;IF(Aturan!$C$52="",0,Aturan!$C$52),"Kurang",IF(G18&gt;=IF(Aturan!$D$52="",Aturan!$C$52,Aturan!$D$52),"Nyaman","Cukup")))))</f>
        <v>Tidak dinilai</v>
      </c>
      <c r="P18" s="70" t="str">
        <f aca="false">IF($A18="","",IF(AND(Aturan!$C$53="",Aturan!$D$53=""),"Tidak dinilai",IF(H18="","Belum ada data",IF(H18&lt;IF(Aturan!$C$53="",0,Aturan!$C$53),"Kurang",IF(H18&gt;=IF(Aturan!$D$53="",Aturan!$C$53,Aturan!$D$53),"Nyaman","Cukup")))))</f>
        <v>Tidak dinilai</v>
      </c>
      <c r="Q18" s="70" t="str">
        <f aca="false">IF($A18="","",IF(COUNTIF(K18:P18,"Tidak dinilai")=6,"Tidak dinilai",IF(COUNTIF(K18:P18,"Kurang")&gt;0,"Kurang cocok",IF(COUNTIF(K18:P18,"Belum ada data")&gt;0,"Data belum lengkap",IF(COUNTIF(K18:P18,"Cukup")&gt;0,"Bisa, dengan catatan","Cocok")))))</f>
        <v>Kurang cocok</v>
      </c>
      <c r="R18" s="33" t="str">
        <f aca="false">IF($A18="","",IF(K18="Kurang","prosesor tingkat "&amp;C18&amp;" dari 5, di bawah batas minimal (tingkat "&amp;Aturan!$C$48&amp;")",IF(K18="Cukup","prosesor tingkat "&amp;C18&amp;" dari 5 cukup, nyamannya mulai tingkat "&amp;Aturan!$D$48,IF(K18="Belum ada data","tingkat prosesor belum diisi",""))))</f>
        <v>prosesor tingkat 1 dari 5, di bawah batas minimal (tingkat 2)</v>
      </c>
      <c r="S18" s="33" t="str">
        <f aca="false">IF($A18="","",IF(L18="Kurang","grafis tingkat "&amp;D18&amp;" dari 5, di bawah batas minimal (tingkat "&amp;Aturan!$C$49&amp;")",IF(L18="Cukup","grafis tingkat "&amp;D18&amp;" dari 5 cukup, nyamannya mulai tingkat "&amp;Aturan!$D$49,IF(L18="Belum ada data","tingkat grafis belum diisi",""))))</f>
        <v>grafis tingkat 1 dari 5 cukup, nyamannya mulai tingkat 2</v>
      </c>
      <c r="T18" s="33" t="str">
        <f aca="false">IF($A18="","",IF(M18="Kurang","RAM "&amp;E18&amp;" GB, di bawah batas minimal "&amp;Aturan!$C$50&amp;" GB ("&amp;I18&amp;")",IF(M18="Cukup","RAM "&amp;E18&amp;" GB cukup, nyamannya "&amp;Aturan!$D$50&amp;" GB atau lebih ("&amp;I18&amp;")",IF(M18="Belum ada data","ukuran RAM belum diisi",""))))</f>
        <v/>
      </c>
      <c r="U18" s="33" t="str">
        <f aca="false">IF($A18="","",IF(N18="Kurang","penyimpanan "&amp;F18&amp;" GB, di bawah batas minimal "&amp;Aturan!$C$51&amp;" GB ("&amp;J18&amp;")",IF(N18="Cukup","penyimpanan "&amp;F18&amp;" GB cukup, nyamannya "&amp;Aturan!$D$51&amp;" GB atau lebih ("&amp;J18&amp;")",IF(N18="Belum ada data","ukuran penyimpanan belum diisi",""))))</f>
        <v/>
      </c>
      <c r="V18" s="33" t="str">
        <f aca="false">IF($A18="","",IF(O18="Kurang","layar "&amp;Varian!$AG7&amp;", di bawah batas minimal ("&amp;IFERROR(INDEX(Aturan!$A$63:$A$66,MATCH(Aturan!$C$52,Aturan!$B$63:$B$66,0)),"peringkat "&amp;Aturan!$C$52)&amp;")",IF(O18="Cukup","layar "&amp;Varian!$AG7&amp;" cukup, nyamannya "&amp;IFERROR(INDEX(Aturan!$A$63:$A$66,MATCH(Aturan!$D$52,Aturan!$B$63:$B$66,0)),"peringkat "&amp;Aturan!$D$52),IF(O18="Belum ada data","jenis layar belum diketahui",""))))</f>
        <v/>
      </c>
      <c r="W18" s="33" t="str">
        <f aca="false">IF($A18="","",IF(P18="Kurang","layar "&amp;H18&amp;" Hz, di bawah batas minimal "&amp;Aturan!$C$53&amp;" Hz",IF(P18="Cukup","layar "&amp;H18&amp;" Hz cukup, nyamannya "&amp;Aturan!$D$53&amp;" Hz atau lebih",IF(P18="Belum ada data","refresh rate belum diketahui",""))))</f>
        <v/>
      </c>
      <c r="X18" s="33" t="str">
        <f aca="false">IF($A18="","",IF(K18="Kurang",R18&amp;"; ","")&amp;IF(L18="Kurang",S18&amp;"; ","")&amp;IF(M18="Kurang",T18&amp;"; ","")&amp;IF(N18="Kurang",U18&amp;"; ","")&amp;IF(O18="Kurang",V18&amp;"; ","")&amp;IF(P18="Kurang",W18&amp;"; ","")&amp;IF(K18="Belum ada data",R18&amp;"; ","")&amp;IF(L18="Belum ada data",S18&amp;"; ","")&amp;IF(M18="Belum ada data",T18&amp;"; ","")&amp;IF(N18="Belum ada data",U18&amp;"; ","")&amp;IF(O18="Belum ada data",V18&amp;"; ","")&amp;IF(P18="Belum ada data",W18&amp;"; ","")&amp;IF(K18="Cukup",R18&amp;"; ","")&amp;IF(L18="Cukup",S18&amp;"; ","")&amp;IF(M18="Cukup",T18&amp;"; ","")&amp;IF(N18="Cukup",U18&amp;"; ","")&amp;IF(O18="Cukup",V18&amp;"; ","")&amp;IF(P18="Cukup",W18&amp;"; ",""))</f>
        <v>prosesor tingkat 1 dari 5, di bawah batas minimal (tingkat 2); grafis tingkat 1 dari 5 cukup, nyamannya mulai tingkat 2; </v>
      </c>
      <c r="Y18" s="33" t="str">
        <f aca="false">IF($A18="","",IF(K18="Nyaman","prosesor, ","")&amp;IF(L18="Nyaman","grafis, ","")&amp;IF(M18="Nyaman","RAM, ","")&amp;IF(N18="Nyaman","penyimpanan, ","")&amp;IF(O18="Nyaman","layar, ","")&amp;IF(P18="Nyaman","refresh rate, ",""))</f>
        <v>RAM, penyimpanan, </v>
      </c>
      <c r="Z18" s="33" t="str">
        <f aca="false">IF($A18="","",IF(Q18="Tidak dinilai","Belum ada kriteria yang dinilai untuk kebutuhan ini.",IF(Q18="Cocok","Semua kriteria yang dinilai sudah nyaman: "&amp;LEFT(Y18,LEN(Y18)-2)&amp;".",UPPER(LEFT(X18,1))&amp;MID(X18,2,LEN(X18)-3)&amp;"."&amp;IF(Y18="",""," Sudah nyaman: "&amp;LEFT(Y18,LEN(Y18)-2)&amp;"."))))</f>
        <v>Prosesor tingkat 1 dari 5, di bawah batas minimal (tingkat 2); grafis tingkat 1 dari 5 cukup, nyamannya mulai tingkat 2. Sudah nyaman: RAM, penyimpanan.</v>
      </c>
      <c r="AA18" s="33"/>
      <c r="AB18" s="33"/>
      <c r="AC18" s="69"/>
    </row>
    <row r="19" customFormat="false" ht="15" hidden="false" customHeight="true" outlineLevel="0" collapsed="false">
      <c r="A19" s="33" t="str">
        <f aca="false">IF(Varian!$A7="","",Varian!$A7)</f>
        <v>axioo-hype-10-n4020-8-256-w11</v>
      </c>
      <c r="B19" s="33" t="str">
        <f aca="false">IF($A19="","",Aturan!$A$25)</f>
        <v>Game berat</v>
      </c>
      <c r="C19" s="69" t="n">
        <f aca="false">IF($A19="","",IFERROR(IF(ISNUMBER(INDEX(CPU!$J$4:$J$64,MATCH(Varian!$J7,CPU!$A$4:$A$64,0))),INDEX(CPU!$J$4:$J$64,MATCH(Varian!$J7,CPU!$A$4:$A$64,0)),""),""))</f>
        <v>1</v>
      </c>
      <c r="D19" s="69" t="n">
        <f aca="false">IF($A19="","",IFERROR(IF(ISNUMBER(INDEX(GPU!$G$4:$G$64,MATCH(Varian!$K7,GPU!$A$4:$A$64,0))),INDEX(GPU!$G$4:$G$64,MATCH(Varian!$K7,GPU!$A$4:$A$64,0)),""),""))</f>
        <v>1</v>
      </c>
      <c r="E19" s="69" t="n">
        <f aca="false">IF($A19="","",IF(ISNUMBER(Varian!$M7),Varian!$M7,""))</f>
        <v>8</v>
      </c>
      <c r="F19" s="69" t="n">
        <f aca="false">IF($A19="","",IF(ISNUMBER(Varian!$V7),Varian!$V7,""))</f>
        <v>256</v>
      </c>
      <c r="G19" s="69" t="n">
        <f aca="false">IF($A19="","",IFERROR(INDEX(Aturan!$B$63:$B$66,MATCH(Varian!$AG7,Aturan!$A$63:$A$66,0)),""))</f>
        <v>1</v>
      </c>
      <c r="H19" s="69" t="n">
        <f aca="false">IF($A19="","",IF(ISNUMBER(Varian!$AI7),Varian!$AI7,""))</f>
        <v>60</v>
      </c>
      <c r="I19" s="33" t="str">
        <f aca="false">IF($A19="","",IF(Varian!$Q7="disolder","menempel di papan utama, tidak bisa ditambah",IF(OR(Varian!$Q7="slot",Varian!$Q7="setengah_disolder"),IF(Varian!$Q7="setengah_disolder","sebagian menempel, ","")&amp;IF(ISNUMBER(Varian!$U7),IF(AND(ISNUMBER(Varian!$M7),Varian!$U7&gt;Varian!$M7),"bisa dinaikkan lewat slot sampai "&amp;Varian!$U7&amp;" GB","sudah di batas maksimal "&amp;Varian!$U7&amp;" GB"),"ada slot, batas maksimalnya belum diketahui"),"belum diketahui apakah bisa ditambah")))</f>
        <v>sudah di batas maksimal 8 GB</v>
      </c>
      <c r="J19" s="33" t="str">
        <f aca="false">IF($A19="","",IF(Varian!$Z7="ya","bisa diganti dengan yang lebih besar",IF(Varian!$Z7="tidak","menempel, tidak bisa diganti","belum diketahui apakah bisa diganti")))</f>
        <v>bisa diganti dengan yang lebih besar</v>
      </c>
      <c r="K19" s="70" t="str">
        <f aca="false">IF($A19="","",IF(AND(Aturan!$C$54="",Aturan!$D$54=""),"Tidak dinilai",IF(C19="","Belum ada data",IF(C19&lt;IF(Aturan!$C$54="",0,Aturan!$C$54),"Kurang",IF(C19&gt;=IF(Aturan!$D$54="",Aturan!$C$54,Aturan!$D$54),"Nyaman","Cukup")))))</f>
        <v>Kurang</v>
      </c>
      <c r="L19" s="70" t="str">
        <f aca="false">IF($A19="","",IF(AND(Aturan!$C$55="",Aturan!$D$55=""),"Tidak dinilai",IF(D19="","Belum ada data",IF(D19&lt;IF(Aturan!$C$55="",0,Aturan!$C$55),"Kurang",IF(D19&gt;=IF(Aturan!$D$55="",Aturan!$C$55,Aturan!$D$55),"Nyaman","Cukup")))))</f>
        <v>Kurang</v>
      </c>
      <c r="M19" s="70" t="str">
        <f aca="false">IF($A19="","",IF(AND(Aturan!$C$56="",Aturan!$D$56=""),"Tidak dinilai",IF(E19="","Belum ada data",IF(E19&lt;IF(Aturan!$C$56="",0,Aturan!$C$56),"Kurang",IF(E19&gt;=IF(Aturan!$D$56="",Aturan!$C$56,Aturan!$D$56),"Nyaman","Cukup")))))</f>
        <v>Cukup</v>
      </c>
      <c r="N19" s="70" t="str">
        <f aca="false">IF($A19="","",IF(AND(Aturan!$C$57="",Aturan!$D$57=""),"Tidak dinilai",IF(F19="","Belum ada data",IF(F19&lt;IF(Aturan!$C$57="",0,Aturan!$C$57),"Kurang",IF(F19&gt;=IF(Aturan!$D$57="",Aturan!$C$57,Aturan!$D$57),"Nyaman","Cukup")))))</f>
        <v>Kurang</v>
      </c>
      <c r="O19" s="70" t="str">
        <f aca="false">IF($A19="","",IF(AND(Aturan!$C$58="",Aturan!$D$58=""),"Tidak dinilai",IF(G19="","Belum ada data",IF(G19&lt;IF(Aturan!$C$58="",0,Aturan!$C$58),"Kurang",IF(G19&gt;=IF(Aturan!$D$58="",Aturan!$C$58,Aturan!$D$58),"Nyaman","Cukup")))))</f>
        <v>Tidak dinilai</v>
      </c>
      <c r="P19" s="70" t="str">
        <f aca="false">IF($A19="","",IF(AND(Aturan!$C$59="",Aturan!$D$59=""),"Tidak dinilai",IF(H19="","Belum ada data",IF(H19&lt;IF(Aturan!$C$59="",0,Aturan!$C$59),"Kurang",IF(H19&gt;=IF(Aturan!$D$59="",Aturan!$C$59,Aturan!$D$59),"Nyaman","Cukup")))))</f>
        <v>Cukup</v>
      </c>
      <c r="Q19" s="70" t="str">
        <f aca="false">IF($A19="","",IF(COUNTIF(K19:P19,"Tidak dinilai")=6,"Tidak dinilai",IF(COUNTIF(K19:P19,"Kurang")&gt;0,"Kurang cocok",IF(COUNTIF(K19:P19,"Belum ada data")&gt;0,"Data belum lengkap",IF(COUNTIF(K19:P19,"Cukup")&gt;0,"Bisa, dengan catatan","Cocok")))))</f>
        <v>Kurang cocok</v>
      </c>
      <c r="R19" s="33" t="str">
        <f aca="false">IF($A19="","",IF(K19="Kurang","prosesor tingkat "&amp;C19&amp;" dari 5, di bawah batas minimal (tingkat "&amp;Aturan!$C$54&amp;")",IF(K19="Cukup","prosesor tingkat "&amp;C19&amp;" dari 5 cukup, nyamannya mulai tingkat "&amp;Aturan!$D$54,IF(K19="Belum ada data","tingkat prosesor belum diisi",""))))</f>
        <v>prosesor tingkat 1 dari 5, di bawah batas minimal (tingkat 3)</v>
      </c>
      <c r="S19" s="33" t="str">
        <f aca="false">IF($A19="","",IF(L19="Kurang","grafis tingkat "&amp;D19&amp;" dari 5, di bawah batas minimal (tingkat "&amp;Aturan!$C$55&amp;")",IF(L19="Cukup","grafis tingkat "&amp;D19&amp;" dari 5 cukup, nyamannya mulai tingkat "&amp;Aturan!$D$55,IF(L19="Belum ada data","tingkat grafis belum diisi",""))))</f>
        <v>grafis tingkat 1 dari 5, di bawah batas minimal (tingkat 3)</v>
      </c>
      <c r="T19" s="33" t="str">
        <f aca="false">IF($A19="","",IF(M19="Kurang","RAM "&amp;E19&amp;" GB, di bawah batas minimal "&amp;Aturan!$C$56&amp;" GB ("&amp;I19&amp;")",IF(M19="Cukup","RAM "&amp;E19&amp;" GB cukup, nyamannya "&amp;Aturan!$D$56&amp;" GB atau lebih ("&amp;I19&amp;")",IF(M19="Belum ada data","ukuran RAM belum diisi",""))))</f>
        <v>RAM 8 GB cukup, nyamannya 16 GB atau lebih (sudah di batas maksimal 8 GB)</v>
      </c>
      <c r="U19" s="33" t="str">
        <f aca="false">IF($A19="","",IF(N19="Kurang","penyimpanan "&amp;F19&amp;" GB, di bawah batas minimal "&amp;Aturan!$C$57&amp;" GB ("&amp;J19&amp;")",IF(N19="Cukup","penyimpanan "&amp;F19&amp;" GB cukup, nyamannya "&amp;Aturan!$D$57&amp;" GB atau lebih ("&amp;J19&amp;")",IF(N19="Belum ada data","ukuran penyimpanan belum diisi",""))))</f>
        <v>penyimpanan 256 GB, di bawah batas minimal 512 GB (bisa diganti dengan yang lebih besar)</v>
      </c>
      <c r="V19" s="33" t="str">
        <f aca="false">IF($A19="","",IF(O19="Kurang","layar "&amp;Varian!$AG7&amp;", di bawah batas minimal ("&amp;IFERROR(INDEX(Aturan!$A$63:$A$66,MATCH(Aturan!$C$58,Aturan!$B$63:$B$66,0)),"peringkat "&amp;Aturan!$C$58)&amp;")",IF(O19="Cukup","layar "&amp;Varian!$AG7&amp;" cukup, nyamannya "&amp;IFERROR(INDEX(Aturan!$A$63:$A$66,MATCH(Aturan!$D$58,Aturan!$B$63:$B$66,0)),"peringkat "&amp;Aturan!$D$58),IF(O19="Belum ada data","jenis layar belum diketahui",""))))</f>
        <v/>
      </c>
      <c r="W19" s="33" t="str">
        <f aca="false">IF($A19="","",IF(P19="Kurang","layar "&amp;H19&amp;" Hz, di bawah batas minimal "&amp;Aturan!$C$59&amp;" Hz",IF(P19="Cukup","layar "&amp;H19&amp;" Hz cukup, nyamannya "&amp;Aturan!$D$59&amp;" Hz atau lebih",IF(P19="Belum ada data","refresh rate belum diketahui",""))))</f>
        <v>layar 60 Hz cukup, nyamannya 120 Hz atau lebih</v>
      </c>
      <c r="X19" s="33" t="str">
        <f aca="false">IF($A19="","",IF(K19="Kurang",R19&amp;"; ","")&amp;IF(L19="Kurang",S19&amp;"; ","")&amp;IF(M19="Kurang",T19&amp;"; ","")&amp;IF(N19="Kurang",U19&amp;"; ","")&amp;IF(O19="Kurang",V19&amp;"; ","")&amp;IF(P19="Kurang",W19&amp;"; ","")&amp;IF(K19="Belum ada data",R19&amp;"; ","")&amp;IF(L19="Belum ada data",S19&amp;"; ","")&amp;IF(M19="Belum ada data",T19&amp;"; ","")&amp;IF(N19="Belum ada data",U19&amp;"; ","")&amp;IF(O19="Belum ada data",V19&amp;"; ","")&amp;IF(P19="Belum ada data",W19&amp;"; ","")&amp;IF(K19="Cukup",R19&amp;"; ","")&amp;IF(L19="Cukup",S19&amp;"; ","")&amp;IF(M19="Cukup",T19&amp;"; ","")&amp;IF(N19="Cukup",U19&amp;"; ","")&amp;IF(O19="Cukup",V19&amp;"; ","")&amp;IF(P19="Cukup",W19&amp;"; ",""))</f>
        <v>prosesor tingkat 1 dari 5, di bawah batas minimal (tingkat 3); grafis tingkat 1 dari 5, di bawah batas minimal (tingkat 3); penyimpanan 256 GB, di bawah batas minimal 512 GB (bisa diganti dengan yang lebih besar); RAM 8 GB cukup, nyamannya 16 GB atau lebih (sudah di batas maksimal 8 GB); layar 60 Hz cukup, nyamannya 120 Hz atau lebih; </v>
      </c>
      <c r="Y19" s="33" t="str">
        <f aca="false">IF($A19="","",IF(K19="Nyaman","prosesor, ","")&amp;IF(L19="Nyaman","grafis, ","")&amp;IF(M19="Nyaman","RAM, ","")&amp;IF(N19="Nyaman","penyimpanan, ","")&amp;IF(O19="Nyaman","layar, ","")&amp;IF(P19="Nyaman","refresh rate, ",""))</f>
        <v/>
      </c>
      <c r="Z19" s="33" t="str">
        <f aca="false">IF($A19="","",IF(Q19="Tidak dinilai","Belum ada kriteria yang dinilai untuk kebutuhan ini.",IF(Q19="Cocok","Semua kriteria yang dinilai sudah nyaman: "&amp;LEFT(Y19,LEN(Y19)-2)&amp;".",UPPER(LEFT(X19,1))&amp;MID(X19,2,LEN(X19)-3)&amp;"."&amp;IF(Y19="",""," Sudah nyaman: "&amp;LEFT(Y19,LEN(Y19)-2)&amp;"."))))</f>
        <v>Prosesor tingkat 1 dari 5, di bawah batas minimal (tingkat 3); grafis tingkat 1 dari 5, di bawah batas minimal (tingkat 3); penyimpanan 256 GB, di bawah batas minimal 512 GB (bisa diganti dengan yang lebih besar); RAM 8 GB cukup, nyamannya 16 GB atau lebih (sudah di batas maksimal 8 GB); layar 60 Hz cukup, nyamannya 120 Hz atau lebih.</v>
      </c>
      <c r="AA19" s="33"/>
      <c r="AB19" s="33"/>
      <c r="AC19" s="69"/>
    </row>
    <row r="20" customFormat="false" ht="15" hidden="false" customHeight="true" outlineLevel="0" collapsed="false">
      <c r="A20" s="66" t="str">
        <f aca="false">IF(Varian!$A8="","",Varian!$A8)</f>
        <v>axioo-hype-10-n4020-8-256-w10</v>
      </c>
      <c r="B20" s="66" t="str">
        <f aca="false">IF($A20="","",Aturan!$A$21)</f>
        <v>Kuliah dan kantor</v>
      </c>
      <c r="C20" s="67" t="n">
        <f aca="false">IF($A20="","",IFERROR(IF(ISNUMBER(INDEX(CPU!$J$4:$J$64,MATCH(Varian!$J8,CPU!$A$4:$A$64,0))),INDEX(CPU!$J$4:$J$64,MATCH(Varian!$J8,CPU!$A$4:$A$64,0)),""),""))</f>
        <v>1</v>
      </c>
      <c r="D20" s="67" t="n">
        <f aca="false">IF($A20="","",IFERROR(IF(ISNUMBER(INDEX(GPU!$G$4:$G$64,MATCH(Varian!$K8,GPU!$A$4:$A$64,0))),INDEX(GPU!$G$4:$G$64,MATCH(Varian!$K8,GPU!$A$4:$A$64,0)),""),""))</f>
        <v>1</v>
      </c>
      <c r="E20" s="67" t="n">
        <f aca="false">IF($A20="","",IF(ISNUMBER(Varian!$M8),Varian!$M8,""))</f>
        <v>8</v>
      </c>
      <c r="F20" s="67" t="n">
        <f aca="false">IF($A20="","",IF(ISNUMBER(Varian!$V8),Varian!$V8,""))</f>
        <v>256</v>
      </c>
      <c r="G20" s="67" t="n">
        <f aca="false">IF($A20="","",IFERROR(INDEX(Aturan!$B$63:$B$66,MATCH(Varian!$AG8,Aturan!$A$63:$A$66,0)),""))</f>
        <v>1</v>
      </c>
      <c r="H20" s="67" t="str">
        <f aca="false">IF($A20="","",IF(ISNUMBER(Varian!$AI8),Varian!$AI8,""))</f>
        <v/>
      </c>
      <c r="I20" s="66" t="str">
        <f aca="false">IF($A20="","",IF(Varian!$Q8="disolder","menempel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0" s="66" t="str">
        <f aca="false">IF($A20="","",IF(Varian!$Z8="ya","bisa diganti dengan yang lebih besar",IF(Varian!$Z8="tidak","menempel, tidak bisa diganti","belum diketahui apakah bisa diganti")))</f>
        <v>bisa diganti dengan yang lebih besar</v>
      </c>
      <c r="K20" s="68" t="str">
        <f aca="false">IF($A20="","",IF(AND(Aturan!$C$30="",Aturan!$D$30=""),"Tidak dinilai",IF(C20="","Belum ada data",IF(C20&lt;IF(Aturan!$C$30="",0,Aturan!$C$30),"Kurang",IF(C20&gt;=IF(Aturan!$D$30="",Aturan!$C$30,Aturan!$D$30),"Nyaman","Cukup")))))</f>
        <v>Cukup</v>
      </c>
      <c r="L20" s="68" t="str">
        <f aca="false">IF($A20="","",IF(AND(Aturan!$C$31="",Aturan!$D$31=""),"Tidak dinilai",IF(D20="","Belum ada data",IF(D20&lt;IF(Aturan!$C$31="",0,Aturan!$C$31),"Kurang",IF(D20&gt;=IF(Aturan!$D$31="",Aturan!$C$31,Aturan!$D$31),"Nyaman","Cukup")))))</f>
        <v>Tidak dinilai</v>
      </c>
      <c r="M20" s="68" t="str">
        <f aca="false">IF($A20="","",IF(AND(Aturan!$C$32="",Aturan!$D$32=""),"Tidak dinilai",IF(E20="","Belum ada data",IF(E20&lt;IF(Aturan!$C$32="",0,Aturan!$C$32),"Kurang",IF(E20&gt;=IF(Aturan!$D$32="",Aturan!$C$32,Aturan!$D$32),"Nyaman","Cukup")))))</f>
        <v>Nyaman</v>
      </c>
      <c r="N20" s="68" t="str">
        <f aca="false">IF($A20="","",IF(AND(Aturan!$C$33="",Aturan!$D$33=""),"Tidak dinilai",IF(F20="","Belum ada data",IF(F20&lt;IF(Aturan!$C$33="",0,Aturan!$C$33),"Kurang",IF(F20&gt;=IF(Aturan!$D$33="",Aturan!$C$33,Aturan!$D$33),"Nyaman","Cukup")))))</f>
        <v>Nyaman</v>
      </c>
      <c r="O20" s="68" t="str">
        <f aca="false">IF($A20="","",IF(AND(Aturan!$C$34="",Aturan!$D$34=""),"Tidak dinilai",IF(G20="","Belum ada data",IF(G20&lt;IF(Aturan!$C$34="",0,Aturan!$C$34),"Kurang",IF(G20&gt;=IF(Aturan!$D$34="",Aturan!$C$34,Aturan!$D$34),"Nyaman","Cukup")))))</f>
        <v>Tidak dinilai</v>
      </c>
      <c r="P20" s="68" t="str">
        <f aca="false">IF($A20="","",IF(AND(Aturan!$C$35="",Aturan!$D$35=""),"Tidak dinilai",IF(H20="","Belum ada data",IF(H20&lt;IF(Aturan!$C$35="",0,Aturan!$C$35),"Kurang",IF(H20&gt;=IF(Aturan!$D$35="",Aturan!$C$35,Aturan!$D$35),"Nyaman","Cukup")))))</f>
        <v>Tidak dinilai</v>
      </c>
      <c r="Q20" s="68" t="str">
        <f aca="false">IF($A20="","",IF(COUNTIF(K20:P20,"Tidak dinilai")=6,"Tidak dinilai",IF(COUNTIF(K20:P20,"Kurang")&gt;0,"Kurang cocok",IF(COUNTIF(K20:P20,"Belum ada data")&gt;0,"Data belum lengkap",IF(COUNTIF(K20:P20,"Cukup")&gt;0,"Bisa, dengan catatan","Cocok")))))</f>
        <v>Bisa, dengan catatan</v>
      </c>
      <c r="R20" s="66" t="str">
        <f aca="false">IF($A20="","",IF(K20="Kurang","prosesor tingkat "&amp;C20&amp;" dari 5, di bawah batas minimal (tingkat "&amp;Aturan!$C$30&amp;")",IF(K20="Cukup","prosesor tingkat "&amp;C20&amp;" dari 5 cukup, nyamannya mulai tingkat "&amp;Aturan!$D$30,IF(K20="Belum ada data","tingkat prosesor belum diisi",""))))</f>
        <v>prosesor tingkat 1 dari 5 cukup, nyamannya mulai tingkat 2</v>
      </c>
      <c r="S20" s="66" t="str">
        <f aca="false">IF($A20="","",IF(L20="Kurang","grafis tingkat "&amp;D20&amp;" dari 5, di bawah batas minimal (tingkat "&amp;Aturan!$C$31&amp;")",IF(L20="Cukup","grafis tingkat "&amp;D20&amp;" dari 5 cukup, nyamannya mulai tingkat "&amp;Aturan!$D$31,IF(L20="Belum ada data","tingkat grafis belum diisi",""))))</f>
        <v/>
      </c>
      <c r="T20" s="66" t="str">
        <f aca="false">IF($A20="","",IF(M20="Kurang","RAM "&amp;E20&amp;" GB, di bawah batas minimal "&amp;Aturan!$C$32&amp;" GB ("&amp;I20&amp;")",IF(M20="Cukup","RAM "&amp;E20&amp;" GB cukup, nyamannya "&amp;Aturan!$D$32&amp;" GB atau lebih ("&amp;I20&amp;")",IF(M20="Belum ada data","ukuran RAM belum diisi",""))))</f>
        <v/>
      </c>
      <c r="U20" s="66" t="str">
        <f aca="false">IF($A20="","",IF(N20="Kurang","penyimpanan "&amp;F20&amp;" GB, di bawah batas minimal "&amp;Aturan!$C$33&amp;" GB ("&amp;J20&amp;")",IF(N20="Cukup","penyimpanan "&amp;F20&amp;" GB cukup, nyamannya "&amp;Aturan!$D$33&amp;" GB atau lebih ("&amp;J20&amp;")",IF(N20="Belum ada data","ukuran penyimpanan belum diisi",""))))</f>
        <v/>
      </c>
      <c r="V20" s="66" t="str">
        <f aca="false">IF($A20="","",IF(O20="Kurang","layar "&amp;Varian!$AG8&amp;", di bawah batas minimal ("&amp;IFERROR(INDEX(Aturan!$A$63:$A$66,MATCH(Aturan!$C$34,Aturan!$B$63:$B$66,0)),"peringkat "&amp;Aturan!$C$34)&amp;")",IF(O20="Cukup","layar "&amp;Varian!$AG8&amp;" cukup, nyamannya "&amp;IFERROR(INDEX(Aturan!$A$63:$A$66,MATCH(Aturan!$D$34,Aturan!$B$63:$B$66,0)),"peringkat "&amp;Aturan!$D$34),IF(O20="Belum ada data","jenis layar belum diketahui",""))))</f>
        <v/>
      </c>
      <c r="W20" s="66" t="str">
        <f aca="false">IF($A20="","",IF(P20="Kurang","layar "&amp;H20&amp;" Hz, di bawah batas minimal "&amp;Aturan!$C$35&amp;" Hz",IF(P20="Cukup","layar "&amp;H20&amp;" Hz cukup, nyamannya "&amp;Aturan!$D$35&amp;" Hz atau lebih",IF(P20="Belum ada data","refresh rate belum diketahui",""))))</f>
        <v/>
      </c>
      <c r="X20" s="66" t="str">
        <f aca="false">IF($A20="","",IF(K20="Kurang",R20&amp;"; ","")&amp;IF(L20="Kurang",S20&amp;"; ","")&amp;IF(M20="Kurang",T20&amp;"; ","")&amp;IF(N20="Kurang",U20&amp;"; ","")&amp;IF(O20="Kurang",V20&amp;"; ","")&amp;IF(P20="Kurang",W20&amp;"; ","")&amp;IF(K20="Belum ada data",R20&amp;"; ","")&amp;IF(L20="Belum ada data",S20&amp;"; ","")&amp;IF(M20="Belum ada data",T20&amp;"; ","")&amp;IF(N20="Belum ada data",U20&amp;"; ","")&amp;IF(O20="Belum ada data",V20&amp;"; ","")&amp;IF(P20="Belum ada data",W20&amp;"; ","")&amp;IF(K20="Cukup",R20&amp;"; ","")&amp;IF(L20="Cukup",S20&amp;"; ","")&amp;IF(M20="Cukup",T20&amp;"; ","")&amp;IF(N20="Cukup",U20&amp;"; ","")&amp;IF(O20="Cukup",V20&amp;"; ","")&amp;IF(P20="Cukup",W20&amp;"; ",""))</f>
        <v>prosesor tingkat 1 dari 5 cukup, nyamannya mulai tingkat 2; </v>
      </c>
      <c r="Y20" s="66" t="str">
        <f aca="false">IF($A20="","",IF(K20="Nyaman","prosesor, ","")&amp;IF(L20="Nyaman","grafis, ","")&amp;IF(M20="Nyaman","RAM, ","")&amp;IF(N20="Nyaman","penyimpanan, ","")&amp;IF(O20="Nyaman","layar, ","")&amp;IF(P20="Nyaman","refresh rate, ",""))</f>
        <v>RAM, penyimpanan, </v>
      </c>
      <c r="Z20" s="66" t="str">
        <f aca="false">IF($A20="","",IF(Q20="Tidak dinilai","Belum ada kriteria yang dinilai untuk kebutuhan ini.",IF(Q20="Cocok","Semua kriteria yang dinilai sudah nyaman: "&amp;LEFT(Y20,LEN(Y20)-2)&amp;".",UPPER(LEFT(X20,1))&amp;MID(X20,2,LEN(X20)-3)&amp;"."&amp;IF(Y20="",""," Sudah nyaman: "&amp;LEFT(Y20,LEN(Y20)-2)&amp;"."))))</f>
        <v>Prosesor tingkat 1 dari 5 cukup, nyamannya mulai tingkat 2. Sudah nyaman: RAM, penyimpanan.</v>
      </c>
      <c r="AA20" s="71" t="str">
        <f aca="false">IF($A20="","",IF(Varian!$AR8="Windows 10","• "&amp;Aturan!$E$71&amp;CHAR(10),"")&amp;IF(Varian!$BB8="tidak","• "&amp;Aturan!$E$72&amp;CHAR(10),"")&amp;IF(OR(Varian!$AD8="belum terverifikasi",Varian!$AD8="tidak diketahui"),"• "&amp;Aturan!$E$73&amp;CHAR(10),"")&amp;IF(Varian!$AH8="1366x768","• "&amp;Aturan!$E$74&amp;CHAR(10),"")&amp;IF(Varian!$AG8="TN","• "&amp;Aturan!$E$75&amp;CHAR(10),"")&amp;IF(AND(Varian!$Q8="disolder",ISNUMBER(Varian!$M8),Varian!$M8&lt;=8),"• "&amp;Aturan!$E$76&amp;CHAR(10),""))</f>
        <v>• Memakai Windows 10: dukungan resmi Microsoft sudah berakhir pada 14 Oktober 2025. Siapkan naik ke Windows 11.
• Info RAM dan penyimpanan (bisa diganti atau tidak) belum terverifikasi. Periksa lagi sebelum membeli.
• Layar beresolusi rendah (1366x768): ruang kerja sempit dan tulisan kurang tajam.
• Panel TN: warna cenderung pucat dan sudut pandang sempit.
</v>
      </c>
      <c r="AB20" s="71" t="str">
        <f aca="false">IF($A20="","",IF(AA20="","",LEFT(AA20,LEN(AA20)-1)))</f>
        <v>• Memakai Windows 10: dukungan resmi Microsoft sudah berakhir pada 14 Oktober 2025. Siapkan naik ke Windows 11.
• Info RAM dan penyimpanan (bisa diganti atau tidak) belum terverifikasi. Periksa lagi sebelum membeli.
• Layar beresolusi rendah (1366x768): ruang kerja sempit dan tulisan kurang tajam.
• Panel TN: warna cenderung pucat dan sudut pandang sempit.</v>
      </c>
      <c r="AC20" s="67" t="n">
        <f aca="false">IF($A20="","",IF(AA20="",0,LEN(AA20)-LEN(SUBSTITUTE(AA20,CHAR(10),""))))</f>
        <v>4</v>
      </c>
    </row>
    <row r="21" customFormat="false" ht="15" hidden="false" customHeight="true" outlineLevel="0" collapsed="false">
      <c r="A21" s="33" t="str">
        <f aca="false">IF(Varian!$A8="","",Varian!$A8)</f>
        <v>axioo-hype-10-n4020-8-256-w10</v>
      </c>
      <c r="B21" s="33" t="str">
        <f aca="false">IF($A21="","",Aturan!$A$22)</f>
        <v>Desain grafis</v>
      </c>
      <c r="C21" s="69" t="n">
        <f aca="false">IF($A21="","",IFERROR(IF(ISNUMBER(INDEX(CPU!$J$4:$J$64,MATCH(Varian!$J8,CPU!$A$4:$A$64,0))),INDEX(CPU!$J$4:$J$64,MATCH(Varian!$J8,CPU!$A$4:$A$64,0)),""),""))</f>
        <v>1</v>
      </c>
      <c r="D21" s="69" t="n">
        <f aca="false">IF($A21="","",IFERROR(IF(ISNUMBER(INDEX(GPU!$G$4:$G$64,MATCH(Varian!$K8,GPU!$A$4:$A$64,0))),INDEX(GPU!$G$4:$G$64,MATCH(Varian!$K8,GPU!$A$4:$A$64,0)),""),""))</f>
        <v>1</v>
      </c>
      <c r="E21" s="69" t="n">
        <f aca="false">IF($A21="","",IF(ISNUMBER(Varian!$M8),Varian!$M8,""))</f>
        <v>8</v>
      </c>
      <c r="F21" s="69" t="n">
        <f aca="false">IF($A21="","",IF(ISNUMBER(Varian!$V8),Varian!$V8,""))</f>
        <v>256</v>
      </c>
      <c r="G21" s="69" t="n">
        <f aca="false">IF($A21="","",IFERROR(INDEX(Aturan!$B$63:$B$66,MATCH(Varian!$AG8,Aturan!$A$63:$A$66,0)),""))</f>
        <v>1</v>
      </c>
      <c r="H21" s="69" t="str">
        <f aca="false">IF($A21="","",IF(ISNUMBER(Varian!$AI8),Varian!$AI8,""))</f>
        <v/>
      </c>
      <c r="I21" s="33" t="str">
        <f aca="false">IF($A21="","",IF(Varian!$Q8="disolder","menempel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1" s="33" t="str">
        <f aca="false">IF($A21="","",IF(Varian!$Z8="ya","bisa diganti dengan yang lebih besar",IF(Varian!$Z8="tidak","menempel, tidak bisa diganti","belum diketahui apakah bisa diganti")))</f>
        <v>bisa diganti dengan yang lebih besar</v>
      </c>
      <c r="K21" s="70" t="str">
        <f aca="false">IF($A21="","",IF(AND(Aturan!$C$36="",Aturan!$D$36=""),"Tidak dinilai",IF(C21="","Belum ada data",IF(C21&lt;IF(Aturan!$C$36="",0,Aturan!$C$36),"Kurang",IF(C21&gt;=IF(Aturan!$D$36="",Aturan!$C$36,Aturan!$D$36),"Nyaman","Cukup")))))</f>
        <v>Kurang</v>
      </c>
      <c r="L21" s="70" t="str">
        <f aca="false">IF($A21="","",IF(AND(Aturan!$C$37="",Aturan!$D$37=""),"Tidak dinilai",IF(D21="","Belum ada data",IF(D21&lt;IF(Aturan!$C$37="",0,Aturan!$C$37),"Kurang",IF(D21&gt;=IF(Aturan!$D$37="",Aturan!$C$37,Aturan!$D$37),"Nyaman","Cukup")))))</f>
        <v>Cukup</v>
      </c>
      <c r="M21" s="70" t="str">
        <f aca="false">IF($A21="","",IF(AND(Aturan!$C$38="",Aturan!$D$38=""),"Tidak dinilai",IF(E21="","Belum ada data",IF(E21&lt;IF(Aturan!$C$38="",0,Aturan!$C$38),"Kurang",IF(E21&gt;=IF(Aturan!$D$38="",Aturan!$C$38,Aturan!$D$38),"Nyaman","Cukup")))))</f>
        <v>Cukup</v>
      </c>
      <c r="N21" s="70" t="str">
        <f aca="false">IF($A21="","",IF(AND(Aturan!$C$39="",Aturan!$D$39=""),"Tidak dinilai",IF(F21="","Belum ada data",IF(F21&lt;IF(Aturan!$C$39="",0,Aturan!$C$39),"Kurang",IF(F21&gt;=IF(Aturan!$D$39="",Aturan!$C$39,Aturan!$D$39),"Nyaman","Cukup")))))</f>
        <v>Cukup</v>
      </c>
      <c r="O21" s="70" t="str">
        <f aca="false">IF($A21="","",IF(AND(Aturan!$C$40="",Aturan!$D$40=""),"Tidak dinilai",IF(G21="","Belum ada data",IF(G21&lt;IF(Aturan!$C$40="",0,Aturan!$C$40),"Kurang",IF(G21&gt;=IF(Aturan!$D$40="",Aturan!$C$40,Aturan!$D$40),"Nyaman","Cukup")))))</f>
        <v>Kurang</v>
      </c>
      <c r="P21" s="70" t="str">
        <f aca="false">IF($A21="","",IF(AND(Aturan!$C$41="",Aturan!$D$41=""),"Tidak dinilai",IF(H21="","Belum ada data",IF(H21&lt;IF(Aturan!$C$41="",0,Aturan!$C$41),"Kurang",IF(H21&gt;=IF(Aturan!$D$41="",Aturan!$C$41,Aturan!$D$41),"Nyaman","Cukup")))))</f>
        <v>Tidak dinilai</v>
      </c>
      <c r="Q21" s="70" t="str">
        <f aca="false">IF($A21="","",IF(COUNTIF(K21:P21,"Tidak dinilai")=6,"Tidak dinilai",IF(COUNTIF(K21:P21,"Kurang")&gt;0,"Kurang cocok",IF(COUNTIF(K21:P21,"Belum ada data")&gt;0,"Data belum lengkap",IF(COUNTIF(K21:P21,"Cukup")&gt;0,"Bisa, dengan catatan","Cocok")))))</f>
        <v>Kurang cocok</v>
      </c>
      <c r="R21" s="33" t="str">
        <f aca="false">IF($A21="","",IF(K21="Kurang","prosesor tingkat "&amp;C21&amp;" dari 5, di bawah batas minimal (tingkat "&amp;Aturan!$C$36&amp;")",IF(K21="Cukup","prosesor tingkat "&amp;C21&amp;" dari 5 cukup, nyamannya mulai tingkat "&amp;Aturan!$D$36,IF(K21="Belum ada data","tingkat prosesor belum diisi",""))))</f>
        <v>prosesor tingkat 1 dari 5, di bawah batas minimal (tingkat 2)</v>
      </c>
      <c r="S21" s="33" t="str">
        <f aca="false">IF($A21="","",IF(L21="Kurang","grafis tingkat "&amp;D21&amp;" dari 5, di bawah batas minimal (tingkat "&amp;Aturan!$C$37&amp;")",IF(L21="Cukup","grafis tingkat "&amp;D21&amp;" dari 5 cukup, nyamannya mulai tingkat "&amp;Aturan!$D$37,IF(L21="Belum ada data","tingkat grafis belum diisi",""))))</f>
        <v>grafis tingkat 1 dari 5 cukup, nyamannya mulai tingkat 2</v>
      </c>
      <c r="T21" s="33" t="str">
        <f aca="false">IF($A21="","",IF(M21="Kurang","RAM "&amp;E21&amp;" GB, di bawah batas minimal "&amp;Aturan!$C$38&amp;" GB ("&amp;I21&amp;")",IF(M21="Cukup","RAM "&amp;E21&amp;" GB cukup, nyamannya "&amp;Aturan!$D$38&amp;" GB atau lebih ("&amp;I21&amp;")",IF(M21="Belum ada data","ukuran RAM belum diisi",""))))</f>
        <v>RAM 8 GB cukup, nyamannya 16 GB atau lebih (sudah di batas maksimal 8 GB)</v>
      </c>
      <c r="U21" s="33" t="str">
        <f aca="false">IF($A21="","",IF(N21="Kurang","penyimpanan "&amp;F21&amp;" GB, di bawah batas minimal "&amp;Aturan!$C$39&amp;" GB ("&amp;J21&amp;")",IF(N21="Cukup","penyimpanan "&amp;F21&amp;" GB cukup, nyamannya "&amp;Aturan!$D$39&amp;" GB atau lebih ("&amp;J21&amp;")",IF(N21="Belum ada data","ukuran penyimpanan belum diisi",""))))</f>
        <v>penyimpanan 256 GB cukup, nyamannya 512 GB atau lebih (bisa diganti dengan yang lebih besar)</v>
      </c>
      <c r="V21" s="33" t="str">
        <f aca="false">IF($A21="","",IF(O21="Kurang","layar "&amp;Varian!$AG8&amp;", di bawah batas minimal ("&amp;IFERROR(INDEX(Aturan!$A$63:$A$66,MATCH(Aturan!$C$40,Aturan!$B$63:$B$66,0)),"peringkat "&amp;Aturan!$C$40)&amp;")",IF(O21="Cukup","layar "&amp;Varian!$AG8&amp;" cukup, nyamannya "&amp;IFERROR(INDEX(Aturan!$A$63:$A$66,MATCH(Aturan!$D$40,Aturan!$B$63:$B$66,0)),"peringkat "&amp;Aturan!$D$40),IF(O21="Belum ada data","jenis layar belum diketahui",""))))</f>
        <v>layar TN, di bawah batas minimal (IPS)</v>
      </c>
      <c r="W21" s="33" t="str">
        <f aca="false">IF($A21="","",IF(P21="Kurang","layar "&amp;H21&amp;" Hz, di bawah batas minimal "&amp;Aturan!$C$41&amp;" Hz",IF(P21="Cukup","layar "&amp;H21&amp;" Hz cukup, nyamannya "&amp;Aturan!$D$41&amp;" Hz atau lebih",IF(P21="Belum ada data","refresh rate belum diketahui",""))))</f>
        <v/>
      </c>
      <c r="X21" s="33" t="str">
        <f aca="false">IF($A21="","",IF(K21="Kurang",R21&amp;"; ","")&amp;IF(L21="Kurang",S21&amp;"; ","")&amp;IF(M21="Kurang",T21&amp;"; ","")&amp;IF(N21="Kurang",U21&amp;"; ","")&amp;IF(O21="Kurang",V21&amp;"; ","")&amp;IF(P21="Kurang",W21&amp;"; ","")&amp;IF(K21="Belum ada data",R21&amp;"; ","")&amp;IF(L21="Belum ada data",S21&amp;"; ","")&amp;IF(M21="Belum ada data",T21&amp;"; ","")&amp;IF(N21="Belum ada data",U21&amp;"; ","")&amp;IF(O21="Belum ada data",V21&amp;"; ","")&amp;IF(P21="Belum ada data",W21&amp;"; ","")&amp;IF(K21="Cukup",R21&amp;"; ","")&amp;IF(L21="Cukup",S21&amp;"; ","")&amp;IF(M21="Cukup",T21&amp;"; ","")&amp;IF(N21="Cukup",U21&amp;"; ","")&amp;IF(O21="Cukup",V21&amp;"; ","")&amp;IF(P21="Cukup",W21&amp;"; ",""))</f>
        <v>prosesor tingkat 1 dari 5, di bawah batas minimal (tingkat 2); layar TN, di bawah batas minimal (IPS); grafis tingkat 1 dari 5 cukup, nyamannya mulai tingkat 2; RAM 8 GB cukup, nyamannya 16 GB atau lebih (sudah di batas maksimal 8 GB); penyimpanan 256 GB cukup, nyamannya 512 GB atau lebih (bisa diganti dengan yang lebih besar); </v>
      </c>
      <c r="Y21" s="33" t="str">
        <f aca="false">IF($A21="","",IF(K21="Nyaman","prosesor, ","")&amp;IF(L21="Nyaman","grafis, ","")&amp;IF(M21="Nyaman","RAM, ","")&amp;IF(N21="Nyaman","penyimpanan, ","")&amp;IF(O21="Nyaman","layar, ","")&amp;IF(P21="Nyaman","refresh rate, ",""))</f>
        <v/>
      </c>
      <c r="Z21" s="33" t="str">
        <f aca="false">IF($A21="","",IF(Q21="Tidak dinilai","Belum ada kriteria yang dinilai untuk kebutuhan ini.",IF(Q21="Cocok","Semua kriteria yang dinilai sudah nyaman: "&amp;LEFT(Y21,LEN(Y21)-2)&amp;".",UPPER(LEFT(X21,1))&amp;MID(X21,2,LEN(X21)-3)&amp;"."&amp;IF(Y21="",""," Sudah nyaman: "&amp;LEFT(Y21,LEN(Y21)-2)&amp;"."))))</f>
        <v>Prosesor tingkat 1 dari 5, di bawah batas minimal (tingkat 2); layar TN, di bawah batas minimal (IPS); grafis tingkat 1 dari 5 cukup, nyamannya mulai tingkat 2; RAM 8 GB cukup, nyamannya 16 GB atau lebih (sudah di batas maksimal 8 GB); penyimpanan 256 GB cukup, nyamannya 512 GB atau lebih (bisa diganti dengan yang lebih besar).</v>
      </c>
      <c r="AA21" s="33"/>
      <c r="AB21" s="33"/>
      <c r="AC21" s="69"/>
    </row>
    <row r="22" customFormat="false" ht="15" hidden="false" customHeight="true" outlineLevel="0" collapsed="false">
      <c r="A22" s="33" t="str">
        <f aca="false">IF(Varian!$A8="","",Varian!$A8)</f>
        <v>axioo-hype-10-n4020-8-256-w10</v>
      </c>
      <c r="B22" s="33" t="str">
        <f aca="false">IF($A22="","",Aturan!$A$23)</f>
        <v>Pemrograman</v>
      </c>
      <c r="C22" s="69" t="n">
        <f aca="false">IF($A22="","",IFERROR(IF(ISNUMBER(INDEX(CPU!$J$4:$J$64,MATCH(Varian!$J8,CPU!$A$4:$A$64,0))),INDEX(CPU!$J$4:$J$64,MATCH(Varian!$J8,CPU!$A$4:$A$64,0)),""),""))</f>
        <v>1</v>
      </c>
      <c r="D22" s="69" t="n">
        <f aca="false">IF($A22="","",IFERROR(IF(ISNUMBER(INDEX(GPU!$G$4:$G$64,MATCH(Varian!$K8,GPU!$A$4:$A$64,0))),INDEX(GPU!$G$4:$G$64,MATCH(Varian!$K8,GPU!$A$4:$A$64,0)),""),""))</f>
        <v>1</v>
      </c>
      <c r="E22" s="69" t="n">
        <f aca="false">IF($A22="","",IF(ISNUMBER(Varian!$M8),Varian!$M8,""))</f>
        <v>8</v>
      </c>
      <c r="F22" s="69" t="n">
        <f aca="false">IF($A22="","",IF(ISNUMBER(Varian!$V8),Varian!$V8,""))</f>
        <v>256</v>
      </c>
      <c r="G22" s="69" t="n">
        <f aca="false">IF($A22="","",IFERROR(INDEX(Aturan!$B$63:$B$66,MATCH(Varian!$AG8,Aturan!$A$63:$A$66,0)),""))</f>
        <v>1</v>
      </c>
      <c r="H22" s="69" t="str">
        <f aca="false">IF($A22="","",IF(ISNUMBER(Varian!$AI8),Varian!$AI8,""))</f>
        <v/>
      </c>
      <c r="I22" s="33" t="str">
        <f aca="false">IF($A22="","",IF(Varian!$Q8="disolder","menempel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2" s="33" t="str">
        <f aca="false">IF($A22="","",IF(Varian!$Z8="ya","bisa diganti dengan yang lebih besar",IF(Varian!$Z8="tidak","menempel, tidak bisa diganti","belum diketahui apakah bisa diganti")))</f>
        <v>bisa diganti dengan yang lebih besar</v>
      </c>
      <c r="K22" s="70" t="str">
        <f aca="false">IF($A22="","",IF(AND(Aturan!$C$42="",Aturan!$D$42=""),"Tidak dinilai",IF(C22="","Belum ada data",IF(C22&lt;IF(Aturan!$C$42="",0,Aturan!$C$42),"Kurang",IF(C22&gt;=IF(Aturan!$D$42="",Aturan!$C$42,Aturan!$D$42),"Nyaman","Cukup")))))</f>
        <v>Kurang</v>
      </c>
      <c r="L22" s="70" t="str">
        <f aca="false">IF($A22="","",IF(AND(Aturan!$C$43="",Aturan!$D$43=""),"Tidak dinilai",IF(D22="","Belum ada data",IF(D22&lt;IF(Aturan!$C$43="",0,Aturan!$C$43),"Kurang",IF(D22&gt;=IF(Aturan!$D$43="",Aturan!$C$43,Aturan!$D$43),"Nyaman","Cukup")))))</f>
        <v>Tidak dinilai</v>
      </c>
      <c r="M22" s="70" t="str">
        <f aca="false">IF($A22="","",IF(AND(Aturan!$C$44="",Aturan!$D$44=""),"Tidak dinilai",IF(E22="","Belum ada data",IF(E22&lt;IF(Aturan!$C$44="",0,Aturan!$C$44),"Kurang",IF(E22&gt;=IF(Aturan!$D$44="",Aturan!$C$44,Aturan!$D$44),"Nyaman","Cukup")))))</f>
        <v>Cukup</v>
      </c>
      <c r="N22" s="70" t="str">
        <f aca="false">IF($A22="","",IF(AND(Aturan!$C$45="",Aturan!$D$45=""),"Tidak dinilai",IF(F22="","Belum ada data",IF(F22&lt;IF(Aturan!$C$45="",0,Aturan!$C$45),"Kurang",IF(F22&gt;=IF(Aturan!$D$45="",Aturan!$C$45,Aturan!$D$45),"Nyaman","Cukup")))))</f>
        <v>Cukup</v>
      </c>
      <c r="O22" s="70" t="str">
        <f aca="false">IF($A22="","",IF(AND(Aturan!$C$46="",Aturan!$D$46=""),"Tidak dinilai",IF(G22="","Belum ada data",IF(G22&lt;IF(Aturan!$C$46="",0,Aturan!$C$46),"Kurang",IF(G22&gt;=IF(Aturan!$D$46="",Aturan!$C$46,Aturan!$D$46),"Nyaman","Cukup")))))</f>
        <v>Tidak dinilai</v>
      </c>
      <c r="P22" s="70" t="str">
        <f aca="false">IF($A22="","",IF(AND(Aturan!$C$47="",Aturan!$D$47=""),"Tidak dinilai",IF(H22="","Belum ada data",IF(H22&lt;IF(Aturan!$C$47="",0,Aturan!$C$47),"Kurang",IF(H22&gt;=IF(Aturan!$D$47="",Aturan!$C$47,Aturan!$D$47),"Nyaman","Cukup")))))</f>
        <v>Tidak dinilai</v>
      </c>
      <c r="Q22" s="70" t="str">
        <f aca="false">IF($A22="","",IF(COUNTIF(K22:P22,"Tidak dinilai")=6,"Tidak dinilai",IF(COUNTIF(K22:P22,"Kurang")&gt;0,"Kurang cocok",IF(COUNTIF(K22:P22,"Belum ada data")&gt;0,"Data belum lengkap",IF(COUNTIF(K22:P22,"Cukup")&gt;0,"Bisa, dengan catatan","Cocok")))))</f>
        <v>Kurang cocok</v>
      </c>
      <c r="R22" s="33" t="str">
        <f aca="false">IF($A22="","",IF(K22="Kurang","prosesor tingkat "&amp;C22&amp;" dari 5, di bawah batas minimal (tingkat "&amp;Aturan!$C$42&amp;")",IF(K22="Cukup","prosesor tingkat "&amp;C22&amp;" dari 5 cukup, nyamannya mulai tingkat "&amp;Aturan!$D$42,IF(K22="Belum ada data","tingkat prosesor belum diisi",""))))</f>
        <v>prosesor tingkat 1 dari 5, di bawah batas minimal (tingkat 2)</v>
      </c>
      <c r="S22" s="33" t="str">
        <f aca="false">IF($A22="","",IF(L22="Kurang","grafis tingkat "&amp;D22&amp;" dari 5, di bawah batas minimal (tingkat "&amp;Aturan!$C$43&amp;")",IF(L22="Cukup","grafis tingkat "&amp;D22&amp;" dari 5 cukup, nyamannya mulai tingkat "&amp;Aturan!$D$43,IF(L22="Belum ada data","tingkat grafis belum diisi",""))))</f>
        <v/>
      </c>
      <c r="T22" s="33" t="str">
        <f aca="false">IF($A22="","",IF(M22="Kurang","RAM "&amp;E22&amp;" GB, di bawah batas minimal "&amp;Aturan!$C$44&amp;" GB ("&amp;I22&amp;")",IF(M22="Cukup","RAM "&amp;E22&amp;" GB cukup, nyamannya "&amp;Aturan!$D$44&amp;" GB atau lebih ("&amp;I22&amp;")",IF(M22="Belum ada data","ukuran RAM belum diisi",""))))</f>
        <v>RAM 8 GB cukup, nyamannya 16 GB atau lebih (sudah di batas maksimal 8 GB)</v>
      </c>
      <c r="U22" s="33" t="str">
        <f aca="false">IF($A22="","",IF(N22="Kurang","penyimpanan "&amp;F22&amp;" GB, di bawah batas minimal "&amp;Aturan!$C$45&amp;" GB ("&amp;J22&amp;")",IF(N22="Cukup","penyimpanan "&amp;F22&amp;" GB cukup, nyamannya "&amp;Aturan!$D$45&amp;" GB atau lebih ("&amp;J22&amp;")",IF(N22="Belum ada data","ukuran penyimpanan belum diisi",""))))</f>
        <v>penyimpanan 256 GB cukup, nyamannya 512 GB atau lebih (bisa diganti dengan yang lebih besar)</v>
      </c>
      <c r="V22" s="33" t="str">
        <f aca="false">IF($A22="","",IF(O22="Kurang","layar "&amp;Varian!$AG8&amp;", di bawah batas minimal ("&amp;IFERROR(INDEX(Aturan!$A$63:$A$66,MATCH(Aturan!$C$46,Aturan!$B$63:$B$66,0)),"peringkat "&amp;Aturan!$C$46)&amp;")",IF(O22="Cukup","layar "&amp;Varian!$AG8&amp;" cukup, nyamannya "&amp;IFERROR(INDEX(Aturan!$A$63:$A$66,MATCH(Aturan!$D$46,Aturan!$B$63:$B$66,0)),"peringkat "&amp;Aturan!$D$46),IF(O22="Belum ada data","jenis layar belum diketahui",""))))</f>
        <v/>
      </c>
      <c r="W22" s="33" t="str">
        <f aca="false">IF($A22="","",IF(P22="Kurang","layar "&amp;H22&amp;" Hz, di bawah batas minimal "&amp;Aturan!$C$47&amp;" Hz",IF(P22="Cukup","layar "&amp;H22&amp;" Hz cukup, nyamannya "&amp;Aturan!$D$47&amp;" Hz atau lebih",IF(P22="Belum ada data","refresh rate belum diketahui",""))))</f>
        <v/>
      </c>
      <c r="X22" s="33" t="str">
        <f aca="false">IF($A22="","",IF(K22="Kurang",R22&amp;"; ","")&amp;IF(L22="Kurang",S22&amp;"; ","")&amp;IF(M22="Kurang",T22&amp;"; ","")&amp;IF(N22="Kurang",U22&amp;"; ","")&amp;IF(O22="Kurang",V22&amp;"; ","")&amp;IF(P22="Kurang",W22&amp;"; ","")&amp;IF(K22="Belum ada data",R22&amp;"; ","")&amp;IF(L22="Belum ada data",S22&amp;"; ","")&amp;IF(M22="Belum ada data",T22&amp;"; ","")&amp;IF(N22="Belum ada data",U22&amp;"; ","")&amp;IF(O22="Belum ada data",V22&amp;"; ","")&amp;IF(P22="Belum ada data",W22&amp;"; ","")&amp;IF(K22="Cukup",R22&amp;"; ","")&amp;IF(L22="Cukup",S22&amp;"; ","")&amp;IF(M22="Cukup",T22&amp;"; ","")&amp;IF(N22="Cukup",U22&amp;"; ","")&amp;IF(O22="Cukup",V22&amp;"; ","")&amp;IF(P22="Cukup",W22&amp;"; ",""))</f>
        <v>prosesor tingkat 1 dari 5, di bawah batas minimal (tingkat 2); RAM 8 GB cukup, nyamannya 16 GB atau lebih (sudah di batas maksimal 8 GB); penyimpanan 256 GB cukup, nyamannya 512 GB atau lebih (bisa diganti dengan yang lebih besar); </v>
      </c>
      <c r="Y22" s="33" t="str">
        <f aca="false">IF($A22="","",IF(K22="Nyaman","prosesor, ","")&amp;IF(L22="Nyaman","grafis, ","")&amp;IF(M22="Nyaman","RAM, ","")&amp;IF(N22="Nyaman","penyimpanan, ","")&amp;IF(O22="Nyaman","layar, ","")&amp;IF(P22="Nyaman","refresh rate, ",""))</f>
        <v/>
      </c>
      <c r="Z22" s="33" t="str">
        <f aca="false">IF($A22="","",IF(Q22="Tidak dinilai","Belum ada kriteria yang dinilai untuk kebutuhan ini.",IF(Q22="Cocok","Semua kriteria yang dinilai sudah nyaman: "&amp;LEFT(Y22,LEN(Y22)-2)&amp;".",UPPER(LEFT(X22,1))&amp;MID(X22,2,LEN(X22)-3)&amp;"."&amp;IF(Y22="",""," Sudah nyaman: "&amp;LEFT(Y22,LEN(Y22)-2)&amp;"."))))</f>
        <v>Prosesor tingkat 1 dari 5, di bawah batas minimal (tingkat 2); RAM 8 GB cukup, nyamannya 16 GB atau lebih (sudah di batas maksimal 8 GB); penyimpanan 256 GB cukup, nyamannya 512 GB atau lebih (bisa diganti dengan yang lebih besar).</v>
      </c>
      <c r="AA22" s="33"/>
      <c r="AB22" s="33"/>
      <c r="AC22" s="69"/>
    </row>
    <row r="23" customFormat="false" ht="15" hidden="false" customHeight="true" outlineLevel="0" collapsed="false">
      <c r="A23" s="33" t="str">
        <f aca="false">IF(Varian!$A8="","",Varian!$A8)</f>
        <v>axioo-hype-10-n4020-8-256-w10</v>
      </c>
      <c r="B23" s="33" t="str">
        <f aca="false">IF($A23="","",Aturan!$A$24)</f>
        <v>Game ringan</v>
      </c>
      <c r="C23" s="69" t="n">
        <f aca="false">IF($A23="","",IFERROR(IF(ISNUMBER(INDEX(CPU!$J$4:$J$64,MATCH(Varian!$J8,CPU!$A$4:$A$64,0))),INDEX(CPU!$J$4:$J$64,MATCH(Varian!$J8,CPU!$A$4:$A$64,0)),""),""))</f>
        <v>1</v>
      </c>
      <c r="D23" s="69" t="n">
        <f aca="false">IF($A23="","",IFERROR(IF(ISNUMBER(INDEX(GPU!$G$4:$G$64,MATCH(Varian!$K8,GPU!$A$4:$A$64,0))),INDEX(GPU!$G$4:$G$64,MATCH(Varian!$K8,GPU!$A$4:$A$64,0)),""),""))</f>
        <v>1</v>
      </c>
      <c r="E23" s="69" t="n">
        <f aca="false">IF($A23="","",IF(ISNUMBER(Varian!$M8),Varian!$M8,""))</f>
        <v>8</v>
      </c>
      <c r="F23" s="69" t="n">
        <f aca="false">IF($A23="","",IF(ISNUMBER(Varian!$V8),Varian!$V8,""))</f>
        <v>256</v>
      </c>
      <c r="G23" s="69" t="n">
        <f aca="false">IF($A23="","",IFERROR(INDEX(Aturan!$B$63:$B$66,MATCH(Varian!$AG8,Aturan!$A$63:$A$66,0)),""))</f>
        <v>1</v>
      </c>
      <c r="H23" s="69" t="str">
        <f aca="false">IF($A23="","",IF(ISNUMBER(Varian!$AI8),Varian!$AI8,""))</f>
        <v/>
      </c>
      <c r="I23" s="33" t="str">
        <f aca="false">IF($A23="","",IF(Varian!$Q8="disolder","menempel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3" s="33" t="str">
        <f aca="false">IF($A23="","",IF(Varian!$Z8="ya","bisa diganti dengan yang lebih besar",IF(Varian!$Z8="tidak","menempel, tidak bisa diganti","belum diketahui apakah bisa diganti")))</f>
        <v>bisa diganti dengan yang lebih besar</v>
      </c>
      <c r="K23" s="70" t="str">
        <f aca="false">IF($A23="","",IF(AND(Aturan!$C$48="",Aturan!$D$48=""),"Tidak dinilai",IF(C23="","Belum ada data",IF(C23&lt;IF(Aturan!$C$48="",0,Aturan!$C$48),"Kurang",IF(C23&gt;=IF(Aturan!$D$48="",Aturan!$C$48,Aturan!$D$48),"Nyaman","Cukup")))))</f>
        <v>Kurang</v>
      </c>
      <c r="L23" s="70" t="str">
        <f aca="false">IF($A23="","",IF(AND(Aturan!$C$49="",Aturan!$D$49=""),"Tidak dinilai",IF(D23="","Belum ada data",IF(D23&lt;IF(Aturan!$C$49="",0,Aturan!$C$49),"Kurang",IF(D23&gt;=IF(Aturan!$D$49="",Aturan!$C$49,Aturan!$D$49),"Nyaman","Cukup")))))</f>
        <v>Cukup</v>
      </c>
      <c r="M23" s="70" t="str">
        <f aca="false">IF($A23="","",IF(AND(Aturan!$C$50="",Aturan!$D$50=""),"Tidak dinilai",IF(E23="","Belum ada data",IF(E23&lt;IF(Aturan!$C$50="",0,Aturan!$C$50),"Kurang",IF(E23&gt;=IF(Aturan!$D$50="",Aturan!$C$50,Aturan!$D$50),"Nyaman","Cukup")))))</f>
        <v>Nyaman</v>
      </c>
      <c r="N23" s="70" t="str">
        <f aca="false">IF($A23="","",IF(AND(Aturan!$C$51="",Aturan!$D$51=""),"Tidak dinilai",IF(F23="","Belum ada data",IF(F23&lt;IF(Aturan!$C$51="",0,Aturan!$C$51),"Kurang",IF(F23&gt;=IF(Aturan!$D$51="",Aturan!$C$51,Aturan!$D$51),"Nyaman","Cukup")))))</f>
        <v>Nyaman</v>
      </c>
      <c r="O23" s="70" t="str">
        <f aca="false">IF($A23="","",IF(AND(Aturan!$C$52="",Aturan!$D$52=""),"Tidak dinilai",IF(G23="","Belum ada data",IF(G23&lt;IF(Aturan!$C$52="",0,Aturan!$C$52),"Kurang",IF(G23&gt;=IF(Aturan!$D$52="",Aturan!$C$52,Aturan!$D$52),"Nyaman","Cukup")))))</f>
        <v>Tidak dinilai</v>
      </c>
      <c r="P23" s="70" t="str">
        <f aca="false">IF($A23="","",IF(AND(Aturan!$C$53="",Aturan!$D$53=""),"Tidak dinilai",IF(H23="","Belum ada data",IF(H23&lt;IF(Aturan!$C$53="",0,Aturan!$C$53),"Kurang",IF(H23&gt;=IF(Aturan!$D$53="",Aturan!$C$53,Aturan!$D$53),"Nyaman","Cukup")))))</f>
        <v>Tidak dinilai</v>
      </c>
      <c r="Q23" s="70" t="str">
        <f aca="false">IF($A23="","",IF(COUNTIF(K23:P23,"Tidak dinilai")=6,"Tidak dinilai",IF(COUNTIF(K23:P23,"Kurang")&gt;0,"Kurang cocok",IF(COUNTIF(K23:P23,"Belum ada data")&gt;0,"Data belum lengkap",IF(COUNTIF(K23:P23,"Cukup")&gt;0,"Bisa, dengan catatan","Cocok")))))</f>
        <v>Kurang cocok</v>
      </c>
      <c r="R23" s="33" t="str">
        <f aca="false">IF($A23="","",IF(K23="Kurang","prosesor tingkat "&amp;C23&amp;" dari 5, di bawah batas minimal (tingkat "&amp;Aturan!$C$48&amp;")",IF(K23="Cukup","prosesor tingkat "&amp;C23&amp;" dari 5 cukup, nyamannya mulai tingkat "&amp;Aturan!$D$48,IF(K23="Belum ada data","tingkat prosesor belum diisi",""))))</f>
        <v>prosesor tingkat 1 dari 5, di bawah batas minimal (tingkat 2)</v>
      </c>
      <c r="S23" s="33" t="str">
        <f aca="false">IF($A23="","",IF(L23="Kurang","grafis tingkat "&amp;D23&amp;" dari 5, di bawah batas minimal (tingkat "&amp;Aturan!$C$49&amp;")",IF(L23="Cukup","grafis tingkat "&amp;D23&amp;" dari 5 cukup, nyamannya mulai tingkat "&amp;Aturan!$D$49,IF(L23="Belum ada data","tingkat grafis belum diisi",""))))</f>
        <v>grafis tingkat 1 dari 5 cukup, nyamannya mulai tingkat 2</v>
      </c>
      <c r="T23" s="33" t="str">
        <f aca="false">IF($A23="","",IF(M23="Kurang","RAM "&amp;E23&amp;" GB, di bawah batas minimal "&amp;Aturan!$C$50&amp;" GB ("&amp;I23&amp;")",IF(M23="Cukup","RAM "&amp;E23&amp;" GB cukup, nyamannya "&amp;Aturan!$D$50&amp;" GB atau lebih ("&amp;I23&amp;")",IF(M23="Belum ada data","ukuran RAM belum diisi",""))))</f>
        <v/>
      </c>
      <c r="U23" s="33" t="str">
        <f aca="false">IF($A23="","",IF(N23="Kurang","penyimpanan "&amp;F23&amp;" GB, di bawah batas minimal "&amp;Aturan!$C$51&amp;" GB ("&amp;J23&amp;")",IF(N23="Cukup","penyimpanan "&amp;F23&amp;" GB cukup, nyamannya "&amp;Aturan!$D$51&amp;" GB atau lebih ("&amp;J23&amp;")",IF(N23="Belum ada data","ukuran penyimpanan belum diisi",""))))</f>
        <v/>
      </c>
      <c r="V23" s="33" t="str">
        <f aca="false">IF($A23="","",IF(O23="Kurang","layar "&amp;Varian!$AG8&amp;", di bawah batas minimal ("&amp;IFERROR(INDEX(Aturan!$A$63:$A$66,MATCH(Aturan!$C$52,Aturan!$B$63:$B$66,0)),"peringkat "&amp;Aturan!$C$52)&amp;")",IF(O23="Cukup","layar "&amp;Varian!$AG8&amp;" cukup, nyamannya "&amp;IFERROR(INDEX(Aturan!$A$63:$A$66,MATCH(Aturan!$D$52,Aturan!$B$63:$B$66,0)),"peringkat "&amp;Aturan!$D$52),IF(O23="Belum ada data","jenis layar belum diketahui",""))))</f>
        <v/>
      </c>
      <c r="W23" s="33" t="str">
        <f aca="false">IF($A23="","",IF(P23="Kurang","layar "&amp;H23&amp;" Hz, di bawah batas minimal "&amp;Aturan!$C$53&amp;" Hz",IF(P23="Cukup","layar "&amp;H23&amp;" Hz cukup, nyamannya "&amp;Aturan!$D$53&amp;" Hz atau lebih",IF(P23="Belum ada data","refresh rate belum diketahui",""))))</f>
        <v/>
      </c>
      <c r="X23" s="33" t="str">
        <f aca="false">IF($A23="","",IF(K23="Kurang",R23&amp;"; ","")&amp;IF(L23="Kurang",S23&amp;"; ","")&amp;IF(M23="Kurang",T23&amp;"; ","")&amp;IF(N23="Kurang",U23&amp;"; ","")&amp;IF(O23="Kurang",V23&amp;"; ","")&amp;IF(P23="Kurang",W23&amp;"; ","")&amp;IF(K23="Belum ada data",R23&amp;"; ","")&amp;IF(L23="Belum ada data",S23&amp;"; ","")&amp;IF(M23="Belum ada data",T23&amp;"; ","")&amp;IF(N23="Belum ada data",U23&amp;"; ","")&amp;IF(O23="Belum ada data",V23&amp;"; ","")&amp;IF(P23="Belum ada data",W23&amp;"; ","")&amp;IF(K23="Cukup",R23&amp;"; ","")&amp;IF(L23="Cukup",S23&amp;"; ","")&amp;IF(M23="Cukup",T23&amp;"; ","")&amp;IF(N23="Cukup",U23&amp;"; ","")&amp;IF(O23="Cukup",V23&amp;"; ","")&amp;IF(P23="Cukup",W23&amp;"; ",""))</f>
        <v>prosesor tingkat 1 dari 5, di bawah batas minimal (tingkat 2); grafis tingkat 1 dari 5 cukup, nyamannya mulai tingkat 2; </v>
      </c>
      <c r="Y23" s="33" t="str">
        <f aca="false">IF($A23="","",IF(K23="Nyaman","prosesor, ","")&amp;IF(L23="Nyaman","grafis, ","")&amp;IF(M23="Nyaman","RAM, ","")&amp;IF(N23="Nyaman","penyimpanan, ","")&amp;IF(O23="Nyaman","layar, ","")&amp;IF(P23="Nyaman","refresh rate, ",""))</f>
        <v>RAM, penyimpanan, </v>
      </c>
      <c r="Z23" s="33" t="str">
        <f aca="false">IF($A23="","",IF(Q23="Tidak dinilai","Belum ada kriteria yang dinilai untuk kebutuhan ini.",IF(Q23="Cocok","Semua kriteria yang dinilai sudah nyaman: "&amp;LEFT(Y23,LEN(Y23)-2)&amp;".",UPPER(LEFT(X23,1))&amp;MID(X23,2,LEN(X23)-3)&amp;"."&amp;IF(Y23="",""," Sudah nyaman: "&amp;LEFT(Y23,LEN(Y23)-2)&amp;"."))))</f>
        <v>Prosesor tingkat 1 dari 5, di bawah batas minimal (tingkat 2); grafis tingkat 1 dari 5 cukup, nyamannya mulai tingkat 2. Sudah nyaman: RAM, penyimpanan.</v>
      </c>
      <c r="AA23" s="33"/>
      <c r="AB23" s="33"/>
      <c r="AC23" s="69"/>
    </row>
    <row r="24" customFormat="false" ht="15" hidden="false" customHeight="true" outlineLevel="0" collapsed="false">
      <c r="A24" s="33" t="str">
        <f aca="false">IF(Varian!$A8="","",Varian!$A8)</f>
        <v>axioo-hype-10-n4020-8-256-w10</v>
      </c>
      <c r="B24" s="33" t="str">
        <f aca="false">IF($A24="","",Aturan!$A$25)</f>
        <v>Game berat</v>
      </c>
      <c r="C24" s="69" t="n">
        <f aca="false">IF($A24="","",IFERROR(IF(ISNUMBER(INDEX(CPU!$J$4:$J$64,MATCH(Varian!$J8,CPU!$A$4:$A$64,0))),INDEX(CPU!$J$4:$J$64,MATCH(Varian!$J8,CPU!$A$4:$A$64,0)),""),""))</f>
        <v>1</v>
      </c>
      <c r="D24" s="69" t="n">
        <f aca="false">IF($A24="","",IFERROR(IF(ISNUMBER(INDEX(GPU!$G$4:$G$64,MATCH(Varian!$K8,GPU!$A$4:$A$64,0))),INDEX(GPU!$G$4:$G$64,MATCH(Varian!$K8,GPU!$A$4:$A$64,0)),""),""))</f>
        <v>1</v>
      </c>
      <c r="E24" s="69" t="n">
        <f aca="false">IF($A24="","",IF(ISNUMBER(Varian!$M8),Varian!$M8,""))</f>
        <v>8</v>
      </c>
      <c r="F24" s="69" t="n">
        <f aca="false">IF($A24="","",IF(ISNUMBER(Varian!$V8),Varian!$V8,""))</f>
        <v>256</v>
      </c>
      <c r="G24" s="69" t="n">
        <f aca="false">IF($A24="","",IFERROR(INDEX(Aturan!$B$63:$B$66,MATCH(Varian!$AG8,Aturan!$A$63:$A$66,0)),""))</f>
        <v>1</v>
      </c>
      <c r="H24" s="69" t="str">
        <f aca="false">IF($A24="","",IF(ISNUMBER(Varian!$AI8),Varian!$AI8,""))</f>
        <v/>
      </c>
      <c r="I24" s="33" t="str">
        <f aca="false">IF($A24="","",IF(Varian!$Q8="disolder","menempel di papan utama, tidak bisa ditambah",IF(OR(Varian!$Q8="slot",Varian!$Q8="setengah_disolder"),IF(Varian!$Q8="setengah_disolder","sebagian menempel, ","")&amp;IF(ISNUMBER(Varian!$U8),IF(AND(ISNUMBER(Varian!$M8),Varian!$U8&gt;Varian!$M8),"bisa dinaikkan lewat slot sampai "&amp;Varian!$U8&amp;" GB","sudah di batas maksimal "&amp;Varian!$U8&amp;" GB"),"ada slot, batas maksimalnya belum diketahui"),"belum diketahui apakah bisa ditambah")))</f>
        <v>sudah di batas maksimal 8 GB</v>
      </c>
      <c r="J24" s="33" t="str">
        <f aca="false">IF($A24="","",IF(Varian!$Z8="ya","bisa diganti dengan yang lebih besar",IF(Varian!$Z8="tidak","menempel, tidak bisa diganti","belum diketahui apakah bisa diganti")))</f>
        <v>bisa diganti dengan yang lebih besar</v>
      </c>
      <c r="K24" s="70" t="str">
        <f aca="false">IF($A24="","",IF(AND(Aturan!$C$54="",Aturan!$D$54=""),"Tidak dinilai",IF(C24="","Belum ada data",IF(C24&lt;IF(Aturan!$C$54="",0,Aturan!$C$54),"Kurang",IF(C24&gt;=IF(Aturan!$D$54="",Aturan!$C$54,Aturan!$D$54),"Nyaman","Cukup")))))</f>
        <v>Kurang</v>
      </c>
      <c r="L24" s="70" t="str">
        <f aca="false">IF($A24="","",IF(AND(Aturan!$C$55="",Aturan!$D$55=""),"Tidak dinilai",IF(D24="","Belum ada data",IF(D24&lt;IF(Aturan!$C$55="",0,Aturan!$C$55),"Kurang",IF(D24&gt;=IF(Aturan!$D$55="",Aturan!$C$55,Aturan!$D$55),"Nyaman","Cukup")))))</f>
        <v>Kurang</v>
      </c>
      <c r="M24" s="70" t="str">
        <f aca="false">IF($A24="","",IF(AND(Aturan!$C$56="",Aturan!$D$56=""),"Tidak dinilai",IF(E24="","Belum ada data",IF(E24&lt;IF(Aturan!$C$56="",0,Aturan!$C$56),"Kurang",IF(E24&gt;=IF(Aturan!$D$56="",Aturan!$C$56,Aturan!$D$56),"Nyaman","Cukup")))))</f>
        <v>Cukup</v>
      </c>
      <c r="N24" s="70" t="str">
        <f aca="false">IF($A24="","",IF(AND(Aturan!$C$57="",Aturan!$D$57=""),"Tidak dinilai",IF(F24="","Belum ada data",IF(F24&lt;IF(Aturan!$C$57="",0,Aturan!$C$57),"Kurang",IF(F24&gt;=IF(Aturan!$D$57="",Aturan!$C$57,Aturan!$D$57),"Nyaman","Cukup")))))</f>
        <v>Kurang</v>
      </c>
      <c r="O24" s="70" t="str">
        <f aca="false">IF($A24="","",IF(AND(Aturan!$C$58="",Aturan!$D$58=""),"Tidak dinilai",IF(G24="","Belum ada data",IF(G24&lt;IF(Aturan!$C$58="",0,Aturan!$C$58),"Kurang",IF(G24&gt;=IF(Aturan!$D$58="",Aturan!$C$58,Aturan!$D$58),"Nyaman","Cukup")))))</f>
        <v>Tidak dinilai</v>
      </c>
      <c r="P24" s="70" t="str">
        <f aca="false">IF($A24="","",IF(AND(Aturan!$C$59="",Aturan!$D$59=""),"Tidak dinilai",IF(H24="","Belum ada data",IF(H24&lt;IF(Aturan!$C$59="",0,Aturan!$C$59),"Kurang",IF(H24&gt;=IF(Aturan!$D$59="",Aturan!$C$59,Aturan!$D$59),"Nyaman","Cukup")))))</f>
        <v>Belum ada data</v>
      </c>
      <c r="Q24" s="70" t="str">
        <f aca="false">IF($A24="","",IF(COUNTIF(K24:P24,"Tidak dinilai")=6,"Tidak dinilai",IF(COUNTIF(K24:P24,"Kurang")&gt;0,"Kurang cocok",IF(COUNTIF(K24:P24,"Belum ada data")&gt;0,"Data belum lengkap",IF(COUNTIF(K24:P24,"Cukup")&gt;0,"Bisa, dengan catatan","Cocok")))))</f>
        <v>Kurang cocok</v>
      </c>
      <c r="R24" s="33" t="str">
        <f aca="false">IF($A24="","",IF(K24="Kurang","prosesor tingkat "&amp;C24&amp;" dari 5, di bawah batas minimal (tingkat "&amp;Aturan!$C$54&amp;")",IF(K24="Cukup","prosesor tingkat "&amp;C24&amp;" dari 5 cukup, nyamannya mulai tingkat "&amp;Aturan!$D$54,IF(K24="Belum ada data","tingkat prosesor belum diisi",""))))</f>
        <v>prosesor tingkat 1 dari 5, di bawah batas minimal (tingkat 3)</v>
      </c>
      <c r="S24" s="33" t="str">
        <f aca="false">IF($A24="","",IF(L24="Kurang","grafis tingkat "&amp;D24&amp;" dari 5, di bawah batas minimal (tingkat "&amp;Aturan!$C$55&amp;")",IF(L24="Cukup","grafis tingkat "&amp;D24&amp;" dari 5 cukup, nyamannya mulai tingkat "&amp;Aturan!$D$55,IF(L24="Belum ada data","tingkat grafis belum diisi",""))))</f>
        <v>grafis tingkat 1 dari 5, di bawah batas minimal (tingkat 3)</v>
      </c>
      <c r="T24" s="33" t="str">
        <f aca="false">IF($A24="","",IF(M24="Kurang","RAM "&amp;E24&amp;" GB, di bawah batas minimal "&amp;Aturan!$C$56&amp;" GB ("&amp;I24&amp;")",IF(M24="Cukup","RAM "&amp;E24&amp;" GB cukup, nyamannya "&amp;Aturan!$D$56&amp;" GB atau lebih ("&amp;I24&amp;")",IF(M24="Belum ada data","ukuran RAM belum diisi",""))))</f>
        <v>RAM 8 GB cukup, nyamannya 16 GB atau lebih (sudah di batas maksimal 8 GB)</v>
      </c>
      <c r="U24" s="33" t="str">
        <f aca="false">IF($A24="","",IF(N24="Kurang","penyimpanan "&amp;F24&amp;" GB, di bawah batas minimal "&amp;Aturan!$C$57&amp;" GB ("&amp;J24&amp;")",IF(N24="Cukup","penyimpanan "&amp;F24&amp;" GB cukup, nyamannya "&amp;Aturan!$D$57&amp;" GB atau lebih ("&amp;J24&amp;")",IF(N24="Belum ada data","ukuran penyimpanan belum diisi",""))))</f>
        <v>penyimpanan 256 GB, di bawah batas minimal 512 GB (bisa diganti dengan yang lebih besar)</v>
      </c>
      <c r="V24" s="33" t="str">
        <f aca="false">IF($A24="","",IF(O24="Kurang","layar "&amp;Varian!$AG8&amp;", di bawah batas minimal ("&amp;IFERROR(INDEX(Aturan!$A$63:$A$66,MATCH(Aturan!$C$58,Aturan!$B$63:$B$66,0)),"peringkat "&amp;Aturan!$C$58)&amp;")",IF(O24="Cukup","layar "&amp;Varian!$AG8&amp;" cukup, nyamannya "&amp;IFERROR(INDEX(Aturan!$A$63:$A$66,MATCH(Aturan!$D$58,Aturan!$B$63:$B$66,0)),"peringkat "&amp;Aturan!$D$58),IF(O24="Belum ada data","jenis layar belum diketahui",""))))</f>
        <v/>
      </c>
      <c r="W24" s="33" t="str">
        <f aca="false">IF($A24="","",IF(P24="Kurang","layar "&amp;H24&amp;" Hz, di bawah batas minimal "&amp;Aturan!$C$59&amp;" Hz",IF(P24="Cukup","layar "&amp;H24&amp;" Hz cukup, nyamannya "&amp;Aturan!$D$59&amp;" Hz atau lebih",IF(P24="Belum ada data","refresh rate belum diketahui",""))))</f>
        <v>refresh rate belum diketahui</v>
      </c>
      <c r="X24" s="33" t="str">
        <f aca="false">IF($A24="","",IF(K24="Kurang",R24&amp;"; ","")&amp;IF(L24="Kurang",S24&amp;"; ","")&amp;IF(M24="Kurang",T24&amp;"; ","")&amp;IF(N24="Kurang",U24&amp;"; ","")&amp;IF(O24="Kurang",V24&amp;"; ","")&amp;IF(P24="Kurang",W24&amp;"; ","")&amp;IF(K24="Belum ada data",R24&amp;"; ","")&amp;IF(L24="Belum ada data",S24&amp;"; ","")&amp;IF(M24="Belum ada data",T24&amp;"; ","")&amp;IF(N24="Belum ada data",U24&amp;"; ","")&amp;IF(O24="Belum ada data",V24&amp;"; ","")&amp;IF(P24="Belum ada data",W24&amp;"; ","")&amp;IF(K24="Cukup",R24&amp;"; ","")&amp;IF(L24="Cukup",S24&amp;"; ","")&amp;IF(M24="Cukup",T24&amp;"; ","")&amp;IF(N24="Cukup",U24&amp;"; ","")&amp;IF(O24="Cukup",V24&amp;"; ","")&amp;IF(P24="Cukup",W24&amp;"; ",""))</f>
        <v>prosesor tingkat 1 dari 5, di bawah batas minimal (tingkat 3); grafis tingkat 1 dari 5, di bawah batas minimal (tingkat 3); penyimpanan 256 GB, di bawah batas minimal 512 GB (bisa diganti dengan yang lebih besar); refresh rate belum diketahui; RAM 8 GB cukup, nyamannya 16 GB atau lebih (sudah di batas maksimal 8 GB); </v>
      </c>
      <c r="Y24" s="33" t="str">
        <f aca="false">IF($A24="","",IF(K24="Nyaman","prosesor, ","")&amp;IF(L24="Nyaman","grafis, ","")&amp;IF(M24="Nyaman","RAM, ","")&amp;IF(N24="Nyaman","penyimpanan, ","")&amp;IF(O24="Nyaman","layar, ","")&amp;IF(P24="Nyaman","refresh rate, ",""))</f>
        <v/>
      </c>
      <c r="Z24" s="33" t="str">
        <f aca="false">IF($A24="","",IF(Q24="Tidak dinilai","Belum ada kriteria yang dinilai untuk kebutuhan ini.",IF(Q24="Cocok","Semua kriteria yang dinilai sudah nyaman: "&amp;LEFT(Y24,LEN(Y24)-2)&amp;".",UPPER(LEFT(X24,1))&amp;MID(X24,2,LEN(X24)-3)&amp;"."&amp;IF(Y24="",""," Sudah nyaman: "&amp;LEFT(Y24,LEN(Y24)-2)&amp;"."))))</f>
        <v>Prosesor tingkat 1 dari 5, di bawah batas minimal (tingkat 3); grafis tingkat 1 dari 5, di bawah batas minimal (tingkat 3); penyimpanan 256 GB, di bawah batas minimal 512 GB (bisa diganti dengan yang lebih besar); refresh rate belum diketahui; RAM 8 GB cukup, nyamannya 16 GB atau lebih (sudah di batas maksimal 8 GB).</v>
      </c>
      <c r="AA24" s="33"/>
      <c r="AB24" s="33"/>
      <c r="AC24" s="69"/>
    </row>
    <row r="25" customFormat="false" ht="15" hidden="false" customHeight="true" outlineLevel="0" collapsed="false">
      <c r="A25" s="66" t="str">
        <f aca="false">IF(Varian!$A9="","",Varian!$A9)</f>
        <v>lenovo-thinkpad-t480-i5-8350u-8-256</v>
      </c>
      <c r="B25" s="66" t="str">
        <f aca="false">IF($A25="","",Aturan!$A$21)</f>
        <v>Kuliah dan kantor</v>
      </c>
      <c r="C25" s="67" t="n">
        <f aca="false">IF($A25="","",IFERROR(IF(ISNUMBER(INDEX(CPU!$J$4:$J$64,MATCH(Varian!$J9,CPU!$A$4:$A$64,0))),INDEX(CPU!$J$4:$J$64,MATCH(Varian!$J9,CPU!$A$4:$A$64,0)),""),""))</f>
        <v>2</v>
      </c>
      <c r="D25" s="67" t="n">
        <f aca="false">IF($A25="","",IFERROR(IF(ISNUMBER(INDEX(GPU!$G$4:$G$64,MATCH(Varian!$K9,GPU!$A$4:$A$64,0))),INDEX(GPU!$G$4:$G$64,MATCH(Varian!$K9,GPU!$A$4:$A$64,0)),""),""))</f>
        <v>1</v>
      </c>
      <c r="E25" s="67" t="n">
        <f aca="false">IF($A25="","",IF(ISNUMBER(Varian!$M9),Varian!$M9,""))</f>
        <v>8</v>
      </c>
      <c r="F25" s="67" t="n">
        <f aca="false">IF($A25="","",IF(ISNUMBER(Varian!$V9),Varian!$V9,""))</f>
        <v>256</v>
      </c>
      <c r="G25" s="67" t="str">
        <f aca="false">IF($A25="","",IFERROR(INDEX(Aturan!$B$63:$B$66,MATCH(Varian!$AG9,Aturan!$A$63:$A$66,0)),""))</f>
        <v/>
      </c>
      <c r="H25" s="67" t="str">
        <f aca="false">IF($A25="","",IF(ISNUMBER(Varian!$AI9),Varian!$AI9,""))</f>
        <v/>
      </c>
      <c r="I25" s="66" t="str">
        <f aca="false">IF($A25="","",IF(Varian!$Q9="disolder","menempel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5" s="66" t="str">
        <f aca="false">IF($A25="","",IF(Varian!$Z9="ya","bisa diganti dengan yang lebih besar",IF(Varian!$Z9="tidak","menempel, tidak bisa diganti","belum diketahui apakah bisa diganti")))</f>
        <v>bisa diganti dengan yang lebih besar</v>
      </c>
      <c r="K25" s="68" t="str">
        <f aca="false">IF($A25="","",IF(AND(Aturan!$C$30="",Aturan!$D$30=""),"Tidak dinilai",IF(C25="","Belum ada data",IF(C25&lt;IF(Aturan!$C$30="",0,Aturan!$C$30),"Kurang",IF(C25&gt;=IF(Aturan!$D$30="",Aturan!$C$30,Aturan!$D$30),"Nyaman","Cukup")))))</f>
        <v>Nyaman</v>
      </c>
      <c r="L25" s="68" t="str">
        <f aca="false">IF($A25="","",IF(AND(Aturan!$C$31="",Aturan!$D$31=""),"Tidak dinilai",IF(D25="","Belum ada data",IF(D25&lt;IF(Aturan!$C$31="",0,Aturan!$C$31),"Kurang",IF(D25&gt;=IF(Aturan!$D$31="",Aturan!$C$31,Aturan!$D$31),"Nyaman","Cukup")))))</f>
        <v>Tidak dinilai</v>
      </c>
      <c r="M25" s="68" t="str">
        <f aca="false">IF($A25="","",IF(AND(Aturan!$C$32="",Aturan!$D$32=""),"Tidak dinilai",IF(E25="","Belum ada data",IF(E25&lt;IF(Aturan!$C$32="",0,Aturan!$C$32),"Kurang",IF(E25&gt;=IF(Aturan!$D$32="",Aturan!$C$32,Aturan!$D$32),"Nyaman","Cukup")))))</f>
        <v>Nyaman</v>
      </c>
      <c r="N25" s="68" t="str">
        <f aca="false">IF($A25="","",IF(AND(Aturan!$C$33="",Aturan!$D$33=""),"Tidak dinilai",IF(F25="","Belum ada data",IF(F25&lt;IF(Aturan!$C$33="",0,Aturan!$C$33),"Kurang",IF(F25&gt;=IF(Aturan!$D$33="",Aturan!$C$33,Aturan!$D$33),"Nyaman","Cukup")))))</f>
        <v>Nyaman</v>
      </c>
      <c r="O25" s="68" t="str">
        <f aca="false">IF($A25="","",IF(AND(Aturan!$C$34="",Aturan!$D$34=""),"Tidak dinilai",IF(G25="","Belum ada data",IF(G25&lt;IF(Aturan!$C$34="",0,Aturan!$C$34),"Kurang",IF(G25&gt;=IF(Aturan!$D$34="",Aturan!$C$34,Aturan!$D$34),"Nyaman","Cukup")))))</f>
        <v>Tidak dinilai</v>
      </c>
      <c r="P25" s="68" t="str">
        <f aca="false">IF($A25="","",IF(AND(Aturan!$C$35="",Aturan!$D$35=""),"Tidak dinilai",IF(H25="","Belum ada data",IF(H25&lt;IF(Aturan!$C$35="",0,Aturan!$C$35),"Kurang",IF(H25&gt;=IF(Aturan!$D$35="",Aturan!$C$35,Aturan!$D$35),"Nyaman","Cukup")))))</f>
        <v>Tidak dinilai</v>
      </c>
      <c r="Q25" s="68" t="str">
        <f aca="false">IF($A25="","",IF(COUNTIF(K25:P25,"Tidak dinilai")=6,"Tidak dinilai",IF(COUNTIF(K25:P25,"Kurang")&gt;0,"Kurang cocok",IF(COUNTIF(K25:P25,"Belum ada data")&gt;0,"Data belum lengkap",IF(COUNTIF(K25:P25,"Cukup")&gt;0,"Bisa, dengan catatan","Cocok")))))</f>
        <v>Cocok</v>
      </c>
      <c r="R25" s="66" t="str">
        <f aca="false">IF($A25="","",IF(K25="Kurang","prosesor tingkat "&amp;C25&amp;" dari 5, di bawah batas minimal (tingkat "&amp;Aturan!$C$30&amp;")",IF(K25="Cukup","prosesor tingkat "&amp;C25&amp;" dari 5 cukup, nyamannya mulai tingkat "&amp;Aturan!$D$30,IF(K25="Belum ada data","tingkat prosesor belum diisi",""))))</f>
        <v/>
      </c>
      <c r="S25" s="66" t="str">
        <f aca="false">IF($A25="","",IF(L25="Kurang","grafis tingkat "&amp;D25&amp;" dari 5, di bawah batas minimal (tingkat "&amp;Aturan!$C$31&amp;")",IF(L25="Cukup","grafis tingkat "&amp;D25&amp;" dari 5 cukup, nyamannya mulai tingkat "&amp;Aturan!$D$31,IF(L25="Belum ada data","tingkat grafis belum diisi",""))))</f>
        <v/>
      </c>
      <c r="T25" s="66" t="str">
        <f aca="false">IF($A25="","",IF(M25="Kurang","RAM "&amp;E25&amp;" GB, di bawah batas minimal "&amp;Aturan!$C$32&amp;" GB ("&amp;I25&amp;")",IF(M25="Cukup","RAM "&amp;E25&amp;" GB cukup, nyamannya "&amp;Aturan!$D$32&amp;" GB atau lebih ("&amp;I25&amp;")",IF(M25="Belum ada data","ukuran RAM belum diisi",""))))</f>
        <v/>
      </c>
      <c r="U25" s="66" t="str">
        <f aca="false">IF($A25="","",IF(N25="Kurang","penyimpanan "&amp;F25&amp;" GB, di bawah batas minimal "&amp;Aturan!$C$33&amp;" GB ("&amp;J25&amp;")",IF(N25="Cukup","penyimpanan "&amp;F25&amp;" GB cukup, nyamannya "&amp;Aturan!$D$33&amp;" GB atau lebih ("&amp;J25&amp;")",IF(N25="Belum ada data","ukuran penyimpanan belum diisi",""))))</f>
        <v/>
      </c>
      <c r="V25" s="66" t="str">
        <f aca="false">IF($A25="","",IF(O25="Kurang","layar "&amp;Varian!$AG9&amp;", di bawah batas minimal ("&amp;IFERROR(INDEX(Aturan!$A$63:$A$66,MATCH(Aturan!$C$34,Aturan!$B$63:$B$66,0)),"peringkat "&amp;Aturan!$C$34)&amp;")",IF(O25="Cukup","layar "&amp;Varian!$AG9&amp;" cukup, nyamannya "&amp;IFERROR(INDEX(Aturan!$A$63:$A$66,MATCH(Aturan!$D$34,Aturan!$B$63:$B$66,0)),"peringkat "&amp;Aturan!$D$34),IF(O25="Belum ada data","jenis layar belum diketahui",""))))</f>
        <v/>
      </c>
      <c r="W25" s="66" t="str">
        <f aca="false">IF($A25="","",IF(P25="Kurang","layar "&amp;H25&amp;" Hz, di bawah batas minimal "&amp;Aturan!$C$35&amp;" Hz",IF(P25="Cukup","layar "&amp;H25&amp;" Hz cukup, nyamannya "&amp;Aturan!$D$35&amp;" Hz atau lebih",IF(P25="Belum ada data","refresh rate belum diketahui",""))))</f>
        <v/>
      </c>
      <c r="X25" s="66" t="str">
        <f aca="false">IF($A25="","",IF(K25="Kurang",R25&amp;"; ","")&amp;IF(L25="Kurang",S25&amp;"; ","")&amp;IF(M25="Kurang",T25&amp;"; ","")&amp;IF(N25="Kurang",U25&amp;"; ","")&amp;IF(O25="Kurang",V25&amp;"; ","")&amp;IF(P25="Kurang",W25&amp;"; ","")&amp;IF(K25="Belum ada data",R25&amp;"; ","")&amp;IF(L25="Belum ada data",S25&amp;"; ","")&amp;IF(M25="Belum ada data",T25&amp;"; ","")&amp;IF(N25="Belum ada data",U25&amp;"; ","")&amp;IF(O25="Belum ada data",V25&amp;"; ","")&amp;IF(P25="Belum ada data",W25&amp;"; ","")&amp;IF(K25="Cukup",R25&amp;"; ","")&amp;IF(L25="Cukup",S25&amp;"; ","")&amp;IF(M25="Cukup",T25&amp;"; ","")&amp;IF(N25="Cukup",U25&amp;"; ","")&amp;IF(O25="Cukup",V25&amp;"; ","")&amp;IF(P25="Cukup",W25&amp;"; ",""))</f>
        <v/>
      </c>
      <c r="Y25" s="66" t="str">
        <f aca="false">IF($A25="","",IF(K25="Nyaman","prosesor, ","")&amp;IF(L25="Nyaman","grafis, ","")&amp;IF(M25="Nyaman","RAM, ","")&amp;IF(N25="Nyaman","penyimpanan, ","")&amp;IF(O25="Nyaman","layar, ","")&amp;IF(P25="Nyaman","refresh rate, ",""))</f>
        <v>prosesor, RAM, penyimpanan, </v>
      </c>
      <c r="Z25" s="66" t="str">
        <f aca="false">IF($A25="","",IF(Q25="Tidak dinilai","Belum ada kriteria yang dinilai untuk kebutuhan ini.",IF(Q25="Cocok","Semua kriteria yang dinilai sudah nyaman: "&amp;LEFT(Y25,LEN(Y25)-2)&amp;".",UPPER(LEFT(X25,1))&amp;MID(X25,2,LEN(X25)-3)&amp;"."&amp;IF(Y25="",""," Sudah nyaman: "&amp;LEFT(Y25,LEN(Y25)-2)&amp;"."))))</f>
        <v>Semua kriteria yang dinilai sudah nyaman: prosesor, RAM, penyimpanan.</v>
      </c>
      <c r="AA25" s="66" t="str">
        <f aca="false">IF($A25="","",IF(Varian!$AR9="Windows 10","• "&amp;Aturan!$E$71&amp;CHAR(10),"")&amp;IF(Varian!$BB9="tidak","• "&amp;Aturan!$E$72&amp;CHAR(10),"")&amp;IF(OR(Varian!$AD9="belum terverifikasi",Varian!$AD9="tidak diketahui"),"• "&amp;Aturan!$E$73&amp;CHAR(10),"")&amp;IF(Varian!$AH9="1366x768","• "&amp;Aturan!$E$74&amp;CHAR(10),"")&amp;IF(Varian!$AG9="TN","• "&amp;Aturan!$E$75&amp;CHAR(10),"")&amp;IF(AND(Varian!$Q9="disolder",ISNUMBER(Varian!$M9),Varian!$M9&lt;=8),"• "&amp;Aturan!$E$76&amp;CHAR(10),""))</f>
        <v/>
      </c>
      <c r="AB25" s="66" t="str">
        <f aca="false">IF($A25="","",IF(AA25="","",LEFT(AA25,LEN(AA25)-1)))</f>
        <v/>
      </c>
      <c r="AC25" s="67" t="n">
        <f aca="false">IF($A25="","",IF(AA25="",0,LEN(AA25)-LEN(SUBSTITUTE(AA25,CHAR(10),""))))</f>
        <v>0</v>
      </c>
    </row>
    <row r="26" customFormat="false" ht="15" hidden="false" customHeight="true" outlineLevel="0" collapsed="false">
      <c r="A26" s="33" t="str">
        <f aca="false">IF(Varian!$A9="","",Varian!$A9)</f>
        <v>lenovo-thinkpad-t480-i5-8350u-8-256</v>
      </c>
      <c r="B26" s="33" t="str">
        <f aca="false">IF($A26="","",Aturan!$A$22)</f>
        <v>Desain grafis</v>
      </c>
      <c r="C26" s="69" t="n">
        <f aca="false">IF($A26="","",IFERROR(IF(ISNUMBER(INDEX(CPU!$J$4:$J$64,MATCH(Varian!$J9,CPU!$A$4:$A$64,0))),INDEX(CPU!$J$4:$J$64,MATCH(Varian!$J9,CPU!$A$4:$A$64,0)),""),""))</f>
        <v>2</v>
      </c>
      <c r="D26" s="69" t="n">
        <f aca="false">IF($A26="","",IFERROR(IF(ISNUMBER(INDEX(GPU!$G$4:$G$64,MATCH(Varian!$K9,GPU!$A$4:$A$64,0))),INDEX(GPU!$G$4:$G$64,MATCH(Varian!$K9,GPU!$A$4:$A$64,0)),""),""))</f>
        <v>1</v>
      </c>
      <c r="E26" s="69" t="n">
        <f aca="false">IF($A26="","",IF(ISNUMBER(Varian!$M9),Varian!$M9,""))</f>
        <v>8</v>
      </c>
      <c r="F26" s="69" t="n">
        <f aca="false">IF($A26="","",IF(ISNUMBER(Varian!$V9),Varian!$V9,""))</f>
        <v>256</v>
      </c>
      <c r="G26" s="69" t="str">
        <f aca="false">IF($A26="","",IFERROR(INDEX(Aturan!$B$63:$B$66,MATCH(Varian!$AG9,Aturan!$A$63:$A$66,0)),""))</f>
        <v/>
      </c>
      <c r="H26" s="69" t="str">
        <f aca="false">IF($A26="","",IF(ISNUMBER(Varian!$AI9),Varian!$AI9,""))</f>
        <v/>
      </c>
      <c r="I26" s="33" t="str">
        <f aca="false">IF($A26="","",IF(Varian!$Q9="disolder","menempel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6" s="33" t="str">
        <f aca="false">IF($A26="","",IF(Varian!$Z9="ya","bisa diganti dengan yang lebih besar",IF(Varian!$Z9="tidak","menempel, tidak bisa diganti","belum diketahui apakah bisa diganti")))</f>
        <v>bisa diganti dengan yang lebih besar</v>
      </c>
      <c r="K26" s="70" t="str">
        <f aca="false">IF($A26="","",IF(AND(Aturan!$C$36="",Aturan!$D$36=""),"Tidak dinilai",IF(C26="","Belum ada data",IF(C26&lt;IF(Aturan!$C$36="",0,Aturan!$C$36),"Kurang",IF(C26&gt;=IF(Aturan!$D$36="",Aturan!$C$36,Aturan!$D$36),"Nyaman","Cukup")))))</f>
        <v>Cukup</v>
      </c>
      <c r="L26" s="70" t="str">
        <f aca="false">IF($A26="","",IF(AND(Aturan!$C$37="",Aturan!$D$37=""),"Tidak dinilai",IF(D26="","Belum ada data",IF(D26&lt;IF(Aturan!$C$37="",0,Aturan!$C$37),"Kurang",IF(D26&gt;=IF(Aturan!$D$37="",Aturan!$C$37,Aturan!$D$37),"Nyaman","Cukup")))))</f>
        <v>Cukup</v>
      </c>
      <c r="M26" s="70" t="str">
        <f aca="false">IF($A26="","",IF(AND(Aturan!$C$38="",Aturan!$D$38=""),"Tidak dinilai",IF(E26="","Belum ada data",IF(E26&lt;IF(Aturan!$C$38="",0,Aturan!$C$38),"Kurang",IF(E26&gt;=IF(Aturan!$D$38="",Aturan!$C$38,Aturan!$D$38),"Nyaman","Cukup")))))</f>
        <v>Cukup</v>
      </c>
      <c r="N26" s="70" t="str">
        <f aca="false">IF($A26="","",IF(AND(Aturan!$C$39="",Aturan!$D$39=""),"Tidak dinilai",IF(F26="","Belum ada data",IF(F26&lt;IF(Aturan!$C$39="",0,Aturan!$C$39),"Kurang",IF(F26&gt;=IF(Aturan!$D$39="",Aturan!$C$39,Aturan!$D$39),"Nyaman","Cukup")))))</f>
        <v>Cukup</v>
      </c>
      <c r="O26" s="70" t="str">
        <f aca="false">IF($A26="","",IF(AND(Aturan!$C$40="",Aturan!$D$40=""),"Tidak dinilai",IF(G26="","Belum ada data",IF(G26&lt;IF(Aturan!$C$40="",0,Aturan!$C$40),"Kurang",IF(G26&gt;=IF(Aturan!$D$40="",Aturan!$C$40,Aturan!$D$40),"Nyaman","Cukup")))))</f>
        <v>Belum ada data</v>
      </c>
      <c r="P26" s="70" t="str">
        <f aca="false">IF($A26="","",IF(AND(Aturan!$C$41="",Aturan!$D$41=""),"Tidak dinilai",IF(H26="","Belum ada data",IF(H26&lt;IF(Aturan!$C$41="",0,Aturan!$C$41),"Kurang",IF(H26&gt;=IF(Aturan!$D$41="",Aturan!$C$41,Aturan!$D$41),"Nyaman","Cukup")))))</f>
        <v>Tidak dinilai</v>
      </c>
      <c r="Q26" s="70" t="str">
        <f aca="false">IF($A26="","",IF(COUNTIF(K26:P26,"Tidak dinilai")=6,"Tidak dinilai",IF(COUNTIF(K26:P26,"Kurang")&gt;0,"Kurang cocok",IF(COUNTIF(K26:P26,"Belum ada data")&gt;0,"Data belum lengkap",IF(COUNTIF(K26:P26,"Cukup")&gt;0,"Bisa, dengan catatan","Cocok")))))</f>
        <v>Data belum lengkap</v>
      </c>
      <c r="R26" s="33" t="str">
        <f aca="false">IF($A26="","",IF(K26="Kurang","prosesor tingkat "&amp;C26&amp;" dari 5, di bawah batas minimal (tingkat "&amp;Aturan!$C$36&amp;")",IF(K26="Cukup","prosesor tingkat "&amp;C26&amp;" dari 5 cukup, nyamannya mulai tingkat "&amp;Aturan!$D$36,IF(K26="Belum ada data","tingkat prosesor belum diisi",""))))</f>
        <v>prosesor tingkat 2 dari 5 cukup, nyamannya mulai tingkat 3</v>
      </c>
      <c r="S26" s="33" t="str">
        <f aca="false">IF($A26="","",IF(L26="Kurang","grafis tingkat "&amp;D26&amp;" dari 5, di bawah batas minimal (tingkat "&amp;Aturan!$C$37&amp;")",IF(L26="Cukup","grafis tingkat "&amp;D26&amp;" dari 5 cukup, nyamannya mulai tingkat "&amp;Aturan!$D$37,IF(L26="Belum ada data","tingkat grafis belum diisi",""))))</f>
        <v>grafis tingkat 1 dari 5 cukup, nyamannya mulai tingkat 2</v>
      </c>
      <c r="T26" s="33" t="str">
        <f aca="false">IF($A26="","",IF(M26="Kurang","RAM "&amp;E26&amp;" GB, di bawah batas minimal "&amp;Aturan!$C$38&amp;" GB ("&amp;I26&amp;")",IF(M26="Cukup","RAM "&amp;E26&amp;" GB cukup, nyamannya "&amp;Aturan!$D$38&amp;" GB atau lebih ("&amp;I26&amp;")",IF(M26="Belum ada data","ukuran RAM belum diisi",""))))</f>
        <v>RAM 8 GB cukup, nyamannya 16 GB atau lebih (bisa dinaikkan lewat slot sampai 32 GB)</v>
      </c>
      <c r="U26" s="33" t="str">
        <f aca="false">IF($A26="","",IF(N26="Kurang","penyimpanan "&amp;F26&amp;" GB, di bawah batas minimal "&amp;Aturan!$C$39&amp;" GB ("&amp;J26&amp;")",IF(N26="Cukup","penyimpanan "&amp;F26&amp;" GB cukup, nyamannya "&amp;Aturan!$D$39&amp;" GB atau lebih ("&amp;J26&amp;")",IF(N26="Belum ada data","ukuran penyimpanan belum diisi",""))))</f>
        <v>penyimpanan 256 GB cukup, nyamannya 512 GB atau lebih (bisa diganti dengan yang lebih besar)</v>
      </c>
      <c r="V26" s="33" t="str">
        <f aca="false">IF($A26="","",IF(O26="Kurang","layar "&amp;Varian!$AG9&amp;", di bawah batas minimal ("&amp;IFERROR(INDEX(Aturan!$A$63:$A$66,MATCH(Aturan!$C$40,Aturan!$B$63:$B$66,0)),"peringkat "&amp;Aturan!$C$40)&amp;")",IF(O26="Cukup","layar "&amp;Varian!$AG9&amp;" cukup, nyamannya "&amp;IFERROR(INDEX(Aturan!$A$63:$A$66,MATCH(Aturan!$D$40,Aturan!$B$63:$B$66,0)),"peringkat "&amp;Aturan!$D$40),IF(O26="Belum ada data","jenis layar belum diketahui",""))))</f>
        <v>jenis layar belum diketahui</v>
      </c>
      <c r="W26" s="33" t="str">
        <f aca="false">IF($A26="","",IF(P26="Kurang","layar "&amp;H26&amp;" Hz, di bawah batas minimal "&amp;Aturan!$C$41&amp;" Hz",IF(P26="Cukup","layar "&amp;H26&amp;" Hz cukup, nyamannya "&amp;Aturan!$D$41&amp;" Hz atau lebih",IF(P26="Belum ada data","refresh rate belum diketahui",""))))</f>
        <v/>
      </c>
      <c r="X26" s="33" t="str">
        <f aca="false">IF($A26="","",IF(K26="Kurang",R26&amp;"; ","")&amp;IF(L26="Kurang",S26&amp;"; ","")&amp;IF(M26="Kurang",T26&amp;"; ","")&amp;IF(N26="Kurang",U26&amp;"; ","")&amp;IF(O26="Kurang",V26&amp;"; ","")&amp;IF(P26="Kurang",W26&amp;"; ","")&amp;IF(K26="Belum ada data",R26&amp;"; ","")&amp;IF(L26="Belum ada data",S26&amp;"; ","")&amp;IF(M26="Belum ada data",T26&amp;"; ","")&amp;IF(N26="Belum ada data",U26&amp;"; ","")&amp;IF(O26="Belum ada data",V26&amp;"; ","")&amp;IF(P26="Belum ada data",W26&amp;"; ","")&amp;IF(K26="Cukup",R26&amp;"; ","")&amp;IF(L26="Cukup",S26&amp;"; ","")&amp;IF(M26="Cukup",T26&amp;"; ","")&amp;IF(N26="Cukup",U26&amp;"; ","")&amp;IF(O26="Cukup",V26&amp;"; ","")&amp;IF(P26="Cukup",W26&amp;"; ",""))</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v>
      </c>
      <c r="Y26" s="33" t="str">
        <f aca="false">IF($A26="","",IF(K26="Nyaman","prosesor, ","")&amp;IF(L26="Nyaman","grafis, ","")&amp;IF(M26="Nyaman","RAM, ","")&amp;IF(N26="Nyaman","penyimpanan, ","")&amp;IF(O26="Nyaman","layar, ","")&amp;IF(P26="Nyaman","refresh rate, ",""))</f>
        <v/>
      </c>
      <c r="Z26" s="33" t="str">
        <f aca="false">IF($A26="","",IF(Q26="Tidak dinilai","Belum ada kriteria yang dinilai untuk kebutuhan ini.",IF(Q26="Cocok","Semua kriteria yang dinilai sudah nyaman: "&amp;LEFT(Y26,LEN(Y26)-2)&amp;".",UPPER(LEFT(X26,1))&amp;MID(X26,2,LEN(X26)-3)&amp;"."&amp;IF(Y26="",""," Sudah nyaman: "&amp;LEFT(Y26,LEN(Y26)-2)&amp;"."))))</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v>
      </c>
      <c r="AA26" s="33"/>
      <c r="AB26" s="33"/>
      <c r="AC26" s="69"/>
    </row>
    <row r="27" customFormat="false" ht="15" hidden="false" customHeight="true" outlineLevel="0" collapsed="false">
      <c r="A27" s="33" t="str">
        <f aca="false">IF(Varian!$A9="","",Varian!$A9)</f>
        <v>lenovo-thinkpad-t480-i5-8350u-8-256</v>
      </c>
      <c r="B27" s="33" t="str">
        <f aca="false">IF($A27="","",Aturan!$A$23)</f>
        <v>Pemrograman</v>
      </c>
      <c r="C27" s="69" t="n">
        <f aca="false">IF($A27="","",IFERROR(IF(ISNUMBER(INDEX(CPU!$J$4:$J$64,MATCH(Varian!$J9,CPU!$A$4:$A$64,0))),INDEX(CPU!$J$4:$J$64,MATCH(Varian!$J9,CPU!$A$4:$A$64,0)),""),""))</f>
        <v>2</v>
      </c>
      <c r="D27" s="69" t="n">
        <f aca="false">IF($A27="","",IFERROR(IF(ISNUMBER(INDEX(GPU!$G$4:$G$64,MATCH(Varian!$K9,GPU!$A$4:$A$64,0))),INDEX(GPU!$G$4:$G$64,MATCH(Varian!$K9,GPU!$A$4:$A$64,0)),""),""))</f>
        <v>1</v>
      </c>
      <c r="E27" s="69" t="n">
        <f aca="false">IF($A27="","",IF(ISNUMBER(Varian!$M9),Varian!$M9,""))</f>
        <v>8</v>
      </c>
      <c r="F27" s="69" t="n">
        <f aca="false">IF($A27="","",IF(ISNUMBER(Varian!$V9),Varian!$V9,""))</f>
        <v>256</v>
      </c>
      <c r="G27" s="69" t="str">
        <f aca="false">IF($A27="","",IFERROR(INDEX(Aturan!$B$63:$B$66,MATCH(Varian!$AG9,Aturan!$A$63:$A$66,0)),""))</f>
        <v/>
      </c>
      <c r="H27" s="69" t="str">
        <f aca="false">IF($A27="","",IF(ISNUMBER(Varian!$AI9),Varian!$AI9,""))</f>
        <v/>
      </c>
      <c r="I27" s="33" t="str">
        <f aca="false">IF($A27="","",IF(Varian!$Q9="disolder","menempel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7" s="33" t="str">
        <f aca="false">IF($A27="","",IF(Varian!$Z9="ya","bisa diganti dengan yang lebih besar",IF(Varian!$Z9="tidak","menempel, tidak bisa diganti","belum diketahui apakah bisa diganti")))</f>
        <v>bisa diganti dengan yang lebih besar</v>
      </c>
      <c r="K27" s="70" t="str">
        <f aca="false">IF($A27="","",IF(AND(Aturan!$C$42="",Aturan!$D$42=""),"Tidak dinilai",IF(C27="","Belum ada data",IF(C27&lt;IF(Aturan!$C$42="",0,Aturan!$C$42),"Kurang",IF(C27&gt;=IF(Aturan!$D$42="",Aturan!$C$42,Aturan!$D$42),"Nyaman","Cukup")))))</f>
        <v>Cukup</v>
      </c>
      <c r="L27" s="70" t="str">
        <f aca="false">IF($A27="","",IF(AND(Aturan!$C$43="",Aturan!$D$43=""),"Tidak dinilai",IF(D27="","Belum ada data",IF(D27&lt;IF(Aturan!$C$43="",0,Aturan!$C$43),"Kurang",IF(D27&gt;=IF(Aturan!$D$43="",Aturan!$C$43,Aturan!$D$43),"Nyaman","Cukup")))))</f>
        <v>Tidak dinilai</v>
      </c>
      <c r="M27" s="70" t="str">
        <f aca="false">IF($A27="","",IF(AND(Aturan!$C$44="",Aturan!$D$44=""),"Tidak dinilai",IF(E27="","Belum ada data",IF(E27&lt;IF(Aturan!$C$44="",0,Aturan!$C$44),"Kurang",IF(E27&gt;=IF(Aturan!$D$44="",Aturan!$C$44,Aturan!$D$44),"Nyaman","Cukup")))))</f>
        <v>Cukup</v>
      </c>
      <c r="N27" s="70" t="str">
        <f aca="false">IF($A27="","",IF(AND(Aturan!$C$45="",Aturan!$D$45=""),"Tidak dinilai",IF(F27="","Belum ada data",IF(F27&lt;IF(Aturan!$C$45="",0,Aturan!$C$45),"Kurang",IF(F27&gt;=IF(Aturan!$D$45="",Aturan!$C$45,Aturan!$D$45),"Nyaman","Cukup")))))</f>
        <v>Cukup</v>
      </c>
      <c r="O27" s="70" t="str">
        <f aca="false">IF($A27="","",IF(AND(Aturan!$C$46="",Aturan!$D$46=""),"Tidak dinilai",IF(G27="","Belum ada data",IF(G27&lt;IF(Aturan!$C$46="",0,Aturan!$C$46),"Kurang",IF(G27&gt;=IF(Aturan!$D$46="",Aturan!$C$46,Aturan!$D$46),"Nyaman","Cukup")))))</f>
        <v>Tidak dinilai</v>
      </c>
      <c r="P27" s="70" t="str">
        <f aca="false">IF($A27="","",IF(AND(Aturan!$C$47="",Aturan!$D$47=""),"Tidak dinilai",IF(H27="","Belum ada data",IF(H27&lt;IF(Aturan!$C$47="",0,Aturan!$C$47),"Kurang",IF(H27&gt;=IF(Aturan!$D$47="",Aturan!$C$47,Aturan!$D$47),"Nyaman","Cukup")))))</f>
        <v>Tidak dinilai</v>
      </c>
      <c r="Q27" s="70" t="str">
        <f aca="false">IF($A27="","",IF(COUNTIF(K27:P27,"Tidak dinilai")=6,"Tidak dinilai",IF(COUNTIF(K27:P27,"Kurang")&gt;0,"Kurang cocok",IF(COUNTIF(K27:P27,"Belum ada data")&gt;0,"Data belum lengkap",IF(COUNTIF(K27:P27,"Cukup")&gt;0,"Bisa, dengan catatan","Cocok")))))</f>
        <v>Bisa, dengan catatan</v>
      </c>
      <c r="R27" s="33" t="str">
        <f aca="false">IF($A27="","",IF(K27="Kurang","prosesor tingkat "&amp;C27&amp;" dari 5, di bawah batas minimal (tingkat "&amp;Aturan!$C$42&amp;")",IF(K27="Cukup","prosesor tingkat "&amp;C27&amp;" dari 5 cukup, nyamannya mulai tingkat "&amp;Aturan!$D$42,IF(K27="Belum ada data","tingkat prosesor belum diisi",""))))</f>
        <v>prosesor tingkat 2 dari 5 cukup, nyamannya mulai tingkat 3</v>
      </c>
      <c r="S27" s="33" t="str">
        <f aca="false">IF($A27="","",IF(L27="Kurang","grafis tingkat "&amp;D27&amp;" dari 5, di bawah batas minimal (tingkat "&amp;Aturan!$C$43&amp;")",IF(L27="Cukup","grafis tingkat "&amp;D27&amp;" dari 5 cukup, nyamannya mulai tingkat "&amp;Aturan!$D$43,IF(L27="Belum ada data","tingkat grafis belum diisi",""))))</f>
        <v/>
      </c>
      <c r="T27" s="33" t="str">
        <f aca="false">IF($A27="","",IF(M27="Kurang","RAM "&amp;E27&amp;" GB, di bawah batas minimal "&amp;Aturan!$C$44&amp;" GB ("&amp;I27&amp;")",IF(M27="Cukup","RAM "&amp;E27&amp;" GB cukup, nyamannya "&amp;Aturan!$D$44&amp;" GB atau lebih ("&amp;I27&amp;")",IF(M27="Belum ada data","ukuran RAM belum diisi",""))))</f>
        <v>RAM 8 GB cukup, nyamannya 16 GB atau lebih (bisa dinaikkan lewat slot sampai 32 GB)</v>
      </c>
      <c r="U27" s="33" t="str">
        <f aca="false">IF($A27="","",IF(N27="Kurang","penyimpanan "&amp;F27&amp;" GB, di bawah batas minimal "&amp;Aturan!$C$45&amp;" GB ("&amp;J27&amp;")",IF(N27="Cukup","penyimpanan "&amp;F27&amp;" GB cukup, nyamannya "&amp;Aturan!$D$45&amp;" GB atau lebih ("&amp;J27&amp;")",IF(N27="Belum ada data","ukuran penyimpanan belum diisi",""))))</f>
        <v>penyimpanan 256 GB cukup, nyamannya 512 GB atau lebih (bisa diganti dengan yang lebih besar)</v>
      </c>
      <c r="V27" s="33" t="str">
        <f aca="false">IF($A27="","",IF(O27="Kurang","layar "&amp;Varian!$AG9&amp;", di bawah batas minimal ("&amp;IFERROR(INDEX(Aturan!$A$63:$A$66,MATCH(Aturan!$C$46,Aturan!$B$63:$B$66,0)),"peringkat "&amp;Aturan!$C$46)&amp;")",IF(O27="Cukup","layar "&amp;Varian!$AG9&amp;" cukup, nyamannya "&amp;IFERROR(INDEX(Aturan!$A$63:$A$66,MATCH(Aturan!$D$46,Aturan!$B$63:$B$66,0)),"peringkat "&amp;Aturan!$D$46),IF(O27="Belum ada data","jenis layar belum diketahui",""))))</f>
        <v/>
      </c>
      <c r="W27" s="33" t="str">
        <f aca="false">IF($A27="","",IF(P27="Kurang","layar "&amp;H27&amp;" Hz, di bawah batas minimal "&amp;Aturan!$C$47&amp;" Hz",IF(P27="Cukup","layar "&amp;H27&amp;" Hz cukup, nyamannya "&amp;Aturan!$D$47&amp;" Hz atau lebih",IF(P27="Belum ada data","refresh rate belum diketahui",""))))</f>
        <v/>
      </c>
      <c r="X27" s="33" t="str">
        <f aca="false">IF($A27="","",IF(K27="Kurang",R27&amp;"; ","")&amp;IF(L27="Kurang",S27&amp;"; ","")&amp;IF(M27="Kurang",T27&amp;"; ","")&amp;IF(N27="Kurang",U27&amp;"; ","")&amp;IF(O27="Kurang",V27&amp;"; ","")&amp;IF(P27="Kurang",W27&amp;"; ","")&amp;IF(K27="Belum ada data",R27&amp;"; ","")&amp;IF(L27="Belum ada data",S27&amp;"; ","")&amp;IF(M27="Belum ada data",T27&amp;"; ","")&amp;IF(N27="Belum ada data",U27&amp;"; ","")&amp;IF(O27="Belum ada data",V27&amp;"; ","")&amp;IF(P27="Belum ada data",W27&amp;"; ","")&amp;IF(K27="Cukup",R27&amp;"; ","")&amp;IF(L27="Cukup",S27&amp;"; ","")&amp;IF(M27="Cukup",T27&amp;"; ","")&amp;IF(N27="Cukup",U27&amp;"; ","")&amp;IF(O27="Cukup",V27&amp;"; ","")&amp;IF(P27="Cukup",W27&amp;"; ",""))</f>
        <v>prosesor tingkat 2 dari 5 cukup, nyamannya mulai tingkat 3; RAM 8 GB cukup, nyamannya 16 GB atau lebih (bisa dinaikkan lewat slot sampai 32 GB); penyimpanan 256 GB cukup, nyamannya 512 GB atau lebih (bisa diganti dengan yang lebih besar); </v>
      </c>
      <c r="Y27" s="33" t="str">
        <f aca="false">IF($A27="","",IF(K27="Nyaman","prosesor, ","")&amp;IF(L27="Nyaman","grafis, ","")&amp;IF(M27="Nyaman","RAM, ","")&amp;IF(N27="Nyaman","penyimpanan, ","")&amp;IF(O27="Nyaman","layar, ","")&amp;IF(P27="Nyaman","refresh rate, ",""))</f>
        <v/>
      </c>
      <c r="Z27" s="33" t="str">
        <f aca="false">IF($A27="","",IF(Q27="Tidak dinilai","Belum ada kriteria yang dinilai untuk kebutuhan ini.",IF(Q27="Cocok","Semua kriteria yang dinilai sudah nyaman: "&amp;LEFT(Y27,LEN(Y27)-2)&amp;".",UPPER(LEFT(X27,1))&amp;MID(X27,2,LEN(X27)-3)&amp;"."&amp;IF(Y27="",""," Sudah nyaman: "&amp;LEFT(Y27,LEN(Y27)-2)&amp;"."))))</f>
        <v>Prosesor tingkat 2 dari 5 cukup, nyamannya mulai tingkat 3; RAM 8 GB cukup, nyamannya 16 GB atau lebih (bisa dinaikkan lewat slot sampai 32 GB); penyimpanan 256 GB cukup, nyamannya 512 GB atau lebih (bisa diganti dengan yang lebih besar).</v>
      </c>
      <c r="AA27" s="33"/>
      <c r="AB27" s="33"/>
      <c r="AC27" s="69"/>
    </row>
    <row r="28" customFormat="false" ht="15" hidden="false" customHeight="true" outlineLevel="0" collapsed="false">
      <c r="A28" s="33" t="str">
        <f aca="false">IF(Varian!$A9="","",Varian!$A9)</f>
        <v>lenovo-thinkpad-t480-i5-8350u-8-256</v>
      </c>
      <c r="B28" s="33" t="str">
        <f aca="false">IF($A28="","",Aturan!$A$24)</f>
        <v>Game ringan</v>
      </c>
      <c r="C28" s="69" t="n">
        <f aca="false">IF($A28="","",IFERROR(IF(ISNUMBER(INDEX(CPU!$J$4:$J$64,MATCH(Varian!$J9,CPU!$A$4:$A$64,0))),INDEX(CPU!$J$4:$J$64,MATCH(Varian!$J9,CPU!$A$4:$A$64,0)),""),""))</f>
        <v>2</v>
      </c>
      <c r="D28" s="69" t="n">
        <f aca="false">IF($A28="","",IFERROR(IF(ISNUMBER(INDEX(GPU!$G$4:$G$64,MATCH(Varian!$K9,GPU!$A$4:$A$64,0))),INDEX(GPU!$G$4:$G$64,MATCH(Varian!$K9,GPU!$A$4:$A$64,0)),""),""))</f>
        <v>1</v>
      </c>
      <c r="E28" s="69" t="n">
        <f aca="false">IF($A28="","",IF(ISNUMBER(Varian!$M9),Varian!$M9,""))</f>
        <v>8</v>
      </c>
      <c r="F28" s="69" t="n">
        <f aca="false">IF($A28="","",IF(ISNUMBER(Varian!$V9),Varian!$V9,""))</f>
        <v>256</v>
      </c>
      <c r="G28" s="69" t="str">
        <f aca="false">IF($A28="","",IFERROR(INDEX(Aturan!$B$63:$B$66,MATCH(Varian!$AG9,Aturan!$A$63:$A$66,0)),""))</f>
        <v/>
      </c>
      <c r="H28" s="69" t="str">
        <f aca="false">IF($A28="","",IF(ISNUMBER(Varian!$AI9),Varian!$AI9,""))</f>
        <v/>
      </c>
      <c r="I28" s="33" t="str">
        <f aca="false">IF($A28="","",IF(Varian!$Q9="disolder","menempel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8" s="33" t="str">
        <f aca="false">IF($A28="","",IF(Varian!$Z9="ya","bisa diganti dengan yang lebih besar",IF(Varian!$Z9="tidak","menempel, tidak bisa diganti","belum diketahui apakah bisa diganti")))</f>
        <v>bisa diganti dengan yang lebih besar</v>
      </c>
      <c r="K28" s="70" t="str">
        <f aca="false">IF($A28="","",IF(AND(Aturan!$C$48="",Aturan!$D$48=""),"Tidak dinilai",IF(C28="","Belum ada data",IF(C28&lt;IF(Aturan!$C$48="",0,Aturan!$C$48),"Kurang",IF(C28&gt;=IF(Aturan!$D$48="",Aturan!$C$48,Aturan!$D$48),"Nyaman","Cukup")))))</f>
        <v>Cukup</v>
      </c>
      <c r="L28" s="70" t="str">
        <f aca="false">IF($A28="","",IF(AND(Aturan!$C$49="",Aturan!$D$49=""),"Tidak dinilai",IF(D28="","Belum ada data",IF(D28&lt;IF(Aturan!$C$49="",0,Aturan!$C$49),"Kurang",IF(D28&gt;=IF(Aturan!$D$49="",Aturan!$C$49,Aturan!$D$49),"Nyaman","Cukup")))))</f>
        <v>Cukup</v>
      </c>
      <c r="M28" s="70" t="str">
        <f aca="false">IF($A28="","",IF(AND(Aturan!$C$50="",Aturan!$D$50=""),"Tidak dinilai",IF(E28="","Belum ada data",IF(E28&lt;IF(Aturan!$C$50="",0,Aturan!$C$50),"Kurang",IF(E28&gt;=IF(Aturan!$D$50="",Aturan!$C$50,Aturan!$D$50),"Nyaman","Cukup")))))</f>
        <v>Nyaman</v>
      </c>
      <c r="N28" s="70" t="str">
        <f aca="false">IF($A28="","",IF(AND(Aturan!$C$51="",Aturan!$D$51=""),"Tidak dinilai",IF(F28="","Belum ada data",IF(F28&lt;IF(Aturan!$C$51="",0,Aturan!$C$51),"Kurang",IF(F28&gt;=IF(Aturan!$D$51="",Aturan!$C$51,Aturan!$D$51),"Nyaman","Cukup")))))</f>
        <v>Nyaman</v>
      </c>
      <c r="O28" s="70" t="str">
        <f aca="false">IF($A28="","",IF(AND(Aturan!$C$52="",Aturan!$D$52=""),"Tidak dinilai",IF(G28="","Belum ada data",IF(G28&lt;IF(Aturan!$C$52="",0,Aturan!$C$52),"Kurang",IF(G28&gt;=IF(Aturan!$D$52="",Aturan!$C$52,Aturan!$D$52),"Nyaman","Cukup")))))</f>
        <v>Tidak dinilai</v>
      </c>
      <c r="P28" s="70" t="str">
        <f aca="false">IF($A28="","",IF(AND(Aturan!$C$53="",Aturan!$D$53=""),"Tidak dinilai",IF(H28="","Belum ada data",IF(H28&lt;IF(Aturan!$C$53="",0,Aturan!$C$53),"Kurang",IF(H28&gt;=IF(Aturan!$D$53="",Aturan!$C$53,Aturan!$D$53),"Nyaman","Cukup")))))</f>
        <v>Tidak dinilai</v>
      </c>
      <c r="Q28" s="70" t="str">
        <f aca="false">IF($A28="","",IF(COUNTIF(K28:P28,"Tidak dinilai")=6,"Tidak dinilai",IF(COUNTIF(K28:P28,"Kurang")&gt;0,"Kurang cocok",IF(COUNTIF(K28:P28,"Belum ada data")&gt;0,"Data belum lengkap",IF(COUNTIF(K28:P28,"Cukup")&gt;0,"Bisa, dengan catatan","Cocok")))))</f>
        <v>Bisa, dengan catatan</v>
      </c>
      <c r="R28" s="33" t="str">
        <f aca="false">IF($A28="","",IF(K28="Kurang","prosesor tingkat "&amp;C28&amp;" dari 5, di bawah batas minimal (tingkat "&amp;Aturan!$C$48&amp;")",IF(K28="Cukup","prosesor tingkat "&amp;C28&amp;" dari 5 cukup, nyamannya mulai tingkat "&amp;Aturan!$D$48,IF(K28="Belum ada data","tingkat prosesor belum diisi",""))))</f>
        <v>prosesor tingkat 2 dari 5 cukup, nyamannya mulai tingkat 3</v>
      </c>
      <c r="S28" s="33" t="str">
        <f aca="false">IF($A28="","",IF(L28="Kurang","grafis tingkat "&amp;D28&amp;" dari 5, di bawah batas minimal (tingkat "&amp;Aturan!$C$49&amp;")",IF(L28="Cukup","grafis tingkat "&amp;D28&amp;" dari 5 cukup, nyamannya mulai tingkat "&amp;Aturan!$D$49,IF(L28="Belum ada data","tingkat grafis belum diisi",""))))</f>
        <v>grafis tingkat 1 dari 5 cukup, nyamannya mulai tingkat 2</v>
      </c>
      <c r="T28" s="33" t="str">
        <f aca="false">IF($A28="","",IF(M28="Kurang","RAM "&amp;E28&amp;" GB, di bawah batas minimal "&amp;Aturan!$C$50&amp;" GB ("&amp;I28&amp;")",IF(M28="Cukup","RAM "&amp;E28&amp;" GB cukup, nyamannya "&amp;Aturan!$D$50&amp;" GB atau lebih ("&amp;I28&amp;")",IF(M28="Belum ada data","ukuran RAM belum diisi",""))))</f>
        <v/>
      </c>
      <c r="U28" s="33" t="str">
        <f aca="false">IF($A28="","",IF(N28="Kurang","penyimpanan "&amp;F28&amp;" GB, di bawah batas minimal "&amp;Aturan!$C$51&amp;" GB ("&amp;J28&amp;")",IF(N28="Cukup","penyimpanan "&amp;F28&amp;" GB cukup, nyamannya "&amp;Aturan!$D$51&amp;" GB atau lebih ("&amp;J28&amp;")",IF(N28="Belum ada data","ukuran penyimpanan belum diisi",""))))</f>
        <v/>
      </c>
      <c r="V28" s="33" t="str">
        <f aca="false">IF($A28="","",IF(O28="Kurang","layar "&amp;Varian!$AG9&amp;", di bawah batas minimal ("&amp;IFERROR(INDEX(Aturan!$A$63:$A$66,MATCH(Aturan!$C$52,Aturan!$B$63:$B$66,0)),"peringkat "&amp;Aturan!$C$52)&amp;")",IF(O28="Cukup","layar "&amp;Varian!$AG9&amp;" cukup, nyamannya "&amp;IFERROR(INDEX(Aturan!$A$63:$A$66,MATCH(Aturan!$D$52,Aturan!$B$63:$B$66,0)),"peringkat "&amp;Aturan!$D$52),IF(O28="Belum ada data","jenis layar belum diketahui",""))))</f>
        <v/>
      </c>
      <c r="W28" s="33" t="str">
        <f aca="false">IF($A28="","",IF(P28="Kurang","layar "&amp;H28&amp;" Hz, di bawah batas minimal "&amp;Aturan!$C$53&amp;" Hz",IF(P28="Cukup","layar "&amp;H28&amp;" Hz cukup, nyamannya "&amp;Aturan!$D$53&amp;" Hz atau lebih",IF(P28="Belum ada data","refresh rate belum diketahui",""))))</f>
        <v/>
      </c>
      <c r="X28" s="33" t="str">
        <f aca="false">IF($A28="","",IF(K28="Kurang",R28&amp;"; ","")&amp;IF(L28="Kurang",S28&amp;"; ","")&amp;IF(M28="Kurang",T28&amp;"; ","")&amp;IF(N28="Kurang",U28&amp;"; ","")&amp;IF(O28="Kurang",V28&amp;"; ","")&amp;IF(P28="Kurang",W28&amp;"; ","")&amp;IF(K28="Belum ada data",R28&amp;"; ","")&amp;IF(L28="Belum ada data",S28&amp;"; ","")&amp;IF(M28="Belum ada data",T28&amp;"; ","")&amp;IF(N28="Belum ada data",U28&amp;"; ","")&amp;IF(O28="Belum ada data",V28&amp;"; ","")&amp;IF(P28="Belum ada data",W28&amp;"; ","")&amp;IF(K28="Cukup",R28&amp;"; ","")&amp;IF(L28="Cukup",S28&amp;"; ","")&amp;IF(M28="Cukup",T28&amp;"; ","")&amp;IF(N28="Cukup",U28&amp;"; ","")&amp;IF(O28="Cukup",V28&amp;"; ","")&amp;IF(P28="Cukup",W28&amp;"; ",""))</f>
        <v>prosesor tingkat 2 dari 5 cukup, nyamannya mulai tingkat 3; grafis tingkat 1 dari 5 cukup, nyamannya mulai tingkat 2; </v>
      </c>
      <c r="Y28" s="33" t="str">
        <f aca="false">IF($A28="","",IF(K28="Nyaman","prosesor, ","")&amp;IF(L28="Nyaman","grafis, ","")&amp;IF(M28="Nyaman","RAM, ","")&amp;IF(N28="Nyaman","penyimpanan, ","")&amp;IF(O28="Nyaman","layar, ","")&amp;IF(P28="Nyaman","refresh rate, ",""))</f>
        <v>RAM, penyimpanan, </v>
      </c>
      <c r="Z28" s="33" t="str">
        <f aca="false">IF($A28="","",IF(Q28="Tidak dinilai","Belum ada kriteria yang dinilai untuk kebutuhan ini.",IF(Q28="Cocok","Semua kriteria yang dinilai sudah nyaman: "&amp;LEFT(Y28,LEN(Y28)-2)&amp;".",UPPER(LEFT(X28,1))&amp;MID(X28,2,LEN(X28)-3)&amp;"."&amp;IF(Y28="",""," Sudah nyaman: "&amp;LEFT(Y28,LEN(Y28)-2)&amp;"."))))</f>
        <v>Prosesor tingkat 2 dari 5 cukup, nyamannya mulai tingkat 3; grafis tingkat 1 dari 5 cukup, nyamannya mulai tingkat 2. Sudah nyaman: RAM, penyimpanan.</v>
      </c>
      <c r="AA28" s="33"/>
      <c r="AB28" s="33"/>
      <c r="AC28" s="69"/>
    </row>
    <row r="29" customFormat="false" ht="15" hidden="false" customHeight="true" outlineLevel="0" collapsed="false">
      <c r="A29" s="33" t="str">
        <f aca="false">IF(Varian!$A9="","",Varian!$A9)</f>
        <v>lenovo-thinkpad-t480-i5-8350u-8-256</v>
      </c>
      <c r="B29" s="33" t="str">
        <f aca="false">IF($A29="","",Aturan!$A$25)</f>
        <v>Game berat</v>
      </c>
      <c r="C29" s="69" t="n">
        <f aca="false">IF($A29="","",IFERROR(IF(ISNUMBER(INDEX(CPU!$J$4:$J$64,MATCH(Varian!$J9,CPU!$A$4:$A$64,0))),INDEX(CPU!$J$4:$J$64,MATCH(Varian!$J9,CPU!$A$4:$A$64,0)),""),""))</f>
        <v>2</v>
      </c>
      <c r="D29" s="69" t="n">
        <f aca="false">IF($A29="","",IFERROR(IF(ISNUMBER(INDEX(GPU!$G$4:$G$64,MATCH(Varian!$K9,GPU!$A$4:$A$64,0))),INDEX(GPU!$G$4:$G$64,MATCH(Varian!$K9,GPU!$A$4:$A$64,0)),""),""))</f>
        <v>1</v>
      </c>
      <c r="E29" s="69" t="n">
        <f aca="false">IF($A29="","",IF(ISNUMBER(Varian!$M9),Varian!$M9,""))</f>
        <v>8</v>
      </c>
      <c r="F29" s="69" t="n">
        <f aca="false">IF($A29="","",IF(ISNUMBER(Varian!$V9),Varian!$V9,""))</f>
        <v>256</v>
      </c>
      <c r="G29" s="69" t="str">
        <f aca="false">IF($A29="","",IFERROR(INDEX(Aturan!$B$63:$B$66,MATCH(Varian!$AG9,Aturan!$A$63:$A$66,0)),""))</f>
        <v/>
      </c>
      <c r="H29" s="69" t="str">
        <f aca="false">IF($A29="","",IF(ISNUMBER(Varian!$AI9),Varian!$AI9,""))</f>
        <v/>
      </c>
      <c r="I29" s="33" t="str">
        <f aca="false">IF($A29="","",IF(Varian!$Q9="disolder","menempel di papan utama, tidak bisa ditambah",IF(OR(Varian!$Q9="slot",Varian!$Q9="setengah_disolder"),IF(Varian!$Q9="setengah_disolder","sebagian menempel, ","")&amp;IF(ISNUMBER(Varian!$U9),IF(AND(ISNUMBER(Varian!$M9),Varian!$U9&gt;Varian!$M9),"bisa dinaikkan lewat slot sampai "&amp;Varian!$U9&amp;" GB","sudah di batas maksimal "&amp;Varian!$U9&amp;" GB"),"ada slot, batas maksimalnya belum diketahui"),"belum diketahui apakah bisa ditambah")))</f>
        <v>bisa dinaikkan lewat slot sampai 32 GB</v>
      </c>
      <c r="J29" s="33" t="str">
        <f aca="false">IF($A29="","",IF(Varian!$Z9="ya","bisa diganti dengan yang lebih besar",IF(Varian!$Z9="tidak","menempel, tidak bisa diganti","belum diketahui apakah bisa diganti")))</f>
        <v>bisa diganti dengan yang lebih besar</v>
      </c>
      <c r="K29" s="70" t="str">
        <f aca="false">IF($A29="","",IF(AND(Aturan!$C$54="",Aturan!$D$54=""),"Tidak dinilai",IF(C29="","Belum ada data",IF(C29&lt;IF(Aturan!$C$54="",0,Aturan!$C$54),"Kurang",IF(C29&gt;=IF(Aturan!$D$54="",Aturan!$C$54,Aturan!$D$54),"Nyaman","Cukup")))))</f>
        <v>Kurang</v>
      </c>
      <c r="L29" s="70" t="str">
        <f aca="false">IF($A29="","",IF(AND(Aturan!$C$55="",Aturan!$D$55=""),"Tidak dinilai",IF(D29="","Belum ada data",IF(D29&lt;IF(Aturan!$C$55="",0,Aturan!$C$55),"Kurang",IF(D29&gt;=IF(Aturan!$D$55="",Aturan!$C$55,Aturan!$D$55),"Nyaman","Cukup")))))</f>
        <v>Kurang</v>
      </c>
      <c r="M29" s="70" t="str">
        <f aca="false">IF($A29="","",IF(AND(Aturan!$C$56="",Aturan!$D$56=""),"Tidak dinilai",IF(E29="","Belum ada data",IF(E29&lt;IF(Aturan!$C$56="",0,Aturan!$C$56),"Kurang",IF(E29&gt;=IF(Aturan!$D$56="",Aturan!$C$56,Aturan!$D$56),"Nyaman","Cukup")))))</f>
        <v>Cukup</v>
      </c>
      <c r="N29" s="70" t="str">
        <f aca="false">IF($A29="","",IF(AND(Aturan!$C$57="",Aturan!$D$57=""),"Tidak dinilai",IF(F29="","Belum ada data",IF(F29&lt;IF(Aturan!$C$57="",0,Aturan!$C$57),"Kurang",IF(F29&gt;=IF(Aturan!$D$57="",Aturan!$C$57,Aturan!$D$57),"Nyaman","Cukup")))))</f>
        <v>Kurang</v>
      </c>
      <c r="O29" s="70" t="str">
        <f aca="false">IF($A29="","",IF(AND(Aturan!$C$58="",Aturan!$D$58=""),"Tidak dinilai",IF(G29="","Belum ada data",IF(G29&lt;IF(Aturan!$C$58="",0,Aturan!$C$58),"Kurang",IF(G29&gt;=IF(Aturan!$D$58="",Aturan!$C$58,Aturan!$D$58),"Nyaman","Cukup")))))</f>
        <v>Tidak dinilai</v>
      </c>
      <c r="P29" s="70" t="str">
        <f aca="false">IF($A29="","",IF(AND(Aturan!$C$59="",Aturan!$D$59=""),"Tidak dinilai",IF(H29="","Belum ada data",IF(H29&lt;IF(Aturan!$C$59="",0,Aturan!$C$59),"Kurang",IF(H29&gt;=IF(Aturan!$D$59="",Aturan!$C$59,Aturan!$D$59),"Nyaman","Cukup")))))</f>
        <v>Belum ada data</v>
      </c>
      <c r="Q29" s="70" t="str">
        <f aca="false">IF($A29="","",IF(COUNTIF(K29:P29,"Tidak dinilai")=6,"Tidak dinilai",IF(COUNTIF(K29:P29,"Kurang")&gt;0,"Kurang cocok",IF(COUNTIF(K29:P29,"Belum ada data")&gt;0,"Data belum lengkap",IF(COUNTIF(K29:P29,"Cukup")&gt;0,"Bisa, dengan catatan","Cocok")))))</f>
        <v>Kurang cocok</v>
      </c>
      <c r="R29" s="33" t="str">
        <f aca="false">IF($A29="","",IF(K29="Kurang","prosesor tingkat "&amp;C29&amp;" dari 5, di bawah batas minimal (tingkat "&amp;Aturan!$C$54&amp;")",IF(K29="Cukup","prosesor tingkat "&amp;C29&amp;" dari 5 cukup, nyamannya mulai tingkat "&amp;Aturan!$D$54,IF(K29="Belum ada data","tingkat prosesor belum diisi",""))))</f>
        <v>prosesor tingkat 2 dari 5, di bawah batas minimal (tingkat 3)</v>
      </c>
      <c r="S29" s="33" t="str">
        <f aca="false">IF($A29="","",IF(L29="Kurang","grafis tingkat "&amp;D29&amp;" dari 5, di bawah batas minimal (tingkat "&amp;Aturan!$C$55&amp;")",IF(L29="Cukup","grafis tingkat "&amp;D29&amp;" dari 5 cukup, nyamannya mulai tingkat "&amp;Aturan!$D$55,IF(L29="Belum ada data","tingkat grafis belum diisi",""))))</f>
        <v>grafis tingkat 1 dari 5, di bawah batas minimal (tingkat 3)</v>
      </c>
      <c r="T29" s="33" t="str">
        <f aca="false">IF($A29="","",IF(M29="Kurang","RAM "&amp;E29&amp;" GB, di bawah batas minimal "&amp;Aturan!$C$56&amp;" GB ("&amp;I29&amp;")",IF(M29="Cukup","RAM "&amp;E29&amp;" GB cukup, nyamannya "&amp;Aturan!$D$56&amp;" GB atau lebih ("&amp;I29&amp;")",IF(M29="Belum ada data","ukuran RAM belum diisi",""))))</f>
        <v>RAM 8 GB cukup, nyamannya 16 GB atau lebih (bisa dinaikkan lewat slot sampai 32 GB)</v>
      </c>
      <c r="U29" s="33" t="str">
        <f aca="false">IF($A29="","",IF(N29="Kurang","penyimpanan "&amp;F29&amp;" GB, di bawah batas minimal "&amp;Aturan!$C$57&amp;" GB ("&amp;J29&amp;")",IF(N29="Cukup","penyimpanan "&amp;F29&amp;" GB cukup, nyamannya "&amp;Aturan!$D$57&amp;" GB atau lebih ("&amp;J29&amp;")",IF(N29="Belum ada data","ukuran penyimpanan belum diisi",""))))</f>
        <v>penyimpanan 256 GB, di bawah batas minimal 512 GB (bisa diganti dengan yang lebih besar)</v>
      </c>
      <c r="V29" s="33" t="str">
        <f aca="false">IF($A29="","",IF(O29="Kurang","layar "&amp;Varian!$AG9&amp;", di bawah batas minimal ("&amp;IFERROR(INDEX(Aturan!$A$63:$A$66,MATCH(Aturan!$C$58,Aturan!$B$63:$B$66,0)),"peringkat "&amp;Aturan!$C$58)&amp;")",IF(O29="Cukup","layar "&amp;Varian!$AG9&amp;" cukup, nyamannya "&amp;IFERROR(INDEX(Aturan!$A$63:$A$66,MATCH(Aturan!$D$58,Aturan!$B$63:$B$66,0)),"peringkat "&amp;Aturan!$D$58),IF(O29="Belum ada data","jenis layar belum diketahui",""))))</f>
        <v/>
      </c>
      <c r="W29" s="33" t="str">
        <f aca="false">IF($A29="","",IF(P29="Kurang","layar "&amp;H29&amp;" Hz, di bawah batas minimal "&amp;Aturan!$C$59&amp;" Hz",IF(P29="Cukup","layar "&amp;H29&amp;" Hz cukup, nyamannya "&amp;Aturan!$D$59&amp;" Hz atau lebih",IF(P29="Belum ada data","refresh rate belum diketahui",""))))</f>
        <v>refresh rate belum diketahui</v>
      </c>
      <c r="X29" s="33" t="str">
        <f aca="false">IF($A29="","",IF(K29="Kurang",R29&amp;"; ","")&amp;IF(L29="Kurang",S29&amp;"; ","")&amp;IF(M29="Kurang",T29&amp;"; ","")&amp;IF(N29="Kurang",U29&amp;"; ","")&amp;IF(O29="Kurang",V29&amp;"; ","")&amp;IF(P29="Kurang",W29&amp;"; ","")&amp;IF(K29="Belum ada data",R29&amp;"; ","")&amp;IF(L29="Belum ada data",S29&amp;"; ","")&amp;IF(M29="Belum ada data",T29&amp;"; ","")&amp;IF(N29="Belum ada data",U29&amp;"; ","")&amp;IF(O29="Belum ada data",V29&amp;"; ","")&amp;IF(P29="Belum ada data",W29&amp;"; ","")&amp;IF(K29="Cukup",R29&amp;"; ","")&amp;IF(L29="Cukup",S29&amp;"; ","")&amp;IF(M29="Cukup",T29&amp;"; ","")&amp;IF(N29="Cukup",U29&amp;"; ","")&amp;IF(O29="Cukup",V29&amp;"; ","")&amp;IF(P29="Cukup",W29&amp;";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29" s="33" t="str">
        <f aca="false">IF($A29="","",IF(K29="Nyaman","prosesor, ","")&amp;IF(L29="Nyaman","grafis, ","")&amp;IF(M29="Nyaman","RAM, ","")&amp;IF(N29="Nyaman","penyimpanan, ","")&amp;IF(O29="Nyaman","layar, ","")&amp;IF(P29="Nyaman","refresh rate, ",""))</f>
        <v/>
      </c>
      <c r="Z29" s="33" t="str">
        <f aca="false">IF($A29="","",IF(Q29="Tidak dinilai","Belum ada kriteria yang dinilai untuk kebutuhan ini.",IF(Q29="Cocok","Semua kriteria yang dinilai sudah nyaman: "&amp;LEFT(Y29,LEN(Y29)-2)&amp;".",UPPER(LEFT(X29,1))&amp;MID(X29,2,LEN(X29)-3)&amp;"."&amp;IF(Y29="",""," Sudah nyaman: "&amp;LEFT(Y29,LEN(Y29)-2)&amp;"."))))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29" s="33"/>
      <c r="AB29" s="33"/>
      <c r="AC29" s="69"/>
    </row>
    <row r="30" customFormat="false" ht="15" hidden="false" customHeight="true" outlineLevel="0" collapsed="false">
      <c r="A30" s="66" t="str">
        <f aca="false">IF(Varian!$A10="","",Varian!$A10)</f>
        <v>lenovo-thinkpad-t480-i5-8350u-16-512</v>
      </c>
      <c r="B30" s="66" t="str">
        <f aca="false">IF($A30="","",Aturan!$A$21)</f>
        <v>Kuliah dan kantor</v>
      </c>
      <c r="C30" s="67" t="n">
        <f aca="false">IF($A30="","",IFERROR(IF(ISNUMBER(INDEX(CPU!$J$4:$J$64,MATCH(Varian!$J10,CPU!$A$4:$A$64,0))),INDEX(CPU!$J$4:$J$64,MATCH(Varian!$J10,CPU!$A$4:$A$64,0)),""),""))</f>
        <v>2</v>
      </c>
      <c r="D30" s="67" t="n">
        <f aca="false">IF($A30="","",IFERROR(IF(ISNUMBER(INDEX(GPU!$G$4:$G$64,MATCH(Varian!$K10,GPU!$A$4:$A$64,0))),INDEX(GPU!$G$4:$G$64,MATCH(Varian!$K10,GPU!$A$4:$A$64,0)),""),""))</f>
        <v>1</v>
      </c>
      <c r="E30" s="67" t="n">
        <f aca="false">IF($A30="","",IF(ISNUMBER(Varian!$M10),Varian!$M10,""))</f>
        <v>16</v>
      </c>
      <c r="F30" s="67" t="n">
        <f aca="false">IF($A30="","",IF(ISNUMBER(Varian!$V10),Varian!$V10,""))</f>
        <v>512</v>
      </c>
      <c r="G30" s="67" t="str">
        <f aca="false">IF($A30="","",IFERROR(INDEX(Aturan!$B$63:$B$66,MATCH(Varian!$AG10,Aturan!$A$63:$A$66,0)),""))</f>
        <v/>
      </c>
      <c r="H30" s="67" t="str">
        <f aca="false">IF($A30="","",IF(ISNUMBER(Varian!$AI10),Varian!$AI10,""))</f>
        <v/>
      </c>
      <c r="I30" s="66" t="str">
        <f aca="false">IF($A30="","",IF(Varian!$Q10="disolder","menempel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0" s="66" t="str">
        <f aca="false">IF($A30="","",IF(Varian!$Z10="ya","bisa diganti dengan yang lebih besar",IF(Varian!$Z10="tidak","menempel, tidak bisa diganti","belum diketahui apakah bisa diganti")))</f>
        <v>bisa diganti dengan yang lebih besar</v>
      </c>
      <c r="K30" s="68" t="str">
        <f aca="false">IF($A30="","",IF(AND(Aturan!$C$30="",Aturan!$D$30=""),"Tidak dinilai",IF(C30="","Belum ada data",IF(C30&lt;IF(Aturan!$C$30="",0,Aturan!$C$30),"Kurang",IF(C30&gt;=IF(Aturan!$D$30="",Aturan!$C$30,Aturan!$D$30),"Nyaman","Cukup")))))</f>
        <v>Nyaman</v>
      </c>
      <c r="L30" s="68" t="str">
        <f aca="false">IF($A30="","",IF(AND(Aturan!$C$31="",Aturan!$D$31=""),"Tidak dinilai",IF(D30="","Belum ada data",IF(D30&lt;IF(Aturan!$C$31="",0,Aturan!$C$31),"Kurang",IF(D30&gt;=IF(Aturan!$D$31="",Aturan!$C$31,Aturan!$D$31),"Nyaman","Cukup")))))</f>
        <v>Tidak dinilai</v>
      </c>
      <c r="M30" s="68" t="str">
        <f aca="false">IF($A30="","",IF(AND(Aturan!$C$32="",Aturan!$D$32=""),"Tidak dinilai",IF(E30="","Belum ada data",IF(E30&lt;IF(Aturan!$C$32="",0,Aturan!$C$32),"Kurang",IF(E30&gt;=IF(Aturan!$D$32="",Aturan!$C$32,Aturan!$D$32),"Nyaman","Cukup")))))</f>
        <v>Nyaman</v>
      </c>
      <c r="N30" s="68" t="str">
        <f aca="false">IF($A30="","",IF(AND(Aturan!$C$33="",Aturan!$D$33=""),"Tidak dinilai",IF(F30="","Belum ada data",IF(F30&lt;IF(Aturan!$C$33="",0,Aturan!$C$33),"Kurang",IF(F30&gt;=IF(Aturan!$D$33="",Aturan!$C$33,Aturan!$D$33),"Nyaman","Cukup")))))</f>
        <v>Nyaman</v>
      </c>
      <c r="O30" s="68" t="str">
        <f aca="false">IF($A30="","",IF(AND(Aturan!$C$34="",Aturan!$D$34=""),"Tidak dinilai",IF(G30="","Belum ada data",IF(G30&lt;IF(Aturan!$C$34="",0,Aturan!$C$34),"Kurang",IF(G30&gt;=IF(Aturan!$D$34="",Aturan!$C$34,Aturan!$D$34),"Nyaman","Cukup")))))</f>
        <v>Tidak dinilai</v>
      </c>
      <c r="P30" s="68" t="str">
        <f aca="false">IF($A30="","",IF(AND(Aturan!$C$35="",Aturan!$D$35=""),"Tidak dinilai",IF(H30="","Belum ada data",IF(H30&lt;IF(Aturan!$C$35="",0,Aturan!$C$35),"Kurang",IF(H30&gt;=IF(Aturan!$D$35="",Aturan!$C$35,Aturan!$D$35),"Nyaman","Cukup")))))</f>
        <v>Tidak dinilai</v>
      </c>
      <c r="Q30" s="68" t="str">
        <f aca="false">IF($A30="","",IF(COUNTIF(K30:P30,"Tidak dinilai")=6,"Tidak dinilai",IF(COUNTIF(K30:P30,"Kurang")&gt;0,"Kurang cocok",IF(COUNTIF(K30:P30,"Belum ada data")&gt;0,"Data belum lengkap",IF(COUNTIF(K30:P30,"Cukup")&gt;0,"Bisa, dengan catatan","Cocok")))))</f>
        <v>Cocok</v>
      </c>
      <c r="R30" s="66" t="str">
        <f aca="false">IF($A30="","",IF(K30="Kurang","prosesor tingkat "&amp;C30&amp;" dari 5, di bawah batas minimal (tingkat "&amp;Aturan!$C$30&amp;")",IF(K30="Cukup","prosesor tingkat "&amp;C30&amp;" dari 5 cukup, nyamannya mulai tingkat "&amp;Aturan!$D$30,IF(K30="Belum ada data","tingkat prosesor belum diisi",""))))</f>
        <v/>
      </c>
      <c r="S30" s="66" t="str">
        <f aca="false">IF($A30="","",IF(L30="Kurang","grafis tingkat "&amp;D30&amp;" dari 5, di bawah batas minimal (tingkat "&amp;Aturan!$C$31&amp;")",IF(L30="Cukup","grafis tingkat "&amp;D30&amp;" dari 5 cukup, nyamannya mulai tingkat "&amp;Aturan!$D$31,IF(L30="Belum ada data","tingkat grafis belum diisi",""))))</f>
        <v/>
      </c>
      <c r="T30" s="66" t="str">
        <f aca="false">IF($A30="","",IF(M30="Kurang","RAM "&amp;E30&amp;" GB, di bawah batas minimal "&amp;Aturan!$C$32&amp;" GB ("&amp;I30&amp;")",IF(M30="Cukup","RAM "&amp;E30&amp;" GB cukup, nyamannya "&amp;Aturan!$D$32&amp;" GB atau lebih ("&amp;I30&amp;")",IF(M30="Belum ada data","ukuran RAM belum diisi",""))))</f>
        <v/>
      </c>
      <c r="U30" s="66" t="str">
        <f aca="false">IF($A30="","",IF(N30="Kurang","penyimpanan "&amp;F30&amp;" GB, di bawah batas minimal "&amp;Aturan!$C$33&amp;" GB ("&amp;J30&amp;")",IF(N30="Cukup","penyimpanan "&amp;F30&amp;" GB cukup, nyamannya "&amp;Aturan!$D$33&amp;" GB atau lebih ("&amp;J30&amp;")",IF(N30="Belum ada data","ukuran penyimpanan belum diisi",""))))</f>
        <v/>
      </c>
      <c r="V30" s="66" t="str">
        <f aca="false">IF($A30="","",IF(O30="Kurang","layar "&amp;Varian!$AG10&amp;", di bawah batas minimal ("&amp;IFERROR(INDEX(Aturan!$A$63:$A$66,MATCH(Aturan!$C$34,Aturan!$B$63:$B$66,0)),"peringkat "&amp;Aturan!$C$34)&amp;")",IF(O30="Cukup","layar "&amp;Varian!$AG10&amp;" cukup, nyamannya "&amp;IFERROR(INDEX(Aturan!$A$63:$A$66,MATCH(Aturan!$D$34,Aturan!$B$63:$B$66,0)),"peringkat "&amp;Aturan!$D$34),IF(O30="Belum ada data","jenis layar belum diketahui",""))))</f>
        <v/>
      </c>
      <c r="W30" s="66" t="str">
        <f aca="false">IF($A30="","",IF(P30="Kurang","layar "&amp;H30&amp;" Hz, di bawah batas minimal "&amp;Aturan!$C$35&amp;" Hz",IF(P30="Cukup","layar "&amp;H30&amp;" Hz cukup, nyamannya "&amp;Aturan!$D$35&amp;" Hz atau lebih",IF(P30="Belum ada data","refresh rate belum diketahui",""))))</f>
        <v/>
      </c>
      <c r="X30" s="66" t="str">
        <f aca="false">IF($A30="","",IF(K30="Kurang",R30&amp;"; ","")&amp;IF(L30="Kurang",S30&amp;"; ","")&amp;IF(M30="Kurang",T30&amp;"; ","")&amp;IF(N30="Kurang",U30&amp;"; ","")&amp;IF(O30="Kurang",V30&amp;"; ","")&amp;IF(P30="Kurang",W30&amp;"; ","")&amp;IF(K30="Belum ada data",R30&amp;"; ","")&amp;IF(L30="Belum ada data",S30&amp;"; ","")&amp;IF(M30="Belum ada data",T30&amp;"; ","")&amp;IF(N30="Belum ada data",U30&amp;"; ","")&amp;IF(O30="Belum ada data",V30&amp;"; ","")&amp;IF(P30="Belum ada data",W30&amp;"; ","")&amp;IF(K30="Cukup",R30&amp;"; ","")&amp;IF(L30="Cukup",S30&amp;"; ","")&amp;IF(M30="Cukup",T30&amp;"; ","")&amp;IF(N30="Cukup",U30&amp;"; ","")&amp;IF(O30="Cukup",V30&amp;"; ","")&amp;IF(P30="Cukup",W30&amp;"; ",""))</f>
        <v/>
      </c>
      <c r="Y30" s="66" t="str">
        <f aca="false">IF($A30="","",IF(K30="Nyaman","prosesor, ","")&amp;IF(L30="Nyaman","grafis, ","")&amp;IF(M30="Nyaman","RAM, ","")&amp;IF(N30="Nyaman","penyimpanan, ","")&amp;IF(O30="Nyaman","layar, ","")&amp;IF(P30="Nyaman","refresh rate, ",""))</f>
        <v>prosesor, RAM, penyimpanan, </v>
      </c>
      <c r="Z30" s="66" t="str">
        <f aca="false">IF($A30="","",IF(Q30="Tidak dinilai","Belum ada kriteria yang dinilai untuk kebutuhan ini.",IF(Q30="Cocok","Semua kriteria yang dinilai sudah nyaman: "&amp;LEFT(Y30,LEN(Y30)-2)&amp;".",UPPER(LEFT(X30,1))&amp;MID(X30,2,LEN(X30)-3)&amp;"."&amp;IF(Y30="",""," Sudah nyaman: "&amp;LEFT(Y30,LEN(Y30)-2)&amp;"."))))</f>
        <v>Semua kriteria yang dinilai sudah nyaman: prosesor, RAM, penyimpanan.</v>
      </c>
      <c r="AA30" s="66" t="str">
        <f aca="false">IF($A30="","",IF(Varian!$AR10="Windows 10","• "&amp;Aturan!$E$71&amp;CHAR(10),"")&amp;IF(Varian!$BB10="tidak","• "&amp;Aturan!$E$72&amp;CHAR(10),"")&amp;IF(OR(Varian!$AD10="belum terverifikasi",Varian!$AD10="tidak diketahui"),"• "&amp;Aturan!$E$73&amp;CHAR(10),"")&amp;IF(Varian!$AH10="1366x768","• "&amp;Aturan!$E$74&amp;CHAR(10),"")&amp;IF(Varian!$AG10="TN","• "&amp;Aturan!$E$75&amp;CHAR(10),"")&amp;IF(AND(Varian!$Q10="disolder",ISNUMBER(Varian!$M10),Varian!$M10&lt;=8),"• "&amp;Aturan!$E$76&amp;CHAR(10),""))</f>
        <v/>
      </c>
      <c r="AB30" s="66" t="str">
        <f aca="false">IF($A30="","",IF(AA30="","",LEFT(AA30,LEN(AA30)-1)))</f>
        <v/>
      </c>
      <c r="AC30" s="67" t="n">
        <f aca="false">IF($A30="","",IF(AA30="",0,LEN(AA30)-LEN(SUBSTITUTE(AA30,CHAR(10),""))))</f>
        <v>0</v>
      </c>
    </row>
    <row r="31" customFormat="false" ht="15" hidden="false" customHeight="true" outlineLevel="0" collapsed="false">
      <c r="A31" s="33" t="str">
        <f aca="false">IF(Varian!$A10="","",Varian!$A10)</f>
        <v>lenovo-thinkpad-t480-i5-8350u-16-512</v>
      </c>
      <c r="B31" s="33" t="str">
        <f aca="false">IF($A31="","",Aturan!$A$22)</f>
        <v>Desain grafis</v>
      </c>
      <c r="C31" s="69" t="n">
        <f aca="false">IF($A31="","",IFERROR(IF(ISNUMBER(INDEX(CPU!$J$4:$J$64,MATCH(Varian!$J10,CPU!$A$4:$A$64,0))),INDEX(CPU!$J$4:$J$64,MATCH(Varian!$J10,CPU!$A$4:$A$64,0)),""),""))</f>
        <v>2</v>
      </c>
      <c r="D31" s="69" t="n">
        <f aca="false">IF($A31="","",IFERROR(IF(ISNUMBER(INDEX(GPU!$G$4:$G$64,MATCH(Varian!$K10,GPU!$A$4:$A$64,0))),INDEX(GPU!$G$4:$G$64,MATCH(Varian!$K10,GPU!$A$4:$A$64,0)),""),""))</f>
        <v>1</v>
      </c>
      <c r="E31" s="69" t="n">
        <f aca="false">IF($A31="","",IF(ISNUMBER(Varian!$M10),Varian!$M10,""))</f>
        <v>16</v>
      </c>
      <c r="F31" s="69" t="n">
        <f aca="false">IF($A31="","",IF(ISNUMBER(Varian!$V10),Varian!$V10,""))</f>
        <v>512</v>
      </c>
      <c r="G31" s="69" t="str">
        <f aca="false">IF($A31="","",IFERROR(INDEX(Aturan!$B$63:$B$66,MATCH(Varian!$AG10,Aturan!$A$63:$A$66,0)),""))</f>
        <v/>
      </c>
      <c r="H31" s="69" t="str">
        <f aca="false">IF($A31="","",IF(ISNUMBER(Varian!$AI10),Varian!$AI10,""))</f>
        <v/>
      </c>
      <c r="I31" s="33" t="str">
        <f aca="false">IF($A31="","",IF(Varian!$Q10="disolder","menempel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1" s="33" t="str">
        <f aca="false">IF($A31="","",IF(Varian!$Z10="ya","bisa diganti dengan yang lebih besar",IF(Varian!$Z10="tidak","menempel, tidak bisa diganti","belum diketahui apakah bisa diganti")))</f>
        <v>bisa diganti dengan yang lebih besar</v>
      </c>
      <c r="K31" s="70" t="str">
        <f aca="false">IF($A31="","",IF(AND(Aturan!$C$36="",Aturan!$D$36=""),"Tidak dinilai",IF(C31="","Belum ada data",IF(C31&lt;IF(Aturan!$C$36="",0,Aturan!$C$36),"Kurang",IF(C31&gt;=IF(Aturan!$D$36="",Aturan!$C$36,Aturan!$D$36),"Nyaman","Cukup")))))</f>
        <v>Cukup</v>
      </c>
      <c r="L31" s="70" t="str">
        <f aca="false">IF($A31="","",IF(AND(Aturan!$C$37="",Aturan!$D$37=""),"Tidak dinilai",IF(D31="","Belum ada data",IF(D31&lt;IF(Aturan!$C$37="",0,Aturan!$C$37),"Kurang",IF(D31&gt;=IF(Aturan!$D$37="",Aturan!$C$37,Aturan!$D$37),"Nyaman","Cukup")))))</f>
        <v>Cukup</v>
      </c>
      <c r="M31" s="70" t="str">
        <f aca="false">IF($A31="","",IF(AND(Aturan!$C$38="",Aturan!$D$38=""),"Tidak dinilai",IF(E31="","Belum ada data",IF(E31&lt;IF(Aturan!$C$38="",0,Aturan!$C$38),"Kurang",IF(E31&gt;=IF(Aturan!$D$38="",Aturan!$C$38,Aturan!$D$38),"Nyaman","Cukup")))))</f>
        <v>Nyaman</v>
      </c>
      <c r="N31" s="70" t="str">
        <f aca="false">IF($A31="","",IF(AND(Aturan!$C$39="",Aturan!$D$39=""),"Tidak dinilai",IF(F31="","Belum ada data",IF(F31&lt;IF(Aturan!$C$39="",0,Aturan!$C$39),"Kurang",IF(F31&gt;=IF(Aturan!$D$39="",Aturan!$C$39,Aturan!$D$39),"Nyaman","Cukup")))))</f>
        <v>Nyaman</v>
      </c>
      <c r="O31" s="70" t="str">
        <f aca="false">IF($A31="","",IF(AND(Aturan!$C$40="",Aturan!$D$40=""),"Tidak dinilai",IF(G31="","Belum ada data",IF(G31&lt;IF(Aturan!$C$40="",0,Aturan!$C$40),"Kurang",IF(G31&gt;=IF(Aturan!$D$40="",Aturan!$C$40,Aturan!$D$40),"Nyaman","Cukup")))))</f>
        <v>Belum ada data</v>
      </c>
      <c r="P31" s="70" t="str">
        <f aca="false">IF($A31="","",IF(AND(Aturan!$C$41="",Aturan!$D$41=""),"Tidak dinilai",IF(H31="","Belum ada data",IF(H31&lt;IF(Aturan!$C$41="",0,Aturan!$C$41),"Kurang",IF(H31&gt;=IF(Aturan!$D$41="",Aturan!$C$41,Aturan!$D$41),"Nyaman","Cukup")))))</f>
        <v>Tidak dinilai</v>
      </c>
      <c r="Q31" s="70" t="str">
        <f aca="false">IF($A31="","",IF(COUNTIF(K31:P31,"Tidak dinilai")=6,"Tidak dinilai",IF(COUNTIF(K31:P31,"Kurang")&gt;0,"Kurang cocok",IF(COUNTIF(K31:P31,"Belum ada data")&gt;0,"Data belum lengkap",IF(COUNTIF(K31:P31,"Cukup")&gt;0,"Bisa, dengan catatan","Cocok")))))</f>
        <v>Data belum lengkap</v>
      </c>
      <c r="R31" s="33" t="str">
        <f aca="false">IF($A31="","",IF(K31="Kurang","prosesor tingkat "&amp;C31&amp;" dari 5, di bawah batas minimal (tingkat "&amp;Aturan!$C$36&amp;")",IF(K31="Cukup","prosesor tingkat "&amp;C31&amp;" dari 5 cukup, nyamannya mulai tingkat "&amp;Aturan!$D$36,IF(K31="Belum ada data","tingkat prosesor belum diisi",""))))</f>
        <v>prosesor tingkat 2 dari 5 cukup, nyamannya mulai tingkat 3</v>
      </c>
      <c r="S31" s="33" t="str">
        <f aca="false">IF($A31="","",IF(L31="Kurang","grafis tingkat "&amp;D31&amp;" dari 5, di bawah batas minimal (tingkat "&amp;Aturan!$C$37&amp;")",IF(L31="Cukup","grafis tingkat "&amp;D31&amp;" dari 5 cukup, nyamannya mulai tingkat "&amp;Aturan!$D$37,IF(L31="Belum ada data","tingkat grafis belum diisi",""))))</f>
        <v>grafis tingkat 1 dari 5 cukup, nyamannya mulai tingkat 2</v>
      </c>
      <c r="T31" s="33" t="str">
        <f aca="false">IF($A31="","",IF(M31="Kurang","RAM "&amp;E31&amp;" GB, di bawah batas minimal "&amp;Aturan!$C$38&amp;" GB ("&amp;I31&amp;")",IF(M31="Cukup","RAM "&amp;E31&amp;" GB cukup, nyamannya "&amp;Aturan!$D$38&amp;" GB atau lebih ("&amp;I31&amp;")",IF(M31="Belum ada data","ukuran RAM belum diisi",""))))</f>
        <v/>
      </c>
      <c r="U31" s="33" t="str">
        <f aca="false">IF($A31="","",IF(N31="Kurang","penyimpanan "&amp;F31&amp;" GB, di bawah batas minimal "&amp;Aturan!$C$39&amp;" GB ("&amp;J31&amp;")",IF(N31="Cukup","penyimpanan "&amp;F31&amp;" GB cukup, nyamannya "&amp;Aturan!$D$39&amp;" GB atau lebih ("&amp;J31&amp;")",IF(N31="Belum ada data","ukuran penyimpanan belum diisi",""))))</f>
        <v/>
      </c>
      <c r="V31" s="33" t="str">
        <f aca="false">IF($A31="","",IF(O31="Kurang","layar "&amp;Varian!$AG10&amp;", di bawah batas minimal ("&amp;IFERROR(INDEX(Aturan!$A$63:$A$66,MATCH(Aturan!$C$40,Aturan!$B$63:$B$66,0)),"peringkat "&amp;Aturan!$C$40)&amp;")",IF(O31="Cukup","layar "&amp;Varian!$AG10&amp;" cukup, nyamannya "&amp;IFERROR(INDEX(Aturan!$A$63:$A$66,MATCH(Aturan!$D$40,Aturan!$B$63:$B$66,0)),"peringkat "&amp;Aturan!$D$40),IF(O31="Belum ada data","jenis layar belum diketahui",""))))</f>
        <v>jenis layar belum diketahui</v>
      </c>
      <c r="W31" s="33" t="str">
        <f aca="false">IF($A31="","",IF(P31="Kurang","layar "&amp;H31&amp;" Hz, di bawah batas minimal "&amp;Aturan!$C$41&amp;" Hz",IF(P31="Cukup","layar "&amp;H31&amp;" Hz cukup, nyamannya "&amp;Aturan!$D$41&amp;" Hz atau lebih",IF(P31="Belum ada data","refresh rate belum diketahui",""))))</f>
        <v/>
      </c>
      <c r="X31" s="33" t="str">
        <f aca="false">IF($A31="","",IF(K31="Kurang",R31&amp;"; ","")&amp;IF(L31="Kurang",S31&amp;"; ","")&amp;IF(M31="Kurang",T31&amp;"; ","")&amp;IF(N31="Kurang",U31&amp;"; ","")&amp;IF(O31="Kurang",V31&amp;"; ","")&amp;IF(P31="Kurang",W31&amp;"; ","")&amp;IF(K31="Belum ada data",R31&amp;"; ","")&amp;IF(L31="Belum ada data",S31&amp;"; ","")&amp;IF(M31="Belum ada data",T31&amp;"; ","")&amp;IF(N31="Belum ada data",U31&amp;"; ","")&amp;IF(O31="Belum ada data",V31&amp;"; ","")&amp;IF(P31="Belum ada data",W31&amp;"; ","")&amp;IF(K31="Cukup",R31&amp;"; ","")&amp;IF(L31="Cukup",S31&amp;"; ","")&amp;IF(M31="Cukup",T31&amp;"; ","")&amp;IF(N31="Cukup",U31&amp;"; ","")&amp;IF(O31="Cukup",V31&amp;"; ","")&amp;IF(P31="Cukup",W31&amp;"; ",""))</f>
        <v>jenis layar belum diketahui; prosesor tingkat 2 dari 5 cukup, nyamannya mulai tingkat 3; grafis tingkat 1 dari 5 cukup, nyamannya mulai tingkat 2; </v>
      </c>
      <c r="Y31" s="33" t="str">
        <f aca="false">IF($A31="","",IF(K31="Nyaman","prosesor, ","")&amp;IF(L31="Nyaman","grafis, ","")&amp;IF(M31="Nyaman","RAM, ","")&amp;IF(N31="Nyaman","penyimpanan, ","")&amp;IF(O31="Nyaman","layar, ","")&amp;IF(P31="Nyaman","refresh rate, ",""))</f>
        <v>RAM, penyimpanan, </v>
      </c>
      <c r="Z31" s="33" t="str">
        <f aca="false">IF($A31="","",IF(Q31="Tidak dinilai","Belum ada kriteria yang dinilai untuk kebutuhan ini.",IF(Q31="Cocok","Semua kriteria yang dinilai sudah nyaman: "&amp;LEFT(Y31,LEN(Y31)-2)&amp;".",UPPER(LEFT(X31,1))&amp;MID(X31,2,LEN(X31)-3)&amp;"."&amp;IF(Y31="",""," Sudah nyaman: "&amp;LEFT(Y31,LEN(Y31)-2)&amp;"."))))</f>
        <v>Jenis layar belum diketahui; prosesor tingkat 2 dari 5 cukup, nyamannya mulai tingkat 3; grafis tingkat 1 dari 5 cukup, nyamannya mulai tingkat 2. Sudah nyaman: RAM, penyimpanan.</v>
      </c>
      <c r="AA31" s="33"/>
      <c r="AB31" s="33"/>
      <c r="AC31" s="69"/>
    </row>
    <row r="32" customFormat="false" ht="15" hidden="false" customHeight="true" outlineLevel="0" collapsed="false">
      <c r="A32" s="33" t="str">
        <f aca="false">IF(Varian!$A10="","",Varian!$A10)</f>
        <v>lenovo-thinkpad-t480-i5-8350u-16-512</v>
      </c>
      <c r="B32" s="33" t="str">
        <f aca="false">IF($A32="","",Aturan!$A$23)</f>
        <v>Pemrograman</v>
      </c>
      <c r="C32" s="69" t="n">
        <f aca="false">IF($A32="","",IFERROR(IF(ISNUMBER(INDEX(CPU!$J$4:$J$64,MATCH(Varian!$J10,CPU!$A$4:$A$64,0))),INDEX(CPU!$J$4:$J$64,MATCH(Varian!$J10,CPU!$A$4:$A$64,0)),""),""))</f>
        <v>2</v>
      </c>
      <c r="D32" s="69" t="n">
        <f aca="false">IF($A32="","",IFERROR(IF(ISNUMBER(INDEX(GPU!$G$4:$G$64,MATCH(Varian!$K10,GPU!$A$4:$A$64,0))),INDEX(GPU!$G$4:$G$64,MATCH(Varian!$K10,GPU!$A$4:$A$64,0)),""),""))</f>
        <v>1</v>
      </c>
      <c r="E32" s="69" t="n">
        <f aca="false">IF($A32="","",IF(ISNUMBER(Varian!$M10),Varian!$M10,""))</f>
        <v>16</v>
      </c>
      <c r="F32" s="69" t="n">
        <f aca="false">IF($A32="","",IF(ISNUMBER(Varian!$V10),Varian!$V10,""))</f>
        <v>512</v>
      </c>
      <c r="G32" s="69" t="str">
        <f aca="false">IF($A32="","",IFERROR(INDEX(Aturan!$B$63:$B$66,MATCH(Varian!$AG10,Aturan!$A$63:$A$66,0)),""))</f>
        <v/>
      </c>
      <c r="H32" s="69" t="str">
        <f aca="false">IF($A32="","",IF(ISNUMBER(Varian!$AI10),Varian!$AI10,""))</f>
        <v/>
      </c>
      <c r="I32" s="33" t="str">
        <f aca="false">IF($A32="","",IF(Varian!$Q10="disolder","menempel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2" s="33" t="str">
        <f aca="false">IF($A32="","",IF(Varian!$Z10="ya","bisa diganti dengan yang lebih besar",IF(Varian!$Z10="tidak","menempel, tidak bisa diganti","belum diketahui apakah bisa diganti")))</f>
        <v>bisa diganti dengan yang lebih besar</v>
      </c>
      <c r="K32" s="70" t="str">
        <f aca="false">IF($A32="","",IF(AND(Aturan!$C$42="",Aturan!$D$42=""),"Tidak dinilai",IF(C32="","Belum ada data",IF(C32&lt;IF(Aturan!$C$42="",0,Aturan!$C$42),"Kurang",IF(C32&gt;=IF(Aturan!$D$42="",Aturan!$C$42,Aturan!$D$42),"Nyaman","Cukup")))))</f>
        <v>Cukup</v>
      </c>
      <c r="L32" s="70" t="str">
        <f aca="false">IF($A32="","",IF(AND(Aturan!$C$43="",Aturan!$D$43=""),"Tidak dinilai",IF(D32="","Belum ada data",IF(D32&lt;IF(Aturan!$C$43="",0,Aturan!$C$43),"Kurang",IF(D32&gt;=IF(Aturan!$D$43="",Aturan!$C$43,Aturan!$D$43),"Nyaman","Cukup")))))</f>
        <v>Tidak dinilai</v>
      </c>
      <c r="M32" s="70" t="str">
        <f aca="false">IF($A32="","",IF(AND(Aturan!$C$44="",Aturan!$D$44=""),"Tidak dinilai",IF(E32="","Belum ada data",IF(E32&lt;IF(Aturan!$C$44="",0,Aturan!$C$44),"Kurang",IF(E32&gt;=IF(Aturan!$D$44="",Aturan!$C$44,Aturan!$D$44),"Nyaman","Cukup")))))</f>
        <v>Nyaman</v>
      </c>
      <c r="N32" s="70" t="str">
        <f aca="false">IF($A32="","",IF(AND(Aturan!$C$45="",Aturan!$D$45=""),"Tidak dinilai",IF(F32="","Belum ada data",IF(F32&lt;IF(Aturan!$C$45="",0,Aturan!$C$45),"Kurang",IF(F32&gt;=IF(Aturan!$D$45="",Aturan!$C$45,Aturan!$D$45),"Nyaman","Cukup")))))</f>
        <v>Nyaman</v>
      </c>
      <c r="O32" s="70" t="str">
        <f aca="false">IF($A32="","",IF(AND(Aturan!$C$46="",Aturan!$D$46=""),"Tidak dinilai",IF(G32="","Belum ada data",IF(G32&lt;IF(Aturan!$C$46="",0,Aturan!$C$46),"Kurang",IF(G32&gt;=IF(Aturan!$D$46="",Aturan!$C$46,Aturan!$D$46),"Nyaman","Cukup")))))</f>
        <v>Tidak dinilai</v>
      </c>
      <c r="P32" s="70" t="str">
        <f aca="false">IF($A32="","",IF(AND(Aturan!$C$47="",Aturan!$D$47=""),"Tidak dinilai",IF(H32="","Belum ada data",IF(H32&lt;IF(Aturan!$C$47="",0,Aturan!$C$47),"Kurang",IF(H32&gt;=IF(Aturan!$D$47="",Aturan!$C$47,Aturan!$D$47),"Nyaman","Cukup")))))</f>
        <v>Tidak dinilai</v>
      </c>
      <c r="Q32" s="70" t="str">
        <f aca="false">IF($A32="","",IF(COUNTIF(K32:P32,"Tidak dinilai")=6,"Tidak dinilai",IF(COUNTIF(K32:P32,"Kurang")&gt;0,"Kurang cocok",IF(COUNTIF(K32:P32,"Belum ada data")&gt;0,"Data belum lengkap",IF(COUNTIF(K32:P32,"Cukup")&gt;0,"Bisa, dengan catatan","Cocok")))))</f>
        <v>Bisa, dengan catatan</v>
      </c>
      <c r="R32" s="33" t="str">
        <f aca="false">IF($A32="","",IF(K32="Kurang","prosesor tingkat "&amp;C32&amp;" dari 5, di bawah batas minimal (tingkat "&amp;Aturan!$C$42&amp;")",IF(K32="Cukup","prosesor tingkat "&amp;C32&amp;" dari 5 cukup, nyamannya mulai tingkat "&amp;Aturan!$D$42,IF(K32="Belum ada data","tingkat prosesor belum diisi",""))))</f>
        <v>prosesor tingkat 2 dari 5 cukup, nyamannya mulai tingkat 3</v>
      </c>
      <c r="S32" s="33" t="str">
        <f aca="false">IF($A32="","",IF(L32="Kurang","grafis tingkat "&amp;D32&amp;" dari 5, di bawah batas minimal (tingkat "&amp;Aturan!$C$43&amp;")",IF(L32="Cukup","grafis tingkat "&amp;D32&amp;" dari 5 cukup, nyamannya mulai tingkat "&amp;Aturan!$D$43,IF(L32="Belum ada data","tingkat grafis belum diisi",""))))</f>
        <v/>
      </c>
      <c r="T32" s="33" t="str">
        <f aca="false">IF($A32="","",IF(M32="Kurang","RAM "&amp;E32&amp;" GB, di bawah batas minimal "&amp;Aturan!$C$44&amp;" GB ("&amp;I32&amp;")",IF(M32="Cukup","RAM "&amp;E32&amp;" GB cukup, nyamannya "&amp;Aturan!$D$44&amp;" GB atau lebih ("&amp;I32&amp;")",IF(M32="Belum ada data","ukuran RAM belum diisi",""))))</f>
        <v/>
      </c>
      <c r="U32" s="33" t="str">
        <f aca="false">IF($A32="","",IF(N32="Kurang","penyimpanan "&amp;F32&amp;" GB, di bawah batas minimal "&amp;Aturan!$C$45&amp;" GB ("&amp;J32&amp;")",IF(N32="Cukup","penyimpanan "&amp;F32&amp;" GB cukup, nyamannya "&amp;Aturan!$D$45&amp;" GB atau lebih ("&amp;J32&amp;")",IF(N32="Belum ada data","ukuran penyimpanan belum diisi",""))))</f>
        <v/>
      </c>
      <c r="V32" s="33" t="str">
        <f aca="false">IF($A32="","",IF(O32="Kurang","layar "&amp;Varian!$AG10&amp;", di bawah batas minimal ("&amp;IFERROR(INDEX(Aturan!$A$63:$A$66,MATCH(Aturan!$C$46,Aturan!$B$63:$B$66,0)),"peringkat "&amp;Aturan!$C$46)&amp;")",IF(O32="Cukup","layar "&amp;Varian!$AG10&amp;" cukup, nyamannya "&amp;IFERROR(INDEX(Aturan!$A$63:$A$66,MATCH(Aturan!$D$46,Aturan!$B$63:$B$66,0)),"peringkat "&amp;Aturan!$D$46),IF(O32="Belum ada data","jenis layar belum diketahui",""))))</f>
        <v/>
      </c>
      <c r="W32" s="33" t="str">
        <f aca="false">IF($A32="","",IF(P32="Kurang","layar "&amp;H32&amp;" Hz, di bawah batas minimal "&amp;Aturan!$C$47&amp;" Hz",IF(P32="Cukup","layar "&amp;H32&amp;" Hz cukup, nyamannya "&amp;Aturan!$D$47&amp;" Hz atau lebih",IF(P32="Belum ada data","refresh rate belum diketahui",""))))</f>
        <v/>
      </c>
      <c r="X32" s="33" t="str">
        <f aca="false">IF($A32="","",IF(K32="Kurang",R32&amp;"; ","")&amp;IF(L32="Kurang",S32&amp;"; ","")&amp;IF(M32="Kurang",T32&amp;"; ","")&amp;IF(N32="Kurang",U32&amp;"; ","")&amp;IF(O32="Kurang",V32&amp;"; ","")&amp;IF(P32="Kurang",W32&amp;"; ","")&amp;IF(K32="Belum ada data",R32&amp;"; ","")&amp;IF(L32="Belum ada data",S32&amp;"; ","")&amp;IF(M32="Belum ada data",T32&amp;"; ","")&amp;IF(N32="Belum ada data",U32&amp;"; ","")&amp;IF(O32="Belum ada data",V32&amp;"; ","")&amp;IF(P32="Belum ada data",W32&amp;"; ","")&amp;IF(K32="Cukup",R32&amp;"; ","")&amp;IF(L32="Cukup",S32&amp;"; ","")&amp;IF(M32="Cukup",T32&amp;"; ","")&amp;IF(N32="Cukup",U32&amp;"; ","")&amp;IF(O32="Cukup",V32&amp;"; ","")&amp;IF(P32="Cukup",W32&amp;"; ",""))</f>
        <v>prosesor tingkat 2 dari 5 cukup, nyamannya mulai tingkat 3; </v>
      </c>
      <c r="Y32" s="33" t="str">
        <f aca="false">IF($A32="","",IF(K32="Nyaman","prosesor, ","")&amp;IF(L32="Nyaman","grafis, ","")&amp;IF(M32="Nyaman","RAM, ","")&amp;IF(N32="Nyaman","penyimpanan, ","")&amp;IF(O32="Nyaman","layar, ","")&amp;IF(P32="Nyaman","refresh rate, ",""))</f>
        <v>RAM, penyimpanan, </v>
      </c>
      <c r="Z32" s="33" t="str">
        <f aca="false">IF($A32="","",IF(Q32="Tidak dinilai","Belum ada kriteria yang dinilai untuk kebutuhan ini.",IF(Q32="Cocok","Semua kriteria yang dinilai sudah nyaman: "&amp;LEFT(Y32,LEN(Y32)-2)&amp;".",UPPER(LEFT(X32,1))&amp;MID(X32,2,LEN(X32)-3)&amp;"."&amp;IF(Y32="",""," Sudah nyaman: "&amp;LEFT(Y32,LEN(Y32)-2)&amp;"."))))</f>
        <v>Prosesor tingkat 2 dari 5 cukup, nyamannya mulai tingkat 3. Sudah nyaman: RAM, penyimpanan.</v>
      </c>
      <c r="AA32" s="33"/>
      <c r="AB32" s="33"/>
      <c r="AC32" s="69"/>
    </row>
    <row r="33" customFormat="false" ht="15" hidden="false" customHeight="true" outlineLevel="0" collapsed="false">
      <c r="A33" s="33" t="str">
        <f aca="false">IF(Varian!$A10="","",Varian!$A10)</f>
        <v>lenovo-thinkpad-t480-i5-8350u-16-512</v>
      </c>
      <c r="B33" s="33" t="str">
        <f aca="false">IF($A33="","",Aturan!$A$24)</f>
        <v>Game ringan</v>
      </c>
      <c r="C33" s="69" t="n">
        <f aca="false">IF($A33="","",IFERROR(IF(ISNUMBER(INDEX(CPU!$J$4:$J$64,MATCH(Varian!$J10,CPU!$A$4:$A$64,0))),INDEX(CPU!$J$4:$J$64,MATCH(Varian!$J10,CPU!$A$4:$A$64,0)),""),""))</f>
        <v>2</v>
      </c>
      <c r="D33" s="69" t="n">
        <f aca="false">IF($A33="","",IFERROR(IF(ISNUMBER(INDEX(GPU!$G$4:$G$64,MATCH(Varian!$K10,GPU!$A$4:$A$64,0))),INDEX(GPU!$G$4:$G$64,MATCH(Varian!$K10,GPU!$A$4:$A$64,0)),""),""))</f>
        <v>1</v>
      </c>
      <c r="E33" s="69" t="n">
        <f aca="false">IF($A33="","",IF(ISNUMBER(Varian!$M10),Varian!$M10,""))</f>
        <v>16</v>
      </c>
      <c r="F33" s="69" t="n">
        <f aca="false">IF($A33="","",IF(ISNUMBER(Varian!$V10),Varian!$V10,""))</f>
        <v>512</v>
      </c>
      <c r="G33" s="69" t="str">
        <f aca="false">IF($A33="","",IFERROR(INDEX(Aturan!$B$63:$B$66,MATCH(Varian!$AG10,Aturan!$A$63:$A$66,0)),""))</f>
        <v/>
      </c>
      <c r="H33" s="69" t="str">
        <f aca="false">IF($A33="","",IF(ISNUMBER(Varian!$AI10),Varian!$AI10,""))</f>
        <v/>
      </c>
      <c r="I33" s="33" t="str">
        <f aca="false">IF($A33="","",IF(Varian!$Q10="disolder","menempel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3" s="33" t="str">
        <f aca="false">IF($A33="","",IF(Varian!$Z10="ya","bisa diganti dengan yang lebih besar",IF(Varian!$Z10="tidak","menempel, tidak bisa diganti","belum diketahui apakah bisa diganti")))</f>
        <v>bisa diganti dengan yang lebih besar</v>
      </c>
      <c r="K33" s="70" t="str">
        <f aca="false">IF($A33="","",IF(AND(Aturan!$C$48="",Aturan!$D$48=""),"Tidak dinilai",IF(C33="","Belum ada data",IF(C33&lt;IF(Aturan!$C$48="",0,Aturan!$C$48),"Kurang",IF(C33&gt;=IF(Aturan!$D$48="",Aturan!$C$48,Aturan!$D$48),"Nyaman","Cukup")))))</f>
        <v>Cukup</v>
      </c>
      <c r="L33" s="70" t="str">
        <f aca="false">IF($A33="","",IF(AND(Aturan!$C$49="",Aturan!$D$49=""),"Tidak dinilai",IF(D33="","Belum ada data",IF(D33&lt;IF(Aturan!$C$49="",0,Aturan!$C$49),"Kurang",IF(D33&gt;=IF(Aturan!$D$49="",Aturan!$C$49,Aturan!$D$49),"Nyaman","Cukup")))))</f>
        <v>Cukup</v>
      </c>
      <c r="M33" s="70" t="str">
        <f aca="false">IF($A33="","",IF(AND(Aturan!$C$50="",Aturan!$D$50=""),"Tidak dinilai",IF(E33="","Belum ada data",IF(E33&lt;IF(Aturan!$C$50="",0,Aturan!$C$50),"Kurang",IF(E33&gt;=IF(Aturan!$D$50="",Aturan!$C$50,Aturan!$D$50),"Nyaman","Cukup")))))</f>
        <v>Nyaman</v>
      </c>
      <c r="N33" s="70" t="str">
        <f aca="false">IF($A33="","",IF(AND(Aturan!$C$51="",Aturan!$D$51=""),"Tidak dinilai",IF(F33="","Belum ada data",IF(F33&lt;IF(Aturan!$C$51="",0,Aturan!$C$51),"Kurang",IF(F33&gt;=IF(Aturan!$D$51="",Aturan!$C$51,Aturan!$D$51),"Nyaman","Cukup")))))</f>
        <v>Nyaman</v>
      </c>
      <c r="O33" s="70" t="str">
        <f aca="false">IF($A33="","",IF(AND(Aturan!$C$52="",Aturan!$D$52=""),"Tidak dinilai",IF(G33="","Belum ada data",IF(G33&lt;IF(Aturan!$C$52="",0,Aturan!$C$52),"Kurang",IF(G33&gt;=IF(Aturan!$D$52="",Aturan!$C$52,Aturan!$D$52),"Nyaman","Cukup")))))</f>
        <v>Tidak dinilai</v>
      </c>
      <c r="P33" s="70" t="str">
        <f aca="false">IF($A33="","",IF(AND(Aturan!$C$53="",Aturan!$D$53=""),"Tidak dinilai",IF(H33="","Belum ada data",IF(H33&lt;IF(Aturan!$C$53="",0,Aturan!$C$53),"Kurang",IF(H33&gt;=IF(Aturan!$D$53="",Aturan!$C$53,Aturan!$D$53),"Nyaman","Cukup")))))</f>
        <v>Tidak dinilai</v>
      </c>
      <c r="Q33" s="70" t="str">
        <f aca="false">IF($A33="","",IF(COUNTIF(K33:P33,"Tidak dinilai")=6,"Tidak dinilai",IF(COUNTIF(K33:P33,"Kurang")&gt;0,"Kurang cocok",IF(COUNTIF(K33:P33,"Belum ada data")&gt;0,"Data belum lengkap",IF(COUNTIF(K33:P33,"Cukup")&gt;0,"Bisa, dengan catatan","Cocok")))))</f>
        <v>Bisa, dengan catatan</v>
      </c>
      <c r="R33" s="33" t="str">
        <f aca="false">IF($A33="","",IF(K33="Kurang","prosesor tingkat "&amp;C33&amp;" dari 5, di bawah batas minimal (tingkat "&amp;Aturan!$C$48&amp;")",IF(K33="Cukup","prosesor tingkat "&amp;C33&amp;" dari 5 cukup, nyamannya mulai tingkat "&amp;Aturan!$D$48,IF(K33="Belum ada data","tingkat prosesor belum diisi",""))))</f>
        <v>prosesor tingkat 2 dari 5 cukup, nyamannya mulai tingkat 3</v>
      </c>
      <c r="S33" s="33" t="str">
        <f aca="false">IF($A33="","",IF(L33="Kurang","grafis tingkat "&amp;D33&amp;" dari 5, di bawah batas minimal (tingkat "&amp;Aturan!$C$49&amp;")",IF(L33="Cukup","grafis tingkat "&amp;D33&amp;" dari 5 cukup, nyamannya mulai tingkat "&amp;Aturan!$D$49,IF(L33="Belum ada data","tingkat grafis belum diisi",""))))</f>
        <v>grafis tingkat 1 dari 5 cukup, nyamannya mulai tingkat 2</v>
      </c>
      <c r="T33" s="33" t="str">
        <f aca="false">IF($A33="","",IF(M33="Kurang","RAM "&amp;E33&amp;" GB, di bawah batas minimal "&amp;Aturan!$C$50&amp;" GB ("&amp;I33&amp;")",IF(M33="Cukup","RAM "&amp;E33&amp;" GB cukup, nyamannya "&amp;Aturan!$D$50&amp;" GB atau lebih ("&amp;I33&amp;")",IF(M33="Belum ada data","ukuran RAM belum diisi",""))))</f>
        <v/>
      </c>
      <c r="U33" s="33" t="str">
        <f aca="false">IF($A33="","",IF(N33="Kurang","penyimpanan "&amp;F33&amp;" GB, di bawah batas minimal "&amp;Aturan!$C$51&amp;" GB ("&amp;J33&amp;")",IF(N33="Cukup","penyimpanan "&amp;F33&amp;" GB cukup, nyamannya "&amp;Aturan!$D$51&amp;" GB atau lebih ("&amp;J33&amp;")",IF(N33="Belum ada data","ukuran penyimpanan belum diisi",""))))</f>
        <v/>
      </c>
      <c r="V33" s="33" t="str">
        <f aca="false">IF($A33="","",IF(O33="Kurang","layar "&amp;Varian!$AG10&amp;", di bawah batas minimal ("&amp;IFERROR(INDEX(Aturan!$A$63:$A$66,MATCH(Aturan!$C$52,Aturan!$B$63:$B$66,0)),"peringkat "&amp;Aturan!$C$52)&amp;")",IF(O33="Cukup","layar "&amp;Varian!$AG10&amp;" cukup, nyamannya "&amp;IFERROR(INDEX(Aturan!$A$63:$A$66,MATCH(Aturan!$D$52,Aturan!$B$63:$B$66,0)),"peringkat "&amp;Aturan!$D$52),IF(O33="Belum ada data","jenis layar belum diketahui",""))))</f>
        <v/>
      </c>
      <c r="W33" s="33" t="str">
        <f aca="false">IF($A33="","",IF(P33="Kurang","layar "&amp;H33&amp;" Hz, di bawah batas minimal "&amp;Aturan!$C$53&amp;" Hz",IF(P33="Cukup","layar "&amp;H33&amp;" Hz cukup, nyamannya "&amp;Aturan!$D$53&amp;" Hz atau lebih",IF(P33="Belum ada data","refresh rate belum diketahui",""))))</f>
        <v/>
      </c>
      <c r="X33" s="33" t="str">
        <f aca="false">IF($A33="","",IF(K33="Kurang",R33&amp;"; ","")&amp;IF(L33="Kurang",S33&amp;"; ","")&amp;IF(M33="Kurang",T33&amp;"; ","")&amp;IF(N33="Kurang",U33&amp;"; ","")&amp;IF(O33="Kurang",V33&amp;"; ","")&amp;IF(P33="Kurang",W33&amp;"; ","")&amp;IF(K33="Belum ada data",R33&amp;"; ","")&amp;IF(L33="Belum ada data",S33&amp;"; ","")&amp;IF(M33="Belum ada data",T33&amp;"; ","")&amp;IF(N33="Belum ada data",U33&amp;"; ","")&amp;IF(O33="Belum ada data",V33&amp;"; ","")&amp;IF(P33="Belum ada data",W33&amp;"; ","")&amp;IF(K33="Cukup",R33&amp;"; ","")&amp;IF(L33="Cukup",S33&amp;"; ","")&amp;IF(M33="Cukup",T33&amp;"; ","")&amp;IF(N33="Cukup",U33&amp;"; ","")&amp;IF(O33="Cukup",V33&amp;"; ","")&amp;IF(P33="Cukup",W33&amp;"; ",""))</f>
        <v>prosesor tingkat 2 dari 5 cukup, nyamannya mulai tingkat 3; grafis tingkat 1 dari 5 cukup, nyamannya mulai tingkat 2; </v>
      </c>
      <c r="Y33" s="33" t="str">
        <f aca="false">IF($A33="","",IF(K33="Nyaman","prosesor, ","")&amp;IF(L33="Nyaman","grafis, ","")&amp;IF(M33="Nyaman","RAM, ","")&amp;IF(N33="Nyaman","penyimpanan, ","")&amp;IF(O33="Nyaman","layar, ","")&amp;IF(P33="Nyaman","refresh rate, ",""))</f>
        <v>RAM, penyimpanan, </v>
      </c>
      <c r="Z33" s="33" t="str">
        <f aca="false">IF($A33="","",IF(Q33="Tidak dinilai","Belum ada kriteria yang dinilai untuk kebutuhan ini.",IF(Q33="Cocok","Semua kriteria yang dinilai sudah nyaman: "&amp;LEFT(Y33,LEN(Y33)-2)&amp;".",UPPER(LEFT(X33,1))&amp;MID(X33,2,LEN(X33)-3)&amp;"."&amp;IF(Y33="",""," Sudah nyaman: "&amp;LEFT(Y33,LEN(Y33)-2)&amp;"."))))</f>
        <v>Prosesor tingkat 2 dari 5 cukup, nyamannya mulai tingkat 3; grafis tingkat 1 dari 5 cukup, nyamannya mulai tingkat 2. Sudah nyaman: RAM, penyimpanan.</v>
      </c>
      <c r="AA33" s="33"/>
      <c r="AB33" s="33"/>
      <c r="AC33" s="69"/>
    </row>
    <row r="34" customFormat="false" ht="15" hidden="false" customHeight="true" outlineLevel="0" collapsed="false">
      <c r="A34" s="33" t="str">
        <f aca="false">IF(Varian!$A10="","",Varian!$A10)</f>
        <v>lenovo-thinkpad-t480-i5-8350u-16-512</v>
      </c>
      <c r="B34" s="33" t="str">
        <f aca="false">IF($A34="","",Aturan!$A$25)</f>
        <v>Game berat</v>
      </c>
      <c r="C34" s="69" t="n">
        <f aca="false">IF($A34="","",IFERROR(IF(ISNUMBER(INDEX(CPU!$J$4:$J$64,MATCH(Varian!$J10,CPU!$A$4:$A$64,0))),INDEX(CPU!$J$4:$J$64,MATCH(Varian!$J10,CPU!$A$4:$A$64,0)),""),""))</f>
        <v>2</v>
      </c>
      <c r="D34" s="69" t="n">
        <f aca="false">IF($A34="","",IFERROR(IF(ISNUMBER(INDEX(GPU!$G$4:$G$64,MATCH(Varian!$K10,GPU!$A$4:$A$64,0))),INDEX(GPU!$G$4:$G$64,MATCH(Varian!$K10,GPU!$A$4:$A$64,0)),""),""))</f>
        <v>1</v>
      </c>
      <c r="E34" s="69" t="n">
        <f aca="false">IF($A34="","",IF(ISNUMBER(Varian!$M10),Varian!$M10,""))</f>
        <v>16</v>
      </c>
      <c r="F34" s="69" t="n">
        <f aca="false">IF($A34="","",IF(ISNUMBER(Varian!$V10),Varian!$V10,""))</f>
        <v>512</v>
      </c>
      <c r="G34" s="69" t="str">
        <f aca="false">IF($A34="","",IFERROR(INDEX(Aturan!$B$63:$B$66,MATCH(Varian!$AG10,Aturan!$A$63:$A$66,0)),""))</f>
        <v/>
      </c>
      <c r="H34" s="69" t="str">
        <f aca="false">IF($A34="","",IF(ISNUMBER(Varian!$AI10),Varian!$AI10,""))</f>
        <v/>
      </c>
      <c r="I34" s="33" t="str">
        <f aca="false">IF($A34="","",IF(Varian!$Q10="disolder","menempel di papan utama, tidak bisa ditambah",IF(OR(Varian!$Q10="slot",Varian!$Q10="setengah_disolder"),IF(Varian!$Q10="setengah_disolder","sebagian menempel, ","")&amp;IF(ISNUMBER(Varian!$U10),IF(AND(ISNUMBER(Varian!$M10),Varian!$U10&gt;Varian!$M10),"bisa dinaikkan lewat slot sampai "&amp;Varian!$U10&amp;" GB","sudah di batas maksimal "&amp;Varian!$U10&amp;" GB"),"ada slot, batas maksimalnya belum diketahui"),"belum diketahui apakah bisa ditambah")))</f>
        <v>bisa dinaikkan lewat slot sampai 32 GB</v>
      </c>
      <c r="J34" s="33" t="str">
        <f aca="false">IF($A34="","",IF(Varian!$Z10="ya","bisa diganti dengan yang lebih besar",IF(Varian!$Z10="tidak","menempel, tidak bisa diganti","belum diketahui apakah bisa diganti")))</f>
        <v>bisa diganti dengan yang lebih besar</v>
      </c>
      <c r="K34" s="70" t="str">
        <f aca="false">IF($A34="","",IF(AND(Aturan!$C$54="",Aturan!$D$54=""),"Tidak dinilai",IF(C34="","Belum ada data",IF(C34&lt;IF(Aturan!$C$54="",0,Aturan!$C$54),"Kurang",IF(C34&gt;=IF(Aturan!$D$54="",Aturan!$C$54,Aturan!$D$54),"Nyaman","Cukup")))))</f>
        <v>Kurang</v>
      </c>
      <c r="L34" s="70" t="str">
        <f aca="false">IF($A34="","",IF(AND(Aturan!$C$55="",Aturan!$D$55=""),"Tidak dinilai",IF(D34="","Belum ada data",IF(D34&lt;IF(Aturan!$C$55="",0,Aturan!$C$55),"Kurang",IF(D34&gt;=IF(Aturan!$D$55="",Aturan!$C$55,Aturan!$D$55),"Nyaman","Cukup")))))</f>
        <v>Kurang</v>
      </c>
      <c r="M34" s="70" t="str">
        <f aca="false">IF($A34="","",IF(AND(Aturan!$C$56="",Aturan!$D$56=""),"Tidak dinilai",IF(E34="","Belum ada data",IF(E34&lt;IF(Aturan!$C$56="",0,Aturan!$C$56),"Kurang",IF(E34&gt;=IF(Aturan!$D$56="",Aturan!$C$56,Aturan!$D$56),"Nyaman","Cukup")))))</f>
        <v>Nyaman</v>
      </c>
      <c r="N34" s="70" t="str">
        <f aca="false">IF($A34="","",IF(AND(Aturan!$C$57="",Aturan!$D$57=""),"Tidak dinilai",IF(F34="","Belum ada data",IF(F34&lt;IF(Aturan!$C$57="",0,Aturan!$C$57),"Kurang",IF(F34&gt;=IF(Aturan!$D$57="",Aturan!$C$57,Aturan!$D$57),"Nyaman","Cukup")))))</f>
        <v>Cukup</v>
      </c>
      <c r="O34" s="70" t="str">
        <f aca="false">IF($A34="","",IF(AND(Aturan!$C$58="",Aturan!$D$58=""),"Tidak dinilai",IF(G34="","Belum ada data",IF(G34&lt;IF(Aturan!$C$58="",0,Aturan!$C$58),"Kurang",IF(G34&gt;=IF(Aturan!$D$58="",Aturan!$C$58,Aturan!$D$58),"Nyaman","Cukup")))))</f>
        <v>Tidak dinilai</v>
      </c>
      <c r="P34" s="70" t="str">
        <f aca="false">IF($A34="","",IF(AND(Aturan!$C$59="",Aturan!$D$59=""),"Tidak dinilai",IF(H34="","Belum ada data",IF(H34&lt;IF(Aturan!$C$59="",0,Aturan!$C$59),"Kurang",IF(H34&gt;=IF(Aturan!$D$59="",Aturan!$C$59,Aturan!$D$59),"Nyaman","Cukup")))))</f>
        <v>Belum ada data</v>
      </c>
      <c r="Q34" s="70" t="str">
        <f aca="false">IF($A34="","",IF(COUNTIF(K34:P34,"Tidak dinilai")=6,"Tidak dinilai",IF(COUNTIF(K34:P34,"Kurang")&gt;0,"Kurang cocok",IF(COUNTIF(K34:P34,"Belum ada data")&gt;0,"Data belum lengkap",IF(COUNTIF(K34:P34,"Cukup")&gt;0,"Bisa, dengan catatan","Cocok")))))</f>
        <v>Kurang cocok</v>
      </c>
      <c r="R34" s="33" t="str">
        <f aca="false">IF($A34="","",IF(K34="Kurang","prosesor tingkat "&amp;C34&amp;" dari 5, di bawah batas minimal (tingkat "&amp;Aturan!$C$54&amp;")",IF(K34="Cukup","prosesor tingkat "&amp;C34&amp;" dari 5 cukup, nyamannya mulai tingkat "&amp;Aturan!$D$54,IF(K34="Belum ada data","tingkat prosesor belum diisi",""))))</f>
        <v>prosesor tingkat 2 dari 5, di bawah batas minimal (tingkat 3)</v>
      </c>
      <c r="S34" s="33" t="str">
        <f aca="false">IF($A34="","",IF(L34="Kurang","grafis tingkat "&amp;D34&amp;" dari 5, di bawah batas minimal (tingkat "&amp;Aturan!$C$55&amp;")",IF(L34="Cukup","grafis tingkat "&amp;D34&amp;" dari 5 cukup, nyamannya mulai tingkat "&amp;Aturan!$D$55,IF(L34="Belum ada data","tingkat grafis belum diisi",""))))</f>
        <v>grafis tingkat 1 dari 5, di bawah batas minimal (tingkat 3)</v>
      </c>
      <c r="T34" s="33" t="str">
        <f aca="false">IF($A34="","",IF(M34="Kurang","RAM "&amp;E34&amp;" GB, di bawah batas minimal "&amp;Aturan!$C$56&amp;" GB ("&amp;I34&amp;")",IF(M34="Cukup","RAM "&amp;E34&amp;" GB cukup, nyamannya "&amp;Aturan!$D$56&amp;" GB atau lebih ("&amp;I34&amp;")",IF(M34="Belum ada data","ukuran RAM belum diisi",""))))</f>
        <v/>
      </c>
      <c r="U34" s="33" t="str">
        <f aca="false">IF($A34="","",IF(N34="Kurang","penyimpanan "&amp;F34&amp;" GB, di bawah batas minimal "&amp;Aturan!$C$57&amp;" GB ("&amp;J34&amp;")",IF(N34="Cukup","penyimpanan "&amp;F34&amp;" GB cukup, nyamannya "&amp;Aturan!$D$57&amp;" GB atau lebih ("&amp;J34&amp;")",IF(N34="Belum ada data","ukuran penyimpanan belum diisi",""))))</f>
        <v>penyimpanan 512 GB cukup, nyamannya 1000 GB atau lebih (bisa diganti dengan yang lebih besar)</v>
      </c>
      <c r="V34" s="33" t="str">
        <f aca="false">IF($A34="","",IF(O34="Kurang","layar "&amp;Varian!$AG10&amp;", di bawah batas minimal ("&amp;IFERROR(INDEX(Aturan!$A$63:$A$66,MATCH(Aturan!$C$58,Aturan!$B$63:$B$66,0)),"peringkat "&amp;Aturan!$C$58)&amp;")",IF(O34="Cukup","layar "&amp;Varian!$AG10&amp;" cukup, nyamannya "&amp;IFERROR(INDEX(Aturan!$A$63:$A$66,MATCH(Aturan!$D$58,Aturan!$B$63:$B$66,0)),"peringkat "&amp;Aturan!$D$58),IF(O34="Belum ada data","jenis layar belum diketahui",""))))</f>
        <v/>
      </c>
      <c r="W34" s="33" t="str">
        <f aca="false">IF($A34="","",IF(P34="Kurang","layar "&amp;H34&amp;" Hz, di bawah batas minimal "&amp;Aturan!$C$59&amp;" Hz",IF(P34="Cukup","layar "&amp;H34&amp;" Hz cukup, nyamannya "&amp;Aturan!$D$59&amp;" Hz atau lebih",IF(P34="Belum ada data","refresh rate belum diketahui",""))))</f>
        <v>refresh rate belum diketahui</v>
      </c>
      <c r="X34" s="33" t="str">
        <f aca="false">IF($A34="","",IF(K34="Kurang",R34&amp;"; ","")&amp;IF(L34="Kurang",S34&amp;"; ","")&amp;IF(M34="Kurang",T34&amp;"; ","")&amp;IF(N34="Kurang",U34&amp;"; ","")&amp;IF(O34="Kurang",V34&amp;"; ","")&amp;IF(P34="Kurang",W34&amp;"; ","")&amp;IF(K34="Belum ada data",R34&amp;"; ","")&amp;IF(L34="Belum ada data",S34&amp;"; ","")&amp;IF(M34="Belum ada data",T34&amp;"; ","")&amp;IF(N34="Belum ada data",U34&amp;"; ","")&amp;IF(O34="Belum ada data",V34&amp;"; ","")&amp;IF(P34="Belum ada data",W34&amp;"; ","")&amp;IF(K34="Cukup",R34&amp;"; ","")&amp;IF(L34="Cukup",S34&amp;"; ","")&amp;IF(M34="Cukup",T34&amp;"; ","")&amp;IF(N34="Cukup",U34&amp;"; ","")&amp;IF(O34="Cukup",V34&amp;"; ","")&amp;IF(P34="Cukup",W34&amp;"; ",""))</f>
        <v>prosesor tingkat 2 dari 5, di bawah batas minimal (tingkat 3); grafis tingkat 1 dari 5, di bawah batas minimal (tingkat 3); refresh rate belum diketahui; penyimpanan 512 GB cukup, nyamannya 1000 GB atau lebih (bisa diganti dengan yang lebih besar); </v>
      </c>
      <c r="Y34" s="33" t="str">
        <f aca="false">IF($A34="","",IF(K34="Nyaman","prosesor, ","")&amp;IF(L34="Nyaman","grafis, ","")&amp;IF(M34="Nyaman","RAM, ","")&amp;IF(N34="Nyaman","penyimpanan, ","")&amp;IF(O34="Nyaman","layar, ","")&amp;IF(P34="Nyaman","refresh rate, ",""))</f>
        <v>RAM, </v>
      </c>
      <c r="Z34" s="33" t="str">
        <f aca="false">IF($A34="","",IF(Q34="Tidak dinilai","Belum ada kriteria yang dinilai untuk kebutuhan ini.",IF(Q34="Cocok","Semua kriteria yang dinilai sudah nyaman: "&amp;LEFT(Y34,LEN(Y34)-2)&amp;".",UPPER(LEFT(X34,1))&amp;MID(X34,2,LEN(X34)-3)&amp;"."&amp;IF(Y34="",""," Sudah nyaman: "&amp;LEFT(Y34,LEN(Y34)-2)&amp;"."))))</f>
        <v>Prosesor tingkat 2 dari 5, di bawah batas minimal (tingkat 3); grafis tingkat 1 dari 5, di bawah batas minimal (tingkat 3); refresh rate belum diketahui; penyimpanan 512 GB cukup, nyamannya 1000 GB atau lebih (bisa diganti dengan yang lebih besar). Sudah nyaman: RAM.</v>
      </c>
      <c r="AA34" s="33"/>
      <c r="AB34" s="33"/>
      <c r="AC34" s="69"/>
    </row>
    <row r="35" customFormat="false" ht="15" hidden="false" customHeight="true" outlineLevel="0" collapsed="false">
      <c r="A35" s="66" t="str">
        <f aca="false">IF(Varian!$A11="","",Varian!$A11)</f>
        <v>dell-latitude-5400-i5-8265u-8-256</v>
      </c>
      <c r="B35" s="66" t="str">
        <f aca="false">IF($A35="","",Aturan!$A$21)</f>
        <v>Kuliah dan kantor</v>
      </c>
      <c r="C35" s="67" t="n">
        <f aca="false">IF($A35="","",IFERROR(IF(ISNUMBER(INDEX(CPU!$J$4:$J$64,MATCH(Varian!$J11,CPU!$A$4:$A$64,0))),INDEX(CPU!$J$4:$J$64,MATCH(Varian!$J11,CPU!$A$4:$A$64,0)),""),""))</f>
        <v>2</v>
      </c>
      <c r="D35" s="67" t="n">
        <f aca="false">IF($A35="","",IFERROR(IF(ISNUMBER(INDEX(GPU!$G$4:$G$64,MATCH(Varian!$K11,GPU!$A$4:$A$64,0))),INDEX(GPU!$G$4:$G$64,MATCH(Varian!$K11,GPU!$A$4:$A$64,0)),""),""))</f>
        <v>1</v>
      </c>
      <c r="E35" s="67" t="n">
        <f aca="false">IF($A35="","",IF(ISNUMBER(Varian!$M11),Varian!$M11,""))</f>
        <v>8</v>
      </c>
      <c r="F35" s="67" t="n">
        <f aca="false">IF($A35="","",IF(ISNUMBER(Varian!$V11),Varian!$V11,""))</f>
        <v>256</v>
      </c>
      <c r="G35" s="67" t="str">
        <f aca="false">IF($A35="","",IFERROR(INDEX(Aturan!$B$63:$B$66,MATCH(Varian!$AG11,Aturan!$A$63:$A$66,0)),""))</f>
        <v/>
      </c>
      <c r="H35" s="67" t="str">
        <f aca="false">IF($A35="","",IF(ISNUMBER(Varian!$AI11),Varian!$AI11,""))</f>
        <v/>
      </c>
      <c r="I35" s="66" t="str">
        <f aca="false">IF($A35="","",IF(Varian!$Q11="disolder","menempel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5" s="66" t="str">
        <f aca="false">IF($A35="","",IF(Varian!$Z11="ya","bisa diganti dengan yang lebih besar",IF(Varian!$Z11="tidak","menempel, tidak bisa diganti","belum diketahui apakah bisa diganti")))</f>
        <v>bisa diganti dengan yang lebih besar</v>
      </c>
      <c r="K35" s="68" t="str">
        <f aca="false">IF($A35="","",IF(AND(Aturan!$C$30="",Aturan!$D$30=""),"Tidak dinilai",IF(C35="","Belum ada data",IF(C35&lt;IF(Aturan!$C$30="",0,Aturan!$C$30),"Kurang",IF(C35&gt;=IF(Aturan!$D$30="",Aturan!$C$30,Aturan!$D$30),"Nyaman","Cukup")))))</f>
        <v>Nyaman</v>
      </c>
      <c r="L35" s="68" t="str">
        <f aca="false">IF($A35="","",IF(AND(Aturan!$C$31="",Aturan!$D$31=""),"Tidak dinilai",IF(D35="","Belum ada data",IF(D35&lt;IF(Aturan!$C$31="",0,Aturan!$C$31),"Kurang",IF(D35&gt;=IF(Aturan!$D$31="",Aturan!$C$31,Aturan!$D$31),"Nyaman","Cukup")))))</f>
        <v>Tidak dinilai</v>
      </c>
      <c r="M35" s="68" t="str">
        <f aca="false">IF($A35="","",IF(AND(Aturan!$C$32="",Aturan!$D$32=""),"Tidak dinilai",IF(E35="","Belum ada data",IF(E35&lt;IF(Aturan!$C$32="",0,Aturan!$C$32),"Kurang",IF(E35&gt;=IF(Aturan!$D$32="",Aturan!$C$32,Aturan!$D$32),"Nyaman","Cukup")))))</f>
        <v>Nyaman</v>
      </c>
      <c r="N35" s="68" t="str">
        <f aca="false">IF($A35="","",IF(AND(Aturan!$C$33="",Aturan!$D$33=""),"Tidak dinilai",IF(F35="","Belum ada data",IF(F35&lt;IF(Aturan!$C$33="",0,Aturan!$C$33),"Kurang",IF(F35&gt;=IF(Aturan!$D$33="",Aturan!$C$33,Aturan!$D$33),"Nyaman","Cukup")))))</f>
        <v>Nyaman</v>
      </c>
      <c r="O35" s="68" t="str">
        <f aca="false">IF($A35="","",IF(AND(Aturan!$C$34="",Aturan!$D$34=""),"Tidak dinilai",IF(G35="","Belum ada data",IF(G35&lt;IF(Aturan!$C$34="",0,Aturan!$C$34),"Kurang",IF(G35&gt;=IF(Aturan!$D$34="",Aturan!$C$34,Aturan!$D$34),"Nyaman","Cukup")))))</f>
        <v>Tidak dinilai</v>
      </c>
      <c r="P35" s="68" t="str">
        <f aca="false">IF($A35="","",IF(AND(Aturan!$C$35="",Aturan!$D$35=""),"Tidak dinilai",IF(H35="","Belum ada data",IF(H35&lt;IF(Aturan!$C$35="",0,Aturan!$C$35),"Kurang",IF(H35&gt;=IF(Aturan!$D$35="",Aturan!$C$35,Aturan!$D$35),"Nyaman","Cukup")))))</f>
        <v>Tidak dinilai</v>
      </c>
      <c r="Q35" s="68" t="str">
        <f aca="false">IF($A35="","",IF(COUNTIF(K35:P35,"Tidak dinilai")=6,"Tidak dinilai",IF(COUNTIF(K35:P35,"Kurang")&gt;0,"Kurang cocok",IF(COUNTIF(K35:P35,"Belum ada data")&gt;0,"Data belum lengkap",IF(COUNTIF(K35:P35,"Cukup")&gt;0,"Bisa, dengan catatan","Cocok")))))</f>
        <v>Cocok</v>
      </c>
      <c r="R35" s="66" t="str">
        <f aca="false">IF($A35="","",IF(K35="Kurang","prosesor tingkat "&amp;C35&amp;" dari 5, di bawah batas minimal (tingkat "&amp;Aturan!$C$30&amp;")",IF(K35="Cukup","prosesor tingkat "&amp;C35&amp;" dari 5 cukup, nyamannya mulai tingkat "&amp;Aturan!$D$30,IF(K35="Belum ada data","tingkat prosesor belum diisi",""))))</f>
        <v/>
      </c>
      <c r="S35" s="66" t="str">
        <f aca="false">IF($A35="","",IF(L35="Kurang","grafis tingkat "&amp;D35&amp;" dari 5, di bawah batas minimal (tingkat "&amp;Aturan!$C$31&amp;")",IF(L35="Cukup","grafis tingkat "&amp;D35&amp;" dari 5 cukup, nyamannya mulai tingkat "&amp;Aturan!$D$31,IF(L35="Belum ada data","tingkat grafis belum diisi",""))))</f>
        <v/>
      </c>
      <c r="T35" s="66" t="str">
        <f aca="false">IF($A35="","",IF(M35="Kurang","RAM "&amp;E35&amp;" GB, di bawah batas minimal "&amp;Aturan!$C$32&amp;" GB ("&amp;I35&amp;")",IF(M35="Cukup","RAM "&amp;E35&amp;" GB cukup, nyamannya "&amp;Aturan!$D$32&amp;" GB atau lebih ("&amp;I35&amp;")",IF(M35="Belum ada data","ukuran RAM belum diisi",""))))</f>
        <v/>
      </c>
      <c r="U35" s="66" t="str">
        <f aca="false">IF($A35="","",IF(N35="Kurang","penyimpanan "&amp;F35&amp;" GB, di bawah batas minimal "&amp;Aturan!$C$33&amp;" GB ("&amp;J35&amp;")",IF(N35="Cukup","penyimpanan "&amp;F35&amp;" GB cukup, nyamannya "&amp;Aturan!$D$33&amp;" GB atau lebih ("&amp;J35&amp;")",IF(N35="Belum ada data","ukuran penyimpanan belum diisi",""))))</f>
        <v/>
      </c>
      <c r="V35" s="66" t="str">
        <f aca="false">IF($A35="","",IF(O35="Kurang","layar "&amp;Varian!$AG11&amp;", di bawah batas minimal ("&amp;IFERROR(INDEX(Aturan!$A$63:$A$66,MATCH(Aturan!$C$34,Aturan!$B$63:$B$66,0)),"peringkat "&amp;Aturan!$C$34)&amp;")",IF(O35="Cukup","layar "&amp;Varian!$AG11&amp;" cukup, nyamannya "&amp;IFERROR(INDEX(Aturan!$A$63:$A$66,MATCH(Aturan!$D$34,Aturan!$B$63:$B$66,0)),"peringkat "&amp;Aturan!$D$34),IF(O35="Belum ada data","jenis layar belum diketahui",""))))</f>
        <v/>
      </c>
      <c r="W35" s="66" t="str">
        <f aca="false">IF($A35="","",IF(P35="Kurang","layar "&amp;H35&amp;" Hz, di bawah batas minimal "&amp;Aturan!$C$35&amp;" Hz",IF(P35="Cukup","layar "&amp;H35&amp;" Hz cukup, nyamannya "&amp;Aturan!$D$35&amp;" Hz atau lebih",IF(P35="Belum ada data","refresh rate belum diketahui",""))))</f>
        <v/>
      </c>
      <c r="X35" s="66" t="str">
        <f aca="false">IF($A35="","",IF(K35="Kurang",R35&amp;"; ","")&amp;IF(L35="Kurang",S35&amp;"; ","")&amp;IF(M35="Kurang",T35&amp;"; ","")&amp;IF(N35="Kurang",U35&amp;"; ","")&amp;IF(O35="Kurang",V35&amp;"; ","")&amp;IF(P35="Kurang",W35&amp;"; ","")&amp;IF(K35="Belum ada data",R35&amp;"; ","")&amp;IF(L35="Belum ada data",S35&amp;"; ","")&amp;IF(M35="Belum ada data",T35&amp;"; ","")&amp;IF(N35="Belum ada data",U35&amp;"; ","")&amp;IF(O35="Belum ada data",V35&amp;"; ","")&amp;IF(P35="Belum ada data",W35&amp;"; ","")&amp;IF(K35="Cukup",R35&amp;"; ","")&amp;IF(L35="Cukup",S35&amp;"; ","")&amp;IF(M35="Cukup",T35&amp;"; ","")&amp;IF(N35="Cukup",U35&amp;"; ","")&amp;IF(O35="Cukup",V35&amp;"; ","")&amp;IF(P35="Cukup",W35&amp;"; ",""))</f>
        <v/>
      </c>
      <c r="Y35" s="66" t="str">
        <f aca="false">IF($A35="","",IF(K35="Nyaman","prosesor, ","")&amp;IF(L35="Nyaman","grafis, ","")&amp;IF(M35="Nyaman","RAM, ","")&amp;IF(N35="Nyaman","penyimpanan, ","")&amp;IF(O35="Nyaman","layar, ","")&amp;IF(P35="Nyaman","refresh rate, ",""))</f>
        <v>prosesor, RAM, penyimpanan, </v>
      </c>
      <c r="Z35" s="66" t="str">
        <f aca="false">IF($A35="","",IF(Q35="Tidak dinilai","Belum ada kriteria yang dinilai untuk kebutuhan ini.",IF(Q35="Cocok","Semua kriteria yang dinilai sudah nyaman: "&amp;LEFT(Y35,LEN(Y35)-2)&amp;".",UPPER(LEFT(X35,1))&amp;MID(X35,2,LEN(X35)-3)&amp;"."&amp;IF(Y35="",""," Sudah nyaman: "&amp;LEFT(Y35,LEN(Y35)-2)&amp;"."))))</f>
        <v>Semua kriteria yang dinilai sudah nyaman: prosesor, RAM, penyimpanan.</v>
      </c>
      <c r="AA35" s="66" t="str">
        <f aca="false">IF($A35="","",IF(Varian!$AR11="Windows 10","• "&amp;Aturan!$E$71&amp;CHAR(10),"")&amp;IF(Varian!$BB11="tidak","• "&amp;Aturan!$E$72&amp;CHAR(10),"")&amp;IF(OR(Varian!$AD11="belum terverifikasi",Varian!$AD11="tidak diketahui"),"• "&amp;Aturan!$E$73&amp;CHAR(10),"")&amp;IF(Varian!$AH11="1366x768","• "&amp;Aturan!$E$74&amp;CHAR(10),"")&amp;IF(Varian!$AG11="TN","• "&amp;Aturan!$E$75&amp;CHAR(10),"")&amp;IF(AND(Varian!$Q11="disolder",ISNUMBER(Varian!$M11),Varian!$M11&lt;=8),"• "&amp;Aturan!$E$76&amp;CHAR(10),""))</f>
        <v/>
      </c>
      <c r="AB35" s="66" t="str">
        <f aca="false">IF($A35="","",IF(AA35="","",LEFT(AA35,LEN(AA35)-1)))</f>
        <v/>
      </c>
      <c r="AC35" s="67" t="n">
        <f aca="false">IF($A35="","",IF(AA35="",0,LEN(AA35)-LEN(SUBSTITUTE(AA35,CHAR(10),""))))</f>
        <v>0</v>
      </c>
    </row>
    <row r="36" customFormat="false" ht="15" hidden="false" customHeight="true" outlineLevel="0" collapsed="false">
      <c r="A36" s="33" t="str">
        <f aca="false">IF(Varian!$A11="","",Varian!$A11)</f>
        <v>dell-latitude-5400-i5-8265u-8-256</v>
      </c>
      <c r="B36" s="33" t="str">
        <f aca="false">IF($A36="","",Aturan!$A$22)</f>
        <v>Desain grafis</v>
      </c>
      <c r="C36" s="69" t="n">
        <f aca="false">IF($A36="","",IFERROR(IF(ISNUMBER(INDEX(CPU!$J$4:$J$64,MATCH(Varian!$J11,CPU!$A$4:$A$64,0))),INDEX(CPU!$J$4:$J$64,MATCH(Varian!$J11,CPU!$A$4:$A$64,0)),""),""))</f>
        <v>2</v>
      </c>
      <c r="D36" s="69" t="n">
        <f aca="false">IF($A36="","",IFERROR(IF(ISNUMBER(INDEX(GPU!$G$4:$G$64,MATCH(Varian!$K11,GPU!$A$4:$A$64,0))),INDEX(GPU!$G$4:$G$64,MATCH(Varian!$K11,GPU!$A$4:$A$64,0)),""),""))</f>
        <v>1</v>
      </c>
      <c r="E36" s="69" t="n">
        <f aca="false">IF($A36="","",IF(ISNUMBER(Varian!$M11),Varian!$M11,""))</f>
        <v>8</v>
      </c>
      <c r="F36" s="69" t="n">
        <f aca="false">IF($A36="","",IF(ISNUMBER(Varian!$V11),Varian!$V11,""))</f>
        <v>256</v>
      </c>
      <c r="G36" s="69" t="str">
        <f aca="false">IF($A36="","",IFERROR(INDEX(Aturan!$B$63:$B$66,MATCH(Varian!$AG11,Aturan!$A$63:$A$66,0)),""))</f>
        <v/>
      </c>
      <c r="H36" s="69" t="str">
        <f aca="false">IF($A36="","",IF(ISNUMBER(Varian!$AI11),Varian!$AI11,""))</f>
        <v/>
      </c>
      <c r="I36" s="33" t="str">
        <f aca="false">IF($A36="","",IF(Varian!$Q11="disolder","menempel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6" s="33" t="str">
        <f aca="false">IF($A36="","",IF(Varian!$Z11="ya","bisa diganti dengan yang lebih besar",IF(Varian!$Z11="tidak","menempel, tidak bisa diganti","belum diketahui apakah bisa diganti")))</f>
        <v>bisa diganti dengan yang lebih besar</v>
      </c>
      <c r="K36" s="70" t="str">
        <f aca="false">IF($A36="","",IF(AND(Aturan!$C$36="",Aturan!$D$36=""),"Tidak dinilai",IF(C36="","Belum ada data",IF(C36&lt;IF(Aturan!$C$36="",0,Aturan!$C$36),"Kurang",IF(C36&gt;=IF(Aturan!$D$36="",Aturan!$C$36,Aturan!$D$36),"Nyaman","Cukup")))))</f>
        <v>Cukup</v>
      </c>
      <c r="L36" s="70" t="str">
        <f aca="false">IF($A36="","",IF(AND(Aturan!$C$37="",Aturan!$D$37=""),"Tidak dinilai",IF(D36="","Belum ada data",IF(D36&lt;IF(Aturan!$C$37="",0,Aturan!$C$37),"Kurang",IF(D36&gt;=IF(Aturan!$D$37="",Aturan!$C$37,Aturan!$D$37),"Nyaman","Cukup")))))</f>
        <v>Cukup</v>
      </c>
      <c r="M36" s="70" t="str">
        <f aca="false">IF($A36="","",IF(AND(Aturan!$C$38="",Aturan!$D$38=""),"Tidak dinilai",IF(E36="","Belum ada data",IF(E36&lt;IF(Aturan!$C$38="",0,Aturan!$C$38),"Kurang",IF(E36&gt;=IF(Aturan!$D$38="",Aturan!$C$38,Aturan!$D$38),"Nyaman","Cukup")))))</f>
        <v>Cukup</v>
      </c>
      <c r="N36" s="70" t="str">
        <f aca="false">IF($A36="","",IF(AND(Aturan!$C$39="",Aturan!$D$39=""),"Tidak dinilai",IF(F36="","Belum ada data",IF(F36&lt;IF(Aturan!$C$39="",0,Aturan!$C$39),"Kurang",IF(F36&gt;=IF(Aturan!$D$39="",Aturan!$C$39,Aturan!$D$39),"Nyaman","Cukup")))))</f>
        <v>Cukup</v>
      </c>
      <c r="O36" s="70" t="str">
        <f aca="false">IF($A36="","",IF(AND(Aturan!$C$40="",Aturan!$D$40=""),"Tidak dinilai",IF(G36="","Belum ada data",IF(G36&lt;IF(Aturan!$C$40="",0,Aturan!$C$40),"Kurang",IF(G36&gt;=IF(Aturan!$D$40="",Aturan!$C$40,Aturan!$D$40),"Nyaman","Cukup")))))</f>
        <v>Belum ada data</v>
      </c>
      <c r="P36" s="70" t="str">
        <f aca="false">IF($A36="","",IF(AND(Aturan!$C$41="",Aturan!$D$41=""),"Tidak dinilai",IF(H36="","Belum ada data",IF(H36&lt;IF(Aturan!$C$41="",0,Aturan!$C$41),"Kurang",IF(H36&gt;=IF(Aturan!$D$41="",Aturan!$C$41,Aturan!$D$41),"Nyaman","Cukup")))))</f>
        <v>Tidak dinilai</v>
      </c>
      <c r="Q36" s="70" t="str">
        <f aca="false">IF($A36="","",IF(COUNTIF(K36:P36,"Tidak dinilai")=6,"Tidak dinilai",IF(COUNTIF(K36:P36,"Kurang")&gt;0,"Kurang cocok",IF(COUNTIF(K36:P36,"Belum ada data")&gt;0,"Data belum lengkap",IF(COUNTIF(K36:P36,"Cukup")&gt;0,"Bisa, dengan catatan","Cocok")))))</f>
        <v>Data belum lengkap</v>
      </c>
      <c r="R36" s="33" t="str">
        <f aca="false">IF($A36="","",IF(K36="Kurang","prosesor tingkat "&amp;C36&amp;" dari 5, di bawah batas minimal (tingkat "&amp;Aturan!$C$36&amp;")",IF(K36="Cukup","prosesor tingkat "&amp;C36&amp;" dari 5 cukup, nyamannya mulai tingkat "&amp;Aturan!$D$36,IF(K36="Belum ada data","tingkat prosesor belum diisi",""))))</f>
        <v>prosesor tingkat 2 dari 5 cukup, nyamannya mulai tingkat 3</v>
      </c>
      <c r="S36" s="33" t="str">
        <f aca="false">IF($A36="","",IF(L36="Kurang","grafis tingkat "&amp;D36&amp;" dari 5, di bawah batas minimal (tingkat "&amp;Aturan!$C$37&amp;")",IF(L36="Cukup","grafis tingkat "&amp;D36&amp;" dari 5 cukup, nyamannya mulai tingkat "&amp;Aturan!$D$37,IF(L36="Belum ada data","tingkat grafis belum diisi",""))))</f>
        <v>grafis tingkat 1 dari 5 cukup, nyamannya mulai tingkat 2</v>
      </c>
      <c r="T36" s="33" t="str">
        <f aca="false">IF($A36="","",IF(M36="Kurang","RAM "&amp;E36&amp;" GB, di bawah batas minimal "&amp;Aturan!$C$38&amp;" GB ("&amp;I36&amp;")",IF(M36="Cukup","RAM "&amp;E36&amp;" GB cukup, nyamannya "&amp;Aturan!$D$38&amp;" GB atau lebih ("&amp;I36&amp;")",IF(M36="Belum ada data","ukuran RAM belum diisi",""))))</f>
        <v>RAM 8 GB cukup, nyamannya 16 GB atau lebih (bisa dinaikkan lewat slot sampai 32 GB)</v>
      </c>
      <c r="U36" s="33" t="str">
        <f aca="false">IF($A36="","",IF(N36="Kurang","penyimpanan "&amp;F36&amp;" GB, di bawah batas minimal "&amp;Aturan!$C$39&amp;" GB ("&amp;J36&amp;")",IF(N36="Cukup","penyimpanan "&amp;F36&amp;" GB cukup, nyamannya "&amp;Aturan!$D$39&amp;" GB atau lebih ("&amp;J36&amp;")",IF(N36="Belum ada data","ukuran penyimpanan belum diisi",""))))</f>
        <v>penyimpanan 256 GB cukup, nyamannya 512 GB atau lebih (bisa diganti dengan yang lebih besar)</v>
      </c>
      <c r="V36" s="33" t="str">
        <f aca="false">IF($A36="","",IF(O36="Kurang","layar "&amp;Varian!$AG11&amp;", di bawah batas minimal ("&amp;IFERROR(INDEX(Aturan!$A$63:$A$66,MATCH(Aturan!$C$40,Aturan!$B$63:$B$66,0)),"peringkat "&amp;Aturan!$C$40)&amp;")",IF(O36="Cukup","layar "&amp;Varian!$AG11&amp;" cukup, nyamannya "&amp;IFERROR(INDEX(Aturan!$A$63:$A$66,MATCH(Aturan!$D$40,Aturan!$B$63:$B$66,0)),"peringkat "&amp;Aturan!$D$40),IF(O36="Belum ada data","jenis layar belum diketahui",""))))</f>
        <v>jenis layar belum diketahui</v>
      </c>
      <c r="W36" s="33" t="str">
        <f aca="false">IF($A36="","",IF(P36="Kurang","layar "&amp;H36&amp;" Hz, di bawah batas minimal "&amp;Aturan!$C$41&amp;" Hz",IF(P36="Cukup","layar "&amp;H36&amp;" Hz cukup, nyamannya "&amp;Aturan!$D$41&amp;" Hz atau lebih",IF(P36="Belum ada data","refresh rate belum diketahui",""))))</f>
        <v/>
      </c>
      <c r="X36" s="33" t="str">
        <f aca="false">IF($A36="","",IF(K36="Kurang",R36&amp;"; ","")&amp;IF(L36="Kurang",S36&amp;"; ","")&amp;IF(M36="Kurang",T36&amp;"; ","")&amp;IF(N36="Kurang",U36&amp;"; ","")&amp;IF(O36="Kurang",V36&amp;"; ","")&amp;IF(P36="Kurang",W36&amp;"; ","")&amp;IF(K36="Belum ada data",R36&amp;"; ","")&amp;IF(L36="Belum ada data",S36&amp;"; ","")&amp;IF(M36="Belum ada data",T36&amp;"; ","")&amp;IF(N36="Belum ada data",U36&amp;"; ","")&amp;IF(O36="Belum ada data",V36&amp;"; ","")&amp;IF(P36="Belum ada data",W36&amp;"; ","")&amp;IF(K36="Cukup",R36&amp;"; ","")&amp;IF(L36="Cukup",S36&amp;"; ","")&amp;IF(M36="Cukup",T36&amp;"; ","")&amp;IF(N36="Cukup",U36&amp;"; ","")&amp;IF(O36="Cukup",V36&amp;"; ","")&amp;IF(P36="Cukup",W36&amp;"; ",""))</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v>
      </c>
      <c r="Y36" s="33" t="str">
        <f aca="false">IF($A36="","",IF(K36="Nyaman","prosesor, ","")&amp;IF(L36="Nyaman","grafis, ","")&amp;IF(M36="Nyaman","RAM, ","")&amp;IF(N36="Nyaman","penyimpanan, ","")&amp;IF(O36="Nyaman","layar, ","")&amp;IF(P36="Nyaman","refresh rate, ",""))</f>
        <v/>
      </c>
      <c r="Z36" s="33" t="str">
        <f aca="false">IF($A36="","",IF(Q36="Tidak dinilai","Belum ada kriteria yang dinilai untuk kebutuhan ini.",IF(Q36="Cocok","Semua kriteria yang dinilai sudah nyaman: "&amp;LEFT(Y36,LEN(Y36)-2)&amp;".",UPPER(LEFT(X36,1))&amp;MID(X36,2,LEN(X36)-3)&amp;"."&amp;IF(Y36="",""," Sudah nyaman: "&amp;LEFT(Y36,LEN(Y36)-2)&amp;"."))))</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v>
      </c>
      <c r="AA36" s="33"/>
      <c r="AB36" s="33"/>
      <c r="AC36" s="69"/>
    </row>
    <row r="37" customFormat="false" ht="15" hidden="false" customHeight="true" outlineLevel="0" collapsed="false">
      <c r="A37" s="33" t="str">
        <f aca="false">IF(Varian!$A11="","",Varian!$A11)</f>
        <v>dell-latitude-5400-i5-8265u-8-256</v>
      </c>
      <c r="B37" s="33" t="str">
        <f aca="false">IF($A37="","",Aturan!$A$23)</f>
        <v>Pemrograman</v>
      </c>
      <c r="C37" s="69" t="n">
        <f aca="false">IF($A37="","",IFERROR(IF(ISNUMBER(INDEX(CPU!$J$4:$J$64,MATCH(Varian!$J11,CPU!$A$4:$A$64,0))),INDEX(CPU!$J$4:$J$64,MATCH(Varian!$J11,CPU!$A$4:$A$64,0)),""),""))</f>
        <v>2</v>
      </c>
      <c r="D37" s="69" t="n">
        <f aca="false">IF($A37="","",IFERROR(IF(ISNUMBER(INDEX(GPU!$G$4:$G$64,MATCH(Varian!$K11,GPU!$A$4:$A$64,0))),INDEX(GPU!$G$4:$G$64,MATCH(Varian!$K11,GPU!$A$4:$A$64,0)),""),""))</f>
        <v>1</v>
      </c>
      <c r="E37" s="69" t="n">
        <f aca="false">IF($A37="","",IF(ISNUMBER(Varian!$M11),Varian!$M11,""))</f>
        <v>8</v>
      </c>
      <c r="F37" s="69" t="n">
        <f aca="false">IF($A37="","",IF(ISNUMBER(Varian!$V11),Varian!$V11,""))</f>
        <v>256</v>
      </c>
      <c r="G37" s="69" t="str">
        <f aca="false">IF($A37="","",IFERROR(INDEX(Aturan!$B$63:$B$66,MATCH(Varian!$AG11,Aturan!$A$63:$A$66,0)),""))</f>
        <v/>
      </c>
      <c r="H37" s="69" t="str">
        <f aca="false">IF($A37="","",IF(ISNUMBER(Varian!$AI11),Varian!$AI11,""))</f>
        <v/>
      </c>
      <c r="I37" s="33" t="str">
        <f aca="false">IF($A37="","",IF(Varian!$Q11="disolder","menempel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7" s="33" t="str">
        <f aca="false">IF($A37="","",IF(Varian!$Z11="ya","bisa diganti dengan yang lebih besar",IF(Varian!$Z11="tidak","menempel, tidak bisa diganti","belum diketahui apakah bisa diganti")))</f>
        <v>bisa diganti dengan yang lebih besar</v>
      </c>
      <c r="K37" s="70" t="str">
        <f aca="false">IF($A37="","",IF(AND(Aturan!$C$42="",Aturan!$D$42=""),"Tidak dinilai",IF(C37="","Belum ada data",IF(C37&lt;IF(Aturan!$C$42="",0,Aturan!$C$42),"Kurang",IF(C37&gt;=IF(Aturan!$D$42="",Aturan!$C$42,Aturan!$D$42),"Nyaman","Cukup")))))</f>
        <v>Cukup</v>
      </c>
      <c r="L37" s="70" t="str">
        <f aca="false">IF($A37="","",IF(AND(Aturan!$C$43="",Aturan!$D$43=""),"Tidak dinilai",IF(D37="","Belum ada data",IF(D37&lt;IF(Aturan!$C$43="",0,Aturan!$C$43),"Kurang",IF(D37&gt;=IF(Aturan!$D$43="",Aturan!$C$43,Aturan!$D$43),"Nyaman","Cukup")))))</f>
        <v>Tidak dinilai</v>
      </c>
      <c r="M37" s="70" t="str">
        <f aca="false">IF($A37="","",IF(AND(Aturan!$C$44="",Aturan!$D$44=""),"Tidak dinilai",IF(E37="","Belum ada data",IF(E37&lt;IF(Aturan!$C$44="",0,Aturan!$C$44),"Kurang",IF(E37&gt;=IF(Aturan!$D$44="",Aturan!$C$44,Aturan!$D$44),"Nyaman","Cukup")))))</f>
        <v>Cukup</v>
      </c>
      <c r="N37" s="70" t="str">
        <f aca="false">IF($A37="","",IF(AND(Aturan!$C$45="",Aturan!$D$45=""),"Tidak dinilai",IF(F37="","Belum ada data",IF(F37&lt;IF(Aturan!$C$45="",0,Aturan!$C$45),"Kurang",IF(F37&gt;=IF(Aturan!$D$45="",Aturan!$C$45,Aturan!$D$45),"Nyaman","Cukup")))))</f>
        <v>Cukup</v>
      </c>
      <c r="O37" s="70" t="str">
        <f aca="false">IF($A37="","",IF(AND(Aturan!$C$46="",Aturan!$D$46=""),"Tidak dinilai",IF(G37="","Belum ada data",IF(G37&lt;IF(Aturan!$C$46="",0,Aturan!$C$46),"Kurang",IF(G37&gt;=IF(Aturan!$D$46="",Aturan!$C$46,Aturan!$D$46),"Nyaman","Cukup")))))</f>
        <v>Tidak dinilai</v>
      </c>
      <c r="P37" s="70" t="str">
        <f aca="false">IF($A37="","",IF(AND(Aturan!$C$47="",Aturan!$D$47=""),"Tidak dinilai",IF(H37="","Belum ada data",IF(H37&lt;IF(Aturan!$C$47="",0,Aturan!$C$47),"Kurang",IF(H37&gt;=IF(Aturan!$D$47="",Aturan!$C$47,Aturan!$D$47),"Nyaman","Cukup")))))</f>
        <v>Tidak dinilai</v>
      </c>
      <c r="Q37" s="70" t="str">
        <f aca="false">IF($A37="","",IF(COUNTIF(K37:P37,"Tidak dinilai")=6,"Tidak dinilai",IF(COUNTIF(K37:P37,"Kurang")&gt;0,"Kurang cocok",IF(COUNTIF(K37:P37,"Belum ada data")&gt;0,"Data belum lengkap",IF(COUNTIF(K37:P37,"Cukup")&gt;0,"Bisa, dengan catatan","Cocok")))))</f>
        <v>Bisa, dengan catatan</v>
      </c>
      <c r="R37" s="33" t="str">
        <f aca="false">IF($A37="","",IF(K37="Kurang","prosesor tingkat "&amp;C37&amp;" dari 5, di bawah batas minimal (tingkat "&amp;Aturan!$C$42&amp;")",IF(K37="Cukup","prosesor tingkat "&amp;C37&amp;" dari 5 cukup, nyamannya mulai tingkat "&amp;Aturan!$D$42,IF(K37="Belum ada data","tingkat prosesor belum diisi",""))))</f>
        <v>prosesor tingkat 2 dari 5 cukup, nyamannya mulai tingkat 3</v>
      </c>
      <c r="S37" s="33" t="str">
        <f aca="false">IF($A37="","",IF(L37="Kurang","grafis tingkat "&amp;D37&amp;" dari 5, di bawah batas minimal (tingkat "&amp;Aturan!$C$43&amp;")",IF(L37="Cukup","grafis tingkat "&amp;D37&amp;" dari 5 cukup, nyamannya mulai tingkat "&amp;Aturan!$D$43,IF(L37="Belum ada data","tingkat grafis belum diisi",""))))</f>
        <v/>
      </c>
      <c r="T37" s="33" t="str">
        <f aca="false">IF($A37="","",IF(M37="Kurang","RAM "&amp;E37&amp;" GB, di bawah batas minimal "&amp;Aturan!$C$44&amp;" GB ("&amp;I37&amp;")",IF(M37="Cukup","RAM "&amp;E37&amp;" GB cukup, nyamannya "&amp;Aturan!$D$44&amp;" GB atau lebih ("&amp;I37&amp;")",IF(M37="Belum ada data","ukuran RAM belum diisi",""))))</f>
        <v>RAM 8 GB cukup, nyamannya 16 GB atau lebih (bisa dinaikkan lewat slot sampai 32 GB)</v>
      </c>
      <c r="U37" s="33" t="str">
        <f aca="false">IF($A37="","",IF(N37="Kurang","penyimpanan "&amp;F37&amp;" GB, di bawah batas minimal "&amp;Aturan!$C$45&amp;" GB ("&amp;J37&amp;")",IF(N37="Cukup","penyimpanan "&amp;F37&amp;" GB cukup, nyamannya "&amp;Aturan!$D$45&amp;" GB atau lebih ("&amp;J37&amp;")",IF(N37="Belum ada data","ukuran penyimpanan belum diisi",""))))</f>
        <v>penyimpanan 256 GB cukup, nyamannya 512 GB atau lebih (bisa diganti dengan yang lebih besar)</v>
      </c>
      <c r="V37" s="33" t="str">
        <f aca="false">IF($A37="","",IF(O37="Kurang","layar "&amp;Varian!$AG11&amp;", di bawah batas minimal ("&amp;IFERROR(INDEX(Aturan!$A$63:$A$66,MATCH(Aturan!$C$46,Aturan!$B$63:$B$66,0)),"peringkat "&amp;Aturan!$C$46)&amp;")",IF(O37="Cukup","layar "&amp;Varian!$AG11&amp;" cukup, nyamannya "&amp;IFERROR(INDEX(Aturan!$A$63:$A$66,MATCH(Aturan!$D$46,Aturan!$B$63:$B$66,0)),"peringkat "&amp;Aturan!$D$46),IF(O37="Belum ada data","jenis layar belum diketahui",""))))</f>
        <v/>
      </c>
      <c r="W37" s="33" t="str">
        <f aca="false">IF($A37="","",IF(P37="Kurang","layar "&amp;H37&amp;" Hz, di bawah batas minimal "&amp;Aturan!$C$47&amp;" Hz",IF(P37="Cukup","layar "&amp;H37&amp;" Hz cukup, nyamannya "&amp;Aturan!$D$47&amp;" Hz atau lebih",IF(P37="Belum ada data","refresh rate belum diketahui",""))))</f>
        <v/>
      </c>
      <c r="X37" s="33" t="str">
        <f aca="false">IF($A37="","",IF(K37="Kurang",R37&amp;"; ","")&amp;IF(L37="Kurang",S37&amp;"; ","")&amp;IF(M37="Kurang",T37&amp;"; ","")&amp;IF(N37="Kurang",U37&amp;"; ","")&amp;IF(O37="Kurang",V37&amp;"; ","")&amp;IF(P37="Kurang",W37&amp;"; ","")&amp;IF(K37="Belum ada data",R37&amp;"; ","")&amp;IF(L37="Belum ada data",S37&amp;"; ","")&amp;IF(M37="Belum ada data",T37&amp;"; ","")&amp;IF(N37="Belum ada data",U37&amp;"; ","")&amp;IF(O37="Belum ada data",V37&amp;"; ","")&amp;IF(P37="Belum ada data",W37&amp;"; ","")&amp;IF(K37="Cukup",R37&amp;"; ","")&amp;IF(L37="Cukup",S37&amp;"; ","")&amp;IF(M37="Cukup",T37&amp;"; ","")&amp;IF(N37="Cukup",U37&amp;"; ","")&amp;IF(O37="Cukup",V37&amp;"; ","")&amp;IF(P37="Cukup",W37&amp;"; ",""))</f>
        <v>prosesor tingkat 2 dari 5 cukup, nyamannya mulai tingkat 3; RAM 8 GB cukup, nyamannya 16 GB atau lebih (bisa dinaikkan lewat slot sampai 32 GB); penyimpanan 256 GB cukup, nyamannya 512 GB atau lebih (bisa diganti dengan yang lebih besar); </v>
      </c>
      <c r="Y37" s="33" t="str">
        <f aca="false">IF($A37="","",IF(K37="Nyaman","prosesor, ","")&amp;IF(L37="Nyaman","grafis, ","")&amp;IF(M37="Nyaman","RAM, ","")&amp;IF(N37="Nyaman","penyimpanan, ","")&amp;IF(O37="Nyaman","layar, ","")&amp;IF(P37="Nyaman","refresh rate, ",""))</f>
        <v/>
      </c>
      <c r="Z37" s="33" t="str">
        <f aca="false">IF($A37="","",IF(Q37="Tidak dinilai","Belum ada kriteria yang dinilai untuk kebutuhan ini.",IF(Q37="Cocok","Semua kriteria yang dinilai sudah nyaman: "&amp;LEFT(Y37,LEN(Y37)-2)&amp;".",UPPER(LEFT(X37,1))&amp;MID(X37,2,LEN(X37)-3)&amp;"."&amp;IF(Y37="",""," Sudah nyaman: "&amp;LEFT(Y37,LEN(Y37)-2)&amp;"."))))</f>
        <v>Prosesor tingkat 2 dari 5 cukup, nyamannya mulai tingkat 3; RAM 8 GB cukup, nyamannya 16 GB atau lebih (bisa dinaikkan lewat slot sampai 32 GB); penyimpanan 256 GB cukup, nyamannya 512 GB atau lebih (bisa diganti dengan yang lebih besar).</v>
      </c>
      <c r="AA37" s="33"/>
      <c r="AB37" s="33"/>
      <c r="AC37" s="69"/>
    </row>
    <row r="38" customFormat="false" ht="15" hidden="false" customHeight="true" outlineLevel="0" collapsed="false">
      <c r="A38" s="33" t="str">
        <f aca="false">IF(Varian!$A11="","",Varian!$A11)</f>
        <v>dell-latitude-5400-i5-8265u-8-256</v>
      </c>
      <c r="B38" s="33" t="str">
        <f aca="false">IF($A38="","",Aturan!$A$24)</f>
        <v>Game ringan</v>
      </c>
      <c r="C38" s="69" t="n">
        <f aca="false">IF($A38="","",IFERROR(IF(ISNUMBER(INDEX(CPU!$J$4:$J$64,MATCH(Varian!$J11,CPU!$A$4:$A$64,0))),INDEX(CPU!$J$4:$J$64,MATCH(Varian!$J11,CPU!$A$4:$A$64,0)),""),""))</f>
        <v>2</v>
      </c>
      <c r="D38" s="69" t="n">
        <f aca="false">IF($A38="","",IFERROR(IF(ISNUMBER(INDEX(GPU!$G$4:$G$64,MATCH(Varian!$K11,GPU!$A$4:$A$64,0))),INDEX(GPU!$G$4:$G$64,MATCH(Varian!$K11,GPU!$A$4:$A$64,0)),""),""))</f>
        <v>1</v>
      </c>
      <c r="E38" s="69" t="n">
        <f aca="false">IF($A38="","",IF(ISNUMBER(Varian!$M11),Varian!$M11,""))</f>
        <v>8</v>
      </c>
      <c r="F38" s="69" t="n">
        <f aca="false">IF($A38="","",IF(ISNUMBER(Varian!$V11),Varian!$V11,""))</f>
        <v>256</v>
      </c>
      <c r="G38" s="69" t="str">
        <f aca="false">IF($A38="","",IFERROR(INDEX(Aturan!$B$63:$B$66,MATCH(Varian!$AG11,Aturan!$A$63:$A$66,0)),""))</f>
        <v/>
      </c>
      <c r="H38" s="69" t="str">
        <f aca="false">IF($A38="","",IF(ISNUMBER(Varian!$AI11),Varian!$AI11,""))</f>
        <v/>
      </c>
      <c r="I38" s="33" t="str">
        <f aca="false">IF($A38="","",IF(Varian!$Q11="disolder","menempel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8" s="33" t="str">
        <f aca="false">IF($A38="","",IF(Varian!$Z11="ya","bisa diganti dengan yang lebih besar",IF(Varian!$Z11="tidak","menempel, tidak bisa diganti","belum diketahui apakah bisa diganti")))</f>
        <v>bisa diganti dengan yang lebih besar</v>
      </c>
      <c r="K38" s="70" t="str">
        <f aca="false">IF($A38="","",IF(AND(Aturan!$C$48="",Aturan!$D$48=""),"Tidak dinilai",IF(C38="","Belum ada data",IF(C38&lt;IF(Aturan!$C$48="",0,Aturan!$C$48),"Kurang",IF(C38&gt;=IF(Aturan!$D$48="",Aturan!$C$48,Aturan!$D$48),"Nyaman","Cukup")))))</f>
        <v>Cukup</v>
      </c>
      <c r="L38" s="70" t="str">
        <f aca="false">IF($A38="","",IF(AND(Aturan!$C$49="",Aturan!$D$49=""),"Tidak dinilai",IF(D38="","Belum ada data",IF(D38&lt;IF(Aturan!$C$49="",0,Aturan!$C$49),"Kurang",IF(D38&gt;=IF(Aturan!$D$49="",Aturan!$C$49,Aturan!$D$49),"Nyaman","Cukup")))))</f>
        <v>Cukup</v>
      </c>
      <c r="M38" s="70" t="str">
        <f aca="false">IF($A38="","",IF(AND(Aturan!$C$50="",Aturan!$D$50=""),"Tidak dinilai",IF(E38="","Belum ada data",IF(E38&lt;IF(Aturan!$C$50="",0,Aturan!$C$50),"Kurang",IF(E38&gt;=IF(Aturan!$D$50="",Aturan!$C$50,Aturan!$D$50),"Nyaman","Cukup")))))</f>
        <v>Nyaman</v>
      </c>
      <c r="N38" s="70" t="str">
        <f aca="false">IF($A38="","",IF(AND(Aturan!$C$51="",Aturan!$D$51=""),"Tidak dinilai",IF(F38="","Belum ada data",IF(F38&lt;IF(Aturan!$C$51="",0,Aturan!$C$51),"Kurang",IF(F38&gt;=IF(Aturan!$D$51="",Aturan!$C$51,Aturan!$D$51),"Nyaman","Cukup")))))</f>
        <v>Nyaman</v>
      </c>
      <c r="O38" s="70" t="str">
        <f aca="false">IF($A38="","",IF(AND(Aturan!$C$52="",Aturan!$D$52=""),"Tidak dinilai",IF(G38="","Belum ada data",IF(G38&lt;IF(Aturan!$C$52="",0,Aturan!$C$52),"Kurang",IF(G38&gt;=IF(Aturan!$D$52="",Aturan!$C$52,Aturan!$D$52),"Nyaman","Cukup")))))</f>
        <v>Tidak dinilai</v>
      </c>
      <c r="P38" s="70" t="str">
        <f aca="false">IF($A38="","",IF(AND(Aturan!$C$53="",Aturan!$D$53=""),"Tidak dinilai",IF(H38="","Belum ada data",IF(H38&lt;IF(Aturan!$C$53="",0,Aturan!$C$53),"Kurang",IF(H38&gt;=IF(Aturan!$D$53="",Aturan!$C$53,Aturan!$D$53),"Nyaman","Cukup")))))</f>
        <v>Tidak dinilai</v>
      </c>
      <c r="Q38" s="70" t="str">
        <f aca="false">IF($A38="","",IF(COUNTIF(K38:P38,"Tidak dinilai")=6,"Tidak dinilai",IF(COUNTIF(K38:P38,"Kurang")&gt;0,"Kurang cocok",IF(COUNTIF(K38:P38,"Belum ada data")&gt;0,"Data belum lengkap",IF(COUNTIF(K38:P38,"Cukup")&gt;0,"Bisa, dengan catatan","Cocok")))))</f>
        <v>Bisa, dengan catatan</v>
      </c>
      <c r="R38" s="33" t="str">
        <f aca="false">IF($A38="","",IF(K38="Kurang","prosesor tingkat "&amp;C38&amp;" dari 5, di bawah batas minimal (tingkat "&amp;Aturan!$C$48&amp;")",IF(K38="Cukup","prosesor tingkat "&amp;C38&amp;" dari 5 cukup, nyamannya mulai tingkat "&amp;Aturan!$D$48,IF(K38="Belum ada data","tingkat prosesor belum diisi",""))))</f>
        <v>prosesor tingkat 2 dari 5 cukup, nyamannya mulai tingkat 3</v>
      </c>
      <c r="S38" s="33" t="str">
        <f aca="false">IF($A38="","",IF(L38="Kurang","grafis tingkat "&amp;D38&amp;" dari 5, di bawah batas minimal (tingkat "&amp;Aturan!$C$49&amp;")",IF(L38="Cukup","grafis tingkat "&amp;D38&amp;" dari 5 cukup, nyamannya mulai tingkat "&amp;Aturan!$D$49,IF(L38="Belum ada data","tingkat grafis belum diisi",""))))</f>
        <v>grafis tingkat 1 dari 5 cukup, nyamannya mulai tingkat 2</v>
      </c>
      <c r="T38" s="33" t="str">
        <f aca="false">IF($A38="","",IF(M38="Kurang","RAM "&amp;E38&amp;" GB, di bawah batas minimal "&amp;Aturan!$C$50&amp;" GB ("&amp;I38&amp;")",IF(M38="Cukup","RAM "&amp;E38&amp;" GB cukup, nyamannya "&amp;Aturan!$D$50&amp;" GB atau lebih ("&amp;I38&amp;")",IF(M38="Belum ada data","ukuran RAM belum diisi",""))))</f>
        <v/>
      </c>
      <c r="U38" s="33" t="str">
        <f aca="false">IF($A38="","",IF(N38="Kurang","penyimpanan "&amp;F38&amp;" GB, di bawah batas minimal "&amp;Aturan!$C$51&amp;" GB ("&amp;J38&amp;")",IF(N38="Cukup","penyimpanan "&amp;F38&amp;" GB cukup, nyamannya "&amp;Aturan!$D$51&amp;" GB atau lebih ("&amp;J38&amp;")",IF(N38="Belum ada data","ukuran penyimpanan belum diisi",""))))</f>
        <v/>
      </c>
      <c r="V38" s="33" t="str">
        <f aca="false">IF($A38="","",IF(O38="Kurang","layar "&amp;Varian!$AG11&amp;", di bawah batas minimal ("&amp;IFERROR(INDEX(Aturan!$A$63:$A$66,MATCH(Aturan!$C$52,Aturan!$B$63:$B$66,0)),"peringkat "&amp;Aturan!$C$52)&amp;")",IF(O38="Cukup","layar "&amp;Varian!$AG11&amp;" cukup, nyamannya "&amp;IFERROR(INDEX(Aturan!$A$63:$A$66,MATCH(Aturan!$D$52,Aturan!$B$63:$B$66,0)),"peringkat "&amp;Aturan!$D$52),IF(O38="Belum ada data","jenis layar belum diketahui",""))))</f>
        <v/>
      </c>
      <c r="W38" s="33" t="str">
        <f aca="false">IF($A38="","",IF(P38="Kurang","layar "&amp;H38&amp;" Hz, di bawah batas minimal "&amp;Aturan!$C$53&amp;" Hz",IF(P38="Cukup","layar "&amp;H38&amp;" Hz cukup, nyamannya "&amp;Aturan!$D$53&amp;" Hz atau lebih",IF(P38="Belum ada data","refresh rate belum diketahui",""))))</f>
        <v/>
      </c>
      <c r="X38" s="33" t="str">
        <f aca="false">IF($A38="","",IF(K38="Kurang",R38&amp;"; ","")&amp;IF(L38="Kurang",S38&amp;"; ","")&amp;IF(M38="Kurang",T38&amp;"; ","")&amp;IF(N38="Kurang",U38&amp;"; ","")&amp;IF(O38="Kurang",V38&amp;"; ","")&amp;IF(P38="Kurang",W38&amp;"; ","")&amp;IF(K38="Belum ada data",R38&amp;"; ","")&amp;IF(L38="Belum ada data",S38&amp;"; ","")&amp;IF(M38="Belum ada data",T38&amp;"; ","")&amp;IF(N38="Belum ada data",U38&amp;"; ","")&amp;IF(O38="Belum ada data",V38&amp;"; ","")&amp;IF(P38="Belum ada data",W38&amp;"; ","")&amp;IF(K38="Cukup",R38&amp;"; ","")&amp;IF(L38="Cukup",S38&amp;"; ","")&amp;IF(M38="Cukup",T38&amp;"; ","")&amp;IF(N38="Cukup",U38&amp;"; ","")&amp;IF(O38="Cukup",V38&amp;"; ","")&amp;IF(P38="Cukup",W38&amp;"; ",""))</f>
        <v>prosesor tingkat 2 dari 5 cukup, nyamannya mulai tingkat 3; grafis tingkat 1 dari 5 cukup, nyamannya mulai tingkat 2; </v>
      </c>
      <c r="Y38" s="33" t="str">
        <f aca="false">IF($A38="","",IF(K38="Nyaman","prosesor, ","")&amp;IF(L38="Nyaman","grafis, ","")&amp;IF(M38="Nyaman","RAM, ","")&amp;IF(N38="Nyaman","penyimpanan, ","")&amp;IF(O38="Nyaman","layar, ","")&amp;IF(P38="Nyaman","refresh rate, ",""))</f>
        <v>RAM, penyimpanan, </v>
      </c>
      <c r="Z38" s="33" t="str">
        <f aca="false">IF($A38="","",IF(Q38="Tidak dinilai","Belum ada kriteria yang dinilai untuk kebutuhan ini.",IF(Q38="Cocok","Semua kriteria yang dinilai sudah nyaman: "&amp;LEFT(Y38,LEN(Y38)-2)&amp;".",UPPER(LEFT(X38,1))&amp;MID(X38,2,LEN(X38)-3)&amp;"."&amp;IF(Y38="",""," Sudah nyaman: "&amp;LEFT(Y38,LEN(Y38)-2)&amp;"."))))</f>
        <v>Prosesor tingkat 2 dari 5 cukup, nyamannya mulai tingkat 3; grafis tingkat 1 dari 5 cukup, nyamannya mulai tingkat 2. Sudah nyaman: RAM, penyimpanan.</v>
      </c>
      <c r="AA38" s="33"/>
      <c r="AB38" s="33"/>
      <c r="AC38" s="69"/>
    </row>
    <row r="39" customFormat="false" ht="15" hidden="false" customHeight="true" outlineLevel="0" collapsed="false">
      <c r="A39" s="33" t="str">
        <f aca="false">IF(Varian!$A11="","",Varian!$A11)</f>
        <v>dell-latitude-5400-i5-8265u-8-256</v>
      </c>
      <c r="B39" s="33" t="str">
        <f aca="false">IF($A39="","",Aturan!$A$25)</f>
        <v>Game berat</v>
      </c>
      <c r="C39" s="69" t="n">
        <f aca="false">IF($A39="","",IFERROR(IF(ISNUMBER(INDEX(CPU!$J$4:$J$64,MATCH(Varian!$J11,CPU!$A$4:$A$64,0))),INDEX(CPU!$J$4:$J$64,MATCH(Varian!$J11,CPU!$A$4:$A$64,0)),""),""))</f>
        <v>2</v>
      </c>
      <c r="D39" s="69" t="n">
        <f aca="false">IF($A39="","",IFERROR(IF(ISNUMBER(INDEX(GPU!$G$4:$G$64,MATCH(Varian!$K11,GPU!$A$4:$A$64,0))),INDEX(GPU!$G$4:$G$64,MATCH(Varian!$K11,GPU!$A$4:$A$64,0)),""),""))</f>
        <v>1</v>
      </c>
      <c r="E39" s="69" t="n">
        <f aca="false">IF($A39="","",IF(ISNUMBER(Varian!$M11),Varian!$M11,""))</f>
        <v>8</v>
      </c>
      <c r="F39" s="69" t="n">
        <f aca="false">IF($A39="","",IF(ISNUMBER(Varian!$V11),Varian!$V11,""))</f>
        <v>256</v>
      </c>
      <c r="G39" s="69" t="str">
        <f aca="false">IF($A39="","",IFERROR(INDEX(Aturan!$B$63:$B$66,MATCH(Varian!$AG11,Aturan!$A$63:$A$66,0)),""))</f>
        <v/>
      </c>
      <c r="H39" s="69" t="str">
        <f aca="false">IF($A39="","",IF(ISNUMBER(Varian!$AI11),Varian!$AI11,""))</f>
        <v/>
      </c>
      <c r="I39" s="33" t="str">
        <f aca="false">IF($A39="","",IF(Varian!$Q11="disolder","menempel di papan utama, tidak bisa ditambah",IF(OR(Varian!$Q11="slot",Varian!$Q11="setengah_disolder"),IF(Varian!$Q11="setengah_disolder","sebagian menempel, ","")&amp;IF(ISNUMBER(Varian!$U11),IF(AND(ISNUMBER(Varian!$M11),Varian!$U11&gt;Varian!$M11),"bisa dinaikkan lewat slot sampai "&amp;Varian!$U11&amp;" GB","sudah di batas maksimal "&amp;Varian!$U11&amp;" GB"),"ada slot, batas maksimalnya belum diketahui"),"belum diketahui apakah bisa ditambah")))</f>
        <v>bisa dinaikkan lewat slot sampai 32 GB</v>
      </c>
      <c r="J39" s="33" t="str">
        <f aca="false">IF($A39="","",IF(Varian!$Z11="ya","bisa diganti dengan yang lebih besar",IF(Varian!$Z11="tidak","menempel, tidak bisa diganti","belum diketahui apakah bisa diganti")))</f>
        <v>bisa diganti dengan yang lebih besar</v>
      </c>
      <c r="K39" s="70" t="str">
        <f aca="false">IF($A39="","",IF(AND(Aturan!$C$54="",Aturan!$D$54=""),"Tidak dinilai",IF(C39="","Belum ada data",IF(C39&lt;IF(Aturan!$C$54="",0,Aturan!$C$54),"Kurang",IF(C39&gt;=IF(Aturan!$D$54="",Aturan!$C$54,Aturan!$D$54),"Nyaman","Cukup")))))</f>
        <v>Kurang</v>
      </c>
      <c r="L39" s="70" t="str">
        <f aca="false">IF($A39="","",IF(AND(Aturan!$C$55="",Aturan!$D$55=""),"Tidak dinilai",IF(D39="","Belum ada data",IF(D39&lt;IF(Aturan!$C$55="",0,Aturan!$C$55),"Kurang",IF(D39&gt;=IF(Aturan!$D$55="",Aturan!$C$55,Aturan!$D$55),"Nyaman","Cukup")))))</f>
        <v>Kurang</v>
      </c>
      <c r="M39" s="70" t="str">
        <f aca="false">IF($A39="","",IF(AND(Aturan!$C$56="",Aturan!$D$56=""),"Tidak dinilai",IF(E39="","Belum ada data",IF(E39&lt;IF(Aturan!$C$56="",0,Aturan!$C$56),"Kurang",IF(E39&gt;=IF(Aturan!$D$56="",Aturan!$C$56,Aturan!$D$56),"Nyaman","Cukup")))))</f>
        <v>Cukup</v>
      </c>
      <c r="N39" s="70" t="str">
        <f aca="false">IF($A39="","",IF(AND(Aturan!$C$57="",Aturan!$D$57=""),"Tidak dinilai",IF(F39="","Belum ada data",IF(F39&lt;IF(Aturan!$C$57="",0,Aturan!$C$57),"Kurang",IF(F39&gt;=IF(Aturan!$D$57="",Aturan!$C$57,Aturan!$D$57),"Nyaman","Cukup")))))</f>
        <v>Kurang</v>
      </c>
      <c r="O39" s="70" t="str">
        <f aca="false">IF($A39="","",IF(AND(Aturan!$C$58="",Aturan!$D$58=""),"Tidak dinilai",IF(G39="","Belum ada data",IF(G39&lt;IF(Aturan!$C$58="",0,Aturan!$C$58),"Kurang",IF(G39&gt;=IF(Aturan!$D$58="",Aturan!$C$58,Aturan!$D$58),"Nyaman","Cukup")))))</f>
        <v>Tidak dinilai</v>
      </c>
      <c r="P39" s="70" t="str">
        <f aca="false">IF($A39="","",IF(AND(Aturan!$C$59="",Aturan!$D$59=""),"Tidak dinilai",IF(H39="","Belum ada data",IF(H39&lt;IF(Aturan!$C$59="",0,Aturan!$C$59),"Kurang",IF(H39&gt;=IF(Aturan!$D$59="",Aturan!$C$59,Aturan!$D$59),"Nyaman","Cukup")))))</f>
        <v>Belum ada data</v>
      </c>
      <c r="Q39" s="70" t="str">
        <f aca="false">IF($A39="","",IF(COUNTIF(K39:P39,"Tidak dinilai")=6,"Tidak dinilai",IF(COUNTIF(K39:P39,"Kurang")&gt;0,"Kurang cocok",IF(COUNTIF(K39:P39,"Belum ada data")&gt;0,"Data belum lengkap",IF(COUNTIF(K39:P39,"Cukup")&gt;0,"Bisa, dengan catatan","Cocok")))))</f>
        <v>Kurang cocok</v>
      </c>
      <c r="R39" s="33" t="str">
        <f aca="false">IF($A39="","",IF(K39="Kurang","prosesor tingkat "&amp;C39&amp;" dari 5, di bawah batas minimal (tingkat "&amp;Aturan!$C$54&amp;")",IF(K39="Cukup","prosesor tingkat "&amp;C39&amp;" dari 5 cukup, nyamannya mulai tingkat "&amp;Aturan!$D$54,IF(K39="Belum ada data","tingkat prosesor belum diisi",""))))</f>
        <v>prosesor tingkat 2 dari 5, di bawah batas minimal (tingkat 3)</v>
      </c>
      <c r="S39" s="33" t="str">
        <f aca="false">IF($A39="","",IF(L39="Kurang","grafis tingkat "&amp;D39&amp;" dari 5, di bawah batas minimal (tingkat "&amp;Aturan!$C$55&amp;")",IF(L39="Cukup","grafis tingkat "&amp;D39&amp;" dari 5 cukup, nyamannya mulai tingkat "&amp;Aturan!$D$55,IF(L39="Belum ada data","tingkat grafis belum diisi",""))))</f>
        <v>grafis tingkat 1 dari 5, di bawah batas minimal (tingkat 3)</v>
      </c>
      <c r="T39" s="33" t="str">
        <f aca="false">IF($A39="","",IF(M39="Kurang","RAM "&amp;E39&amp;" GB, di bawah batas minimal "&amp;Aturan!$C$56&amp;" GB ("&amp;I39&amp;")",IF(M39="Cukup","RAM "&amp;E39&amp;" GB cukup, nyamannya "&amp;Aturan!$D$56&amp;" GB atau lebih ("&amp;I39&amp;")",IF(M39="Belum ada data","ukuran RAM belum diisi",""))))</f>
        <v>RAM 8 GB cukup, nyamannya 16 GB atau lebih (bisa dinaikkan lewat slot sampai 32 GB)</v>
      </c>
      <c r="U39" s="33" t="str">
        <f aca="false">IF($A39="","",IF(N39="Kurang","penyimpanan "&amp;F39&amp;" GB, di bawah batas minimal "&amp;Aturan!$C$57&amp;" GB ("&amp;J39&amp;")",IF(N39="Cukup","penyimpanan "&amp;F39&amp;" GB cukup, nyamannya "&amp;Aturan!$D$57&amp;" GB atau lebih ("&amp;J39&amp;")",IF(N39="Belum ada data","ukuran penyimpanan belum diisi",""))))</f>
        <v>penyimpanan 256 GB, di bawah batas minimal 512 GB (bisa diganti dengan yang lebih besar)</v>
      </c>
      <c r="V39" s="33" t="str">
        <f aca="false">IF($A39="","",IF(O39="Kurang","layar "&amp;Varian!$AG11&amp;", di bawah batas minimal ("&amp;IFERROR(INDEX(Aturan!$A$63:$A$66,MATCH(Aturan!$C$58,Aturan!$B$63:$B$66,0)),"peringkat "&amp;Aturan!$C$58)&amp;")",IF(O39="Cukup","layar "&amp;Varian!$AG11&amp;" cukup, nyamannya "&amp;IFERROR(INDEX(Aturan!$A$63:$A$66,MATCH(Aturan!$D$58,Aturan!$B$63:$B$66,0)),"peringkat "&amp;Aturan!$D$58),IF(O39="Belum ada data","jenis layar belum diketahui",""))))</f>
        <v/>
      </c>
      <c r="W39" s="33" t="str">
        <f aca="false">IF($A39="","",IF(P39="Kurang","layar "&amp;H39&amp;" Hz, di bawah batas minimal "&amp;Aturan!$C$59&amp;" Hz",IF(P39="Cukup","layar "&amp;H39&amp;" Hz cukup, nyamannya "&amp;Aturan!$D$59&amp;" Hz atau lebih",IF(P39="Belum ada data","refresh rate belum diketahui",""))))</f>
        <v>refresh rate belum diketahui</v>
      </c>
      <c r="X39" s="33" t="str">
        <f aca="false">IF($A39="","",IF(K39="Kurang",R39&amp;"; ","")&amp;IF(L39="Kurang",S39&amp;"; ","")&amp;IF(M39="Kurang",T39&amp;"; ","")&amp;IF(N39="Kurang",U39&amp;"; ","")&amp;IF(O39="Kurang",V39&amp;"; ","")&amp;IF(P39="Kurang",W39&amp;"; ","")&amp;IF(K39="Belum ada data",R39&amp;"; ","")&amp;IF(L39="Belum ada data",S39&amp;"; ","")&amp;IF(M39="Belum ada data",T39&amp;"; ","")&amp;IF(N39="Belum ada data",U39&amp;"; ","")&amp;IF(O39="Belum ada data",V39&amp;"; ","")&amp;IF(P39="Belum ada data",W39&amp;"; ","")&amp;IF(K39="Cukup",R39&amp;"; ","")&amp;IF(L39="Cukup",S39&amp;"; ","")&amp;IF(M39="Cukup",T39&amp;"; ","")&amp;IF(N39="Cukup",U39&amp;"; ","")&amp;IF(O39="Cukup",V39&amp;"; ","")&amp;IF(P39="Cukup",W39&amp;";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39" s="33" t="str">
        <f aca="false">IF($A39="","",IF(K39="Nyaman","prosesor, ","")&amp;IF(L39="Nyaman","grafis, ","")&amp;IF(M39="Nyaman","RAM, ","")&amp;IF(N39="Nyaman","penyimpanan, ","")&amp;IF(O39="Nyaman","layar, ","")&amp;IF(P39="Nyaman","refresh rate, ",""))</f>
        <v/>
      </c>
      <c r="Z39" s="33" t="str">
        <f aca="false">IF($A39="","",IF(Q39="Tidak dinilai","Belum ada kriteria yang dinilai untuk kebutuhan ini.",IF(Q39="Cocok","Semua kriteria yang dinilai sudah nyaman: "&amp;LEFT(Y39,LEN(Y39)-2)&amp;".",UPPER(LEFT(X39,1))&amp;MID(X39,2,LEN(X39)-3)&amp;"."&amp;IF(Y39="",""," Sudah nyaman: "&amp;LEFT(Y39,LEN(Y39)-2)&amp;"."))))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39" s="33"/>
      <c r="AB39" s="33"/>
      <c r="AC39" s="69"/>
    </row>
    <row r="40" customFormat="false" ht="15" hidden="false" customHeight="true" outlineLevel="0" collapsed="false">
      <c r="A40" s="66" t="str">
        <f aca="false">IF(Varian!$A12="","",Varian!$A12)</f>
        <v>dell-latitude-5400-i5-8365u-8-256</v>
      </c>
      <c r="B40" s="66" t="str">
        <f aca="false">IF($A40="","",Aturan!$A$21)</f>
        <v>Kuliah dan kantor</v>
      </c>
      <c r="C40" s="67" t="n">
        <f aca="false">IF($A40="","",IFERROR(IF(ISNUMBER(INDEX(CPU!$J$4:$J$64,MATCH(Varian!$J12,CPU!$A$4:$A$64,0))),INDEX(CPU!$J$4:$J$64,MATCH(Varian!$J12,CPU!$A$4:$A$64,0)),""),""))</f>
        <v>2</v>
      </c>
      <c r="D40" s="67" t="n">
        <f aca="false">IF($A40="","",IFERROR(IF(ISNUMBER(INDEX(GPU!$G$4:$G$64,MATCH(Varian!$K12,GPU!$A$4:$A$64,0))),INDEX(GPU!$G$4:$G$64,MATCH(Varian!$K12,GPU!$A$4:$A$64,0)),""),""))</f>
        <v>1</v>
      </c>
      <c r="E40" s="67" t="n">
        <f aca="false">IF($A40="","",IF(ISNUMBER(Varian!$M12),Varian!$M12,""))</f>
        <v>8</v>
      </c>
      <c r="F40" s="67" t="n">
        <f aca="false">IF($A40="","",IF(ISNUMBER(Varian!$V12),Varian!$V12,""))</f>
        <v>256</v>
      </c>
      <c r="G40" s="67" t="str">
        <f aca="false">IF($A40="","",IFERROR(INDEX(Aturan!$B$63:$B$66,MATCH(Varian!$AG12,Aturan!$A$63:$A$66,0)),""))</f>
        <v/>
      </c>
      <c r="H40" s="67" t="str">
        <f aca="false">IF($A40="","",IF(ISNUMBER(Varian!$AI12),Varian!$AI12,""))</f>
        <v/>
      </c>
      <c r="I40" s="66" t="str">
        <f aca="false">IF($A40="","",IF(Varian!$Q12="disolder","menempel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0" s="66" t="str">
        <f aca="false">IF($A40="","",IF(Varian!$Z12="ya","bisa diganti dengan yang lebih besar",IF(Varian!$Z12="tidak","menempel, tidak bisa diganti","belum diketahui apakah bisa diganti")))</f>
        <v>bisa diganti dengan yang lebih besar</v>
      </c>
      <c r="K40" s="68" t="str">
        <f aca="false">IF($A40="","",IF(AND(Aturan!$C$30="",Aturan!$D$30=""),"Tidak dinilai",IF(C40="","Belum ada data",IF(C40&lt;IF(Aturan!$C$30="",0,Aturan!$C$30),"Kurang",IF(C40&gt;=IF(Aturan!$D$30="",Aturan!$C$30,Aturan!$D$30),"Nyaman","Cukup")))))</f>
        <v>Nyaman</v>
      </c>
      <c r="L40" s="68" t="str">
        <f aca="false">IF($A40="","",IF(AND(Aturan!$C$31="",Aturan!$D$31=""),"Tidak dinilai",IF(D40="","Belum ada data",IF(D40&lt;IF(Aturan!$C$31="",0,Aturan!$C$31),"Kurang",IF(D40&gt;=IF(Aturan!$D$31="",Aturan!$C$31,Aturan!$D$31),"Nyaman","Cukup")))))</f>
        <v>Tidak dinilai</v>
      </c>
      <c r="M40" s="68" t="str">
        <f aca="false">IF($A40="","",IF(AND(Aturan!$C$32="",Aturan!$D$32=""),"Tidak dinilai",IF(E40="","Belum ada data",IF(E40&lt;IF(Aturan!$C$32="",0,Aturan!$C$32),"Kurang",IF(E40&gt;=IF(Aturan!$D$32="",Aturan!$C$32,Aturan!$D$32),"Nyaman","Cukup")))))</f>
        <v>Nyaman</v>
      </c>
      <c r="N40" s="68" t="str">
        <f aca="false">IF($A40="","",IF(AND(Aturan!$C$33="",Aturan!$D$33=""),"Tidak dinilai",IF(F40="","Belum ada data",IF(F40&lt;IF(Aturan!$C$33="",0,Aturan!$C$33),"Kurang",IF(F40&gt;=IF(Aturan!$D$33="",Aturan!$C$33,Aturan!$D$33),"Nyaman","Cukup")))))</f>
        <v>Nyaman</v>
      </c>
      <c r="O40" s="68" t="str">
        <f aca="false">IF($A40="","",IF(AND(Aturan!$C$34="",Aturan!$D$34=""),"Tidak dinilai",IF(G40="","Belum ada data",IF(G40&lt;IF(Aturan!$C$34="",0,Aturan!$C$34),"Kurang",IF(G40&gt;=IF(Aturan!$D$34="",Aturan!$C$34,Aturan!$D$34),"Nyaman","Cukup")))))</f>
        <v>Tidak dinilai</v>
      </c>
      <c r="P40" s="68" t="str">
        <f aca="false">IF($A40="","",IF(AND(Aturan!$C$35="",Aturan!$D$35=""),"Tidak dinilai",IF(H40="","Belum ada data",IF(H40&lt;IF(Aturan!$C$35="",0,Aturan!$C$35),"Kurang",IF(H40&gt;=IF(Aturan!$D$35="",Aturan!$C$35,Aturan!$D$35),"Nyaman","Cukup")))))</f>
        <v>Tidak dinilai</v>
      </c>
      <c r="Q40" s="68" t="str">
        <f aca="false">IF($A40="","",IF(COUNTIF(K40:P40,"Tidak dinilai")=6,"Tidak dinilai",IF(COUNTIF(K40:P40,"Kurang")&gt;0,"Kurang cocok",IF(COUNTIF(K40:P40,"Belum ada data")&gt;0,"Data belum lengkap",IF(COUNTIF(K40:P40,"Cukup")&gt;0,"Bisa, dengan catatan","Cocok")))))</f>
        <v>Cocok</v>
      </c>
      <c r="R40" s="66" t="str">
        <f aca="false">IF($A40="","",IF(K40="Kurang","prosesor tingkat "&amp;C40&amp;" dari 5, di bawah batas minimal (tingkat "&amp;Aturan!$C$30&amp;")",IF(K40="Cukup","prosesor tingkat "&amp;C40&amp;" dari 5 cukup, nyamannya mulai tingkat "&amp;Aturan!$D$30,IF(K40="Belum ada data","tingkat prosesor belum diisi",""))))</f>
        <v/>
      </c>
      <c r="S40" s="66" t="str">
        <f aca="false">IF($A40="","",IF(L40="Kurang","grafis tingkat "&amp;D40&amp;" dari 5, di bawah batas minimal (tingkat "&amp;Aturan!$C$31&amp;")",IF(L40="Cukup","grafis tingkat "&amp;D40&amp;" dari 5 cukup, nyamannya mulai tingkat "&amp;Aturan!$D$31,IF(L40="Belum ada data","tingkat grafis belum diisi",""))))</f>
        <v/>
      </c>
      <c r="T40" s="66" t="str">
        <f aca="false">IF($A40="","",IF(M40="Kurang","RAM "&amp;E40&amp;" GB, di bawah batas minimal "&amp;Aturan!$C$32&amp;" GB ("&amp;I40&amp;")",IF(M40="Cukup","RAM "&amp;E40&amp;" GB cukup, nyamannya "&amp;Aturan!$D$32&amp;" GB atau lebih ("&amp;I40&amp;")",IF(M40="Belum ada data","ukuran RAM belum diisi",""))))</f>
        <v/>
      </c>
      <c r="U40" s="66" t="str">
        <f aca="false">IF($A40="","",IF(N40="Kurang","penyimpanan "&amp;F40&amp;" GB, di bawah batas minimal "&amp;Aturan!$C$33&amp;" GB ("&amp;J40&amp;")",IF(N40="Cukup","penyimpanan "&amp;F40&amp;" GB cukup, nyamannya "&amp;Aturan!$D$33&amp;" GB atau lebih ("&amp;J40&amp;")",IF(N40="Belum ada data","ukuran penyimpanan belum diisi",""))))</f>
        <v/>
      </c>
      <c r="V40" s="66" t="str">
        <f aca="false">IF($A40="","",IF(O40="Kurang","layar "&amp;Varian!$AG12&amp;", di bawah batas minimal ("&amp;IFERROR(INDEX(Aturan!$A$63:$A$66,MATCH(Aturan!$C$34,Aturan!$B$63:$B$66,0)),"peringkat "&amp;Aturan!$C$34)&amp;")",IF(O40="Cukup","layar "&amp;Varian!$AG12&amp;" cukup, nyamannya "&amp;IFERROR(INDEX(Aturan!$A$63:$A$66,MATCH(Aturan!$D$34,Aturan!$B$63:$B$66,0)),"peringkat "&amp;Aturan!$D$34),IF(O40="Belum ada data","jenis layar belum diketahui",""))))</f>
        <v/>
      </c>
      <c r="W40" s="66" t="str">
        <f aca="false">IF($A40="","",IF(P40="Kurang","layar "&amp;H40&amp;" Hz, di bawah batas minimal "&amp;Aturan!$C$35&amp;" Hz",IF(P40="Cukup","layar "&amp;H40&amp;" Hz cukup, nyamannya "&amp;Aturan!$D$35&amp;" Hz atau lebih",IF(P40="Belum ada data","refresh rate belum diketahui",""))))</f>
        <v/>
      </c>
      <c r="X40" s="66" t="str">
        <f aca="false">IF($A40="","",IF(K40="Kurang",R40&amp;"; ","")&amp;IF(L40="Kurang",S40&amp;"; ","")&amp;IF(M40="Kurang",T40&amp;"; ","")&amp;IF(N40="Kurang",U40&amp;"; ","")&amp;IF(O40="Kurang",V40&amp;"; ","")&amp;IF(P40="Kurang",W40&amp;"; ","")&amp;IF(K40="Belum ada data",R40&amp;"; ","")&amp;IF(L40="Belum ada data",S40&amp;"; ","")&amp;IF(M40="Belum ada data",T40&amp;"; ","")&amp;IF(N40="Belum ada data",U40&amp;"; ","")&amp;IF(O40="Belum ada data",V40&amp;"; ","")&amp;IF(P40="Belum ada data",W40&amp;"; ","")&amp;IF(K40="Cukup",R40&amp;"; ","")&amp;IF(L40="Cukup",S40&amp;"; ","")&amp;IF(M40="Cukup",T40&amp;"; ","")&amp;IF(N40="Cukup",U40&amp;"; ","")&amp;IF(O40="Cukup",V40&amp;"; ","")&amp;IF(P40="Cukup",W40&amp;"; ",""))</f>
        <v/>
      </c>
      <c r="Y40" s="66" t="str">
        <f aca="false">IF($A40="","",IF(K40="Nyaman","prosesor, ","")&amp;IF(L40="Nyaman","grafis, ","")&amp;IF(M40="Nyaman","RAM, ","")&amp;IF(N40="Nyaman","penyimpanan, ","")&amp;IF(O40="Nyaman","layar, ","")&amp;IF(P40="Nyaman","refresh rate, ",""))</f>
        <v>prosesor, RAM, penyimpanan, </v>
      </c>
      <c r="Z40" s="66" t="str">
        <f aca="false">IF($A40="","",IF(Q40="Tidak dinilai","Belum ada kriteria yang dinilai untuk kebutuhan ini.",IF(Q40="Cocok","Semua kriteria yang dinilai sudah nyaman: "&amp;LEFT(Y40,LEN(Y40)-2)&amp;".",UPPER(LEFT(X40,1))&amp;MID(X40,2,LEN(X40)-3)&amp;"."&amp;IF(Y40="",""," Sudah nyaman: "&amp;LEFT(Y40,LEN(Y40)-2)&amp;"."))))</f>
        <v>Semua kriteria yang dinilai sudah nyaman: prosesor, RAM, penyimpanan.</v>
      </c>
      <c r="AA40" s="66" t="str">
        <f aca="false">IF($A40="","",IF(Varian!$AR12="Windows 10","• "&amp;Aturan!$E$71&amp;CHAR(10),"")&amp;IF(Varian!$BB12="tidak","• "&amp;Aturan!$E$72&amp;CHAR(10),"")&amp;IF(OR(Varian!$AD12="belum terverifikasi",Varian!$AD12="tidak diketahui"),"• "&amp;Aturan!$E$73&amp;CHAR(10),"")&amp;IF(Varian!$AH12="1366x768","• "&amp;Aturan!$E$74&amp;CHAR(10),"")&amp;IF(Varian!$AG12="TN","• "&amp;Aturan!$E$75&amp;CHAR(10),"")&amp;IF(AND(Varian!$Q12="disolder",ISNUMBER(Varian!$M12),Varian!$M12&lt;=8),"• "&amp;Aturan!$E$76&amp;CHAR(10),""))</f>
        <v/>
      </c>
      <c r="AB40" s="66" t="str">
        <f aca="false">IF($A40="","",IF(AA40="","",LEFT(AA40,LEN(AA40)-1)))</f>
        <v/>
      </c>
      <c r="AC40" s="67" t="n">
        <f aca="false">IF($A40="","",IF(AA40="",0,LEN(AA40)-LEN(SUBSTITUTE(AA40,CHAR(10),""))))</f>
        <v>0</v>
      </c>
    </row>
    <row r="41" customFormat="false" ht="15" hidden="false" customHeight="true" outlineLevel="0" collapsed="false">
      <c r="A41" s="33" t="str">
        <f aca="false">IF(Varian!$A12="","",Varian!$A12)</f>
        <v>dell-latitude-5400-i5-8365u-8-256</v>
      </c>
      <c r="B41" s="33" t="str">
        <f aca="false">IF($A41="","",Aturan!$A$22)</f>
        <v>Desain grafis</v>
      </c>
      <c r="C41" s="69" t="n">
        <f aca="false">IF($A41="","",IFERROR(IF(ISNUMBER(INDEX(CPU!$J$4:$J$64,MATCH(Varian!$J12,CPU!$A$4:$A$64,0))),INDEX(CPU!$J$4:$J$64,MATCH(Varian!$J12,CPU!$A$4:$A$64,0)),""),""))</f>
        <v>2</v>
      </c>
      <c r="D41" s="69" t="n">
        <f aca="false">IF($A41="","",IFERROR(IF(ISNUMBER(INDEX(GPU!$G$4:$G$64,MATCH(Varian!$K12,GPU!$A$4:$A$64,0))),INDEX(GPU!$G$4:$G$64,MATCH(Varian!$K12,GPU!$A$4:$A$64,0)),""),""))</f>
        <v>1</v>
      </c>
      <c r="E41" s="69" t="n">
        <f aca="false">IF($A41="","",IF(ISNUMBER(Varian!$M12),Varian!$M12,""))</f>
        <v>8</v>
      </c>
      <c r="F41" s="69" t="n">
        <f aca="false">IF($A41="","",IF(ISNUMBER(Varian!$V12),Varian!$V12,""))</f>
        <v>256</v>
      </c>
      <c r="G41" s="69" t="str">
        <f aca="false">IF($A41="","",IFERROR(INDEX(Aturan!$B$63:$B$66,MATCH(Varian!$AG12,Aturan!$A$63:$A$66,0)),""))</f>
        <v/>
      </c>
      <c r="H41" s="69" t="str">
        <f aca="false">IF($A41="","",IF(ISNUMBER(Varian!$AI12),Varian!$AI12,""))</f>
        <v/>
      </c>
      <c r="I41" s="33" t="str">
        <f aca="false">IF($A41="","",IF(Varian!$Q12="disolder","menempel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1" s="33" t="str">
        <f aca="false">IF($A41="","",IF(Varian!$Z12="ya","bisa diganti dengan yang lebih besar",IF(Varian!$Z12="tidak","menempel, tidak bisa diganti","belum diketahui apakah bisa diganti")))</f>
        <v>bisa diganti dengan yang lebih besar</v>
      </c>
      <c r="K41" s="70" t="str">
        <f aca="false">IF($A41="","",IF(AND(Aturan!$C$36="",Aturan!$D$36=""),"Tidak dinilai",IF(C41="","Belum ada data",IF(C41&lt;IF(Aturan!$C$36="",0,Aturan!$C$36),"Kurang",IF(C41&gt;=IF(Aturan!$D$36="",Aturan!$C$36,Aturan!$D$36),"Nyaman","Cukup")))))</f>
        <v>Cukup</v>
      </c>
      <c r="L41" s="70" t="str">
        <f aca="false">IF($A41="","",IF(AND(Aturan!$C$37="",Aturan!$D$37=""),"Tidak dinilai",IF(D41="","Belum ada data",IF(D41&lt;IF(Aturan!$C$37="",0,Aturan!$C$37),"Kurang",IF(D41&gt;=IF(Aturan!$D$37="",Aturan!$C$37,Aturan!$D$37),"Nyaman","Cukup")))))</f>
        <v>Cukup</v>
      </c>
      <c r="M41" s="70" t="str">
        <f aca="false">IF($A41="","",IF(AND(Aturan!$C$38="",Aturan!$D$38=""),"Tidak dinilai",IF(E41="","Belum ada data",IF(E41&lt;IF(Aturan!$C$38="",0,Aturan!$C$38),"Kurang",IF(E41&gt;=IF(Aturan!$D$38="",Aturan!$C$38,Aturan!$D$38),"Nyaman","Cukup")))))</f>
        <v>Cukup</v>
      </c>
      <c r="N41" s="70" t="str">
        <f aca="false">IF($A41="","",IF(AND(Aturan!$C$39="",Aturan!$D$39=""),"Tidak dinilai",IF(F41="","Belum ada data",IF(F41&lt;IF(Aturan!$C$39="",0,Aturan!$C$39),"Kurang",IF(F41&gt;=IF(Aturan!$D$39="",Aturan!$C$39,Aturan!$D$39),"Nyaman","Cukup")))))</f>
        <v>Cukup</v>
      </c>
      <c r="O41" s="70" t="str">
        <f aca="false">IF($A41="","",IF(AND(Aturan!$C$40="",Aturan!$D$40=""),"Tidak dinilai",IF(G41="","Belum ada data",IF(G41&lt;IF(Aturan!$C$40="",0,Aturan!$C$40),"Kurang",IF(G41&gt;=IF(Aturan!$D$40="",Aturan!$C$40,Aturan!$D$40),"Nyaman","Cukup")))))</f>
        <v>Belum ada data</v>
      </c>
      <c r="P41" s="70" t="str">
        <f aca="false">IF($A41="","",IF(AND(Aturan!$C$41="",Aturan!$D$41=""),"Tidak dinilai",IF(H41="","Belum ada data",IF(H41&lt;IF(Aturan!$C$41="",0,Aturan!$C$41),"Kurang",IF(H41&gt;=IF(Aturan!$D$41="",Aturan!$C$41,Aturan!$D$41),"Nyaman","Cukup")))))</f>
        <v>Tidak dinilai</v>
      </c>
      <c r="Q41" s="70" t="str">
        <f aca="false">IF($A41="","",IF(COUNTIF(K41:P41,"Tidak dinilai")=6,"Tidak dinilai",IF(COUNTIF(K41:P41,"Kurang")&gt;0,"Kurang cocok",IF(COUNTIF(K41:P41,"Belum ada data")&gt;0,"Data belum lengkap",IF(COUNTIF(K41:P41,"Cukup")&gt;0,"Bisa, dengan catatan","Cocok")))))</f>
        <v>Data belum lengkap</v>
      </c>
      <c r="R41" s="33" t="str">
        <f aca="false">IF($A41="","",IF(K41="Kurang","prosesor tingkat "&amp;C41&amp;" dari 5, di bawah batas minimal (tingkat "&amp;Aturan!$C$36&amp;")",IF(K41="Cukup","prosesor tingkat "&amp;C41&amp;" dari 5 cukup, nyamannya mulai tingkat "&amp;Aturan!$D$36,IF(K41="Belum ada data","tingkat prosesor belum diisi",""))))</f>
        <v>prosesor tingkat 2 dari 5 cukup, nyamannya mulai tingkat 3</v>
      </c>
      <c r="S41" s="33" t="str">
        <f aca="false">IF($A41="","",IF(L41="Kurang","grafis tingkat "&amp;D41&amp;" dari 5, di bawah batas minimal (tingkat "&amp;Aturan!$C$37&amp;")",IF(L41="Cukup","grafis tingkat "&amp;D41&amp;" dari 5 cukup, nyamannya mulai tingkat "&amp;Aturan!$D$37,IF(L41="Belum ada data","tingkat grafis belum diisi",""))))</f>
        <v>grafis tingkat 1 dari 5 cukup, nyamannya mulai tingkat 2</v>
      </c>
      <c r="T41" s="33" t="str">
        <f aca="false">IF($A41="","",IF(M41="Kurang","RAM "&amp;E41&amp;" GB, di bawah batas minimal "&amp;Aturan!$C$38&amp;" GB ("&amp;I41&amp;")",IF(M41="Cukup","RAM "&amp;E41&amp;" GB cukup, nyamannya "&amp;Aturan!$D$38&amp;" GB atau lebih ("&amp;I41&amp;")",IF(M41="Belum ada data","ukuran RAM belum diisi",""))))</f>
        <v>RAM 8 GB cukup, nyamannya 16 GB atau lebih (bisa dinaikkan lewat slot sampai 32 GB)</v>
      </c>
      <c r="U41" s="33" t="str">
        <f aca="false">IF($A41="","",IF(N41="Kurang","penyimpanan "&amp;F41&amp;" GB, di bawah batas minimal "&amp;Aturan!$C$39&amp;" GB ("&amp;J41&amp;")",IF(N41="Cukup","penyimpanan "&amp;F41&amp;" GB cukup, nyamannya "&amp;Aturan!$D$39&amp;" GB atau lebih ("&amp;J41&amp;")",IF(N41="Belum ada data","ukuran penyimpanan belum diisi",""))))</f>
        <v>penyimpanan 256 GB cukup, nyamannya 512 GB atau lebih (bisa diganti dengan yang lebih besar)</v>
      </c>
      <c r="V41" s="33" t="str">
        <f aca="false">IF($A41="","",IF(O41="Kurang","layar "&amp;Varian!$AG12&amp;", di bawah batas minimal ("&amp;IFERROR(INDEX(Aturan!$A$63:$A$66,MATCH(Aturan!$C$40,Aturan!$B$63:$B$66,0)),"peringkat "&amp;Aturan!$C$40)&amp;")",IF(O41="Cukup","layar "&amp;Varian!$AG12&amp;" cukup, nyamannya "&amp;IFERROR(INDEX(Aturan!$A$63:$A$66,MATCH(Aturan!$D$40,Aturan!$B$63:$B$66,0)),"peringkat "&amp;Aturan!$D$40),IF(O41="Belum ada data","jenis layar belum diketahui",""))))</f>
        <v>jenis layar belum diketahui</v>
      </c>
      <c r="W41" s="33" t="str">
        <f aca="false">IF($A41="","",IF(P41="Kurang","layar "&amp;H41&amp;" Hz, di bawah batas minimal "&amp;Aturan!$C$41&amp;" Hz",IF(P41="Cukup","layar "&amp;H41&amp;" Hz cukup, nyamannya "&amp;Aturan!$D$41&amp;" Hz atau lebih",IF(P41="Belum ada data","refresh rate belum diketahui",""))))</f>
        <v/>
      </c>
      <c r="X41" s="33" t="str">
        <f aca="false">IF($A41="","",IF(K41="Kurang",R41&amp;"; ","")&amp;IF(L41="Kurang",S41&amp;"; ","")&amp;IF(M41="Kurang",T41&amp;"; ","")&amp;IF(N41="Kurang",U41&amp;"; ","")&amp;IF(O41="Kurang",V41&amp;"; ","")&amp;IF(P41="Kurang",W41&amp;"; ","")&amp;IF(K41="Belum ada data",R41&amp;"; ","")&amp;IF(L41="Belum ada data",S41&amp;"; ","")&amp;IF(M41="Belum ada data",T41&amp;"; ","")&amp;IF(N41="Belum ada data",U41&amp;"; ","")&amp;IF(O41="Belum ada data",V41&amp;"; ","")&amp;IF(P41="Belum ada data",W41&amp;"; ","")&amp;IF(K41="Cukup",R41&amp;"; ","")&amp;IF(L41="Cukup",S41&amp;"; ","")&amp;IF(M41="Cukup",T41&amp;"; ","")&amp;IF(N41="Cukup",U41&amp;"; ","")&amp;IF(O41="Cukup",V41&amp;"; ","")&amp;IF(P41="Cukup",W41&amp;"; ",""))</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v>
      </c>
      <c r="Y41" s="33" t="str">
        <f aca="false">IF($A41="","",IF(K41="Nyaman","prosesor, ","")&amp;IF(L41="Nyaman","grafis, ","")&amp;IF(M41="Nyaman","RAM, ","")&amp;IF(N41="Nyaman","penyimpanan, ","")&amp;IF(O41="Nyaman","layar, ","")&amp;IF(P41="Nyaman","refresh rate, ",""))</f>
        <v/>
      </c>
      <c r="Z41" s="33" t="str">
        <f aca="false">IF($A41="","",IF(Q41="Tidak dinilai","Belum ada kriteria yang dinilai untuk kebutuhan ini.",IF(Q41="Cocok","Semua kriteria yang dinilai sudah nyaman: "&amp;LEFT(Y41,LEN(Y41)-2)&amp;".",UPPER(LEFT(X41,1))&amp;MID(X41,2,LEN(X41)-3)&amp;"."&amp;IF(Y41="",""," Sudah nyaman: "&amp;LEFT(Y41,LEN(Y41)-2)&amp;"."))))</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v>
      </c>
      <c r="AA41" s="33"/>
      <c r="AB41" s="33"/>
      <c r="AC41" s="69"/>
    </row>
    <row r="42" customFormat="false" ht="15" hidden="false" customHeight="true" outlineLevel="0" collapsed="false">
      <c r="A42" s="33" t="str">
        <f aca="false">IF(Varian!$A12="","",Varian!$A12)</f>
        <v>dell-latitude-5400-i5-8365u-8-256</v>
      </c>
      <c r="B42" s="33" t="str">
        <f aca="false">IF($A42="","",Aturan!$A$23)</f>
        <v>Pemrograman</v>
      </c>
      <c r="C42" s="69" t="n">
        <f aca="false">IF($A42="","",IFERROR(IF(ISNUMBER(INDEX(CPU!$J$4:$J$64,MATCH(Varian!$J12,CPU!$A$4:$A$64,0))),INDEX(CPU!$J$4:$J$64,MATCH(Varian!$J12,CPU!$A$4:$A$64,0)),""),""))</f>
        <v>2</v>
      </c>
      <c r="D42" s="69" t="n">
        <f aca="false">IF($A42="","",IFERROR(IF(ISNUMBER(INDEX(GPU!$G$4:$G$64,MATCH(Varian!$K12,GPU!$A$4:$A$64,0))),INDEX(GPU!$G$4:$G$64,MATCH(Varian!$K12,GPU!$A$4:$A$64,0)),""),""))</f>
        <v>1</v>
      </c>
      <c r="E42" s="69" t="n">
        <f aca="false">IF($A42="","",IF(ISNUMBER(Varian!$M12),Varian!$M12,""))</f>
        <v>8</v>
      </c>
      <c r="F42" s="69" t="n">
        <f aca="false">IF($A42="","",IF(ISNUMBER(Varian!$V12),Varian!$V12,""))</f>
        <v>256</v>
      </c>
      <c r="G42" s="69" t="str">
        <f aca="false">IF($A42="","",IFERROR(INDEX(Aturan!$B$63:$B$66,MATCH(Varian!$AG12,Aturan!$A$63:$A$66,0)),""))</f>
        <v/>
      </c>
      <c r="H42" s="69" t="str">
        <f aca="false">IF($A42="","",IF(ISNUMBER(Varian!$AI12),Varian!$AI12,""))</f>
        <v/>
      </c>
      <c r="I42" s="33" t="str">
        <f aca="false">IF($A42="","",IF(Varian!$Q12="disolder","menempel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2" s="33" t="str">
        <f aca="false">IF($A42="","",IF(Varian!$Z12="ya","bisa diganti dengan yang lebih besar",IF(Varian!$Z12="tidak","menempel, tidak bisa diganti","belum diketahui apakah bisa diganti")))</f>
        <v>bisa diganti dengan yang lebih besar</v>
      </c>
      <c r="K42" s="70" t="str">
        <f aca="false">IF($A42="","",IF(AND(Aturan!$C$42="",Aturan!$D$42=""),"Tidak dinilai",IF(C42="","Belum ada data",IF(C42&lt;IF(Aturan!$C$42="",0,Aturan!$C$42),"Kurang",IF(C42&gt;=IF(Aturan!$D$42="",Aturan!$C$42,Aturan!$D$42),"Nyaman","Cukup")))))</f>
        <v>Cukup</v>
      </c>
      <c r="L42" s="70" t="str">
        <f aca="false">IF($A42="","",IF(AND(Aturan!$C$43="",Aturan!$D$43=""),"Tidak dinilai",IF(D42="","Belum ada data",IF(D42&lt;IF(Aturan!$C$43="",0,Aturan!$C$43),"Kurang",IF(D42&gt;=IF(Aturan!$D$43="",Aturan!$C$43,Aturan!$D$43),"Nyaman","Cukup")))))</f>
        <v>Tidak dinilai</v>
      </c>
      <c r="M42" s="70" t="str">
        <f aca="false">IF($A42="","",IF(AND(Aturan!$C$44="",Aturan!$D$44=""),"Tidak dinilai",IF(E42="","Belum ada data",IF(E42&lt;IF(Aturan!$C$44="",0,Aturan!$C$44),"Kurang",IF(E42&gt;=IF(Aturan!$D$44="",Aturan!$C$44,Aturan!$D$44),"Nyaman","Cukup")))))</f>
        <v>Cukup</v>
      </c>
      <c r="N42" s="70" t="str">
        <f aca="false">IF($A42="","",IF(AND(Aturan!$C$45="",Aturan!$D$45=""),"Tidak dinilai",IF(F42="","Belum ada data",IF(F42&lt;IF(Aturan!$C$45="",0,Aturan!$C$45),"Kurang",IF(F42&gt;=IF(Aturan!$D$45="",Aturan!$C$45,Aturan!$D$45),"Nyaman","Cukup")))))</f>
        <v>Cukup</v>
      </c>
      <c r="O42" s="70" t="str">
        <f aca="false">IF($A42="","",IF(AND(Aturan!$C$46="",Aturan!$D$46=""),"Tidak dinilai",IF(G42="","Belum ada data",IF(G42&lt;IF(Aturan!$C$46="",0,Aturan!$C$46),"Kurang",IF(G42&gt;=IF(Aturan!$D$46="",Aturan!$C$46,Aturan!$D$46),"Nyaman","Cukup")))))</f>
        <v>Tidak dinilai</v>
      </c>
      <c r="P42" s="70" t="str">
        <f aca="false">IF($A42="","",IF(AND(Aturan!$C$47="",Aturan!$D$47=""),"Tidak dinilai",IF(H42="","Belum ada data",IF(H42&lt;IF(Aturan!$C$47="",0,Aturan!$C$47),"Kurang",IF(H42&gt;=IF(Aturan!$D$47="",Aturan!$C$47,Aturan!$D$47),"Nyaman","Cukup")))))</f>
        <v>Tidak dinilai</v>
      </c>
      <c r="Q42" s="70" t="str">
        <f aca="false">IF($A42="","",IF(COUNTIF(K42:P42,"Tidak dinilai")=6,"Tidak dinilai",IF(COUNTIF(K42:P42,"Kurang")&gt;0,"Kurang cocok",IF(COUNTIF(K42:P42,"Belum ada data")&gt;0,"Data belum lengkap",IF(COUNTIF(K42:P42,"Cukup")&gt;0,"Bisa, dengan catatan","Cocok")))))</f>
        <v>Bisa, dengan catatan</v>
      </c>
      <c r="R42" s="33" t="str">
        <f aca="false">IF($A42="","",IF(K42="Kurang","prosesor tingkat "&amp;C42&amp;" dari 5, di bawah batas minimal (tingkat "&amp;Aturan!$C$42&amp;")",IF(K42="Cukup","prosesor tingkat "&amp;C42&amp;" dari 5 cukup, nyamannya mulai tingkat "&amp;Aturan!$D$42,IF(K42="Belum ada data","tingkat prosesor belum diisi",""))))</f>
        <v>prosesor tingkat 2 dari 5 cukup, nyamannya mulai tingkat 3</v>
      </c>
      <c r="S42" s="33" t="str">
        <f aca="false">IF($A42="","",IF(L42="Kurang","grafis tingkat "&amp;D42&amp;" dari 5, di bawah batas minimal (tingkat "&amp;Aturan!$C$43&amp;")",IF(L42="Cukup","grafis tingkat "&amp;D42&amp;" dari 5 cukup, nyamannya mulai tingkat "&amp;Aturan!$D$43,IF(L42="Belum ada data","tingkat grafis belum diisi",""))))</f>
        <v/>
      </c>
      <c r="T42" s="33" t="str">
        <f aca="false">IF($A42="","",IF(M42="Kurang","RAM "&amp;E42&amp;" GB, di bawah batas minimal "&amp;Aturan!$C$44&amp;" GB ("&amp;I42&amp;")",IF(M42="Cukup","RAM "&amp;E42&amp;" GB cukup, nyamannya "&amp;Aturan!$D$44&amp;" GB atau lebih ("&amp;I42&amp;")",IF(M42="Belum ada data","ukuran RAM belum diisi",""))))</f>
        <v>RAM 8 GB cukup, nyamannya 16 GB atau lebih (bisa dinaikkan lewat slot sampai 32 GB)</v>
      </c>
      <c r="U42" s="33" t="str">
        <f aca="false">IF($A42="","",IF(N42="Kurang","penyimpanan "&amp;F42&amp;" GB, di bawah batas minimal "&amp;Aturan!$C$45&amp;" GB ("&amp;J42&amp;")",IF(N42="Cukup","penyimpanan "&amp;F42&amp;" GB cukup, nyamannya "&amp;Aturan!$D$45&amp;" GB atau lebih ("&amp;J42&amp;")",IF(N42="Belum ada data","ukuran penyimpanan belum diisi",""))))</f>
        <v>penyimpanan 256 GB cukup, nyamannya 512 GB atau lebih (bisa diganti dengan yang lebih besar)</v>
      </c>
      <c r="V42" s="33" t="str">
        <f aca="false">IF($A42="","",IF(O42="Kurang","layar "&amp;Varian!$AG12&amp;", di bawah batas minimal ("&amp;IFERROR(INDEX(Aturan!$A$63:$A$66,MATCH(Aturan!$C$46,Aturan!$B$63:$B$66,0)),"peringkat "&amp;Aturan!$C$46)&amp;")",IF(O42="Cukup","layar "&amp;Varian!$AG12&amp;" cukup, nyamannya "&amp;IFERROR(INDEX(Aturan!$A$63:$A$66,MATCH(Aturan!$D$46,Aturan!$B$63:$B$66,0)),"peringkat "&amp;Aturan!$D$46),IF(O42="Belum ada data","jenis layar belum diketahui",""))))</f>
        <v/>
      </c>
      <c r="W42" s="33" t="str">
        <f aca="false">IF($A42="","",IF(P42="Kurang","layar "&amp;H42&amp;" Hz, di bawah batas minimal "&amp;Aturan!$C$47&amp;" Hz",IF(P42="Cukup","layar "&amp;H42&amp;" Hz cukup, nyamannya "&amp;Aturan!$D$47&amp;" Hz atau lebih",IF(P42="Belum ada data","refresh rate belum diketahui",""))))</f>
        <v/>
      </c>
      <c r="X42" s="33" t="str">
        <f aca="false">IF($A42="","",IF(K42="Kurang",R42&amp;"; ","")&amp;IF(L42="Kurang",S42&amp;"; ","")&amp;IF(M42="Kurang",T42&amp;"; ","")&amp;IF(N42="Kurang",U42&amp;"; ","")&amp;IF(O42="Kurang",V42&amp;"; ","")&amp;IF(P42="Kurang",W42&amp;"; ","")&amp;IF(K42="Belum ada data",R42&amp;"; ","")&amp;IF(L42="Belum ada data",S42&amp;"; ","")&amp;IF(M42="Belum ada data",T42&amp;"; ","")&amp;IF(N42="Belum ada data",U42&amp;"; ","")&amp;IF(O42="Belum ada data",V42&amp;"; ","")&amp;IF(P42="Belum ada data",W42&amp;"; ","")&amp;IF(K42="Cukup",R42&amp;"; ","")&amp;IF(L42="Cukup",S42&amp;"; ","")&amp;IF(M42="Cukup",T42&amp;"; ","")&amp;IF(N42="Cukup",U42&amp;"; ","")&amp;IF(O42="Cukup",V42&amp;"; ","")&amp;IF(P42="Cukup",W42&amp;"; ",""))</f>
        <v>prosesor tingkat 2 dari 5 cukup, nyamannya mulai tingkat 3; RAM 8 GB cukup, nyamannya 16 GB atau lebih (bisa dinaikkan lewat slot sampai 32 GB); penyimpanan 256 GB cukup, nyamannya 512 GB atau lebih (bisa diganti dengan yang lebih besar); </v>
      </c>
      <c r="Y42" s="33" t="str">
        <f aca="false">IF($A42="","",IF(K42="Nyaman","prosesor, ","")&amp;IF(L42="Nyaman","grafis, ","")&amp;IF(M42="Nyaman","RAM, ","")&amp;IF(N42="Nyaman","penyimpanan, ","")&amp;IF(O42="Nyaman","layar, ","")&amp;IF(P42="Nyaman","refresh rate, ",""))</f>
        <v/>
      </c>
      <c r="Z42" s="33" t="str">
        <f aca="false">IF($A42="","",IF(Q42="Tidak dinilai","Belum ada kriteria yang dinilai untuk kebutuhan ini.",IF(Q42="Cocok","Semua kriteria yang dinilai sudah nyaman: "&amp;LEFT(Y42,LEN(Y42)-2)&amp;".",UPPER(LEFT(X42,1))&amp;MID(X42,2,LEN(X42)-3)&amp;"."&amp;IF(Y42="",""," Sudah nyaman: "&amp;LEFT(Y42,LEN(Y42)-2)&amp;"."))))</f>
        <v>Prosesor tingkat 2 dari 5 cukup, nyamannya mulai tingkat 3; RAM 8 GB cukup, nyamannya 16 GB atau lebih (bisa dinaikkan lewat slot sampai 32 GB); penyimpanan 256 GB cukup, nyamannya 512 GB atau lebih (bisa diganti dengan yang lebih besar).</v>
      </c>
      <c r="AA42" s="33"/>
      <c r="AB42" s="33"/>
      <c r="AC42" s="69"/>
    </row>
    <row r="43" customFormat="false" ht="15" hidden="false" customHeight="true" outlineLevel="0" collapsed="false">
      <c r="A43" s="33" t="str">
        <f aca="false">IF(Varian!$A12="","",Varian!$A12)</f>
        <v>dell-latitude-5400-i5-8365u-8-256</v>
      </c>
      <c r="B43" s="33" t="str">
        <f aca="false">IF($A43="","",Aturan!$A$24)</f>
        <v>Game ringan</v>
      </c>
      <c r="C43" s="69" t="n">
        <f aca="false">IF($A43="","",IFERROR(IF(ISNUMBER(INDEX(CPU!$J$4:$J$64,MATCH(Varian!$J12,CPU!$A$4:$A$64,0))),INDEX(CPU!$J$4:$J$64,MATCH(Varian!$J12,CPU!$A$4:$A$64,0)),""),""))</f>
        <v>2</v>
      </c>
      <c r="D43" s="69" t="n">
        <f aca="false">IF($A43="","",IFERROR(IF(ISNUMBER(INDEX(GPU!$G$4:$G$64,MATCH(Varian!$K12,GPU!$A$4:$A$64,0))),INDEX(GPU!$G$4:$G$64,MATCH(Varian!$K12,GPU!$A$4:$A$64,0)),""),""))</f>
        <v>1</v>
      </c>
      <c r="E43" s="69" t="n">
        <f aca="false">IF($A43="","",IF(ISNUMBER(Varian!$M12),Varian!$M12,""))</f>
        <v>8</v>
      </c>
      <c r="F43" s="69" t="n">
        <f aca="false">IF($A43="","",IF(ISNUMBER(Varian!$V12),Varian!$V12,""))</f>
        <v>256</v>
      </c>
      <c r="G43" s="69" t="str">
        <f aca="false">IF($A43="","",IFERROR(INDEX(Aturan!$B$63:$B$66,MATCH(Varian!$AG12,Aturan!$A$63:$A$66,0)),""))</f>
        <v/>
      </c>
      <c r="H43" s="69" t="str">
        <f aca="false">IF($A43="","",IF(ISNUMBER(Varian!$AI12),Varian!$AI12,""))</f>
        <v/>
      </c>
      <c r="I43" s="33" t="str">
        <f aca="false">IF($A43="","",IF(Varian!$Q12="disolder","menempel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3" s="33" t="str">
        <f aca="false">IF($A43="","",IF(Varian!$Z12="ya","bisa diganti dengan yang lebih besar",IF(Varian!$Z12="tidak","menempel, tidak bisa diganti","belum diketahui apakah bisa diganti")))</f>
        <v>bisa diganti dengan yang lebih besar</v>
      </c>
      <c r="K43" s="70" t="str">
        <f aca="false">IF($A43="","",IF(AND(Aturan!$C$48="",Aturan!$D$48=""),"Tidak dinilai",IF(C43="","Belum ada data",IF(C43&lt;IF(Aturan!$C$48="",0,Aturan!$C$48),"Kurang",IF(C43&gt;=IF(Aturan!$D$48="",Aturan!$C$48,Aturan!$D$48),"Nyaman","Cukup")))))</f>
        <v>Cukup</v>
      </c>
      <c r="L43" s="70" t="str">
        <f aca="false">IF($A43="","",IF(AND(Aturan!$C$49="",Aturan!$D$49=""),"Tidak dinilai",IF(D43="","Belum ada data",IF(D43&lt;IF(Aturan!$C$49="",0,Aturan!$C$49),"Kurang",IF(D43&gt;=IF(Aturan!$D$49="",Aturan!$C$49,Aturan!$D$49),"Nyaman","Cukup")))))</f>
        <v>Cukup</v>
      </c>
      <c r="M43" s="70" t="str">
        <f aca="false">IF($A43="","",IF(AND(Aturan!$C$50="",Aturan!$D$50=""),"Tidak dinilai",IF(E43="","Belum ada data",IF(E43&lt;IF(Aturan!$C$50="",0,Aturan!$C$50),"Kurang",IF(E43&gt;=IF(Aturan!$D$50="",Aturan!$C$50,Aturan!$D$50),"Nyaman","Cukup")))))</f>
        <v>Nyaman</v>
      </c>
      <c r="N43" s="70" t="str">
        <f aca="false">IF($A43="","",IF(AND(Aturan!$C$51="",Aturan!$D$51=""),"Tidak dinilai",IF(F43="","Belum ada data",IF(F43&lt;IF(Aturan!$C$51="",0,Aturan!$C$51),"Kurang",IF(F43&gt;=IF(Aturan!$D$51="",Aturan!$C$51,Aturan!$D$51),"Nyaman","Cukup")))))</f>
        <v>Nyaman</v>
      </c>
      <c r="O43" s="70" t="str">
        <f aca="false">IF($A43="","",IF(AND(Aturan!$C$52="",Aturan!$D$52=""),"Tidak dinilai",IF(G43="","Belum ada data",IF(G43&lt;IF(Aturan!$C$52="",0,Aturan!$C$52),"Kurang",IF(G43&gt;=IF(Aturan!$D$52="",Aturan!$C$52,Aturan!$D$52),"Nyaman","Cukup")))))</f>
        <v>Tidak dinilai</v>
      </c>
      <c r="P43" s="70" t="str">
        <f aca="false">IF($A43="","",IF(AND(Aturan!$C$53="",Aturan!$D$53=""),"Tidak dinilai",IF(H43="","Belum ada data",IF(H43&lt;IF(Aturan!$C$53="",0,Aturan!$C$53),"Kurang",IF(H43&gt;=IF(Aturan!$D$53="",Aturan!$C$53,Aturan!$D$53),"Nyaman","Cukup")))))</f>
        <v>Tidak dinilai</v>
      </c>
      <c r="Q43" s="70" t="str">
        <f aca="false">IF($A43="","",IF(COUNTIF(K43:P43,"Tidak dinilai")=6,"Tidak dinilai",IF(COUNTIF(K43:P43,"Kurang")&gt;0,"Kurang cocok",IF(COUNTIF(K43:P43,"Belum ada data")&gt;0,"Data belum lengkap",IF(COUNTIF(K43:P43,"Cukup")&gt;0,"Bisa, dengan catatan","Cocok")))))</f>
        <v>Bisa, dengan catatan</v>
      </c>
      <c r="R43" s="33" t="str">
        <f aca="false">IF($A43="","",IF(K43="Kurang","prosesor tingkat "&amp;C43&amp;" dari 5, di bawah batas minimal (tingkat "&amp;Aturan!$C$48&amp;")",IF(K43="Cukup","prosesor tingkat "&amp;C43&amp;" dari 5 cukup, nyamannya mulai tingkat "&amp;Aturan!$D$48,IF(K43="Belum ada data","tingkat prosesor belum diisi",""))))</f>
        <v>prosesor tingkat 2 dari 5 cukup, nyamannya mulai tingkat 3</v>
      </c>
      <c r="S43" s="33" t="str">
        <f aca="false">IF($A43="","",IF(L43="Kurang","grafis tingkat "&amp;D43&amp;" dari 5, di bawah batas minimal (tingkat "&amp;Aturan!$C$49&amp;")",IF(L43="Cukup","grafis tingkat "&amp;D43&amp;" dari 5 cukup, nyamannya mulai tingkat "&amp;Aturan!$D$49,IF(L43="Belum ada data","tingkat grafis belum diisi",""))))</f>
        <v>grafis tingkat 1 dari 5 cukup, nyamannya mulai tingkat 2</v>
      </c>
      <c r="T43" s="33" t="str">
        <f aca="false">IF($A43="","",IF(M43="Kurang","RAM "&amp;E43&amp;" GB, di bawah batas minimal "&amp;Aturan!$C$50&amp;" GB ("&amp;I43&amp;")",IF(M43="Cukup","RAM "&amp;E43&amp;" GB cukup, nyamannya "&amp;Aturan!$D$50&amp;" GB atau lebih ("&amp;I43&amp;")",IF(M43="Belum ada data","ukuran RAM belum diisi",""))))</f>
        <v/>
      </c>
      <c r="U43" s="33" t="str">
        <f aca="false">IF($A43="","",IF(N43="Kurang","penyimpanan "&amp;F43&amp;" GB, di bawah batas minimal "&amp;Aturan!$C$51&amp;" GB ("&amp;J43&amp;")",IF(N43="Cukup","penyimpanan "&amp;F43&amp;" GB cukup, nyamannya "&amp;Aturan!$D$51&amp;" GB atau lebih ("&amp;J43&amp;")",IF(N43="Belum ada data","ukuran penyimpanan belum diisi",""))))</f>
        <v/>
      </c>
      <c r="V43" s="33" t="str">
        <f aca="false">IF($A43="","",IF(O43="Kurang","layar "&amp;Varian!$AG12&amp;", di bawah batas minimal ("&amp;IFERROR(INDEX(Aturan!$A$63:$A$66,MATCH(Aturan!$C$52,Aturan!$B$63:$B$66,0)),"peringkat "&amp;Aturan!$C$52)&amp;")",IF(O43="Cukup","layar "&amp;Varian!$AG12&amp;" cukup, nyamannya "&amp;IFERROR(INDEX(Aturan!$A$63:$A$66,MATCH(Aturan!$D$52,Aturan!$B$63:$B$66,0)),"peringkat "&amp;Aturan!$D$52),IF(O43="Belum ada data","jenis layar belum diketahui",""))))</f>
        <v/>
      </c>
      <c r="W43" s="33" t="str">
        <f aca="false">IF($A43="","",IF(P43="Kurang","layar "&amp;H43&amp;" Hz, di bawah batas minimal "&amp;Aturan!$C$53&amp;" Hz",IF(P43="Cukup","layar "&amp;H43&amp;" Hz cukup, nyamannya "&amp;Aturan!$D$53&amp;" Hz atau lebih",IF(P43="Belum ada data","refresh rate belum diketahui",""))))</f>
        <v/>
      </c>
      <c r="X43" s="33" t="str">
        <f aca="false">IF($A43="","",IF(K43="Kurang",R43&amp;"; ","")&amp;IF(L43="Kurang",S43&amp;"; ","")&amp;IF(M43="Kurang",T43&amp;"; ","")&amp;IF(N43="Kurang",U43&amp;"; ","")&amp;IF(O43="Kurang",V43&amp;"; ","")&amp;IF(P43="Kurang",W43&amp;"; ","")&amp;IF(K43="Belum ada data",R43&amp;"; ","")&amp;IF(L43="Belum ada data",S43&amp;"; ","")&amp;IF(M43="Belum ada data",T43&amp;"; ","")&amp;IF(N43="Belum ada data",U43&amp;"; ","")&amp;IF(O43="Belum ada data",V43&amp;"; ","")&amp;IF(P43="Belum ada data",W43&amp;"; ","")&amp;IF(K43="Cukup",R43&amp;"; ","")&amp;IF(L43="Cukup",S43&amp;"; ","")&amp;IF(M43="Cukup",T43&amp;"; ","")&amp;IF(N43="Cukup",U43&amp;"; ","")&amp;IF(O43="Cukup",V43&amp;"; ","")&amp;IF(P43="Cukup",W43&amp;"; ",""))</f>
        <v>prosesor tingkat 2 dari 5 cukup, nyamannya mulai tingkat 3; grafis tingkat 1 dari 5 cukup, nyamannya mulai tingkat 2; </v>
      </c>
      <c r="Y43" s="33" t="str">
        <f aca="false">IF($A43="","",IF(K43="Nyaman","prosesor, ","")&amp;IF(L43="Nyaman","grafis, ","")&amp;IF(M43="Nyaman","RAM, ","")&amp;IF(N43="Nyaman","penyimpanan, ","")&amp;IF(O43="Nyaman","layar, ","")&amp;IF(P43="Nyaman","refresh rate, ",""))</f>
        <v>RAM, penyimpanan, </v>
      </c>
      <c r="Z43" s="33" t="str">
        <f aca="false">IF($A43="","",IF(Q43="Tidak dinilai","Belum ada kriteria yang dinilai untuk kebutuhan ini.",IF(Q43="Cocok","Semua kriteria yang dinilai sudah nyaman: "&amp;LEFT(Y43,LEN(Y43)-2)&amp;".",UPPER(LEFT(X43,1))&amp;MID(X43,2,LEN(X43)-3)&amp;"."&amp;IF(Y43="",""," Sudah nyaman: "&amp;LEFT(Y43,LEN(Y43)-2)&amp;"."))))</f>
        <v>Prosesor tingkat 2 dari 5 cukup, nyamannya mulai tingkat 3; grafis tingkat 1 dari 5 cukup, nyamannya mulai tingkat 2. Sudah nyaman: RAM, penyimpanan.</v>
      </c>
      <c r="AA43" s="33"/>
      <c r="AB43" s="33"/>
      <c r="AC43" s="69"/>
    </row>
    <row r="44" customFormat="false" ht="15" hidden="false" customHeight="true" outlineLevel="0" collapsed="false">
      <c r="A44" s="33" t="str">
        <f aca="false">IF(Varian!$A12="","",Varian!$A12)</f>
        <v>dell-latitude-5400-i5-8365u-8-256</v>
      </c>
      <c r="B44" s="33" t="str">
        <f aca="false">IF($A44="","",Aturan!$A$25)</f>
        <v>Game berat</v>
      </c>
      <c r="C44" s="69" t="n">
        <f aca="false">IF($A44="","",IFERROR(IF(ISNUMBER(INDEX(CPU!$J$4:$J$64,MATCH(Varian!$J12,CPU!$A$4:$A$64,0))),INDEX(CPU!$J$4:$J$64,MATCH(Varian!$J12,CPU!$A$4:$A$64,0)),""),""))</f>
        <v>2</v>
      </c>
      <c r="D44" s="69" t="n">
        <f aca="false">IF($A44="","",IFERROR(IF(ISNUMBER(INDEX(GPU!$G$4:$G$64,MATCH(Varian!$K12,GPU!$A$4:$A$64,0))),INDEX(GPU!$G$4:$G$64,MATCH(Varian!$K12,GPU!$A$4:$A$64,0)),""),""))</f>
        <v>1</v>
      </c>
      <c r="E44" s="69" t="n">
        <f aca="false">IF($A44="","",IF(ISNUMBER(Varian!$M12),Varian!$M12,""))</f>
        <v>8</v>
      </c>
      <c r="F44" s="69" t="n">
        <f aca="false">IF($A44="","",IF(ISNUMBER(Varian!$V12),Varian!$V12,""))</f>
        <v>256</v>
      </c>
      <c r="G44" s="69" t="str">
        <f aca="false">IF($A44="","",IFERROR(INDEX(Aturan!$B$63:$B$66,MATCH(Varian!$AG12,Aturan!$A$63:$A$66,0)),""))</f>
        <v/>
      </c>
      <c r="H44" s="69" t="str">
        <f aca="false">IF($A44="","",IF(ISNUMBER(Varian!$AI12),Varian!$AI12,""))</f>
        <v/>
      </c>
      <c r="I44" s="33" t="str">
        <f aca="false">IF($A44="","",IF(Varian!$Q12="disolder","menempel di papan utama, tidak bisa ditambah",IF(OR(Varian!$Q12="slot",Varian!$Q12="setengah_disolder"),IF(Varian!$Q12="setengah_disolder","sebagian menempel, ","")&amp;IF(ISNUMBER(Varian!$U12),IF(AND(ISNUMBER(Varian!$M12),Varian!$U12&gt;Varian!$M12),"bisa dinaikkan lewat slot sampai "&amp;Varian!$U12&amp;" GB","sudah di batas maksimal "&amp;Varian!$U12&amp;" GB"),"ada slot, batas maksimalnya belum diketahui"),"belum diketahui apakah bisa ditambah")))</f>
        <v>bisa dinaikkan lewat slot sampai 32 GB</v>
      </c>
      <c r="J44" s="33" t="str">
        <f aca="false">IF($A44="","",IF(Varian!$Z12="ya","bisa diganti dengan yang lebih besar",IF(Varian!$Z12="tidak","menempel, tidak bisa diganti","belum diketahui apakah bisa diganti")))</f>
        <v>bisa diganti dengan yang lebih besar</v>
      </c>
      <c r="K44" s="70" t="str">
        <f aca="false">IF($A44="","",IF(AND(Aturan!$C$54="",Aturan!$D$54=""),"Tidak dinilai",IF(C44="","Belum ada data",IF(C44&lt;IF(Aturan!$C$54="",0,Aturan!$C$54),"Kurang",IF(C44&gt;=IF(Aturan!$D$54="",Aturan!$C$54,Aturan!$D$54),"Nyaman","Cukup")))))</f>
        <v>Kurang</v>
      </c>
      <c r="L44" s="70" t="str">
        <f aca="false">IF($A44="","",IF(AND(Aturan!$C$55="",Aturan!$D$55=""),"Tidak dinilai",IF(D44="","Belum ada data",IF(D44&lt;IF(Aturan!$C$55="",0,Aturan!$C$55),"Kurang",IF(D44&gt;=IF(Aturan!$D$55="",Aturan!$C$55,Aturan!$D$55),"Nyaman","Cukup")))))</f>
        <v>Kurang</v>
      </c>
      <c r="M44" s="70" t="str">
        <f aca="false">IF($A44="","",IF(AND(Aturan!$C$56="",Aturan!$D$56=""),"Tidak dinilai",IF(E44="","Belum ada data",IF(E44&lt;IF(Aturan!$C$56="",0,Aturan!$C$56),"Kurang",IF(E44&gt;=IF(Aturan!$D$56="",Aturan!$C$56,Aturan!$D$56),"Nyaman","Cukup")))))</f>
        <v>Cukup</v>
      </c>
      <c r="N44" s="70" t="str">
        <f aca="false">IF($A44="","",IF(AND(Aturan!$C$57="",Aturan!$D$57=""),"Tidak dinilai",IF(F44="","Belum ada data",IF(F44&lt;IF(Aturan!$C$57="",0,Aturan!$C$57),"Kurang",IF(F44&gt;=IF(Aturan!$D$57="",Aturan!$C$57,Aturan!$D$57),"Nyaman","Cukup")))))</f>
        <v>Kurang</v>
      </c>
      <c r="O44" s="70" t="str">
        <f aca="false">IF($A44="","",IF(AND(Aturan!$C$58="",Aturan!$D$58=""),"Tidak dinilai",IF(G44="","Belum ada data",IF(G44&lt;IF(Aturan!$C$58="",0,Aturan!$C$58),"Kurang",IF(G44&gt;=IF(Aturan!$D$58="",Aturan!$C$58,Aturan!$D$58),"Nyaman","Cukup")))))</f>
        <v>Tidak dinilai</v>
      </c>
      <c r="P44" s="70" t="str">
        <f aca="false">IF($A44="","",IF(AND(Aturan!$C$59="",Aturan!$D$59=""),"Tidak dinilai",IF(H44="","Belum ada data",IF(H44&lt;IF(Aturan!$C$59="",0,Aturan!$C$59),"Kurang",IF(H44&gt;=IF(Aturan!$D$59="",Aturan!$C$59,Aturan!$D$59),"Nyaman","Cukup")))))</f>
        <v>Belum ada data</v>
      </c>
      <c r="Q44" s="70" t="str">
        <f aca="false">IF($A44="","",IF(COUNTIF(K44:P44,"Tidak dinilai")=6,"Tidak dinilai",IF(COUNTIF(K44:P44,"Kurang")&gt;0,"Kurang cocok",IF(COUNTIF(K44:P44,"Belum ada data")&gt;0,"Data belum lengkap",IF(COUNTIF(K44:P44,"Cukup")&gt;0,"Bisa, dengan catatan","Cocok")))))</f>
        <v>Kurang cocok</v>
      </c>
      <c r="R44" s="33" t="str">
        <f aca="false">IF($A44="","",IF(K44="Kurang","prosesor tingkat "&amp;C44&amp;" dari 5, di bawah batas minimal (tingkat "&amp;Aturan!$C$54&amp;")",IF(K44="Cukup","prosesor tingkat "&amp;C44&amp;" dari 5 cukup, nyamannya mulai tingkat "&amp;Aturan!$D$54,IF(K44="Belum ada data","tingkat prosesor belum diisi",""))))</f>
        <v>prosesor tingkat 2 dari 5, di bawah batas minimal (tingkat 3)</v>
      </c>
      <c r="S44" s="33" t="str">
        <f aca="false">IF($A44="","",IF(L44="Kurang","grafis tingkat "&amp;D44&amp;" dari 5, di bawah batas minimal (tingkat "&amp;Aturan!$C$55&amp;")",IF(L44="Cukup","grafis tingkat "&amp;D44&amp;" dari 5 cukup, nyamannya mulai tingkat "&amp;Aturan!$D$55,IF(L44="Belum ada data","tingkat grafis belum diisi",""))))</f>
        <v>grafis tingkat 1 dari 5, di bawah batas minimal (tingkat 3)</v>
      </c>
      <c r="T44" s="33" t="str">
        <f aca="false">IF($A44="","",IF(M44="Kurang","RAM "&amp;E44&amp;" GB, di bawah batas minimal "&amp;Aturan!$C$56&amp;" GB ("&amp;I44&amp;")",IF(M44="Cukup","RAM "&amp;E44&amp;" GB cukup, nyamannya "&amp;Aturan!$D$56&amp;" GB atau lebih ("&amp;I44&amp;")",IF(M44="Belum ada data","ukuran RAM belum diisi",""))))</f>
        <v>RAM 8 GB cukup, nyamannya 16 GB atau lebih (bisa dinaikkan lewat slot sampai 32 GB)</v>
      </c>
      <c r="U44" s="33" t="str">
        <f aca="false">IF($A44="","",IF(N44="Kurang","penyimpanan "&amp;F44&amp;" GB, di bawah batas minimal "&amp;Aturan!$C$57&amp;" GB ("&amp;J44&amp;")",IF(N44="Cukup","penyimpanan "&amp;F44&amp;" GB cukup, nyamannya "&amp;Aturan!$D$57&amp;" GB atau lebih ("&amp;J44&amp;")",IF(N44="Belum ada data","ukuran penyimpanan belum diisi",""))))</f>
        <v>penyimpanan 256 GB, di bawah batas minimal 512 GB (bisa diganti dengan yang lebih besar)</v>
      </c>
      <c r="V44" s="33" t="str">
        <f aca="false">IF($A44="","",IF(O44="Kurang","layar "&amp;Varian!$AG12&amp;", di bawah batas minimal ("&amp;IFERROR(INDEX(Aturan!$A$63:$A$66,MATCH(Aturan!$C$58,Aturan!$B$63:$B$66,0)),"peringkat "&amp;Aturan!$C$58)&amp;")",IF(O44="Cukup","layar "&amp;Varian!$AG12&amp;" cukup, nyamannya "&amp;IFERROR(INDEX(Aturan!$A$63:$A$66,MATCH(Aturan!$D$58,Aturan!$B$63:$B$66,0)),"peringkat "&amp;Aturan!$D$58),IF(O44="Belum ada data","jenis layar belum diketahui",""))))</f>
        <v/>
      </c>
      <c r="W44" s="33" t="str">
        <f aca="false">IF($A44="","",IF(P44="Kurang","layar "&amp;H44&amp;" Hz, di bawah batas minimal "&amp;Aturan!$C$59&amp;" Hz",IF(P44="Cukup","layar "&amp;H44&amp;" Hz cukup, nyamannya "&amp;Aturan!$D$59&amp;" Hz atau lebih",IF(P44="Belum ada data","refresh rate belum diketahui",""))))</f>
        <v>refresh rate belum diketahui</v>
      </c>
      <c r="X44" s="33" t="str">
        <f aca="false">IF($A44="","",IF(K44="Kurang",R44&amp;"; ","")&amp;IF(L44="Kurang",S44&amp;"; ","")&amp;IF(M44="Kurang",T44&amp;"; ","")&amp;IF(N44="Kurang",U44&amp;"; ","")&amp;IF(O44="Kurang",V44&amp;"; ","")&amp;IF(P44="Kurang",W44&amp;"; ","")&amp;IF(K44="Belum ada data",R44&amp;"; ","")&amp;IF(L44="Belum ada data",S44&amp;"; ","")&amp;IF(M44="Belum ada data",T44&amp;"; ","")&amp;IF(N44="Belum ada data",U44&amp;"; ","")&amp;IF(O44="Belum ada data",V44&amp;"; ","")&amp;IF(P44="Belum ada data",W44&amp;"; ","")&amp;IF(K44="Cukup",R44&amp;"; ","")&amp;IF(L44="Cukup",S44&amp;"; ","")&amp;IF(M44="Cukup",T44&amp;"; ","")&amp;IF(N44="Cukup",U44&amp;"; ","")&amp;IF(O44="Cukup",V44&amp;"; ","")&amp;IF(P44="Cukup",W44&amp;";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44" s="33" t="str">
        <f aca="false">IF($A44="","",IF(K44="Nyaman","prosesor, ","")&amp;IF(L44="Nyaman","grafis, ","")&amp;IF(M44="Nyaman","RAM, ","")&amp;IF(N44="Nyaman","penyimpanan, ","")&amp;IF(O44="Nyaman","layar, ","")&amp;IF(P44="Nyaman","refresh rate, ",""))</f>
        <v/>
      </c>
      <c r="Z44" s="33" t="str">
        <f aca="false">IF($A44="","",IF(Q44="Tidak dinilai","Belum ada kriteria yang dinilai untuk kebutuhan ini.",IF(Q44="Cocok","Semua kriteria yang dinilai sudah nyaman: "&amp;LEFT(Y44,LEN(Y44)-2)&amp;".",UPPER(LEFT(X44,1))&amp;MID(X44,2,LEN(X44)-3)&amp;"."&amp;IF(Y44="",""," Sudah nyaman: "&amp;LEFT(Y44,LEN(Y44)-2)&amp;"."))))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44" s="33"/>
      <c r="AB44" s="33"/>
      <c r="AC44" s="69"/>
    </row>
    <row r="45" customFormat="false" ht="15" hidden="false" customHeight="true" outlineLevel="0" collapsed="false">
      <c r="A45" s="66" t="str">
        <f aca="false">IF(Varian!$A13="","",Varian!$A13)</f>
        <v>asus-zenbook-14-oled-ux3405ma-u5-125h-16-1tb</v>
      </c>
      <c r="B45" s="66" t="str">
        <f aca="false">IF($A45="","",Aturan!$A$21)</f>
        <v>Kuliah dan kantor</v>
      </c>
      <c r="C45" s="67" t="n">
        <f aca="false">IF($A45="","",IFERROR(IF(ISNUMBER(INDEX(CPU!$J$4:$J$64,MATCH(Varian!$J13,CPU!$A$4:$A$64,0))),INDEX(CPU!$J$4:$J$64,MATCH(Varian!$J13,CPU!$A$4:$A$64,0)),""),""))</f>
        <v>4</v>
      </c>
      <c r="D45" s="67" t="n">
        <f aca="false">IF($A45="","",IFERROR(IF(ISNUMBER(INDEX(GPU!$G$4:$G$64,MATCH(Varian!$K13,GPU!$A$4:$A$64,0))),INDEX(GPU!$G$4:$G$64,MATCH(Varian!$K13,GPU!$A$4:$A$64,0)),""),""))</f>
        <v>2</v>
      </c>
      <c r="E45" s="67" t="n">
        <f aca="false">IF($A45="","",IF(ISNUMBER(Varian!$M13),Varian!$M13,""))</f>
        <v>16</v>
      </c>
      <c r="F45" s="67" t="n">
        <f aca="false">IF($A45="","",IF(ISNUMBER(Varian!$V13),Varian!$V13,""))</f>
        <v>1024</v>
      </c>
      <c r="G45" s="67" t="n">
        <f aca="false">IF($A45="","",IFERROR(INDEX(Aturan!$B$63:$B$66,MATCH(Varian!$AG13,Aturan!$A$63:$A$66,0)),""))</f>
        <v>4</v>
      </c>
      <c r="H45" s="67" t="n">
        <f aca="false">IF($A45="","",IF(ISNUMBER(Varian!$AI13),Varian!$AI13,""))</f>
        <v>120</v>
      </c>
      <c r="I45" s="66" t="str">
        <f aca="false">IF($A45="","",IF(Varian!$Q13="disolder","menempel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5" s="66" t="str">
        <f aca="false">IF($A45="","",IF(Varian!$Z13="ya","bisa diganti dengan yang lebih besar",IF(Varian!$Z13="tidak","menempel, tidak bisa diganti","belum diketahui apakah bisa diganti")))</f>
        <v>bisa diganti dengan yang lebih besar</v>
      </c>
      <c r="K45" s="68" t="str">
        <f aca="false">IF($A45="","",IF(AND(Aturan!$C$30="",Aturan!$D$30=""),"Tidak dinilai",IF(C45="","Belum ada data",IF(C45&lt;IF(Aturan!$C$30="",0,Aturan!$C$30),"Kurang",IF(C45&gt;=IF(Aturan!$D$30="",Aturan!$C$30,Aturan!$D$30),"Nyaman","Cukup")))))</f>
        <v>Nyaman</v>
      </c>
      <c r="L45" s="68" t="str">
        <f aca="false">IF($A45="","",IF(AND(Aturan!$C$31="",Aturan!$D$31=""),"Tidak dinilai",IF(D45="","Belum ada data",IF(D45&lt;IF(Aturan!$C$31="",0,Aturan!$C$31),"Kurang",IF(D45&gt;=IF(Aturan!$D$31="",Aturan!$C$31,Aturan!$D$31),"Nyaman","Cukup")))))</f>
        <v>Tidak dinilai</v>
      </c>
      <c r="M45" s="68" t="str">
        <f aca="false">IF($A45="","",IF(AND(Aturan!$C$32="",Aturan!$D$32=""),"Tidak dinilai",IF(E45="","Belum ada data",IF(E45&lt;IF(Aturan!$C$32="",0,Aturan!$C$32),"Kurang",IF(E45&gt;=IF(Aturan!$D$32="",Aturan!$C$32,Aturan!$D$32),"Nyaman","Cukup")))))</f>
        <v>Nyaman</v>
      </c>
      <c r="N45" s="68" t="str">
        <f aca="false">IF($A45="","",IF(AND(Aturan!$C$33="",Aturan!$D$33=""),"Tidak dinilai",IF(F45="","Belum ada data",IF(F45&lt;IF(Aturan!$C$33="",0,Aturan!$C$33),"Kurang",IF(F45&gt;=IF(Aturan!$D$33="",Aturan!$C$33,Aturan!$D$33),"Nyaman","Cukup")))))</f>
        <v>Nyaman</v>
      </c>
      <c r="O45" s="68" t="str">
        <f aca="false">IF($A45="","",IF(AND(Aturan!$C$34="",Aturan!$D$34=""),"Tidak dinilai",IF(G45="","Belum ada data",IF(G45&lt;IF(Aturan!$C$34="",0,Aturan!$C$34),"Kurang",IF(G45&gt;=IF(Aturan!$D$34="",Aturan!$C$34,Aturan!$D$34),"Nyaman","Cukup")))))</f>
        <v>Tidak dinilai</v>
      </c>
      <c r="P45" s="68" t="str">
        <f aca="false">IF($A45="","",IF(AND(Aturan!$C$35="",Aturan!$D$35=""),"Tidak dinilai",IF(H45="","Belum ada data",IF(H45&lt;IF(Aturan!$C$35="",0,Aturan!$C$35),"Kurang",IF(H45&gt;=IF(Aturan!$D$35="",Aturan!$C$35,Aturan!$D$35),"Nyaman","Cukup")))))</f>
        <v>Tidak dinilai</v>
      </c>
      <c r="Q45" s="68" t="str">
        <f aca="false">IF($A45="","",IF(COUNTIF(K45:P45,"Tidak dinilai")=6,"Tidak dinilai",IF(COUNTIF(K45:P45,"Kurang")&gt;0,"Kurang cocok",IF(COUNTIF(K45:P45,"Belum ada data")&gt;0,"Data belum lengkap",IF(COUNTIF(K45:P45,"Cukup")&gt;0,"Bisa, dengan catatan","Cocok")))))</f>
        <v>Cocok</v>
      </c>
      <c r="R45" s="66" t="str">
        <f aca="false">IF($A45="","",IF(K45="Kurang","prosesor tingkat "&amp;C45&amp;" dari 5, di bawah batas minimal (tingkat "&amp;Aturan!$C$30&amp;")",IF(K45="Cukup","prosesor tingkat "&amp;C45&amp;" dari 5 cukup, nyamannya mulai tingkat "&amp;Aturan!$D$30,IF(K45="Belum ada data","tingkat prosesor belum diisi",""))))</f>
        <v/>
      </c>
      <c r="S45" s="66" t="str">
        <f aca="false">IF($A45="","",IF(L45="Kurang","grafis tingkat "&amp;D45&amp;" dari 5, di bawah batas minimal (tingkat "&amp;Aturan!$C$31&amp;")",IF(L45="Cukup","grafis tingkat "&amp;D45&amp;" dari 5 cukup, nyamannya mulai tingkat "&amp;Aturan!$D$31,IF(L45="Belum ada data","tingkat grafis belum diisi",""))))</f>
        <v/>
      </c>
      <c r="T45" s="66" t="str">
        <f aca="false">IF($A45="","",IF(M45="Kurang","RAM "&amp;E45&amp;" GB, di bawah batas minimal "&amp;Aturan!$C$32&amp;" GB ("&amp;I45&amp;")",IF(M45="Cukup","RAM "&amp;E45&amp;" GB cukup, nyamannya "&amp;Aturan!$D$32&amp;" GB atau lebih ("&amp;I45&amp;")",IF(M45="Belum ada data","ukuran RAM belum diisi",""))))</f>
        <v/>
      </c>
      <c r="U45" s="66" t="str">
        <f aca="false">IF($A45="","",IF(N45="Kurang","penyimpanan "&amp;F45&amp;" GB, di bawah batas minimal "&amp;Aturan!$C$33&amp;" GB ("&amp;J45&amp;")",IF(N45="Cukup","penyimpanan "&amp;F45&amp;" GB cukup, nyamannya "&amp;Aturan!$D$33&amp;" GB atau lebih ("&amp;J45&amp;")",IF(N45="Belum ada data","ukuran penyimpanan belum diisi",""))))</f>
        <v/>
      </c>
      <c r="V45" s="66" t="str">
        <f aca="false">IF($A45="","",IF(O45="Kurang","layar "&amp;Varian!$AG13&amp;", di bawah batas minimal ("&amp;IFERROR(INDEX(Aturan!$A$63:$A$66,MATCH(Aturan!$C$34,Aturan!$B$63:$B$66,0)),"peringkat "&amp;Aturan!$C$34)&amp;")",IF(O45="Cukup","layar "&amp;Varian!$AG13&amp;" cukup, nyamannya "&amp;IFERROR(INDEX(Aturan!$A$63:$A$66,MATCH(Aturan!$D$34,Aturan!$B$63:$B$66,0)),"peringkat "&amp;Aturan!$D$34),IF(O45="Belum ada data","jenis layar belum diketahui",""))))</f>
        <v/>
      </c>
      <c r="W45" s="66" t="str">
        <f aca="false">IF($A45="","",IF(P45="Kurang","layar "&amp;H45&amp;" Hz, di bawah batas minimal "&amp;Aturan!$C$35&amp;" Hz",IF(P45="Cukup","layar "&amp;H45&amp;" Hz cukup, nyamannya "&amp;Aturan!$D$35&amp;" Hz atau lebih",IF(P45="Belum ada data","refresh rate belum diketahui",""))))</f>
        <v/>
      </c>
      <c r="X45" s="66" t="str">
        <f aca="false">IF($A45="","",IF(K45="Kurang",R45&amp;"; ","")&amp;IF(L45="Kurang",S45&amp;"; ","")&amp;IF(M45="Kurang",T45&amp;"; ","")&amp;IF(N45="Kurang",U45&amp;"; ","")&amp;IF(O45="Kurang",V45&amp;"; ","")&amp;IF(P45="Kurang",W45&amp;"; ","")&amp;IF(K45="Belum ada data",R45&amp;"; ","")&amp;IF(L45="Belum ada data",S45&amp;"; ","")&amp;IF(M45="Belum ada data",T45&amp;"; ","")&amp;IF(N45="Belum ada data",U45&amp;"; ","")&amp;IF(O45="Belum ada data",V45&amp;"; ","")&amp;IF(P45="Belum ada data",W45&amp;"; ","")&amp;IF(K45="Cukup",R45&amp;"; ","")&amp;IF(L45="Cukup",S45&amp;"; ","")&amp;IF(M45="Cukup",T45&amp;"; ","")&amp;IF(N45="Cukup",U45&amp;"; ","")&amp;IF(O45="Cukup",V45&amp;"; ","")&amp;IF(P45="Cukup",W45&amp;"; ",""))</f>
        <v/>
      </c>
      <c r="Y45" s="66" t="str">
        <f aca="false">IF($A45="","",IF(K45="Nyaman","prosesor, ","")&amp;IF(L45="Nyaman","grafis, ","")&amp;IF(M45="Nyaman","RAM, ","")&amp;IF(N45="Nyaman","penyimpanan, ","")&amp;IF(O45="Nyaman","layar, ","")&amp;IF(P45="Nyaman","refresh rate, ",""))</f>
        <v>prosesor, RAM, penyimpanan, </v>
      </c>
      <c r="Z45" s="66" t="str">
        <f aca="false">IF($A45="","",IF(Q45="Tidak dinilai","Belum ada kriteria yang dinilai untuk kebutuhan ini.",IF(Q45="Cocok","Semua kriteria yang dinilai sudah nyaman: "&amp;LEFT(Y45,LEN(Y45)-2)&amp;".",UPPER(LEFT(X45,1))&amp;MID(X45,2,LEN(X45)-3)&amp;"."&amp;IF(Y45="",""," Sudah nyaman: "&amp;LEFT(Y45,LEN(Y45)-2)&amp;"."))))</f>
        <v>Semua kriteria yang dinilai sudah nyaman: prosesor, RAM, penyimpanan.</v>
      </c>
      <c r="AA45" s="66" t="str">
        <f aca="false">IF($A45="","",IF(Varian!$AR13="Windows 10","• "&amp;Aturan!$E$71&amp;CHAR(10),"")&amp;IF(Varian!$BB13="tidak","• "&amp;Aturan!$E$72&amp;CHAR(10),"")&amp;IF(OR(Varian!$AD13="belum terverifikasi",Varian!$AD13="tidak diketahui"),"• "&amp;Aturan!$E$73&amp;CHAR(10),"")&amp;IF(Varian!$AH13="1366x768","• "&amp;Aturan!$E$74&amp;CHAR(10),"")&amp;IF(Varian!$AG13="TN","• "&amp;Aturan!$E$75&amp;CHAR(10),"")&amp;IF(AND(Varian!$Q13="disolder",ISNUMBER(Varian!$M13),Varian!$M13&lt;=8),"• "&amp;Aturan!$E$76&amp;CHAR(10),""))</f>
        <v/>
      </c>
      <c r="AB45" s="66" t="str">
        <f aca="false">IF($A45="","",IF(AA45="","",LEFT(AA45,LEN(AA45)-1)))</f>
        <v/>
      </c>
      <c r="AC45" s="67" t="n">
        <f aca="false">IF($A45="","",IF(AA45="",0,LEN(AA45)-LEN(SUBSTITUTE(AA45,CHAR(10),""))))</f>
        <v>0</v>
      </c>
    </row>
    <row r="46" customFormat="false" ht="15" hidden="false" customHeight="true" outlineLevel="0" collapsed="false">
      <c r="A46" s="33" t="str">
        <f aca="false">IF(Varian!$A13="","",Varian!$A13)</f>
        <v>asus-zenbook-14-oled-ux3405ma-u5-125h-16-1tb</v>
      </c>
      <c r="B46" s="33" t="str">
        <f aca="false">IF($A46="","",Aturan!$A$22)</f>
        <v>Desain grafis</v>
      </c>
      <c r="C46" s="69" t="n">
        <f aca="false">IF($A46="","",IFERROR(IF(ISNUMBER(INDEX(CPU!$J$4:$J$64,MATCH(Varian!$J13,CPU!$A$4:$A$64,0))),INDEX(CPU!$J$4:$J$64,MATCH(Varian!$J13,CPU!$A$4:$A$64,0)),""),""))</f>
        <v>4</v>
      </c>
      <c r="D46" s="69" t="n">
        <f aca="false">IF($A46="","",IFERROR(IF(ISNUMBER(INDEX(GPU!$G$4:$G$64,MATCH(Varian!$K13,GPU!$A$4:$A$64,0))),INDEX(GPU!$G$4:$G$64,MATCH(Varian!$K13,GPU!$A$4:$A$64,0)),""),""))</f>
        <v>2</v>
      </c>
      <c r="E46" s="69" t="n">
        <f aca="false">IF($A46="","",IF(ISNUMBER(Varian!$M13),Varian!$M13,""))</f>
        <v>16</v>
      </c>
      <c r="F46" s="69" t="n">
        <f aca="false">IF($A46="","",IF(ISNUMBER(Varian!$V13),Varian!$V13,""))</f>
        <v>1024</v>
      </c>
      <c r="G46" s="69" t="n">
        <f aca="false">IF($A46="","",IFERROR(INDEX(Aturan!$B$63:$B$66,MATCH(Varian!$AG13,Aturan!$A$63:$A$66,0)),""))</f>
        <v>4</v>
      </c>
      <c r="H46" s="69" t="n">
        <f aca="false">IF($A46="","",IF(ISNUMBER(Varian!$AI13),Varian!$AI13,""))</f>
        <v>120</v>
      </c>
      <c r="I46" s="33" t="str">
        <f aca="false">IF($A46="","",IF(Varian!$Q13="disolder","menempel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6" s="33" t="str">
        <f aca="false">IF($A46="","",IF(Varian!$Z13="ya","bisa diganti dengan yang lebih besar",IF(Varian!$Z13="tidak","menempel, tidak bisa diganti","belum diketahui apakah bisa diganti")))</f>
        <v>bisa diganti dengan yang lebih besar</v>
      </c>
      <c r="K46" s="70" t="str">
        <f aca="false">IF($A46="","",IF(AND(Aturan!$C$36="",Aturan!$D$36=""),"Tidak dinilai",IF(C46="","Belum ada data",IF(C46&lt;IF(Aturan!$C$36="",0,Aturan!$C$36),"Kurang",IF(C46&gt;=IF(Aturan!$D$36="",Aturan!$C$36,Aturan!$D$36),"Nyaman","Cukup")))))</f>
        <v>Nyaman</v>
      </c>
      <c r="L46" s="70" t="str">
        <f aca="false">IF($A46="","",IF(AND(Aturan!$C$37="",Aturan!$D$37=""),"Tidak dinilai",IF(D46="","Belum ada data",IF(D46&lt;IF(Aturan!$C$37="",0,Aturan!$C$37),"Kurang",IF(D46&gt;=IF(Aturan!$D$37="",Aturan!$C$37,Aturan!$D$37),"Nyaman","Cukup")))))</f>
        <v>Nyaman</v>
      </c>
      <c r="M46" s="70" t="str">
        <f aca="false">IF($A46="","",IF(AND(Aturan!$C$38="",Aturan!$D$38=""),"Tidak dinilai",IF(E46="","Belum ada data",IF(E46&lt;IF(Aturan!$C$38="",0,Aturan!$C$38),"Kurang",IF(E46&gt;=IF(Aturan!$D$38="",Aturan!$C$38,Aturan!$D$38),"Nyaman","Cukup")))))</f>
        <v>Nyaman</v>
      </c>
      <c r="N46" s="70" t="str">
        <f aca="false">IF($A46="","",IF(AND(Aturan!$C$39="",Aturan!$D$39=""),"Tidak dinilai",IF(F46="","Belum ada data",IF(F46&lt;IF(Aturan!$C$39="",0,Aturan!$C$39),"Kurang",IF(F46&gt;=IF(Aturan!$D$39="",Aturan!$C$39,Aturan!$D$39),"Nyaman","Cukup")))))</f>
        <v>Nyaman</v>
      </c>
      <c r="O46" s="70" t="str">
        <f aca="false">IF($A46="","",IF(AND(Aturan!$C$40="",Aturan!$D$40=""),"Tidak dinilai",IF(G46="","Belum ada data",IF(G46&lt;IF(Aturan!$C$40="",0,Aturan!$C$40),"Kurang",IF(G46&gt;=IF(Aturan!$D$40="",Aturan!$C$40,Aturan!$D$40),"Nyaman","Cukup")))))</f>
        <v>Nyaman</v>
      </c>
      <c r="P46" s="70" t="str">
        <f aca="false">IF($A46="","",IF(AND(Aturan!$C$41="",Aturan!$D$41=""),"Tidak dinilai",IF(H46="","Belum ada data",IF(H46&lt;IF(Aturan!$C$41="",0,Aturan!$C$41),"Kurang",IF(H46&gt;=IF(Aturan!$D$41="",Aturan!$C$41,Aturan!$D$41),"Nyaman","Cukup")))))</f>
        <v>Tidak dinilai</v>
      </c>
      <c r="Q46" s="70" t="str">
        <f aca="false">IF($A46="","",IF(COUNTIF(K46:P46,"Tidak dinilai")=6,"Tidak dinilai",IF(COUNTIF(K46:P46,"Kurang")&gt;0,"Kurang cocok",IF(COUNTIF(K46:P46,"Belum ada data")&gt;0,"Data belum lengkap",IF(COUNTIF(K46:P46,"Cukup")&gt;0,"Bisa, dengan catatan","Cocok")))))</f>
        <v>Cocok</v>
      </c>
      <c r="R46" s="33" t="str">
        <f aca="false">IF($A46="","",IF(K46="Kurang","prosesor tingkat "&amp;C46&amp;" dari 5, di bawah batas minimal (tingkat "&amp;Aturan!$C$36&amp;")",IF(K46="Cukup","prosesor tingkat "&amp;C46&amp;" dari 5 cukup, nyamannya mulai tingkat "&amp;Aturan!$D$36,IF(K46="Belum ada data","tingkat prosesor belum diisi",""))))</f>
        <v/>
      </c>
      <c r="S46" s="33" t="str">
        <f aca="false">IF($A46="","",IF(L46="Kurang","grafis tingkat "&amp;D46&amp;" dari 5, di bawah batas minimal (tingkat "&amp;Aturan!$C$37&amp;")",IF(L46="Cukup","grafis tingkat "&amp;D46&amp;" dari 5 cukup, nyamannya mulai tingkat "&amp;Aturan!$D$37,IF(L46="Belum ada data","tingkat grafis belum diisi",""))))</f>
        <v/>
      </c>
      <c r="T46" s="33" t="str">
        <f aca="false">IF($A46="","",IF(M46="Kurang","RAM "&amp;E46&amp;" GB, di bawah batas minimal "&amp;Aturan!$C$38&amp;" GB ("&amp;I46&amp;")",IF(M46="Cukup","RAM "&amp;E46&amp;" GB cukup, nyamannya "&amp;Aturan!$D$38&amp;" GB atau lebih ("&amp;I46&amp;")",IF(M46="Belum ada data","ukuran RAM belum diisi",""))))</f>
        <v/>
      </c>
      <c r="U46" s="33" t="str">
        <f aca="false">IF($A46="","",IF(N46="Kurang","penyimpanan "&amp;F46&amp;" GB, di bawah batas minimal "&amp;Aturan!$C$39&amp;" GB ("&amp;J46&amp;")",IF(N46="Cukup","penyimpanan "&amp;F46&amp;" GB cukup, nyamannya "&amp;Aturan!$D$39&amp;" GB atau lebih ("&amp;J46&amp;")",IF(N46="Belum ada data","ukuran penyimpanan belum diisi",""))))</f>
        <v/>
      </c>
      <c r="V46" s="33" t="str">
        <f aca="false">IF($A46="","",IF(O46="Kurang","layar "&amp;Varian!$AG13&amp;", di bawah batas minimal ("&amp;IFERROR(INDEX(Aturan!$A$63:$A$66,MATCH(Aturan!$C$40,Aturan!$B$63:$B$66,0)),"peringkat "&amp;Aturan!$C$40)&amp;")",IF(O46="Cukup","layar "&amp;Varian!$AG13&amp;" cukup, nyamannya "&amp;IFERROR(INDEX(Aturan!$A$63:$A$66,MATCH(Aturan!$D$40,Aturan!$B$63:$B$66,0)),"peringkat "&amp;Aturan!$D$40),IF(O46="Belum ada data","jenis layar belum diketahui",""))))</f>
        <v/>
      </c>
      <c r="W46" s="33" t="str">
        <f aca="false">IF($A46="","",IF(P46="Kurang","layar "&amp;H46&amp;" Hz, di bawah batas minimal "&amp;Aturan!$C$41&amp;" Hz",IF(P46="Cukup","layar "&amp;H46&amp;" Hz cukup, nyamannya "&amp;Aturan!$D$41&amp;" Hz atau lebih",IF(P46="Belum ada data","refresh rate belum diketahui",""))))</f>
        <v/>
      </c>
      <c r="X46" s="33" t="str">
        <f aca="false">IF($A46="","",IF(K46="Kurang",R46&amp;"; ","")&amp;IF(L46="Kurang",S46&amp;"; ","")&amp;IF(M46="Kurang",T46&amp;"; ","")&amp;IF(N46="Kurang",U46&amp;"; ","")&amp;IF(O46="Kurang",V46&amp;"; ","")&amp;IF(P46="Kurang",W46&amp;"; ","")&amp;IF(K46="Belum ada data",R46&amp;"; ","")&amp;IF(L46="Belum ada data",S46&amp;"; ","")&amp;IF(M46="Belum ada data",T46&amp;"; ","")&amp;IF(N46="Belum ada data",U46&amp;"; ","")&amp;IF(O46="Belum ada data",V46&amp;"; ","")&amp;IF(P46="Belum ada data",W46&amp;"; ","")&amp;IF(K46="Cukup",R46&amp;"; ","")&amp;IF(L46="Cukup",S46&amp;"; ","")&amp;IF(M46="Cukup",T46&amp;"; ","")&amp;IF(N46="Cukup",U46&amp;"; ","")&amp;IF(O46="Cukup",V46&amp;"; ","")&amp;IF(P46="Cukup",W46&amp;"; ",""))</f>
        <v/>
      </c>
      <c r="Y46" s="33" t="str">
        <f aca="false">IF($A46="","",IF(K46="Nyaman","prosesor, ","")&amp;IF(L46="Nyaman","grafis, ","")&amp;IF(M46="Nyaman","RAM, ","")&amp;IF(N46="Nyaman","penyimpanan, ","")&amp;IF(O46="Nyaman","layar, ","")&amp;IF(P46="Nyaman","refresh rate, ",""))</f>
        <v>prosesor, grafis, RAM, penyimpanan, layar, </v>
      </c>
      <c r="Z46" s="33" t="str">
        <f aca="false">IF($A46="","",IF(Q46="Tidak dinilai","Belum ada kriteria yang dinilai untuk kebutuhan ini.",IF(Q46="Cocok","Semua kriteria yang dinilai sudah nyaman: "&amp;LEFT(Y46,LEN(Y46)-2)&amp;".",UPPER(LEFT(X46,1))&amp;MID(X46,2,LEN(X46)-3)&amp;"."&amp;IF(Y46="",""," Sudah nyaman: "&amp;LEFT(Y46,LEN(Y46)-2)&amp;"."))))</f>
        <v>Semua kriteria yang dinilai sudah nyaman: prosesor, grafis, RAM, penyimpanan, layar.</v>
      </c>
      <c r="AA46" s="33"/>
      <c r="AB46" s="33"/>
      <c r="AC46" s="69"/>
    </row>
    <row r="47" customFormat="false" ht="15" hidden="false" customHeight="true" outlineLevel="0" collapsed="false">
      <c r="A47" s="33" t="str">
        <f aca="false">IF(Varian!$A13="","",Varian!$A13)</f>
        <v>asus-zenbook-14-oled-ux3405ma-u5-125h-16-1tb</v>
      </c>
      <c r="B47" s="33" t="str">
        <f aca="false">IF($A47="","",Aturan!$A$23)</f>
        <v>Pemrograman</v>
      </c>
      <c r="C47" s="69" t="n">
        <f aca="false">IF($A47="","",IFERROR(IF(ISNUMBER(INDEX(CPU!$J$4:$J$64,MATCH(Varian!$J13,CPU!$A$4:$A$64,0))),INDEX(CPU!$J$4:$J$64,MATCH(Varian!$J13,CPU!$A$4:$A$64,0)),""),""))</f>
        <v>4</v>
      </c>
      <c r="D47" s="69" t="n">
        <f aca="false">IF($A47="","",IFERROR(IF(ISNUMBER(INDEX(GPU!$G$4:$G$64,MATCH(Varian!$K13,GPU!$A$4:$A$64,0))),INDEX(GPU!$G$4:$G$64,MATCH(Varian!$K13,GPU!$A$4:$A$64,0)),""),""))</f>
        <v>2</v>
      </c>
      <c r="E47" s="69" t="n">
        <f aca="false">IF($A47="","",IF(ISNUMBER(Varian!$M13),Varian!$M13,""))</f>
        <v>16</v>
      </c>
      <c r="F47" s="69" t="n">
        <f aca="false">IF($A47="","",IF(ISNUMBER(Varian!$V13),Varian!$V13,""))</f>
        <v>1024</v>
      </c>
      <c r="G47" s="69" t="n">
        <f aca="false">IF($A47="","",IFERROR(INDEX(Aturan!$B$63:$B$66,MATCH(Varian!$AG13,Aturan!$A$63:$A$66,0)),""))</f>
        <v>4</v>
      </c>
      <c r="H47" s="69" t="n">
        <f aca="false">IF($A47="","",IF(ISNUMBER(Varian!$AI13),Varian!$AI13,""))</f>
        <v>120</v>
      </c>
      <c r="I47" s="33" t="str">
        <f aca="false">IF($A47="","",IF(Varian!$Q13="disolder","menempel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7" s="33" t="str">
        <f aca="false">IF($A47="","",IF(Varian!$Z13="ya","bisa diganti dengan yang lebih besar",IF(Varian!$Z13="tidak","menempel, tidak bisa diganti","belum diketahui apakah bisa diganti")))</f>
        <v>bisa diganti dengan yang lebih besar</v>
      </c>
      <c r="K47" s="70" t="str">
        <f aca="false">IF($A47="","",IF(AND(Aturan!$C$42="",Aturan!$D$42=""),"Tidak dinilai",IF(C47="","Belum ada data",IF(C47&lt;IF(Aturan!$C$42="",0,Aturan!$C$42),"Kurang",IF(C47&gt;=IF(Aturan!$D$42="",Aturan!$C$42,Aturan!$D$42),"Nyaman","Cukup")))))</f>
        <v>Nyaman</v>
      </c>
      <c r="L47" s="70" t="str">
        <f aca="false">IF($A47="","",IF(AND(Aturan!$C$43="",Aturan!$D$43=""),"Tidak dinilai",IF(D47="","Belum ada data",IF(D47&lt;IF(Aturan!$C$43="",0,Aturan!$C$43),"Kurang",IF(D47&gt;=IF(Aturan!$D$43="",Aturan!$C$43,Aturan!$D$43),"Nyaman","Cukup")))))</f>
        <v>Tidak dinilai</v>
      </c>
      <c r="M47" s="70" t="str">
        <f aca="false">IF($A47="","",IF(AND(Aturan!$C$44="",Aturan!$D$44=""),"Tidak dinilai",IF(E47="","Belum ada data",IF(E47&lt;IF(Aturan!$C$44="",0,Aturan!$C$44),"Kurang",IF(E47&gt;=IF(Aturan!$D$44="",Aturan!$C$44,Aturan!$D$44),"Nyaman","Cukup")))))</f>
        <v>Nyaman</v>
      </c>
      <c r="N47" s="70" t="str">
        <f aca="false">IF($A47="","",IF(AND(Aturan!$C$45="",Aturan!$D$45=""),"Tidak dinilai",IF(F47="","Belum ada data",IF(F47&lt;IF(Aturan!$C$45="",0,Aturan!$C$45),"Kurang",IF(F47&gt;=IF(Aturan!$D$45="",Aturan!$C$45,Aturan!$D$45),"Nyaman","Cukup")))))</f>
        <v>Nyaman</v>
      </c>
      <c r="O47" s="70" t="str">
        <f aca="false">IF($A47="","",IF(AND(Aturan!$C$46="",Aturan!$D$46=""),"Tidak dinilai",IF(G47="","Belum ada data",IF(G47&lt;IF(Aturan!$C$46="",0,Aturan!$C$46),"Kurang",IF(G47&gt;=IF(Aturan!$D$46="",Aturan!$C$46,Aturan!$D$46),"Nyaman","Cukup")))))</f>
        <v>Tidak dinilai</v>
      </c>
      <c r="P47" s="70" t="str">
        <f aca="false">IF($A47="","",IF(AND(Aturan!$C$47="",Aturan!$D$47=""),"Tidak dinilai",IF(H47="","Belum ada data",IF(H47&lt;IF(Aturan!$C$47="",0,Aturan!$C$47),"Kurang",IF(H47&gt;=IF(Aturan!$D$47="",Aturan!$C$47,Aturan!$D$47),"Nyaman","Cukup")))))</f>
        <v>Tidak dinilai</v>
      </c>
      <c r="Q47" s="70" t="str">
        <f aca="false">IF($A47="","",IF(COUNTIF(K47:P47,"Tidak dinilai")=6,"Tidak dinilai",IF(COUNTIF(K47:P47,"Kurang")&gt;0,"Kurang cocok",IF(COUNTIF(K47:P47,"Belum ada data")&gt;0,"Data belum lengkap",IF(COUNTIF(K47:P47,"Cukup")&gt;0,"Bisa, dengan catatan","Cocok")))))</f>
        <v>Cocok</v>
      </c>
      <c r="R47" s="33" t="str">
        <f aca="false">IF($A47="","",IF(K47="Kurang","prosesor tingkat "&amp;C47&amp;" dari 5, di bawah batas minimal (tingkat "&amp;Aturan!$C$42&amp;")",IF(K47="Cukup","prosesor tingkat "&amp;C47&amp;" dari 5 cukup, nyamannya mulai tingkat "&amp;Aturan!$D$42,IF(K47="Belum ada data","tingkat prosesor belum diisi",""))))</f>
        <v/>
      </c>
      <c r="S47" s="33" t="str">
        <f aca="false">IF($A47="","",IF(L47="Kurang","grafis tingkat "&amp;D47&amp;" dari 5, di bawah batas minimal (tingkat "&amp;Aturan!$C$43&amp;")",IF(L47="Cukup","grafis tingkat "&amp;D47&amp;" dari 5 cukup, nyamannya mulai tingkat "&amp;Aturan!$D$43,IF(L47="Belum ada data","tingkat grafis belum diisi",""))))</f>
        <v/>
      </c>
      <c r="T47" s="33" t="str">
        <f aca="false">IF($A47="","",IF(M47="Kurang","RAM "&amp;E47&amp;" GB, di bawah batas minimal "&amp;Aturan!$C$44&amp;" GB ("&amp;I47&amp;")",IF(M47="Cukup","RAM "&amp;E47&amp;" GB cukup, nyamannya "&amp;Aturan!$D$44&amp;" GB atau lebih ("&amp;I47&amp;")",IF(M47="Belum ada data","ukuran RAM belum diisi",""))))</f>
        <v/>
      </c>
      <c r="U47" s="33" t="str">
        <f aca="false">IF($A47="","",IF(N47="Kurang","penyimpanan "&amp;F47&amp;" GB, di bawah batas minimal "&amp;Aturan!$C$45&amp;" GB ("&amp;J47&amp;")",IF(N47="Cukup","penyimpanan "&amp;F47&amp;" GB cukup, nyamannya "&amp;Aturan!$D$45&amp;" GB atau lebih ("&amp;J47&amp;")",IF(N47="Belum ada data","ukuran penyimpanan belum diisi",""))))</f>
        <v/>
      </c>
      <c r="V47" s="33" t="str">
        <f aca="false">IF($A47="","",IF(O47="Kurang","layar "&amp;Varian!$AG13&amp;", di bawah batas minimal ("&amp;IFERROR(INDEX(Aturan!$A$63:$A$66,MATCH(Aturan!$C$46,Aturan!$B$63:$B$66,0)),"peringkat "&amp;Aturan!$C$46)&amp;")",IF(O47="Cukup","layar "&amp;Varian!$AG13&amp;" cukup, nyamannya "&amp;IFERROR(INDEX(Aturan!$A$63:$A$66,MATCH(Aturan!$D$46,Aturan!$B$63:$B$66,0)),"peringkat "&amp;Aturan!$D$46),IF(O47="Belum ada data","jenis layar belum diketahui",""))))</f>
        <v/>
      </c>
      <c r="W47" s="33" t="str">
        <f aca="false">IF($A47="","",IF(P47="Kurang","layar "&amp;H47&amp;" Hz, di bawah batas minimal "&amp;Aturan!$C$47&amp;" Hz",IF(P47="Cukup","layar "&amp;H47&amp;" Hz cukup, nyamannya "&amp;Aturan!$D$47&amp;" Hz atau lebih",IF(P47="Belum ada data","refresh rate belum diketahui",""))))</f>
        <v/>
      </c>
      <c r="X47" s="33" t="str">
        <f aca="false">IF($A47="","",IF(K47="Kurang",R47&amp;"; ","")&amp;IF(L47="Kurang",S47&amp;"; ","")&amp;IF(M47="Kurang",T47&amp;"; ","")&amp;IF(N47="Kurang",U47&amp;"; ","")&amp;IF(O47="Kurang",V47&amp;"; ","")&amp;IF(P47="Kurang",W47&amp;"; ","")&amp;IF(K47="Belum ada data",R47&amp;"; ","")&amp;IF(L47="Belum ada data",S47&amp;"; ","")&amp;IF(M47="Belum ada data",T47&amp;"; ","")&amp;IF(N47="Belum ada data",U47&amp;"; ","")&amp;IF(O47="Belum ada data",V47&amp;"; ","")&amp;IF(P47="Belum ada data",W47&amp;"; ","")&amp;IF(K47="Cukup",R47&amp;"; ","")&amp;IF(L47="Cukup",S47&amp;"; ","")&amp;IF(M47="Cukup",T47&amp;"; ","")&amp;IF(N47="Cukup",U47&amp;"; ","")&amp;IF(O47="Cukup",V47&amp;"; ","")&amp;IF(P47="Cukup",W47&amp;"; ",""))</f>
        <v/>
      </c>
      <c r="Y47" s="33" t="str">
        <f aca="false">IF($A47="","",IF(K47="Nyaman","prosesor, ","")&amp;IF(L47="Nyaman","grafis, ","")&amp;IF(M47="Nyaman","RAM, ","")&amp;IF(N47="Nyaman","penyimpanan, ","")&amp;IF(O47="Nyaman","layar, ","")&amp;IF(P47="Nyaman","refresh rate, ",""))</f>
        <v>prosesor, RAM, penyimpanan, </v>
      </c>
      <c r="Z47" s="33" t="str">
        <f aca="false">IF($A47="","",IF(Q47="Tidak dinilai","Belum ada kriteria yang dinilai untuk kebutuhan ini.",IF(Q47="Cocok","Semua kriteria yang dinilai sudah nyaman: "&amp;LEFT(Y47,LEN(Y47)-2)&amp;".",UPPER(LEFT(X47,1))&amp;MID(X47,2,LEN(X47)-3)&amp;"."&amp;IF(Y47="",""," Sudah nyaman: "&amp;LEFT(Y47,LEN(Y47)-2)&amp;"."))))</f>
        <v>Semua kriteria yang dinilai sudah nyaman: prosesor, RAM, penyimpanan.</v>
      </c>
      <c r="AA47" s="33"/>
      <c r="AB47" s="33"/>
      <c r="AC47" s="69"/>
    </row>
    <row r="48" customFormat="false" ht="15" hidden="false" customHeight="true" outlineLevel="0" collapsed="false">
      <c r="A48" s="33" t="str">
        <f aca="false">IF(Varian!$A13="","",Varian!$A13)</f>
        <v>asus-zenbook-14-oled-ux3405ma-u5-125h-16-1tb</v>
      </c>
      <c r="B48" s="33" t="str">
        <f aca="false">IF($A48="","",Aturan!$A$24)</f>
        <v>Game ringan</v>
      </c>
      <c r="C48" s="69" t="n">
        <f aca="false">IF($A48="","",IFERROR(IF(ISNUMBER(INDEX(CPU!$J$4:$J$64,MATCH(Varian!$J13,CPU!$A$4:$A$64,0))),INDEX(CPU!$J$4:$J$64,MATCH(Varian!$J13,CPU!$A$4:$A$64,0)),""),""))</f>
        <v>4</v>
      </c>
      <c r="D48" s="69" t="n">
        <f aca="false">IF($A48="","",IFERROR(IF(ISNUMBER(INDEX(GPU!$G$4:$G$64,MATCH(Varian!$K13,GPU!$A$4:$A$64,0))),INDEX(GPU!$G$4:$G$64,MATCH(Varian!$K13,GPU!$A$4:$A$64,0)),""),""))</f>
        <v>2</v>
      </c>
      <c r="E48" s="69" t="n">
        <f aca="false">IF($A48="","",IF(ISNUMBER(Varian!$M13),Varian!$M13,""))</f>
        <v>16</v>
      </c>
      <c r="F48" s="69" t="n">
        <f aca="false">IF($A48="","",IF(ISNUMBER(Varian!$V13),Varian!$V13,""))</f>
        <v>1024</v>
      </c>
      <c r="G48" s="69" t="n">
        <f aca="false">IF($A48="","",IFERROR(INDEX(Aturan!$B$63:$B$66,MATCH(Varian!$AG13,Aturan!$A$63:$A$66,0)),""))</f>
        <v>4</v>
      </c>
      <c r="H48" s="69" t="n">
        <f aca="false">IF($A48="","",IF(ISNUMBER(Varian!$AI13),Varian!$AI13,""))</f>
        <v>120</v>
      </c>
      <c r="I48" s="33" t="str">
        <f aca="false">IF($A48="","",IF(Varian!$Q13="disolder","menempel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8" s="33" t="str">
        <f aca="false">IF($A48="","",IF(Varian!$Z13="ya","bisa diganti dengan yang lebih besar",IF(Varian!$Z13="tidak","menempel, tidak bisa diganti","belum diketahui apakah bisa diganti")))</f>
        <v>bisa diganti dengan yang lebih besar</v>
      </c>
      <c r="K48" s="70" t="str">
        <f aca="false">IF($A48="","",IF(AND(Aturan!$C$48="",Aturan!$D$48=""),"Tidak dinilai",IF(C48="","Belum ada data",IF(C48&lt;IF(Aturan!$C$48="",0,Aturan!$C$48),"Kurang",IF(C48&gt;=IF(Aturan!$D$48="",Aturan!$C$48,Aturan!$D$48),"Nyaman","Cukup")))))</f>
        <v>Nyaman</v>
      </c>
      <c r="L48" s="70" t="str">
        <f aca="false">IF($A48="","",IF(AND(Aturan!$C$49="",Aturan!$D$49=""),"Tidak dinilai",IF(D48="","Belum ada data",IF(D48&lt;IF(Aturan!$C$49="",0,Aturan!$C$49),"Kurang",IF(D48&gt;=IF(Aturan!$D$49="",Aturan!$C$49,Aturan!$D$49),"Nyaman","Cukup")))))</f>
        <v>Nyaman</v>
      </c>
      <c r="M48" s="70" t="str">
        <f aca="false">IF($A48="","",IF(AND(Aturan!$C$50="",Aturan!$D$50=""),"Tidak dinilai",IF(E48="","Belum ada data",IF(E48&lt;IF(Aturan!$C$50="",0,Aturan!$C$50),"Kurang",IF(E48&gt;=IF(Aturan!$D$50="",Aturan!$C$50,Aturan!$D$50),"Nyaman","Cukup")))))</f>
        <v>Nyaman</v>
      </c>
      <c r="N48" s="70" t="str">
        <f aca="false">IF($A48="","",IF(AND(Aturan!$C$51="",Aturan!$D$51=""),"Tidak dinilai",IF(F48="","Belum ada data",IF(F48&lt;IF(Aturan!$C$51="",0,Aturan!$C$51),"Kurang",IF(F48&gt;=IF(Aturan!$D$51="",Aturan!$C$51,Aturan!$D$51),"Nyaman","Cukup")))))</f>
        <v>Nyaman</v>
      </c>
      <c r="O48" s="70" t="str">
        <f aca="false">IF($A48="","",IF(AND(Aturan!$C$52="",Aturan!$D$52=""),"Tidak dinilai",IF(G48="","Belum ada data",IF(G48&lt;IF(Aturan!$C$52="",0,Aturan!$C$52),"Kurang",IF(G48&gt;=IF(Aturan!$D$52="",Aturan!$C$52,Aturan!$D$52),"Nyaman","Cukup")))))</f>
        <v>Tidak dinilai</v>
      </c>
      <c r="P48" s="70" t="str">
        <f aca="false">IF($A48="","",IF(AND(Aturan!$C$53="",Aturan!$D$53=""),"Tidak dinilai",IF(H48="","Belum ada data",IF(H48&lt;IF(Aturan!$C$53="",0,Aturan!$C$53),"Kurang",IF(H48&gt;=IF(Aturan!$D$53="",Aturan!$C$53,Aturan!$D$53),"Nyaman","Cukup")))))</f>
        <v>Tidak dinilai</v>
      </c>
      <c r="Q48" s="70" t="str">
        <f aca="false">IF($A48="","",IF(COUNTIF(K48:P48,"Tidak dinilai")=6,"Tidak dinilai",IF(COUNTIF(K48:P48,"Kurang")&gt;0,"Kurang cocok",IF(COUNTIF(K48:P48,"Belum ada data")&gt;0,"Data belum lengkap",IF(COUNTIF(K48:P48,"Cukup")&gt;0,"Bisa, dengan catatan","Cocok")))))</f>
        <v>Cocok</v>
      </c>
      <c r="R48" s="33" t="str">
        <f aca="false">IF($A48="","",IF(K48="Kurang","prosesor tingkat "&amp;C48&amp;" dari 5, di bawah batas minimal (tingkat "&amp;Aturan!$C$48&amp;")",IF(K48="Cukup","prosesor tingkat "&amp;C48&amp;" dari 5 cukup, nyamannya mulai tingkat "&amp;Aturan!$D$48,IF(K48="Belum ada data","tingkat prosesor belum diisi",""))))</f>
        <v/>
      </c>
      <c r="S48" s="33" t="str">
        <f aca="false">IF($A48="","",IF(L48="Kurang","grafis tingkat "&amp;D48&amp;" dari 5, di bawah batas minimal (tingkat "&amp;Aturan!$C$49&amp;")",IF(L48="Cukup","grafis tingkat "&amp;D48&amp;" dari 5 cukup, nyamannya mulai tingkat "&amp;Aturan!$D$49,IF(L48="Belum ada data","tingkat grafis belum diisi",""))))</f>
        <v/>
      </c>
      <c r="T48" s="33" t="str">
        <f aca="false">IF($A48="","",IF(M48="Kurang","RAM "&amp;E48&amp;" GB, di bawah batas minimal "&amp;Aturan!$C$50&amp;" GB ("&amp;I48&amp;")",IF(M48="Cukup","RAM "&amp;E48&amp;" GB cukup, nyamannya "&amp;Aturan!$D$50&amp;" GB atau lebih ("&amp;I48&amp;")",IF(M48="Belum ada data","ukuran RAM belum diisi",""))))</f>
        <v/>
      </c>
      <c r="U48" s="33" t="str">
        <f aca="false">IF($A48="","",IF(N48="Kurang","penyimpanan "&amp;F48&amp;" GB, di bawah batas minimal "&amp;Aturan!$C$51&amp;" GB ("&amp;J48&amp;")",IF(N48="Cukup","penyimpanan "&amp;F48&amp;" GB cukup, nyamannya "&amp;Aturan!$D$51&amp;" GB atau lebih ("&amp;J48&amp;")",IF(N48="Belum ada data","ukuran penyimpanan belum diisi",""))))</f>
        <v/>
      </c>
      <c r="V48" s="33" t="str">
        <f aca="false">IF($A48="","",IF(O48="Kurang","layar "&amp;Varian!$AG13&amp;", di bawah batas minimal ("&amp;IFERROR(INDEX(Aturan!$A$63:$A$66,MATCH(Aturan!$C$52,Aturan!$B$63:$B$66,0)),"peringkat "&amp;Aturan!$C$52)&amp;")",IF(O48="Cukup","layar "&amp;Varian!$AG13&amp;" cukup, nyamannya "&amp;IFERROR(INDEX(Aturan!$A$63:$A$66,MATCH(Aturan!$D$52,Aturan!$B$63:$B$66,0)),"peringkat "&amp;Aturan!$D$52),IF(O48="Belum ada data","jenis layar belum diketahui",""))))</f>
        <v/>
      </c>
      <c r="W48" s="33" t="str">
        <f aca="false">IF($A48="","",IF(P48="Kurang","layar "&amp;H48&amp;" Hz, di bawah batas minimal "&amp;Aturan!$C$53&amp;" Hz",IF(P48="Cukup","layar "&amp;H48&amp;" Hz cukup, nyamannya "&amp;Aturan!$D$53&amp;" Hz atau lebih",IF(P48="Belum ada data","refresh rate belum diketahui",""))))</f>
        <v/>
      </c>
      <c r="X48" s="33" t="str">
        <f aca="false">IF($A48="","",IF(K48="Kurang",R48&amp;"; ","")&amp;IF(L48="Kurang",S48&amp;"; ","")&amp;IF(M48="Kurang",T48&amp;"; ","")&amp;IF(N48="Kurang",U48&amp;"; ","")&amp;IF(O48="Kurang",V48&amp;"; ","")&amp;IF(P48="Kurang",W48&amp;"; ","")&amp;IF(K48="Belum ada data",R48&amp;"; ","")&amp;IF(L48="Belum ada data",S48&amp;"; ","")&amp;IF(M48="Belum ada data",T48&amp;"; ","")&amp;IF(N48="Belum ada data",U48&amp;"; ","")&amp;IF(O48="Belum ada data",V48&amp;"; ","")&amp;IF(P48="Belum ada data",W48&amp;"; ","")&amp;IF(K48="Cukup",R48&amp;"; ","")&amp;IF(L48="Cukup",S48&amp;"; ","")&amp;IF(M48="Cukup",T48&amp;"; ","")&amp;IF(N48="Cukup",U48&amp;"; ","")&amp;IF(O48="Cukup",V48&amp;"; ","")&amp;IF(P48="Cukup",W48&amp;"; ",""))</f>
        <v/>
      </c>
      <c r="Y48" s="33" t="str">
        <f aca="false">IF($A48="","",IF(K48="Nyaman","prosesor, ","")&amp;IF(L48="Nyaman","grafis, ","")&amp;IF(M48="Nyaman","RAM, ","")&amp;IF(N48="Nyaman","penyimpanan, ","")&amp;IF(O48="Nyaman","layar, ","")&amp;IF(P48="Nyaman","refresh rate, ",""))</f>
        <v>prosesor, grafis, RAM, penyimpanan, </v>
      </c>
      <c r="Z48" s="33" t="str">
        <f aca="false">IF($A48="","",IF(Q48="Tidak dinilai","Belum ada kriteria yang dinilai untuk kebutuhan ini.",IF(Q48="Cocok","Semua kriteria yang dinilai sudah nyaman: "&amp;LEFT(Y48,LEN(Y48)-2)&amp;".",UPPER(LEFT(X48,1))&amp;MID(X48,2,LEN(X48)-3)&amp;"."&amp;IF(Y48="",""," Sudah nyaman: "&amp;LEFT(Y48,LEN(Y48)-2)&amp;"."))))</f>
        <v>Semua kriteria yang dinilai sudah nyaman: prosesor, grafis, RAM, penyimpanan.</v>
      </c>
      <c r="AA48" s="33"/>
      <c r="AB48" s="33"/>
      <c r="AC48" s="69"/>
    </row>
    <row r="49" customFormat="false" ht="15" hidden="false" customHeight="true" outlineLevel="0" collapsed="false">
      <c r="A49" s="33" t="str">
        <f aca="false">IF(Varian!$A13="","",Varian!$A13)</f>
        <v>asus-zenbook-14-oled-ux3405ma-u5-125h-16-1tb</v>
      </c>
      <c r="B49" s="33" t="str">
        <f aca="false">IF($A49="","",Aturan!$A$25)</f>
        <v>Game berat</v>
      </c>
      <c r="C49" s="69" t="n">
        <f aca="false">IF($A49="","",IFERROR(IF(ISNUMBER(INDEX(CPU!$J$4:$J$64,MATCH(Varian!$J13,CPU!$A$4:$A$64,0))),INDEX(CPU!$J$4:$J$64,MATCH(Varian!$J13,CPU!$A$4:$A$64,0)),""),""))</f>
        <v>4</v>
      </c>
      <c r="D49" s="69" t="n">
        <f aca="false">IF($A49="","",IFERROR(IF(ISNUMBER(INDEX(GPU!$G$4:$G$64,MATCH(Varian!$K13,GPU!$A$4:$A$64,0))),INDEX(GPU!$G$4:$G$64,MATCH(Varian!$K13,GPU!$A$4:$A$64,0)),""),""))</f>
        <v>2</v>
      </c>
      <c r="E49" s="69" t="n">
        <f aca="false">IF($A49="","",IF(ISNUMBER(Varian!$M13),Varian!$M13,""))</f>
        <v>16</v>
      </c>
      <c r="F49" s="69" t="n">
        <f aca="false">IF($A49="","",IF(ISNUMBER(Varian!$V13),Varian!$V13,""))</f>
        <v>1024</v>
      </c>
      <c r="G49" s="69" t="n">
        <f aca="false">IF($A49="","",IFERROR(INDEX(Aturan!$B$63:$B$66,MATCH(Varian!$AG13,Aturan!$A$63:$A$66,0)),""))</f>
        <v>4</v>
      </c>
      <c r="H49" s="69" t="n">
        <f aca="false">IF($A49="","",IF(ISNUMBER(Varian!$AI13),Varian!$AI13,""))</f>
        <v>120</v>
      </c>
      <c r="I49" s="33" t="str">
        <f aca="false">IF($A49="","",IF(Varian!$Q13="disolder","menempel di papan utama, tidak bisa ditambah",IF(OR(Varian!$Q13="slot",Varian!$Q13="setengah_disolder"),IF(Varian!$Q13="setengah_disolder","sebagian menempel, ","")&amp;IF(ISNUMBER(Varian!$U13),IF(AND(ISNUMBER(Varian!$M13),Varian!$U13&gt;Varian!$M13),"bisa dinaikkan lewat slot sampai "&amp;Varian!$U13&amp;" GB","sudah di batas maksimal "&amp;Varian!$U13&amp;" GB"),"ada slot, batas maksimalnya belum diketahui"),"belum diketahui apakah bisa ditambah")))</f>
        <v>menempel di papan utama, tidak bisa ditambah</v>
      </c>
      <c r="J49" s="33" t="str">
        <f aca="false">IF($A49="","",IF(Varian!$Z13="ya","bisa diganti dengan yang lebih besar",IF(Varian!$Z13="tidak","menempel, tidak bisa diganti","belum diketahui apakah bisa diganti")))</f>
        <v>bisa diganti dengan yang lebih besar</v>
      </c>
      <c r="K49" s="70" t="str">
        <f aca="false">IF($A49="","",IF(AND(Aturan!$C$54="",Aturan!$D$54=""),"Tidak dinilai",IF(C49="","Belum ada data",IF(C49&lt;IF(Aturan!$C$54="",0,Aturan!$C$54),"Kurang",IF(C49&gt;=IF(Aturan!$D$54="",Aturan!$C$54,Aturan!$D$54),"Nyaman","Cukup")))))</f>
        <v>Nyaman</v>
      </c>
      <c r="L49" s="70" t="str">
        <f aca="false">IF($A49="","",IF(AND(Aturan!$C$55="",Aturan!$D$55=""),"Tidak dinilai",IF(D49="","Belum ada data",IF(D49&lt;IF(Aturan!$C$55="",0,Aturan!$C$55),"Kurang",IF(D49&gt;=IF(Aturan!$D$55="",Aturan!$C$55,Aturan!$D$55),"Nyaman","Cukup")))))</f>
        <v>Kurang</v>
      </c>
      <c r="M49" s="70" t="str">
        <f aca="false">IF($A49="","",IF(AND(Aturan!$C$56="",Aturan!$D$56=""),"Tidak dinilai",IF(E49="","Belum ada data",IF(E49&lt;IF(Aturan!$C$56="",0,Aturan!$C$56),"Kurang",IF(E49&gt;=IF(Aturan!$D$56="",Aturan!$C$56,Aturan!$D$56),"Nyaman","Cukup")))))</f>
        <v>Nyaman</v>
      </c>
      <c r="N49" s="70" t="str">
        <f aca="false">IF($A49="","",IF(AND(Aturan!$C$57="",Aturan!$D$57=""),"Tidak dinilai",IF(F49="","Belum ada data",IF(F49&lt;IF(Aturan!$C$57="",0,Aturan!$C$57),"Kurang",IF(F49&gt;=IF(Aturan!$D$57="",Aturan!$C$57,Aturan!$D$57),"Nyaman","Cukup")))))</f>
        <v>Nyaman</v>
      </c>
      <c r="O49" s="70" t="str">
        <f aca="false">IF($A49="","",IF(AND(Aturan!$C$58="",Aturan!$D$58=""),"Tidak dinilai",IF(G49="","Belum ada data",IF(G49&lt;IF(Aturan!$C$58="",0,Aturan!$C$58),"Kurang",IF(G49&gt;=IF(Aturan!$D$58="",Aturan!$C$58,Aturan!$D$58),"Nyaman","Cukup")))))</f>
        <v>Tidak dinilai</v>
      </c>
      <c r="P49" s="70" t="str">
        <f aca="false">IF($A49="","",IF(AND(Aturan!$C$59="",Aturan!$D$59=""),"Tidak dinilai",IF(H49="","Belum ada data",IF(H49&lt;IF(Aturan!$C$59="",0,Aturan!$C$59),"Kurang",IF(H49&gt;=IF(Aturan!$D$59="",Aturan!$C$59,Aturan!$D$59),"Nyaman","Cukup")))))</f>
        <v>Nyaman</v>
      </c>
      <c r="Q49" s="70" t="str">
        <f aca="false">IF($A49="","",IF(COUNTIF(K49:P49,"Tidak dinilai")=6,"Tidak dinilai",IF(COUNTIF(K49:P49,"Kurang")&gt;0,"Kurang cocok",IF(COUNTIF(K49:P49,"Belum ada data")&gt;0,"Data belum lengkap",IF(COUNTIF(K49:P49,"Cukup")&gt;0,"Bisa, dengan catatan","Cocok")))))</f>
        <v>Kurang cocok</v>
      </c>
      <c r="R49" s="33" t="str">
        <f aca="false">IF($A49="","",IF(K49="Kurang","prosesor tingkat "&amp;C49&amp;" dari 5, di bawah batas minimal (tingkat "&amp;Aturan!$C$54&amp;")",IF(K49="Cukup","prosesor tingkat "&amp;C49&amp;" dari 5 cukup, nyamannya mulai tingkat "&amp;Aturan!$D$54,IF(K49="Belum ada data","tingkat prosesor belum diisi",""))))</f>
        <v/>
      </c>
      <c r="S49" s="33" t="str">
        <f aca="false">IF($A49="","",IF(L49="Kurang","grafis tingkat "&amp;D49&amp;" dari 5, di bawah batas minimal (tingkat "&amp;Aturan!$C$55&amp;")",IF(L49="Cukup","grafis tingkat "&amp;D49&amp;" dari 5 cukup, nyamannya mulai tingkat "&amp;Aturan!$D$55,IF(L49="Belum ada data","tingkat grafis belum diisi",""))))</f>
        <v>grafis tingkat 2 dari 5, di bawah batas minimal (tingkat 3)</v>
      </c>
      <c r="T49" s="33" t="str">
        <f aca="false">IF($A49="","",IF(M49="Kurang","RAM "&amp;E49&amp;" GB, di bawah batas minimal "&amp;Aturan!$C$56&amp;" GB ("&amp;I49&amp;")",IF(M49="Cukup","RAM "&amp;E49&amp;" GB cukup, nyamannya "&amp;Aturan!$D$56&amp;" GB atau lebih ("&amp;I49&amp;")",IF(M49="Belum ada data","ukuran RAM belum diisi",""))))</f>
        <v/>
      </c>
      <c r="U49" s="33" t="str">
        <f aca="false">IF($A49="","",IF(N49="Kurang","penyimpanan "&amp;F49&amp;" GB, di bawah batas minimal "&amp;Aturan!$C$57&amp;" GB ("&amp;J49&amp;")",IF(N49="Cukup","penyimpanan "&amp;F49&amp;" GB cukup, nyamannya "&amp;Aturan!$D$57&amp;" GB atau lebih ("&amp;J49&amp;")",IF(N49="Belum ada data","ukuran penyimpanan belum diisi",""))))</f>
        <v/>
      </c>
      <c r="V49" s="33" t="str">
        <f aca="false">IF($A49="","",IF(O49="Kurang","layar "&amp;Varian!$AG13&amp;", di bawah batas minimal ("&amp;IFERROR(INDEX(Aturan!$A$63:$A$66,MATCH(Aturan!$C$58,Aturan!$B$63:$B$66,0)),"peringkat "&amp;Aturan!$C$58)&amp;")",IF(O49="Cukup","layar "&amp;Varian!$AG13&amp;" cukup, nyamannya "&amp;IFERROR(INDEX(Aturan!$A$63:$A$66,MATCH(Aturan!$D$58,Aturan!$B$63:$B$66,0)),"peringkat "&amp;Aturan!$D$58),IF(O49="Belum ada data","jenis layar belum diketahui",""))))</f>
        <v/>
      </c>
      <c r="W49" s="33" t="str">
        <f aca="false">IF($A49="","",IF(P49="Kurang","layar "&amp;H49&amp;" Hz, di bawah batas minimal "&amp;Aturan!$C$59&amp;" Hz",IF(P49="Cukup","layar "&amp;H49&amp;" Hz cukup, nyamannya "&amp;Aturan!$D$59&amp;" Hz atau lebih",IF(P49="Belum ada data","refresh rate belum diketahui",""))))</f>
        <v/>
      </c>
      <c r="X49" s="33" t="str">
        <f aca="false">IF($A49="","",IF(K49="Kurang",R49&amp;"; ","")&amp;IF(L49="Kurang",S49&amp;"; ","")&amp;IF(M49="Kurang",T49&amp;"; ","")&amp;IF(N49="Kurang",U49&amp;"; ","")&amp;IF(O49="Kurang",V49&amp;"; ","")&amp;IF(P49="Kurang",W49&amp;"; ","")&amp;IF(K49="Belum ada data",R49&amp;"; ","")&amp;IF(L49="Belum ada data",S49&amp;"; ","")&amp;IF(M49="Belum ada data",T49&amp;"; ","")&amp;IF(N49="Belum ada data",U49&amp;"; ","")&amp;IF(O49="Belum ada data",V49&amp;"; ","")&amp;IF(P49="Belum ada data",W49&amp;"; ","")&amp;IF(K49="Cukup",R49&amp;"; ","")&amp;IF(L49="Cukup",S49&amp;"; ","")&amp;IF(M49="Cukup",T49&amp;"; ","")&amp;IF(N49="Cukup",U49&amp;"; ","")&amp;IF(O49="Cukup",V49&amp;"; ","")&amp;IF(P49="Cukup",W49&amp;"; ",""))</f>
        <v>grafis tingkat 2 dari 5, di bawah batas minimal (tingkat 3); </v>
      </c>
      <c r="Y49" s="33" t="str">
        <f aca="false">IF($A49="","",IF(K49="Nyaman","prosesor, ","")&amp;IF(L49="Nyaman","grafis, ","")&amp;IF(M49="Nyaman","RAM, ","")&amp;IF(N49="Nyaman","penyimpanan, ","")&amp;IF(O49="Nyaman","layar, ","")&amp;IF(P49="Nyaman","refresh rate, ",""))</f>
        <v>prosesor, RAM, penyimpanan, refresh rate, </v>
      </c>
      <c r="Z49" s="33" t="str">
        <f aca="false">IF($A49="","",IF(Q49="Tidak dinilai","Belum ada kriteria yang dinilai untuk kebutuhan ini.",IF(Q49="Cocok","Semua kriteria yang dinilai sudah nyaman: "&amp;LEFT(Y49,LEN(Y49)-2)&amp;".",UPPER(LEFT(X49,1))&amp;MID(X49,2,LEN(X49)-3)&amp;"."&amp;IF(Y49="",""," Sudah nyaman: "&amp;LEFT(Y49,LEN(Y49)-2)&amp;"."))))</f>
        <v>Grafis tingkat 2 dari 5, di bawah batas minimal (tingkat 3). Sudah nyaman: prosesor, RAM, penyimpanan, refresh rate.</v>
      </c>
      <c r="AA49" s="33"/>
      <c r="AB49" s="33"/>
      <c r="AC49" s="69"/>
    </row>
    <row r="50" customFormat="false" ht="15" hidden="false" customHeight="true" outlineLevel="0" collapsed="false">
      <c r="A50" s="66" t="str">
        <f aca="false">IF(Varian!$A14="","",Varian!$A14)</f>
        <v>acer-aspire-3-a314-23m-r5-7520u-8-512</v>
      </c>
      <c r="B50" s="66" t="str">
        <f aca="false">IF($A50="","",Aturan!$A$21)</f>
        <v>Kuliah dan kantor</v>
      </c>
      <c r="C50" s="67" t="n">
        <f aca="false">IF($A50="","",IFERROR(IF(ISNUMBER(INDEX(CPU!$J$4:$J$64,MATCH(Varian!$J14,CPU!$A$4:$A$64,0))),INDEX(CPU!$J$4:$J$64,MATCH(Varian!$J14,CPU!$A$4:$A$64,0)),""),""))</f>
        <v>2</v>
      </c>
      <c r="D50" s="67" t="n">
        <f aca="false">IF($A50="","",IFERROR(IF(ISNUMBER(INDEX(GPU!$G$4:$G$64,MATCH(Varian!$K14,GPU!$A$4:$A$64,0))),INDEX(GPU!$G$4:$G$64,MATCH(Varian!$K14,GPU!$A$4:$A$64,0)),""),""))</f>
        <v>1</v>
      </c>
      <c r="E50" s="67" t="n">
        <f aca="false">IF($A50="","",IF(ISNUMBER(Varian!$M14),Varian!$M14,""))</f>
        <v>8</v>
      </c>
      <c r="F50" s="67" t="n">
        <f aca="false">IF($A50="","",IF(ISNUMBER(Varian!$V14),Varian!$V14,""))</f>
        <v>512</v>
      </c>
      <c r="G50" s="67" t="n">
        <f aca="false">IF($A50="","",IFERROR(INDEX(Aturan!$B$63:$B$66,MATCH(Varian!$AG14,Aturan!$A$63:$A$66,0)),""))</f>
        <v>1</v>
      </c>
      <c r="H50" s="67" t="n">
        <f aca="false">IF($A50="","",IF(ISNUMBER(Varian!$AI14),Varian!$AI14,""))</f>
        <v>60</v>
      </c>
      <c r="I50" s="66" t="str">
        <f aca="false">IF($A50="","",IF(Varian!$Q14="disolder","menempel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0" s="66" t="str">
        <f aca="false">IF($A50="","",IF(Varian!$Z14="ya","bisa diganti dengan yang lebih besar",IF(Varian!$Z14="tidak","menempel, tidak bisa diganti","belum diketahui apakah bisa diganti")))</f>
        <v>bisa diganti dengan yang lebih besar</v>
      </c>
      <c r="K50" s="68" t="str">
        <f aca="false">IF($A50="","",IF(AND(Aturan!$C$30="",Aturan!$D$30=""),"Tidak dinilai",IF(C50="","Belum ada data",IF(C50&lt;IF(Aturan!$C$30="",0,Aturan!$C$30),"Kurang",IF(C50&gt;=IF(Aturan!$D$30="",Aturan!$C$30,Aturan!$D$30),"Nyaman","Cukup")))))</f>
        <v>Nyaman</v>
      </c>
      <c r="L50" s="68" t="str">
        <f aca="false">IF($A50="","",IF(AND(Aturan!$C$31="",Aturan!$D$31=""),"Tidak dinilai",IF(D50="","Belum ada data",IF(D50&lt;IF(Aturan!$C$31="",0,Aturan!$C$31),"Kurang",IF(D50&gt;=IF(Aturan!$D$31="",Aturan!$C$31,Aturan!$D$31),"Nyaman","Cukup")))))</f>
        <v>Tidak dinilai</v>
      </c>
      <c r="M50" s="68" t="str">
        <f aca="false">IF($A50="","",IF(AND(Aturan!$C$32="",Aturan!$D$32=""),"Tidak dinilai",IF(E50="","Belum ada data",IF(E50&lt;IF(Aturan!$C$32="",0,Aturan!$C$32),"Kurang",IF(E50&gt;=IF(Aturan!$D$32="",Aturan!$C$32,Aturan!$D$32),"Nyaman","Cukup")))))</f>
        <v>Nyaman</v>
      </c>
      <c r="N50" s="68" t="str">
        <f aca="false">IF($A50="","",IF(AND(Aturan!$C$33="",Aturan!$D$33=""),"Tidak dinilai",IF(F50="","Belum ada data",IF(F50&lt;IF(Aturan!$C$33="",0,Aturan!$C$33),"Kurang",IF(F50&gt;=IF(Aturan!$D$33="",Aturan!$C$33,Aturan!$D$33),"Nyaman","Cukup")))))</f>
        <v>Nyaman</v>
      </c>
      <c r="O50" s="68" t="str">
        <f aca="false">IF($A50="","",IF(AND(Aturan!$C$34="",Aturan!$D$34=""),"Tidak dinilai",IF(G50="","Belum ada data",IF(G50&lt;IF(Aturan!$C$34="",0,Aturan!$C$34),"Kurang",IF(G50&gt;=IF(Aturan!$D$34="",Aturan!$C$34,Aturan!$D$34),"Nyaman","Cukup")))))</f>
        <v>Tidak dinilai</v>
      </c>
      <c r="P50" s="68" t="str">
        <f aca="false">IF($A50="","",IF(AND(Aturan!$C$35="",Aturan!$D$35=""),"Tidak dinilai",IF(H50="","Belum ada data",IF(H50&lt;IF(Aturan!$C$35="",0,Aturan!$C$35),"Kurang",IF(H50&gt;=IF(Aturan!$D$35="",Aturan!$C$35,Aturan!$D$35),"Nyaman","Cukup")))))</f>
        <v>Tidak dinilai</v>
      </c>
      <c r="Q50" s="68" t="str">
        <f aca="false">IF($A50="","",IF(COUNTIF(K50:P50,"Tidak dinilai")=6,"Tidak dinilai",IF(COUNTIF(K50:P50,"Kurang")&gt;0,"Kurang cocok",IF(COUNTIF(K50:P50,"Belum ada data")&gt;0,"Data belum lengkap",IF(COUNTIF(K50:P50,"Cukup")&gt;0,"Bisa, dengan catatan","Cocok")))))</f>
        <v>Cocok</v>
      </c>
      <c r="R50" s="66" t="str">
        <f aca="false">IF($A50="","",IF(K50="Kurang","prosesor tingkat "&amp;C50&amp;" dari 5, di bawah batas minimal (tingkat "&amp;Aturan!$C$30&amp;")",IF(K50="Cukup","prosesor tingkat "&amp;C50&amp;" dari 5 cukup, nyamannya mulai tingkat "&amp;Aturan!$D$30,IF(K50="Belum ada data","tingkat prosesor belum diisi",""))))</f>
        <v/>
      </c>
      <c r="S50" s="66" t="str">
        <f aca="false">IF($A50="","",IF(L50="Kurang","grafis tingkat "&amp;D50&amp;" dari 5, di bawah batas minimal (tingkat "&amp;Aturan!$C$31&amp;")",IF(L50="Cukup","grafis tingkat "&amp;D50&amp;" dari 5 cukup, nyamannya mulai tingkat "&amp;Aturan!$D$31,IF(L50="Belum ada data","tingkat grafis belum diisi",""))))</f>
        <v/>
      </c>
      <c r="T50" s="66" t="str">
        <f aca="false">IF($A50="","",IF(M50="Kurang","RAM "&amp;E50&amp;" GB, di bawah batas minimal "&amp;Aturan!$C$32&amp;" GB ("&amp;I50&amp;")",IF(M50="Cukup","RAM "&amp;E50&amp;" GB cukup, nyamannya "&amp;Aturan!$D$32&amp;" GB atau lebih ("&amp;I50&amp;")",IF(M50="Belum ada data","ukuran RAM belum diisi",""))))</f>
        <v/>
      </c>
      <c r="U50" s="66" t="str">
        <f aca="false">IF($A50="","",IF(N50="Kurang","penyimpanan "&amp;F50&amp;" GB, di bawah batas minimal "&amp;Aturan!$C$33&amp;" GB ("&amp;J50&amp;")",IF(N50="Cukup","penyimpanan "&amp;F50&amp;" GB cukup, nyamannya "&amp;Aturan!$D$33&amp;" GB atau lebih ("&amp;J50&amp;")",IF(N50="Belum ada data","ukuran penyimpanan belum diisi",""))))</f>
        <v/>
      </c>
      <c r="V50" s="66" t="str">
        <f aca="false">IF($A50="","",IF(O50="Kurang","layar "&amp;Varian!$AG14&amp;", di bawah batas minimal ("&amp;IFERROR(INDEX(Aturan!$A$63:$A$66,MATCH(Aturan!$C$34,Aturan!$B$63:$B$66,0)),"peringkat "&amp;Aturan!$C$34)&amp;")",IF(O50="Cukup","layar "&amp;Varian!$AG14&amp;" cukup, nyamannya "&amp;IFERROR(INDEX(Aturan!$A$63:$A$66,MATCH(Aturan!$D$34,Aturan!$B$63:$B$66,0)),"peringkat "&amp;Aturan!$D$34),IF(O50="Belum ada data","jenis layar belum diketahui",""))))</f>
        <v/>
      </c>
      <c r="W50" s="66" t="str">
        <f aca="false">IF($A50="","",IF(P50="Kurang","layar "&amp;H50&amp;" Hz, di bawah batas minimal "&amp;Aturan!$C$35&amp;" Hz",IF(P50="Cukup","layar "&amp;H50&amp;" Hz cukup, nyamannya "&amp;Aturan!$D$35&amp;" Hz atau lebih",IF(P50="Belum ada data","refresh rate belum diketahui",""))))</f>
        <v/>
      </c>
      <c r="X50" s="66" t="str">
        <f aca="false">IF($A50="","",IF(K50="Kurang",R50&amp;"; ","")&amp;IF(L50="Kurang",S50&amp;"; ","")&amp;IF(M50="Kurang",T50&amp;"; ","")&amp;IF(N50="Kurang",U50&amp;"; ","")&amp;IF(O50="Kurang",V50&amp;"; ","")&amp;IF(P50="Kurang",W50&amp;"; ","")&amp;IF(K50="Belum ada data",R50&amp;"; ","")&amp;IF(L50="Belum ada data",S50&amp;"; ","")&amp;IF(M50="Belum ada data",T50&amp;"; ","")&amp;IF(N50="Belum ada data",U50&amp;"; ","")&amp;IF(O50="Belum ada data",V50&amp;"; ","")&amp;IF(P50="Belum ada data",W50&amp;"; ","")&amp;IF(K50="Cukup",R50&amp;"; ","")&amp;IF(L50="Cukup",S50&amp;"; ","")&amp;IF(M50="Cukup",T50&amp;"; ","")&amp;IF(N50="Cukup",U50&amp;"; ","")&amp;IF(O50="Cukup",V50&amp;"; ","")&amp;IF(P50="Cukup",W50&amp;"; ",""))</f>
        <v/>
      </c>
      <c r="Y50" s="66" t="str">
        <f aca="false">IF($A50="","",IF(K50="Nyaman","prosesor, ","")&amp;IF(L50="Nyaman","grafis, ","")&amp;IF(M50="Nyaman","RAM, ","")&amp;IF(N50="Nyaman","penyimpanan, ","")&amp;IF(O50="Nyaman","layar, ","")&amp;IF(P50="Nyaman","refresh rate, ",""))</f>
        <v>prosesor, RAM, penyimpanan, </v>
      </c>
      <c r="Z50" s="66" t="str">
        <f aca="false">IF($A50="","",IF(Q50="Tidak dinilai","Belum ada kriteria yang dinilai untuk kebutuhan ini.",IF(Q50="Cocok","Semua kriteria yang dinilai sudah nyaman: "&amp;LEFT(Y50,LEN(Y50)-2)&amp;".",UPPER(LEFT(X50,1))&amp;MID(X50,2,LEN(X50)-3)&amp;"."&amp;IF(Y50="",""," Sudah nyaman: "&amp;LEFT(Y50,LEN(Y50)-2)&amp;"."))))</f>
        <v>Semua kriteria yang dinilai sudah nyaman: prosesor, RAM, penyimpanan.</v>
      </c>
      <c r="AA50" s="71" t="str">
        <f aca="false">IF($A50="","",IF(Varian!$AR14="Windows 10","• "&amp;Aturan!$E$71&amp;CHAR(10),"")&amp;IF(Varian!$BB14="tidak","• "&amp;Aturan!$E$72&amp;CHAR(10),"")&amp;IF(OR(Varian!$AD14="belum terverifikasi",Varian!$AD14="tidak diketahui"),"• "&amp;Aturan!$E$73&amp;CHAR(10),"")&amp;IF(Varian!$AH14="1366x768","• "&amp;Aturan!$E$74&amp;CHAR(10),"")&amp;IF(Varian!$AG14="TN","• "&amp;Aturan!$E$75&amp;CHAR(10),"")&amp;IF(AND(Varian!$Q14="disolder",ISNUMBER(Varian!$M14),Varian!$M14&lt;=8),"• "&amp;Aturan!$E$76&amp;CHAR(10),""))</f>
        <v>• Info RAM dan penyimpanan (bisa diganti atau tidak) belum terverifikasi. Periksa lagi sebelum membeli.
• Layar beresolusi rendah (1366x768): ruang kerja sempit dan tulisan kurang tajam.
• Panel TN: warna cenderung pucat dan sudut pandang sempit.
• RAM menempel di papan utama dan tidak bisa ditambah, padahal ukurannya kecil (8 GB atau kurang).
</v>
      </c>
      <c r="AB50" s="71" t="str">
        <f aca="false">IF($A50="","",IF(AA50="","",LEFT(AA50,LEN(AA50)-1)))</f>
        <v>• Info RAM dan penyimpanan (bisa diganti atau tidak) belum terverifikasi. Periksa lagi sebelum membeli.
• Layar beresolusi rendah (1366x768): ruang kerja sempit dan tulisan kurang tajam.
• Panel TN: warna cenderung pucat dan sudut pandang sempit.
• RAM menempel di papan utama dan tidak bisa ditambah, padahal ukurannya kecil (8 GB atau kurang).</v>
      </c>
      <c r="AC50" s="67" t="n">
        <f aca="false">IF($A50="","",IF(AA50="",0,LEN(AA50)-LEN(SUBSTITUTE(AA50,CHAR(10),""))))</f>
        <v>4</v>
      </c>
    </row>
    <row r="51" customFormat="false" ht="15" hidden="false" customHeight="true" outlineLevel="0" collapsed="false">
      <c r="A51" s="33" t="str">
        <f aca="false">IF(Varian!$A14="","",Varian!$A14)</f>
        <v>acer-aspire-3-a314-23m-r5-7520u-8-512</v>
      </c>
      <c r="B51" s="33" t="str">
        <f aca="false">IF($A51="","",Aturan!$A$22)</f>
        <v>Desain grafis</v>
      </c>
      <c r="C51" s="69" t="n">
        <f aca="false">IF($A51="","",IFERROR(IF(ISNUMBER(INDEX(CPU!$J$4:$J$64,MATCH(Varian!$J14,CPU!$A$4:$A$64,0))),INDEX(CPU!$J$4:$J$64,MATCH(Varian!$J14,CPU!$A$4:$A$64,0)),""),""))</f>
        <v>2</v>
      </c>
      <c r="D51" s="69" t="n">
        <f aca="false">IF($A51="","",IFERROR(IF(ISNUMBER(INDEX(GPU!$G$4:$G$64,MATCH(Varian!$K14,GPU!$A$4:$A$64,0))),INDEX(GPU!$G$4:$G$64,MATCH(Varian!$K14,GPU!$A$4:$A$64,0)),""),""))</f>
        <v>1</v>
      </c>
      <c r="E51" s="69" t="n">
        <f aca="false">IF($A51="","",IF(ISNUMBER(Varian!$M14),Varian!$M14,""))</f>
        <v>8</v>
      </c>
      <c r="F51" s="69" t="n">
        <f aca="false">IF($A51="","",IF(ISNUMBER(Varian!$V14),Varian!$V14,""))</f>
        <v>512</v>
      </c>
      <c r="G51" s="69" t="n">
        <f aca="false">IF($A51="","",IFERROR(INDEX(Aturan!$B$63:$B$66,MATCH(Varian!$AG14,Aturan!$A$63:$A$66,0)),""))</f>
        <v>1</v>
      </c>
      <c r="H51" s="69" t="n">
        <f aca="false">IF($A51="","",IF(ISNUMBER(Varian!$AI14),Varian!$AI14,""))</f>
        <v>60</v>
      </c>
      <c r="I51" s="33" t="str">
        <f aca="false">IF($A51="","",IF(Varian!$Q14="disolder","menempel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1" s="33" t="str">
        <f aca="false">IF($A51="","",IF(Varian!$Z14="ya","bisa diganti dengan yang lebih besar",IF(Varian!$Z14="tidak","menempel, tidak bisa diganti","belum diketahui apakah bisa diganti")))</f>
        <v>bisa diganti dengan yang lebih besar</v>
      </c>
      <c r="K51" s="70" t="str">
        <f aca="false">IF($A51="","",IF(AND(Aturan!$C$36="",Aturan!$D$36=""),"Tidak dinilai",IF(C51="","Belum ada data",IF(C51&lt;IF(Aturan!$C$36="",0,Aturan!$C$36),"Kurang",IF(C51&gt;=IF(Aturan!$D$36="",Aturan!$C$36,Aturan!$D$36),"Nyaman","Cukup")))))</f>
        <v>Cukup</v>
      </c>
      <c r="L51" s="70" t="str">
        <f aca="false">IF($A51="","",IF(AND(Aturan!$C$37="",Aturan!$D$37=""),"Tidak dinilai",IF(D51="","Belum ada data",IF(D51&lt;IF(Aturan!$C$37="",0,Aturan!$C$37),"Kurang",IF(D51&gt;=IF(Aturan!$D$37="",Aturan!$C$37,Aturan!$D$37),"Nyaman","Cukup")))))</f>
        <v>Cukup</v>
      </c>
      <c r="M51" s="70" t="str">
        <f aca="false">IF($A51="","",IF(AND(Aturan!$C$38="",Aturan!$D$38=""),"Tidak dinilai",IF(E51="","Belum ada data",IF(E51&lt;IF(Aturan!$C$38="",0,Aturan!$C$38),"Kurang",IF(E51&gt;=IF(Aturan!$D$38="",Aturan!$C$38,Aturan!$D$38),"Nyaman","Cukup")))))</f>
        <v>Cukup</v>
      </c>
      <c r="N51" s="70" t="str">
        <f aca="false">IF($A51="","",IF(AND(Aturan!$C$39="",Aturan!$D$39=""),"Tidak dinilai",IF(F51="","Belum ada data",IF(F51&lt;IF(Aturan!$C$39="",0,Aturan!$C$39),"Kurang",IF(F51&gt;=IF(Aturan!$D$39="",Aturan!$C$39,Aturan!$D$39),"Nyaman","Cukup")))))</f>
        <v>Nyaman</v>
      </c>
      <c r="O51" s="70" t="str">
        <f aca="false">IF($A51="","",IF(AND(Aturan!$C$40="",Aturan!$D$40=""),"Tidak dinilai",IF(G51="","Belum ada data",IF(G51&lt;IF(Aturan!$C$40="",0,Aturan!$C$40),"Kurang",IF(G51&gt;=IF(Aturan!$D$40="",Aturan!$C$40,Aturan!$D$40),"Nyaman","Cukup")))))</f>
        <v>Kurang</v>
      </c>
      <c r="P51" s="70" t="str">
        <f aca="false">IF($A51="","",IF(AND(Aturan!$C$41="",Aturan!$D$41=""),"Tidak dinilai",IF(H51="","Belum ada data",IF(H51&lt;IF(Aturan!$C$41="",0,Aturan!$C$41),"Kurang",IF(H51&gt;=IF(Aturan!$D$41="",Aturan!$C$41,Aturan!$D$41),"Nyaman","Cukup")))))</f>
        <v>Tidak dinilai</v>
      </c>
      <c r="Q51" s="70" t="str">
        <f aca="false">IF($A51="","",IF(COUNTIF(K51:P51,"Tidak dinilai")=6,"Tidak dinilai",IF(COUNTIF(K51:P51,"Kurang")&gt;0,"Kurang cocok",IF(COUNTIF(K51:P51,"Belum ada data")&gt;0,"Data belum lengkap",IF(COUNTIF(K51:P51,"Cukup")&gt;0,"Bisa, dengan catatan","Cocok")))))</f>
        <v>Kurang cocok</v>
      </c>
      <c r="R51" s="33" t="str">
        <f aca="false">IF($A51="","",IF(K51="Kurang","prosesor tingkat "&amp;C51&amp;" dari 5, di bawah batas minimal (tingkat "&amp;Aturan!$C$36&amp;")",IF(K51="Cukup","prosesor tingkat "&amp;C51&amp;" dari 5 cukup, nyamannya mulai tingkat "&amp;Aturan!$D$36,IF(K51="Belum ada data","tingkat prosesor belum diisi",""))))</f>
        <v>prosesor tingkat 2 dari 5 cukup, nyamannya mulai tingkat 3</v>
      </c>
      <c r="S51" s="33" t="str">
        <f aca="false">IF($A51="","",IF(L51="Kurang","grafis tingkat "&amp;D51&amp;" dari 5, di bawah batas minimal (tingkat "&amp;Aturan!$C$37&amp;")",IF(L51="Cukup","grafis tingkat "&amp;D51&amp;" dari 5 cukup, nyamannya mulai tingkat "&amp;Aturan!$D$37,IF(L51="Belum ada data","tingkat grafis belum diisi",""))))</f>
        <v>grafis tingkat 1 dari 5 cukup, nyamannya mulai tingkat 2</v>
      </c>
      <c r="T51" s="33" t="str">
        <f aca="false">IF($A51="","",IF(M51="Kurang","RAM "&amp;E51&amp;" GB, di bawah batas minimal "&amp;Aturan!$C$38&amp;" GB ("&amp;I51&amp;")",IF(M51="Cukup","RAM "&amp;E51&amp;" GB cukup, nyamannya "&amp;Aturan!$D$38&amp;" GB atau lebih ("&amp;I51&amp;")",IF(M51="Belum ada data","ukuran RAM belum diisi",""))))</f>
        <v>RAM 8 GB cukup, nyamannya 16 GB atau lebih (menempel di papan utama, tidak bisa ditambah)</v>
      </c>
      <c r="U51" s="33" t="str">
        <f aca="false">IF($A51="","",IF(N51="Kurang","penyimpanan "&amp;F51&amp;" GB, di bawah batas minimal "&amp;Aturan!$C$39&amp;" GB ("&amp;J51&amp;")",IF(N51="Cukup","penyimpanan "&amp;F51&amp;" GB cukup, nyamannya "&amp;Aturan!$D$39&amp;" GB atau lebih ("&amp;J51&amp;")",IF(N51="Belum ada data","ukuran penyimpanan belum diisi",""))))</f>
        <v/>
      </c>
      <c r="V51" s="33" t="str">
        <f aca="false">IF($A51="","",IF(O51="Kurang","layar "&amp;Varian!$AG14&amp;", di bawah batas minimal ("&amp;IFERROR(INDEX(Aturan!$A$63:$A$66,MATCH(Aturan!$C$40,Aturan!$B$63:$B$66,0)),"peringkat "&amp;Aturan!$C$40)&amp;")",IF(O51="Cukup","layar "&amp;Varian!$AG14&amp;" cukup, nyamannya "&amp;IFERROR(INDEX(Aturan!$A$63:$A$66,MATCH(Aturan!$D$40,Aturan!$B$63:$B$66,0)),"peringkat "&amp;Aturan!$D$40),IF(O51="Belum ada data","jenis layar belum diketahui",""))))</f>
        <v>layar TN, di bawah batas minimal (IPS)</v>
      </c>
      <c r="W51" s="33" t="str">
        <f aca="false">IF($A51="","",IF(P51="Kurang","layar "&amp;H51&amp;" Hz, di bawah batas minimal "&amp;Aturan!$C$41&amp;" Hz",IF(P51="Cukup","layar "&amp;H51&amp;" Hz cukup, nyamannya "&amp;Aturan!$D$41&amp;" Hz atau lebih",IF(P51="Belum ada data","refresh rate belum diketahui",""))))</f>
        <v/>
      </c>
      <c r="X51" s="33" t="str">
        <f aca="false">IF($A51="","",IF(K51="Kurang",R51&amp;"; ","")&amp;IF(L51="Kurang",S51&amp;"; ","")&amp;IF(M51="Kurang",T51&amp;"; ","")&amp;IF(N51="Kurang",U51&amp;"; ","")&amp;IF(O51="Kurang",V51&amp;"; ","")&amp;IF(P51="Kurang",W51&amp;"; ","")&amp;IF(K51="Belum ada data",R51&amp;"; ","")&amp;IF(L51="Belum ada data",S51&amp;"; ","")&amp;IF(M51="Belum ada data",T51&amp;"; ","")&amp;IF(N51="Belum ada data",U51&amp;"; ","")&amp;IF(O51="Belum ada data",V51&amp;"; ","")&amp;IF(P51="Belum ada data",W51&amp;"; ","")&amp;IF(K51="Cukup",R51&amp;"; ","")&amp;IF(L51="Cukup",S51&amp;"; ","")&amp;IF(M51="Cukup",T51&amp;"; ","")&amp;IF(N51="Cukup",U51&amp;"; ","")&amp;IF(O51="Cukup",V51&amp;"; ","")&amp;IF(P51="Cukup",W51&amp;"; ",""))</f>
        <v>layar TN, di bawah batas minimal (IPS); prosesor tingkat 2 dari 5 cukup, nyamannya mulai tingkat 3; grafis tingkat 1 dari 5 cukup, nyamannya mulai tingkat 2; RAM 8 GB cukup, nyamannya 16 GB atau lebih (menempel di papan utama, tidak bisa ditambah); </v>
      </c>
      <c r="Y51" s="33" t="str">
        <f aca="false">IF($A51="","",IF(K51="Nyaman","prosesor, ","")&amp;IF(L51="Nyaman","grafis, ","")&amp;IF(M51="Nyaman","RAM, ","")&amp;IF(N51="Nyaman","penyimpanan, ","")&amp;IF(O51="Nyaman","layar, ","")&amp;IF(P51="Nyaman","refresh rate, ",""))</f>
        <v>penyimpanan, </v>
      </c>
      <c r="Z51" s="33" t="str">
        <f aca="false">IF($A51="","",IF(Q51="Tidak dinilai","Belum ada kriteria yang dinilai untuk kebutuhan ini.",IF(Q51="Cocok","Semua kriteria yang dinilai sudah nyaman: "&amp;LEFT(Y51,LEN(Y51)-2)&amp;".",UPPER(LEFT(X51,1))&amp;MID(X51,2,LEN(X51)-3)&amp;"."&amp;IF(Y51="",""," Sudah nyaman: "&amp;LEFT(Y51,LEN(Y51)-2)&amp;"."))))</f>
        <v>Layar TN, di bawah batas minimal (IPS); prosesor tingkat 2 dari 5 cukup, nyamannya mulai tingkat 3; grafis tingkat 1 dari 5 cukup, nyamannya mulai tingkat 2; RAM 8 GB cukup, nyamannya 16 GB atau lebih (menempel di papan utama, tidak bisa ditambah). Sudah nyaman: penyimpanan.</v>
      </c>
      <c r="AA51" s="33"/>
      <c r="AB51" s="33"/>
      <c r="AC51" s="69"/>
    </row>
    <row r="52" customFormat="false" ht="15" hidden="false" customHeight="true" outlineLevel="0" collapsed="false">
      <c r="A52" s="33" t="str">
        <f aca="false">IF(Varian!$A14="","",Varian!$A14)</f>
        <v>acer-aspire-3-a314-23m-r5-7520u-8-512</v>
      </c>
      <c r="B52" s="33" t="str">
        <f aca="false">IF($A52="","",Aturan!$A$23)</f>
        <v>Pemrograman</v>
      </c>
      <c r="C52" s="69" t="n">
        <f aca="false">IF($A52="","",IFERROR(IF(ISNUMBER(INDEX(CPU!$J$4:$J$64,MATCH(Varian!$J14,CPU!$A$4:$A$64,0))),INDEX(CPU!$J$4:$J$64,MATCH(Varian!$J14,CPU!$A$4:$A$64,0)),""),""))</f>
        <v>2</v>
      </c>
      <c r="D52" s="69" t="n">
        <f aca="false">IF($A52="","",IFERROR(IF(ISNUMBER(INDEX(GPU!$G$4:$G$64,MATCH(Varian!$K14,GPU!$A$4:$A$64,0))),INDEX(GPU!$G$4:$G$64,MATCH(Varian!$K14,GPU!$A$4:$A$64,0)),""),""))</f>
        <v>1</v>
      </c>
      <c r="E52" s="69" t="n">
        <f aca="false">IF($A52="","",IF(ISNUMBER(Varian!$M14),Varian!$M14,""))</f>
        <v>8</v>
      </c>
      <c r="F52" s="69" t="n">
        <f aca="false">IF($A52="","",IF(ISNUMBER(Varian!$V14),Varian!$V14,""))</f>
        <v>512</v>
      </c>
      <c r="G52" s="69" t="n">
        <f aca="false">IF($A52="","",IFERROR(INDEX(Aturan!$B$63:$B$66,MATCH(Varian!$AG14,Aturan!$A$63:$A$66,0)),""))</f>
        <v>1</v>
      </c>
      <c r="H52" s="69" t="n">
        <f aca="false">IF($A52="","",IF(ISNUMBER(Varian!$AI14),Varian!$AI14,""))</f>
        <v>60</v>
      </c>
      <c r="I52" s="33" t="str">
        <f aca="false">IF($A52="","",IF(Varian!$Q14="disolder","menempel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2" s="33" t="str">
        <f aca="false">IF($A52="","",IF(Varian!$Z14="ya","bisa diganti dengan yang lebih besar",IF(Varian!$Z14="tidak","menempel, tidak bisa diganti","belum diketahui apakah bisa diganti")))</f>
        <v>bisa diganti dengan yang lebih besar</v>
      </c>
      <c r="K52" s="70" t="str">
        <f aca="false">IF($A52="","",IF(AND(Aturan!$C$42="",Aturan!$D$42=""),"Tidak dinilai",IF(C52="","Belum ada data",IF(C52&lt;IF(Aturan!$C$42="",0,Aturan!$C$42),"Kurang",IF(C52&gt;=IF(Aturan!$D$42="",Aturan!$C$42,Aturan!$D$42),"Nyaman","Cukup")))))</f>
        <v>Cukup</v>
      </c>
      <c r="L52" s="70" t="str">
        <f aca="false">IF($A52="","",IF(AND(Aturan!$C$43="",Aturan!$D$43=""),"Tidak dinilai",IF(D52="","Belum ada data",IF(D52&lt;IF(Aturan!$C$43="",0,Aturan!$C$43),"Kurang",IF(D52&gt;=IF(Aturan!$D$43="",Aturan!$C$43,Aturan!$D$43),"Nyaman","Cukup")))))</f>
        <v>Tidak dinilai</v>
      </c>
      <c r="M52" s="70" t="str">
        <f aca="false">IF($A52="","",IF(AND(Aturan!$C$44="",Aturan!$D$44=""),"Tidak dinilai",IF(E52="","Belum ada data",IF(E52&lt;IF(Aturan!$C$44="",0,Aturan!$C$44),"Kurang",IF(E52&gt;=IF(Aturan!$D$44="",Aturan!$C$44,Aturan!$D$44),"Nyaman","Cukup")))))</f>
        <v>Cukup</v>
      </c>
      <c r="N52" s="70" t="str">
        <f aca="false">IF($A52="","",IF(AND(Aturan!$C$45="",Aturan!$D$45=""),"Tidak dinilai",IF(F52="","Belum ada data",IF(F52&lt;IF(Aturan!$C$45="",0,Aturan!$C$45),"Kurang",IF(F52&gt;=IF(Aturan!$D$45="",Aturan!$C$45,Aturan!$D$45),"Nyaman","Cukup")))))</f>
        <v>Nyaman</v>
      </c>
      <c r="O52" s="70" t="str">
        <f aca="false">IF($A52="","",IF(AND(Aturan!$C$46="",Aturan!$D$46=""),"Tidak dinilai",IF(G52="","Belum ada data",IF(G52&lt;IF(Aturan!$C$46="",0,Aturan!$C$46),"Kurang",IF(G52&gt;=IF(Aturan!$D$46="",Aturan!$C$46,Aturan!$D$46),"Nyaman","Cukup")))))</f>
        <v>Tidak dinilai</v>
      </c>
      <c r="P52" s="70" t="str">
        <f aca="false">IF($A52="","",IF(AND(Aturan!$C$47="",Aturan!$D$47=""),"Tidak dinilai",IF(H52="","Belum ada data",IF(H52&lt;IF(Aturan!$C$47="",0,Aturan!$C$47),"Kurang",IF(H52&gt;=IF(Aturan!$D$47="",Aturan!$C$47,Aturan!$D$47),"Nyaman","Cukup")))))</f>
        <v>Tidak dinilai</v>
      </c>
      <c r="Q52" s="70" t="str">
        <f aca="false">IF($A52="","",IF(COUNTIF(K52:P52,"Tidak dinilai")=6,"Tidak dinilai",IF(COUNTIF(K52:P52,"Kurang")&gt;0,"Kurang cocok",IF(COUNTIF(K52:P52,"Belum ada data")&gt;0,"Data belum lengkap",IF(COUNTIF(K52:P52,"Cukup")&gt;0,"Bisa, dengan catatan","Cocok")))))</f>
        <v>Bisa, dengan catatan</v>
      </c>
      <c r="R52" s="33" t="str">
        <f aca="false">IF($A52="","",IF(K52="Kurang","prosesor tingkat "&amp;C52&amp;" dari 5, di bawah batas minimal (tingkat "&amp;Aturan!$C$42&amp;")",IF(K52="Cukup","prosesor tingkat "&amp;C52&amp;" dari 5 cukup, nyamannya mulai tingkat "&amp;Aturan!$D$42,IF(K52="Belum ada data","tingkat prosesor belum diisi",""))))</f>
        <v>prosesor tingkat 2 dari 5 cukup, nyamannya mulai tingkat 3</v>
      </c>
      <c r="S52" s="33" t="str">
        <f aca="false">IF($A52="","",IF(L52="Kurang","grafis tingkat "&amp;D52&amp;" dari 5, di bawah batas minimal (tingkat "&amp;Aturan!$C$43&amp;")",IF(L52="Cukup","grafis tingkat "&amp;D52&amp;" dari 5 cukup, nyamannya mulai tingkat "&amp;Aturan!$D$43,IF(L52="Belum ada data","tingkat grafis belum diisi",""))))</f>
        <v/>
      </c>
      <c r="T52" s="33" t="str">
        <f aca="false">IF($A52="","",IF(M52="Kurang","RAM "&amp;E52&amp;" GB, di bawah batas minimal "&amp;Aturan!$C$44&amp;" GB ("&amp;I52&amp;")",IF(M52="Cukup","RAM "&amp;E52&amp;" GB cukup, nyamannya "&amp;Aturan!$D$44&amp;" GB atau lebih ("&amp;I52&amp;")",IF(M52="Belum ada data","ukuran RAM belum diisi",""))))</f>
        <v>RAM 8 GB cukup, nyamannya 16 GB atau lebih (menempel di papan utama, tidak bisa ditambah)</v>
      </c>
      <c r="U52" s="33" t="str">
        <f aca="false">IF($A52="","",IF(N52="Kurang","penyimpanan "&amp;F52&amp;" GB, di bawah batas minimal "&amp;Aturan!$C$45&amp;" GB ("&amp;J52&amp;")",IF(N52="Cukup","penyimpanan "&amp;F52&amp;" GB cukup, nyamannya "&amp;Aturan!$D$45&amp;" GB atau lebih ("&amp;J52&amp;")",IF(N52="Belum ada data","ukuran penyimpanan belum diisi",""))))</f>
        <v/>
      </c>
      <c r="V52" s="33" t="str">
        <f aca="false">IF($A52="","",IF(O52="Kurang","layar "&amp;Varian!$AG14&amp;", di bawah batas minimal ("&amp;IFERROR(INDEX(Aturan!$A$63:$A$66,MATCH(Aturan!$C$46,Aturan!$B$63:$B$66,0)),"peringkat "&amp;Aturan!$C$46)&amp;")",IF(O52="Cukup","layar "&amp;Varian!$AG14&amp;" cukup, nyamannya "&amp;IFERROR(INDEX(Aturan!$A$63:$A$66,MATCH(Aturan!$D$46,Aturan!$B$63:$B$66,0)),"peringkat "&amp;Aturan!$D$46),IF(O52="Belum ada data","jenis layar belum diketahui",""))))</f>
        <v/>
      </c>
      <c r="W52" s="33" t="str">
        <f aca="false">IF($A52="","",IF(P52="Kurang","layar "&amp;H52&amp;" Hz, di bawah batas minimal "&amp;Aturan!$C$47&amp;" Hz",IF(P52="Cukup","layar "&amp;H52&amp;" Hz cukup, nyamannya "&amp;Aturan!$D$47&amp;" Hz atau lebih",IF(P52="Belum ada data","refresh rate belum diketahui",""))))</f>
        <v/>
      </c>
      <c r="X52" s="33" t="str">
        <f aca="false">IF($A52="","",IF(K52="Kurang",R52&amp;"; ","")&amp;IF(L52="Kurang",S52&amp;"; ","")&amp;IF(M52="Kurang",T52&amp;"; ","")&amp;IF(N52="Kurang",U52&amp;"; ","")&amp;IF(O52="Kurang",V52&amp;"; ","")&amp;IF(P52="Kurang",W52&amp;"; ","")&amp;IF(K52="Belum ada data",R52&amp;"; ","")&amp;IF(L52="Belum ada data",S52&amp;"; ","")&amp;IF(M52="Belum ada data",T52&amp;"; ","")&amp;IF(N52="Belum ada data",U52&amp;"; ","")&amp;IF(O52="Belum ada data",V52&amp;"; ","")&amp;IF(P52="Belum ada data",W52&amp;"; ","")&amp;IF(K52="Cukup",R52&amp;"; ","")&amp;IF(L52="Cukup",S52&amp;"; ","")&amp;IF(M52="Cukup",T52&amp;"; ","")&amp;IF(N52="Cukup",U52&amp;"; ","")&amp;IF(O52="Cukup",V52&amp;"; ","")&amp;IF(P52="Cukup",W52&amp;"; ",""))</f>
        <v>prosesor tingkat 2 dari 5 cukup, nyamannya mulai tingkat 3; RAM 8 GB cukup, nyamannya 16 GB atau lebih (menempel di papan utama, tidak bisa ditambah); </v>
      </c>
      <c r="Y52" s="33" t="str">
        <f aca="false">IF($A52="","",IF(K52="Nyaman","prosesor, ","")&amp;IF(L52="Nyaman","grafis, ","")&amp;IF(M52="Nyaman","RAM, ","")&amp;IF(N52="Nyaman","penyimpanan, ","")&amp;IF(O52="Nyaman","layar, ","")&amp;IF(P52="Nyaman","refresh rate, ",""))</f>
        <v>penyimpanan, </v>
      </c>
      <c r="Z52" s="33" t="str">
        <f aca="false">IF($A52="","",IF(Q52="Tidak dinilai","Belum ada kriteria yang dinilai untuk kebutuhan ini.",IF(Q52="Cocok","Semua kriteria yang dinilai sudah nyaman: "&amp;LEFT(Y52,LEN(Y52)-2)&amp;".",UPPER(LEFT(X52,1))&amp;MID(X52,2,LEN(X52)-3)&amp;"."&amp;IF(Y52="",""," Sudah nyaman: "&amp;LEFT(Y52,LEN(Y52)-2)&amp;"."))))</f>
        <v>Prosesor tingkat 2 dari 5 cukup, nyamannya mulai tingkat 3; RAM 8 GB cukup, nyamannya 16 GB atau lebih (menempel di papan utama, tidak bisa ditambah). Sudah nyaman: penyimpanan.</v>
      </c>
      <c r="AA52" s="33"/>
      <c r="AB52" s="33"/>
      <c r="AC52" s="69"/>
    </row>
    <row r="53" customFormat="false" ht="15" hidden="false" customHeight="true" outlineLevel="0" collapsed="false">
      <c r="A53" s="33" t="str">
        <f aca="false">IF(Varian!$A14="","",Varian!$A14)</f>
        <v>acer-aspire-3-a314-23m-r5-7520u-8-512</v>
      </c>
      <c r="B53" s="33" t="str">
        <f aca="false">IF($A53="","",Aturan!$A$24)</f>
        <v>Game ringan</v>
      </c>
      <c r="C53" s="69" t="n">
        <f aca="false">IF($A53="","",IFERROR(IF(ISNUMBER(INDEX(CPU!$J$4:$J$64,MATCH(Varian!$J14,CPU!$A$4:$A$64,0))),INDEX(CPU!$J$4:$J$64,MATCH(Varian!$J14,CPU!$A$4:$A$64,0)),""),""))</f>
        <v>2</v>
      </c>
      <c r="D53" s="69" t="n">
        <f aca="false">IF($A53="","",IFERROR(IF(ISNUMBER(INDEX(GPU!$G$4:$G$64,MATCH(Varian!$K14,GPU!$A$4:$A$64,0))),INDEX(GPU!$G$4:$G$64,MATCH(Varian!$K14,GPU!$A$4:$A$64,0)),""),""))</f>
        <v>1</v>
      </c>
      <c r="E53" s="69" t="n">
        <f aca="false">IF($A53="","",IF(ISNUMBER(Varian!$M14),Varian!$M14,""))</f>
        <v>8</v>
      </c>
      <c r="F53" s="69" t="n">
        <f aca="false">IF($A53="","",IF(ISNUMBER(Varian!$V14),Varian!$V14,""))</f>
        <v>512</v>
      </c>
      <c r="G53" s="69" t="n">
        <f aca="false">IF($A53="","",IFERROR(INDEX(Aturan!$B$63:$B$66,MATCH(Varian!$AG14,Aturan!$A$63:$A$66,0)),""))</f>
        <v>1</v>
      </c>
      <c r="H53" s="69" t="n">
        <f aca="false">IF($A53="","",IF(ISNUMBER(Varian!$AI14),Varian!$AI14,""))</f>
        <v>60</v>
      </c>
      <c r="I53" s="33" t="str">
        <f aca="false">IF($A53="","",IF(Varian!$Q14="disolder","menempel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3" s="33" t="str">
        <f aca="false">IF($A53="","",IF(Varian!$Z14="ya","bisa diganti dengan yang lebih besar",IF(Varian!$Z14="tidak","menempel, tidak bisa diganti","belum diketahui apakah bisa diganti")))</f>
        <v>bisa diganti dengan yang lebih besar</v>
      </c>
      <c r="K53" s="70" t="str">
        <f aca="false">IF($A53="","",IF(AND(Aturan!$C$48="",Aturan!$D$48=""),"Tidak dinilai",IF(C53="","Belum ada data",IF(C53&lt;IF(Aturan!$C$48="",0,Aturan!$C$48),"Kurang",IF(C53&gt;=IF(Aturan!$D$48="",Aturan!$C$48,Aturan!$D$48),"Nyaman","Cukup")))))</f>
        <v>Cukup</v>
      </c>
      <c r="L53" s="70" t="str">
        <f aca="false">IF($A53="","",IF(AND(Aturan!$C$49="",Aturan!$D$49=""),"Tidak dinilai",IF(D53="","Belum ada data",IF(D53&lt;IF(Aturan!$C$49="",0,Aturan!$C$49),"Kurang",IF(D53&gt;=IF(Aturan!$D$49="",Aturan!$C$49,Aturan!$D$49),"Nyaman","Cukup")))))</f>
        <v>Cukup</v>
      </c>
      <c r="M53" s="70" t="str">
        <f aca="false">IF($A53="","",IF(AND(Aturan!$C$50="",Aturan!$D$50=""),"Tidak dinilai",IF(E53="","Belum ada data",IF(E53&lt;IF(Aturan!$C$50="",0,Aturan!$C$50),"Kurang",IF(E53&gt;=IF(Aturan!$D$50="",Aturan!$C$50,Aturan!$D$50),"Nyaman","Cukup")))))</f>
        <v>Nyaman</v>
      </c>
      <c r="N53" s="70" t="str">
        <f aca="false">IF($A53="","",IF(AND(Aturan!$C$51="",Aturan!$D$51=""),"Tidak dinilai",IF(F53="","Belum ada data",IF(F53&lt;IF(Aturan!$C$51="",0,Aturan!$C$51),"Kurang",IF(F53&gt;=IF(Aturan!$D$51="",Aturan!$C$51,Aturan!$D$51),"Nyaman","Cukup")))))</f>
        <v>Nyaman</v>
      </c>
      <c r="O53" s="70" t="str">
        <f aca="false">IF($A53="","",IF(AND(Aturan!$C$52="",Aturan!$D$52=""),"Tidak dinilai",IF(G53="","Belum ada data",IF(G53&lt;IF(Aturan!$C$52="",0,Aturan!$C$52),"Kurang",IF(G53&gt;=IF(Aturan!$D$52="",Aturan!$C$52,Aturan!$D$52),"Nyaman","Cukup")))))</f>
        <v>Tidak dinilai</v>
      </c>
      <c r="P53" s="70" t="str">
        <f aca="false">IF($A53="","",IF(AND(Aturan!$C$53="",Aturan!$D$53=""),"Tidak dinilai",IF(H53="","Belum ada data",IF(H53&lt;IF(Aturan!$C$53="",0,Aturan!$C$53),"Kurang",IF(H53&gt;=IF(Aturan!$D$53="",Aturan!$C$53,Aturan!$D$53),"Nyaman","Cukup")))))</f>
        <v>Tidak dinilai</v>
      </c>
      <c r="Q53" s="70" t="str">
        <f aca="false">IF($A53="","",IF(COUNTIF(K53:P53,"Tidak dinilai")=6,"Tidak dinilai",IF(COUNTIF(K53:P53,"Kurang")&gt;0,"Kurang cocok",IF(COUNTIF(K53:P53,"Belum ada data")&gt;0,"Data belum lengkap",IF(COUNTIF(K53:P53,"Cukup")&gt;0,"Bisa, dengan catatan","Cocok")))))</f>
        <v>Bisa, dengan catatan</v>
      </c>
      <c r="R53" s="33" t="str">
        <f aca="false">IF($A53="","",IF(K53="Kurang","prosesor tingkat "&amp;C53&amp;" dari 5, di bawah batas minimal (tingkat "&amp;Aturan!$C$48&amp;")",IF(K53="Cukup","prosesor tingkat "&amp;C53&amp;" dari 5 cukup, nyamannya mulai tingkat "&amp;Aturan!$D$48,IF(K53="Belum ada data","tingkat prosesor belum diisi",""))))</f>
        <v>prosesor tingkat 2 dari 5 cukup, nyamannya mulai tingkat 3</v>
      </c>
      <c r="S53" s="33" t="str">
        <f aca="false">IF($A53="","",IF(L53="Kurang","grafis tingkat "&amp;D53&amp;" dari 5, di bawah batas minimal (tingkat "&amp;Aturan!$C$49&amp;")",IF(L53="Cukup","grafis tingkat "&amp;D53&amp;" dari 5 cukup, nyamannya mulai tingkat "&amp;Aturan!$D$49,IF(L53="Belum ada data","tingkat grafis belum diisi",""))))</f>
        <v>grafis tingkat 1 dari 5 cukup, nyamannya mulai tingkat 2</v>
      </c>
      <c r="T53" s="33" t="str">
        <f aca="false">IF($A53="","",IF(M53="Kurang","RAM "&amp;E53&amp;" GB, di bawah batas minimal "&amp;Aturan!$C$50&amp;" GB ("&amp;I53&amp;")",IF(M53="Cukup","RAM "&amp;E53&amp;" GB cukup, nyamannya "&amp;Aturan!$D$50&amp;" GB atau lebih ("&amp;I53&amp;")",IF(M53="Belum ada data","ukuran RAM belum diisi",""))))</f>
        <v/>
      </c>
      <c r="U53" s="33" t="str">
        <f aca="false">IF($A53="","",IF(N53="Kurang","penyimpanan "&amp;F53&amp;" GB, di bawah batas minimal "&amp;Aturan!$C$51&amp;" GB ("&amp;J53&amp;")",IF(N53="Cukup","penyimpanan "&amp;F53&amp;" GB cukup, nyamannya "&amp;Aturan!$D$51&amp;" GB atau lebih ("&amp;J53&amp;")",IF(N53="Belum ada data","ukuran penyimpanan belum diisi",""))))</f>
        <v/>
      </c>
      <c r="V53" s="33" t="str">
        <f aca="false">IF($A53="","",IF(O53="Kurang","layar "&amp;Varian!$AG14&amp;", di bawah batas minimal ("&amp;IFERROR(INDEX(Aturan!$A$63:$A$66,MATCH(Aturan!$C$52,Aturan!$B$63:$B$66,0)),"peringkat "&amp;Aturan!$C$52)&amp;")",IF(O53="Cukup","layar "&amp;Varian!$AG14&amp;" cukup, nyamannya "&amp;IFERROR(INDEX(Aturan!$A$63:$A$66,MATCH(Aturan!$D$52,Aturan!$B$63:$B$66,0)),"peringkat "&amp;Aturan!$D$52),IF(O53="Belum ada data","jenis layar belum diketahui",""))))</f>
        <v/>
      </c>
      <c r="W53" s="33" t="str">
        <f aca="false">IF($A53="","",IF(P53="Kurang","layar "&amp;H53&amp;" Hz, di bawah batas minimal "&amp;Aturan!$C$53&amp;" Hz",IF(P53="Cukup","layar "&amp;H53&amp;" Hz cukup, nyamannya "&amp;Aturan!$D$53&amp;" Hz atau lebih",IF(P53="Belum ada data","refresh rate belum diketahui",""))))</f>
        <v/>
      </c>
      <c r="X53" s="33" t="str">
        <f aca="false">IF($A53="","",IF(K53="Kurang",R53&amp;"; ","")&amp;IF(L53="Kurang",S53&amp;"; ","")&amp;IF(M53="Kurang",T53&amp;"; ","")&amp;IF(N53="Kurang",U53&amp;"; ","")&amp;IF(O53="Kurang",V53&amp;"; ","")&amp;IF(P53="Kurang",W53&amp;"; ","")&amp;IF(K53="Belum ada data",R53&amp;"; ","")&amp;IF(L53="Belum ada data",S53&amp;"; ","")&amp;IF(M53="Belum ada data",T53&amp;"; ","")&amp;IF(N53="Belum ada data",U53&amp;"; ","")&amp;IF(O53="Belum ada data",V53&amp;"; ","")&amp;IF(P53="Belum ada data",W53&amp;"; ","")&amp;IF(K53="Cukup",R53&amp;"; ","")&amp;IF(L53="Cukup",S53&amp;"; ","")&amp;IF(M53="Cukup",T53&amp;"; ","")&amp;IF(N53="Cukup",U53&amp;"; ","")&amp;IF(O53="Cukup",V53&amp;"; ","")&amp;IF(P53="Cukup",W53&amp;"; ",""))</f>
        <v>prosesor tingkat 2 dari 5 cukup, nyamannya mulai tingkat 3; grafis tingkat 1 dari 5 cukup, nyamannya mulai tingkat 2; </v>
      </c>
      <c r="Y53" s="33" t="str">
        <f aca="false">IF($A53="","",IF(K53="Nyaman","prosesor, ","")&amp;IF(L53="Nyaman","grafis, ","")&amp;IF(M53="Nyaman","RAM, ","")&amp;IF(N53="Nyaman","penyimpanan, ","")&amp;IF(O53="Nyaman","layar, ","")&amp;IF(P53="Nyaman","refresh rate, ",""))</f>
        <v>RAM, penyimpanan, </v>
      </c>
      <c r="Z53" s="33" t="str">
        <f aca="false">IF($A53="","",IF(Q53="Tidak dinilai","Belum ada kriteria yang dinilai untuk kebutuhan ini.",IF(Q53="Cocok","Semua kriteria yang dinilai sudah nyaman: "&amp;LEFT(Y53,LEN(Y53)-2)&amp;".",UPPER(LEFT(X53,1))&amp;MID(X53,2,LEN(X53)-3)&amp;"."&amp;IF(Y53="",""," Sudah nyaman: "&amp;LEFT(Y53,LEN(Y53)-2)&amp;"."))))</f>
        <v>Prosesor tingkat 2 dari 5 cukup, nyamannya mulai tingkat 3; grafis tingkat 1 dari 5 cukup, nyamannya mulai tingkat 2. Sudah nyaman: RAM, penyimpanan.</v>
      </c>
      <c r="AA53" s="33"/>
      <c r="AB53" s="33"/>
      <c r="AC53" s="69"/>
    </row>
    <row r="54" customFormat="false" ht="15" hidden="false" customHeight="true" outlineLevel="0" collapsed="false">
      <c r="A54" s="33" t="str">
        <f aca="false">IF(Varian!$A14="","",Varian!$A14)</f>
        <v>acer-aspire-3-a314-23m-r5-7520u-8-512</v>
      </c>
      <c r="B54" s="33" t="str">
        <f aca="false">IF($A54="","",Aturan!$A$25)</f>
        <v>Game berat</v>
      </c>
      <c r="C54" s="69" t="n">
        <f aca="false">IF($A54="","",IFERROR(IF(ISNUMBER(INDEX(CPU!$J$4:$J$64,MATCH(Varian!$J14,CPU!$A$4:$A$64,0))),INDEX(CPU!$J$4:$J$64,MATCH(Varian!$J14,CPU!$A$4:$A$64,0)),""),""))</f>
        <v>2</v>
      </c>
      <c r="D54" s="69" t="n">
        <f aca="false">IF($A54="","",IFERROR(IF(ISNUMBER(INDEX(GPU!$G$4:$G$64,MATCH(Varian!$K14,GPU!$A$4:$A$64,0))),INDEX(GPU!$G$4:$G$64,MATCH(Varian!$K14,GPU!$A$4:$A$64,0)),""),""))</f>
        <v>1</v>
      </c>
      <c r="E54" s="69" t="n">
        <f aca="false">IF($A54="","",IF(ISNUMBER(Varian!$M14),Varian!$M14,""))</f>
        <v>8</v>
      </c>
      <c r="F54" s="69" t="n">
        <f aca="false">IF($A54="","",IF(ISNUMBER(Varian!$V14),Varian!$V14,""))</f>
        <v>512</v>
      </c>
      <c r="G54" s="69" t="n">
        <f aca="false">IF($A54="","",IFERROR(INDEX(Aturan!$B$63:$B$66,MATCH(Varian!$AG14,Aturan!$A$63:$A$66,0)),""))</f>
        <v>1</v>
      </c>
      <c r="H54" s="69" t="n">
        <f aca="false">IF($A54="","",IF(ISNUMBER(Varian!$AI14),Varian!$AI14,""))</f>
        <v>60</v>
      </c>
      <c r="I54" s="33" t="str">
        <f aca="false">IF($A54="","",IF(Varian!$Q14="disolder","menempel di papan utama, tidak bisa ditambah",IF(OR(Varian!$Q14="slot",Varian!$Q14="setengah_disolder"),IF(Varian!$Q14="setengah_disolder","sebagian menempel, ","")&amp;IF(ISNUMBER(Varian!$U14),IF(AND(ISNUMBER(Varian!$M14),Varian!$U14&gt;Varian!$M14),"bisa dinaikkan lewat slot sampai "&amp;Varian!$U14&amp;" GB","sudah di batas maksimal "&amp;Varian!$U14&amp;" GB"),"ada slot, batas maksimalnya belum diketahui"),"belum diketahui apakah bisa ditambah")))</f>
        <v>menempel di papan utama, tidak bisa ditambah</v>
      </c>
      <c r="J54" s="33" t="str">
        <f aca="false">IF($A54="","",IF(Varian!$Z14="ya","bisa diganti dengan yang lebih besar",IF(Varian!$Z14="tidak","menempel, tidak bisa diganti","belum diketahui apakah bisa diganti")))</f>
        <v>bisa diganti dengan yang lebih besar</v>
      </c>
      <c r="K54" s="70" t="str">
        <f aca="false">IF($A54="","",IF(AND(Aturan!$C$54="",Aturan!$D$54=""),"Tidak dinilai",IF(C54="","Belum ada data",IF(C54&lt;IF(Aturan!$C$54="",0,Aturan!$C$54),"Kurang",IF(C54&gt;=IF(Aturan!$D$54="",Aturan!$C$54,Aturan!$D$54),"Nyaman","Cukup")))))</f>
        <v>Kurang</v>
      </c>
      <c r="L54" s="70" t="str">
        <f aca="false">IF($A54="","",IF(AND(Aturan!$C$55="",Aturan!$D$55=""),"Tidak dinilai",IF(D54="","Belum ada data",IF(D54&lt;IF(Aturan!$C$55="",0,Aturan!$C$55),"Kurang",IF(D54&gt;=IF(Aturan!$D$55="",Aturan!$C$55,Aturan!$D$55),"Nyaman","Cukup")))))</f>
        <v>Kurang</v>
      </c>
      <c r="M54" s="70" t="str">
        <f aca="false">IF($A54="","",IF(AND(Aturan!$C$56="",Aturan!$D$56=""),"Tidak dinilai",IF(E54="","Belum ada data",IF(E54&lt;IF(Aturan!$C$56="",0,Aturan!$C$56),"Kurang",IF(E54&gt;=IF(Aturan!$D$56="",Aturan!$C$56,Aturan!$D$56),"Nyaman","Cukup")))))</f>
        <v>Cukup</v>
      </c>
      <c r="N54" s="70" t="str">
        <f aca="false">IF($A54="","",IF(AND(Aturan!$C$57="",Aturan!$D$57=""),"Tidak dinilai",IF(F54="","Belum ada data",IF(F54&lt;IF(Aturan!$C$57="",0,Aturan!$C$57),"Kurang",IF(F54&gt;=IF(Aturan!$D$57="",Aturan!$C$57,Aturan!$D$57),"Nyaman","Cukup")))))</f>
        <v>Cukup</v>
      </c>
      <c r="O54" s="70" t="str">
        <f aca="false">IF($A54="","",IF(AND(Aturan!$C$58="",Aturan!$D$58=""),"Tidak dinilai",IF(G54="","Belum ada data",IF(G54&lt;IF(Aturan!$C$58="",0,Aturan!$C$58),"Kurang",IF(G54&gt;=IF(Aturan!$D$58="",Aturan!$C$58,Aturan!$D$58),"Nyaman","Cukup")))))</f>
        <v>Tidak dinilai</v>
      </c>
      <c r="P54" s="70" t="str">
        <f aca="false">IF($A54="","",IF(AND(Aturan!$C$59="",Aturan!$D$59=""),"Tidak dinilai",IF(H54="","Belum ada data",IF(H54&lt;IF(Aturan!$C$59="",0,Aturan!$C$59),"Kurang",IF(H54&gt;=IF(Aturan!$D$59="",Aturan!$C$59,Aturan!$D$59),"Nyaman","Cukup")))))</f>
        <v>Cukup</v>
      </c>
      <c r="Q54" s="70" t="str">
        <f aca="false">IF($A54="","",IF(COUNTIF(K54:P54,"Tidak dinilai")=6,"Tidak dinilai",IF(COUNTIF(K54:P54,"Kurang")&gt;0,"Kurang cocok",IF(COUNTIF(K54:P54,"Belum ada data")&gt;0,"Data belum lengkap",IF(COUNTIF(K54:P54,"Cukup")&gt;0,"Bisa, dengan catatan","Cocok")))))</f>
        <v>Kurang cocok</v>
      </c>
      <c r="R54" s="33" t="str">
        <f aca="false">IF($A54="","",IF(K54="Kurang","prosesor tingkat "&amp;C54&amp;" dari 5, di bawah batas minimal (tingkat "&amp;Aturan!$C$54&amp;")",IF(K54="Cukup","prosesor tingkat "&amp;C54&amp;" dari 5 cukup, nyamannya mulai tingkat "&amp;Aturan!$D$54,IF(K54="Belum ada data","tingkat prosesor belum diisi",""))))</f>
        <v>prosesor tingkat 2 dari 5, di bawah batas minimal (tingkat 3)</v>
      </c>
      <c r="S54" s="33" t="str">
        <f aca="false">IF($A54="","",IF(L54="Kurang","grafis tingkat "&amp;D54&amp;" dari 5, di bawah batas minimal (tingkat "&amp;Aturan!$C$55&amp;")",IF(L54="Cukup","grafis tingkat "&amp;D54&amp;" dari 5 cukup, nyamannya mulai tingkat "&amp;Aturan!$D$55,IF(L54="Belum ada data","tingkat grafis belum diisi",""))))</f>
        <v>grafis tingkat 1 dari 5, di bawah batas minimal (tingkat 3)</v>
      </c>
      <c r="T54" s="33" t="str">
        <f aca="false">IF($A54="","",IF(M54="Kurang","RAM "&amp;E54&amp;" GB, di bawah batas minimal "&amp;Aturan!$C$56&amp;" GB ("&amp;I54&amp;")",IF(M54="Cukup","RAM "&amp;E54&amp;" GB cukup, nyamannya "&amp;Aturan!$D$56&amp;" GB atau lebih ("&amp;I54&amp;")",IF(M54="Belum ada data","ukuran RAM belum diisi",""))))</f>
        <v>RAM 8 GB cukup, nyamannya 16 GB atau lebih (menempel di papan utama, tidak bisa ditambah)</v>
      </c>
      <c r="U54" s="33" t="str">
        <f aca="false">IF($A54="","",IF(N54="Kurang","penyimpanan "&amp;F54&amp;" GB, di bawah batas minimal "&amp;Aturan!$C$57&amp;" GB ("&amp;J54&amp;")",IF(N54="Cukup","penyimpanan "&amp;F54&amp;" GB cukup, nyamannya "&amp;Aturan!$D$57&amp;" GB atau lebih ("&amp;J54&amp;")",IF(N54="Belum ada data","ukuran penyimpanan belum diisi",""))))</f>
        <v>penyimpanan 512 GB cukup, nyamannya 1000 GB atau lebih (bisa diganti dengan yang lebih besar)</v>
      </c>
      <c r="V54" s="33" t="str">
        <f aca="false">IF($A54="","",IF(O54="Kurang","layar "&amp;Varian!$AG14&amp;", di bawah batas minimal ("&amp;IFERROR(INDEX(Aturan!$A$63:$A$66,MATCH(Aturan!$C$58,Aturan!$B$63:$B$66,0)),"peringkat "&amp;Aturan!$C$58)&amp;")",IF(O54="Cukup","layar "&amp;Varian!$AG14&amp;" cukup, nyamannya "&amp;IFERROR(INDEX(Aturan!$A$63:$A$66,MATCH(Aturan!$D$58,Aturan!$B$63:$B$66,0)),"peringkat "&amp;Aturan!$D$58),IF(O54="Belum ada data","jenis layar belum diketahui",""))))</f>
        <v/>
      </c>
      <c r="W54" s="33" t="str">
        <f aca="false">IF($A54="","",IF(P54="Kurang","layar "&amp;H54&amp;" Hz, di bawah batas minimal "&amp;Aturan!$C$59&amp;" Hz",IF(P54="Cukup","layar "&amp;H54&amp;" Hz cukup, nyamannya "&amp;Aturan!$D$59&amp;" Hz atau lebih",IF(P54="Belum ada data","refresh rate belum diketahui",""))))</f>
        <v>layar 60 Hz cukup, nyamannya 120 Hz atau lebih</v>
      </c>
      <c r="X54" s="33" t="str">
        <f aca="false">IF($A54="","",IF(K54="Kurang",R54&amp;"; ","")&amp;IF(L54="Kurang",S54&amp;"; ","")&amp;IF(M54="Kurang",T54&amp;"; ","")&amp;IF(N54="Kurang",U54&amp;"; ","")&amp;IF(O54="Kurang",V54&amp;"; ","")&amp;IF(P54="Kurang",W54&amp;"; ","")&amp;IF(K54="Belum ada data",R54&amp;"; ","")&amp;IF(L54="Belum ada data",S54&amp;"; ","")&amp;IF(M54="Belum ada data",T54&amp;"; ","")&amp;IF(N54="Belum ada data",U54&amp;"; ","")&amp;IF(O54="Belum ada data",V54&amp;"; ","")&amp;IF(P54="Belum ada data",W54&amp;"; ","")&amp;IF(K54="Cukup",R54&amp;"; ","")&amp;IF(L54="Cukup",S54&amp;"; ","")&amp;IF(M54="Cukup",T54&amp;"; ","")&amp;IF(N54="Cukup",U54&amp;"; ","")&amp;IF(O54="Cukup",V54&amp;"; ","")&amp;IF(P54="Cukup",W54&amp;"; ",""))</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 </v>
      </c>
      <c r="Y54" s="33" t="str">
        <f aca="false">IF($A54="","",IF(K54="Nyaman","prosesor, ","")&amp;IF(L54="Nyaman","grafis, ","")&amp;IF(M54="Nyaman","RAM, ","")&amp;IF(N54="Nyaman","penyimpanan, ","")&amp;IF(O54="Nyaman","layar, ","")&amp;IF(P54="Nyaman","refresh rate, ",""))</f>
        <v/>
      </c>
      <c r="Z54" s="33" t="str">
        <f aca="false">IF($A54="","",IF(Q54="Tidak dinilai","Belum ada kriteria yang dinilai untuk kebutuhan ini.",IF(Q54="Cocok","Semua kriteria yang dinilai sudah nyaman: "&amp;LEFT(Y54,LEN(Y54)-2)&amp;".",UPPER(LEFT(X54,1))&amp;MID(X54,2,LEN(X54)-3)&amp;"."&amp;IF(Y54="",""," Sudah nyaman: "&amp;LEFT(Y54,LEN(Y54)-2)&amp;"."))))</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v>
      </c>
      <c r="AA54" s="33"/>
      <c r="AB54" s="33"/>
      <c r="AC54" s="69"/>
    </row>
    <row r="55" customFormat="false" ht="15" hidden="false" customHeight="true" outlineLevel="0" collapsed="false">
      <c r="A55" s="66" t="str">
        <f aca="false">IF(Varian!$A15="","",Varian!$A15)</f>
        <v>acer-aspire-3-a314-23m-r3-7320u-8-512</v>
      </c>
      <c r="B55" s="66" t="str">
        <f aca="false">IF($A55="","",Aturan!$A$21)</f>
        <v>Kuliah dan kantor</v>
      </c>
      <c r="C55" s="67" t="n">
        <f aca="false">IF($A55="","",IFERROR(IF(ISNUMBER(INDEX(CPU!$J$4:$J$64,MATCH(Varian!$J15,CPU!$A$4:$A$64,0))),INDEX(CPU!$J$4:$J$64,MATCH(Varian!$J15,CPU!$A$4:$A$64,0)),""),""))</f>
        <v>2</v>
      </c>
      <c r="D55" s="67" t="n">
        <f aca="false">IF($A55="","",IFERROR(IF(ISNUMBER(INDEX(GPU!$G$4:$G$64,MATCH(Varian!$K15,GPU!$A$4:$A$64,0))),INDEX(GPU!$G$4:$G$64,MATCH(Varian!$K15,GPU!$A$4:$A$64,0)),""),""))</f>
        <v>1</v>
      </c>
      <c r="E55" s="67" t="n">
        <f aca="false">IF($A55="","",IF(ISNUMBER(Varian!$M15),Varian!$M15,""))</f>
        <v>8</v>
      </c>
      <c r="F55" s="67" t="n">
        <f aca="false">IF($A55="","",IF(ISNUMBER(Varian!$V15),Varian!$V15,""))</f>
        <v>512</v>
      </c>
      <c r="G55" s="67" t="n">
        <f aca="false">IF($A55="","",IFERROR(INDEX(Aturan!$B$63:$B$66,MATCH(Varian!$AG15,Aturan!$A$63:$A$66,0)),""))</f>
        <v>1</v>
      </c>
      <c r="H55" s="67" t="n">
        <f aca="false">IF($A55="","",IF(ISNUMBER(Varian!$AI15),Varian!$AI15,""))</f>
        <v>60</v>
      </c>
      <c r="I55" s="66" t="str">
        <f aca="false">IF($A55="","",IF(Varian!$Q15="disolder","menempel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5" s="66" t="str">
        <f aca="false">IF($A55="","",IF(Varian!$Z15="ya","bisa diganti dengan yang lebih besar",IF(Varian!$Z15="tidak","menempel, tidak bisa diganti","belum diketahui apakah bisa diganti")))</f>
        <v>bisa diganti dengan yang lebih besar</v>
      </c>
      <c r="K55" s="68" t="str">
        <f aca="false">IF($A55="","",IF(AND(Aturan!$C$30="",Aturan!$D$30=""),"Tidak dinilai",IF(C55="","Belum ada data",IF(C55&lt;IF(Aturan!$C$30="",0,Aturan!$C$30),"Kurang",IF(C55&gt;=IF(Aturan!$D$30="",Aturan!$C$30,Aturan!$D$30),"Nyaman","Cukup")))))</f>
        <v>Nyaman</v>
      </c>
      <c r="L55" s="68" t="str">
        <f aca="false">IF($A55="","",IF(AND(Aturan!$C$31="",Aturan!$D$31=""),"Tidak dinilai",IF(D55="","Belum ada data",IF(D55&lt;IF(Aturan!$C$31="",0,Aturan!$C$31),"Kurang",IF(D55&gt;=IF(Aturan!$D$31="",Aturan!$C$31,Aturan!$D$31),"Nyaman","Cukup")))))</f>
        <v>Tidak dinilai</v>
      </c>
      <c r="M55" s="68" t="str">
        <f aca="false">IF($A55="","",IF(AND(Aturan!$C$32="",Aturan!$D$32=""),"Tidak dinilai",IF(E55="","Belum ada data",IF(E55&lt;IF(Aturan!$C$32="",0,Aturan!$C$32),"Kurang",IF(E55&gt;=IF(Aturan!$D$32="",Aturan!$C$32,Aturan!$D$32),"Nyaman","Cukup")))))</f>
        <v>Nyaman</v>
      </c>
      <c r="N55" s="68" t="str">
        <f aca="false">IF($A55="","",IF(AND(Aturan!$C$33="",Aturan!$D$33=""),"Tidak dinilai",IF(F55="","Belum ada data",IF(F55&lt;IF(Aturan!$C$33="",0,Aturan!$C$33),"Kurang",IF(F55&gt;=IF(Aturan!$D$33="",Aturan!$C$33,Aturan!$D$33),"Nyaman","Cukup")))))</f>
        <v>Nyaman</v>
      </c>
      <c r="O55" s="68" t="str">
        <f aca="false">IF($A55="","",IF(AND(Aturan!$C$34="",Aturan!$D$34=""),"Tidak dinilai",IF(G55="","Belum ada data",IF(G55&lt;IF(Aturan!$C$34="",0,Aturan!$C$34),"Kurang",IF(G55&gt;=IF(Aturan!$D$34="",Aturan!$C$34,Aturan!$D$34),"Nyaman","Cukup")))))</f>
        <v>Tidak dinilai</v>
      </c>
      <c r="P55" s="68" t="str">
        <f aca="false">IF($A55="","",IF(AND(Aturan!$C$35="",Aturan!$D$35=""),"Tidak dinilai",IF(H55="","Belum ada data",IF(H55&lt;IF(Aturan!$C$35="",0,Aturan!$C$35),"Kurang",IF(H55&gt;=IF(Aturan!$D$35="",Aturan!$C$35,Aturan!$D$35),"Nyaman","Cukup")))))</f>
        <v>Tidak dinilai</v>
      </c>
      <c r="Q55" s="68" t="str">
        <f aca="false">IF($A55="","",IF(COUNTIF(K55:P55,"Tidak dinilai")=6,"Tidak dinilai",IF(COUNTIF(K55:P55,"Kurang")&gt;0,"Kurang cocok",IF(COUNTIF(K55:P55,"Belum ada data")&gt;0,"Data belum lengkap",IF(COUNTIF(K55:P55,"Cukup")&gt;0,"Bisa, dengan catatan","Cocok")))))</f>
        <v>Cocok</v>
      </c>
      <c r="R55" s="66" t="str">
        <f aca="false">IF($A55="","",IF(K55="Kurang","prosesor tingkat "&amp;C55&amp;" dari 5, di bawah batas minimal (tingkat "&amp;Aturan!$C$30&amp;")",IF(K55="Cukup","prosesor tingkat "&amp;C55&amp;" dari 5 cukup, nyamannya mulai tingkat "&amp;Aturan!$D$30,IF(K55="Belum ada data","tingkat prosesor belum diisi",""))))</f>
        <v/>
      </c>
      <c r="S55" s="66" t="str">
        <f aca="false">IF($A55="","",IF(L55="Kurang","grafis tingkat "&amp;D55&amp;" dari 5, di bawah batas minimal (tingkat "&amp;Aturan!$C$31&amp;")",IF(L55="Cukup","grafis tingkat "&amp;D55&amp;" dari 5 cukup, nyamannya mulai tingkat "&amp;Aturan!$D$31,IF(L55="Belum ada data","tingkat grafis belum diisi",""))))</f>
        <v/>
      </c>
      <c r="T55" s="66" t="str">
        <f aca="false">IF($A55="","",IF(M55="Kurang","RAM "&amp;E55&amp;" GB, di bawah batas minimal "&amp;Aturan!$C$32&amp;" GB ("&amp;I55&amp;")",IF(M55="Cukup","RAM "&amp;E55&amp;" GB cukup, nyamannya "&amp;Aturan!$D$32&amp;" GB atau lebih ("&amp;I55&amp;")",IF(M55="Belum ada data","ukuran RAM belum diisi",""))))</f>
        <v/>
      </c>
      <c r="U55" s="66" t="str">
        <f aca="false">IF($A55="","",IF(N55="Kurang","penyimpanan "&amp;F55&amp;" GB, di bawah batas minimal "&amp;Aturan!$C$33&amp;" GB ("&amp;J55&amp;")",IF(N55="Cukup","penyimpanan "&amp;F55&amp;" GB cukup, nyamannya "&amp;Aturan!$D$33&amp;" GB atau lebih ("&amp;J55&amp;")",IF(N55="Belum ada data","ukuran penyimpanan belum diisi",""))))</f>
        <v/>
      </c>
      <c r="V55" s="66" t="str">
        <f aca="false">IF($A55="","",IF(O55="Kurang","layar "&amp;Varian!$AG15&amp;", di bawah batas minimal ("&amp;IFERROR(INDEX(Aturan!$A$63:$A$66,MATCH(Aturan!$C$34,Aturan!$B$63:$B$66,0)),"peringkat "&amp;Aturan!$C$34)&amp;")",IF(O55="Cukup","layar "&amp;Varian!$AG15&amp;" cukup, nyamannya "&amp;IFERROR(INDEX(Aturan!$A$63:$A$66,MATCH(Aturan!$D$34,Aturan!$B$63:$B$66,0)),"peringkat "&amp;Aturan!$D$34),IF(O55="Belum ada data","jenis layar belum diketahui",""))))</f>
        <v/>
      </c>
      <c r="W55" s="66" t="str">
        <f aca="false">IF($A55="","",IF(P55="Kurang","layar "&amp;H55&amp;" Hz, di bawah batas minimal "&amp;Aturan!$C$35&amp;" Hz",IF(P55="Cukup","layar "&amp;H55&amp;" Hz cukup, nyamannya "&amp;Aturan!$D$35&amp;" Hz atau lebih",IF(P55="Belum ada data","refresh rate belum diketahui",""))))</f>
        <v/>
      </c>
      <c r="X55" s="66" t="str">
        <f aca="false">IF($A55="","",IF(K55="Kurang",R55&amp;"; ","")&amp;IF(L55="Kurang",S55&amp;"; ","")&amp;IF(M55="Kurang",T55&amp;"; ","")&amp;IF(N55="Kurang",U55&amp;"; ","")&amp;IF(O55="Kurang",V55&amp;"; ","")&amp;IF(P55="Kurang",W55&amp;"; ","")&amp;IF(K55="Belum ada data",R55&amp;"; ","")&amp;IF(L55="Belum ada data",S55&amp;"; ","")&amp;IF(M55="Belum ada data",T55&amp;"; ","")&amp;IF(N55="Belum ada data",U55&amp;"; ","")&amp;IF(O55="Belum ada data",V55&amp;"; ","")&amp;IF(P55="Belum ada data",W55&amp;"; ","")&amp;IF(K55="Cukup",R55&amp;"; ","")&amp;IF(L55="Cukup",S55&amp;"; ","")&amp;IF(M55="Cukup",T55&amp;"; ","")&amp;IF(N55="Cukup",U55&amp;"; ","")&amp;IF(O55="Cukup",V55&amp;"; ","")&amp;IF(P55="Cukup",W55&amp;"; ",""))</f>
        <v/>
      </c>
      <c r="Y55" s="66" t="str">
        <f aca="false">IF($A55="","",IF(K55="Nyaman","prosesor, ","")&amp;IF(L55="Nyaman","grafis, ","")&amp;IF(M55="Nyaman","RAM, ","")&amp;IF(N55="Nyaman","penyimpanan, ","")&amp;IF(O55="Nyaman","layar, ","")&amp;IF(P55="Nyaman","refresh rate, ",""))</f>
        <v>prosesor, RAM, penyimpanan, </v>
      </c>
      <c r="Z55" s="66" t="str">
        <f aca="false">IF($A55="","",IF(Q55="Tidak dinilai","Belum ada kriteria yang dinilai untuk kebutuhan ini.",IF(Q55="Cocok","Semua kriteria yang dinilai sudah nyaman: "&amp;LEFT(Y55,LEN(Y55)-2)&amp;".",UPPER(LEFT(X55,1))&amp;MID(X55,2,LEN(X55)-3)&amp;"."&amp;IF(Y55="",""," Sudah nyaman: "&amp;LEFT(Y55,LEN(Y55)-2)&amp;"."))))</f>
        <v>Semua kriteria yang dinilai sudah nyaman: prosesor, RAM, penyimpanan.</v>
      </c>
      <c r="AA55" s="71" t="str">
        <f aca="false">IF($A55="","",IF(Varian!$AR15="Windows 10","• "&amp;Aturan!$E$71&amp;CHAR(10),"")&amp;IF(Varian!$BB15="tidak","• "&amp;Aturan!$E$72&amp;CHAR(10),"")&amp;IF(OR(Varian!$AD15="belum terverifikasi",Varian!$AD15="tidak diketahui"),"• "&amp;Aturan!$E$73&amp;CHAR(10),"")&amp;IF(Varian!$AH15="1366x768","• "&amp;Aturan!$E$74&amp;CHAR(10),"")&amp;IF(Varian!$AG15="TN","• "&amp;Aturan!$E$75&amp;CHAR(10),"")&amp;IF(AND(Varian!$Q15="disolder",ISNUMBER(Varian!$M15),Varian!$M15&lt;=8),"• "&amp;Aturan!$E$76&amp;CHAR(10),""))</f>
        <v>• Info RAM dan penyimpanan (bisa diganti atau tidak) belum terverifikasi. Periksa lagi sebelum membeli.
• Layar beresolusi rendah (1366x768): ruang kerja sempit dan tulisan kurang tajam.
• Panel TN: warna cenderung pucat dan sudut pandang sempit.
• RAM menempel di papan utama dan tidak bisa ditambah, padahal ukurannya kecil (8 GB atau kurang).
</v>
      </c>
      <c r="AB55" s="71" t="str">
        <f aca="false">IF($A55="","",IF(AA55="","",LEFT(AA55,LEN(AA55)-1)))</f>
        <v>• Info RAM dan penyimpanan (bisa diganti atau tidak) belum terverifikasi. Periksa lagi sebelum membeli.
• Layar beresolusi rendah (1366x768): ruang kerja sempit dan tulisan kurang tajam.
• Panel TN: warna cenderung pucat dan sudut pandang sempit.
• RAM menempel di papan utama dan tidak bisa ditambah, padahal ukurannya kecil (8 GB atau kurang).</v>
      </c>
      <c r="AC55" s="67" t="n">
        <f aca="false">IF($A55="","",IF(AA55="",0,LEN(AA55)-LEN(SUBSTITUTE(AA55,CHAR(10),""))))</f>
        <v>4</v>
      </c>
    </row>
    <row r="56" customFormat="false" ht="15" hidden="false" customHeight="true" outlineLevel="0" collapsed="false">
      <c r="A56" s="33" t="str">
        <f aca="false">IF(Varian!$A15="","",Varian!$A15)</f>
        <v>acer-aspire-3-a314-23m-r3-7320u-8-512</v>
      </c>
      <c r="B56" s="33" t="str">
        <f aca="false">IF($A56="","",Aturan!$A$22)</f>
        <v>Desain grafis</v>
      </c>
      <c r="C56" s="69" t="n">
        <f aca="false">IF($A56="","",IFERROR(IF(ISNUMBER(INDEX(CPU!$J$4:$J$64,MATCH(Varian!$J15,CPU!$A$4:$A$64,0))),INDEX(CPU!$J$4:$J$64,MATCH(Varian!$J15,CPU!$A$4:$A$64,0)),""),""))</f>
        <v>2</v>
      </c>
      <c r="D56" s="69" t="n">
        <f aca="false">IF($A56="","",IFERROR(IF(ISNUMBER(INDEX(GPU!$G$4:$G$64,MATCH(Varian!$K15,GPU!$A$4:$A$64,0))),INDEX(GPU!$G$4:$G$64,MATCH(Varian!$K15,GPU!$A$4:$A$64,0)),""),""))</f>
        <v>1</v>
      </c>
      <c r="E56" s="69" t="n">
        <f aca="false">IF($A56="","",IF(ISNUMBER(Varian!$M15),Varian!$M15,""))</f>
        <v>8</v>
      </c>
      <c r="F56" s="69" t="n">
        <f aca="false">IF($A56="","",IF(ISNUMBER(Varian!$V15),Varian!$V15,""))</f>
        <v>512</v>
      </c>
      <c r="G56" s="69" t="n">
        <f aca="false">IF($A56="","",IFERROR(INDEX(Aturan!$B$63:$B$66,MATCH(Varian!$AG15,Aturan!$A$63:$A$66,0)),""))</f>
        <v>1</v>
      </c>
      <c r="H56" s="69" t="n">
        <f aca="false">IF($A56="","",IF(ISNUMBER(Varian!$AI15),Varian!$AI15,""))</f>
        <v>60</v>
      </c>
      <c r="I56" s="33" t="str">
        <f aca="false">IF($A56="","",IF(Varian!$Q15="disolder","menempel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6" s="33" t="str">
        <f aca="false">IF($A56="","",IF(Varian!$Z15="ya","bisa diganti dengan yang lebih besar",IF(Varian!$Z15="tidak","menempel, tidak bisa diganti","belum diketahui apakah bisa diganti")))</f>
        <v>bisa diganti dengan yang lebih besar</v>
      </c>
      <c r="K56" s="70" t="str">
        <f aca="false">IF($A56="","",IF(AND(Aturan!$C$36="",Aturan!$D$36=""),"Tidak dinilai",IF(C56="","Belum ada data",IF(C56&lt;IF(Aturan!$C$36="",0,Aturan!$C$36),"Kurang",IF(C56&gt;=IF(Aturan!$D$36="",Aturan!$C$36,Aturan!$D$36),"Nyaman","Cukup")))))</f>
        <v>Cukup</v>
      </c>
      <c r="L56" s="70" t="str">
        <f aca="false">IF($A56="","",IF(AND(Aturan!$C$37="",Aturan!$D$37=""),"Tidak dinilai",IF(D56="","Belum ada data",IF(D56&lt;IF(Aturan!$C$37="",0,Aturan!$C$37),"Kurang",IF(D56&gt;=IF(Aturan!$D$37="",Aturan!$C$37,Aturan!$D$37),"Nyaman","Cukup")))))</f>
        <v>Cukup</v>
      </c>
      <c r="M56" s="70" t="str">
        <f aca="false">IF($A56="","",IF(AND(Aturan!$C$38="",Aturan!$D$38=""),"Tidak dinilai",IF(E56="","Belum ada data",IF(E56&lt;IF(Aturan!$C$38="",0,Aturan!$C$38),"Kurang",IF(E56&gt;=IF(Aturan!$D$38="",Aturan!$C$38,Aturan!$D$38),"Nyaman","Cukup")))))</f>
        <v>Cukup</v>
      </c>
      <c r="N56" s="70" t="str">
        <f aca="false">IF($A56="","",IF(AND(Aturan!$C$39="",Aturan!$D$39=""),"Tidak dinilai",IF(F56="","Belum ada data",IF(F56&lt;IF(Aturan!$C$39="",0,Aturan!$C$39),"Kurang",IF(F56&gt;=IF(Aturan!$D$39="",Aturan!$C$39,Aturan!$D$39),"Nyaman","Cukup")))))</f>
        <v>Nyaman</v>
      </c>
      <c r="O56" s="70" t="str">
        <f aca="false">IF($A56="","",IF(AND(Aturan!$C$40="",Aturan!$D$40=""),"Tidak dinilai",IF(G56="","Belum ada data",IF(G56&lt;IF(Aturan!$C$40="",0,Aturan!$C$40),"Kurang",IF(G56&gt;=IF(Aturan!$D$40="",Aturan!$C$40,Aturan!$D$40),"Nyaman","Cukup")))))</f>
        <v>Kurang</v>
      </c>
      <c r="P56" s="70" t="str">
        <f aca="false">IF($A56="","",IF(AND(Aturan!$C$41="",Aturan!$D$41=""),"Tidak dinilai",IF(H56="","Belum ada data",IF(H56&lt;IF(Aturan!$C$41="",0,Aturan!$C$41),"Kurang",IF(H56&gt;=IF(Aturan!$D$41="",Aturan!$C$41,Aturan!$D$41),"Nyaman","Cukup")))))</f>
        <v>Tidak dinilai</v>
      </c>
      <c r="Q56" s="70" t="str">
        <f aca="false">IF($A56="","",IF(COUNTIF(K56:P56,"Tidak dinilai")=6,"Tidak dinilai",IF(COUNTIF(K56:P56,"Kurang")&gt;0,"Kurang cocok",IF(COUNTIF(K56:P56,"Belum ada data")&gt;0,"Data belum lengkap",IF(COUNTIF(K56:P56,"Cukup")&gt;0,"Bisa, dengan catatan","Cocok")))))</f>
        <v>Kurang cocok</v>
      </c>
      <c r="R56" s="33" t="str">
        <f aca="false">IF($A56="","",IF(K56="Kurang","prosesor tingkat "&amp;C56&amp;" dari 5, di bawah batas minimal (tingkat "&amp;Aturan!$C$36&amp;")",IF(K56="Cukup","prosesor tingkat "&amp;C56&amp;" dari 5 cukup, nyamannya mulai tingkat "&amp;Aturan!$D$36,IF(K56="Belum ada data","tingkat prosesor belum diisi",""))))</f>
        <v>prosesor tingkat 2 dari 5 cukup, nyamannya mulai tingkat 3</v>
      </c>
      <c r="S56" s="33" t="str">
        <f aca="false">IF($A56="","",IF(L56="Kurang","grafis tingkat "&amp;D56&amp;" dari 5, di bawah batas minimal (tingkat "&amp;Aturan!$C$37&amp;")",IF(L56="Cukup","grafis tingkat "&amp;D56&amp;" dari 5 cukup, nyamannya mulai tingkat "&amp;Aturan!$D$37,IF(L56="Belum ada data","tingkat grafis belum diisi",""))))</f>
        <v>grafis tingkat 1 dari 5 cukup, nyamannya mulai tingkat 2</v>
      </c>
      <c r="T56" s="33" t="str">
        <f aca="false">IF($A56="","",IF(M56="Kurang","RAM "&amp;E56&amp;" GB, di bawah batas minimal "&amp;Aturan!$C$38&amp;" GB ("&amp;I56&amp;")",IF(M56="Cukup","RAM "&amp;E56&amp;" GB cukup, nyamannya "&amp;Aturan!$D$38&amp;" GB atau lebih ("&amp;I56&amp;")",IF(M56="Belum ada data","ukuran RAM belum diisi",""))))</f>
        <v>RAM 8 GB cukup, nyamannya 16 GB atau lebih (menempel di papan utama, tidak bisa ditambah)</v>
      </c>
      <c r="U56" s="33" t="str">
        <f aca="false">IF($A56="","",IF(N56="Kurang","penyimpanan "&amp;F56&amp;" GB, di bawah batas minimal "&amp;Aturan!$C$39&amp;" GB ("&amp;J56&amp;")",IF(N56="Cukup","penyimpanan "&amp;F56&amp;" GB cukup, nyamannya "&amp;Aturan!$D$39&amp;" GB atau lebih ("&amp;J56&amp;")",IF(N56="Belum ada data","ukuran penyimpanan belum diisi",""))))</f>
        <v/>
      </c>
      <c r="V56" s="33" t="str">
        <f aca="false">IF($A56="","",IF(O56="Kurang","layar "&amp;Varian!$AG15&amp;", di bawah batas minimal ("&amp;IFERROR(INDEX(Aturan!$A$63:$A$66,MATCH(Aturan!$C$40,Aturan!$B$63:$B$66,0)),"peringkat "&amp;Aturan!$C$40)&amp;")",IF(O56="Cukup","layar "&amp;Varian!$AG15&amp;" cukup, nyamannya "&amp;IFERROR(INDEX(Aturan!$A$63:$A$66,MATCH(Aturan!$D$40,Aturan!$B$63:$B$66,0)),"peringkat "&amp;Aturan!$D$40),IF(O56="Belum ada data","jenis layar belum diketahui",""))))</f>
        <v>layar TN, di bawah batas minimal (IPS)</v>
      </c>
      <c r="W56" s="33" t="str">
        <f aca="false">IF($A56="","",IF(P56="Kurang","layar "&amp;H56&amp;" Hz, di bawah batas minimal "&amp;Aturan!$C$41&amp;" Hz",IF(P56="Cukup","layar "&amp;H56&amp;" Hz cukup, nyamannya "&amp;Aturan!$D$41&amp;" Hz atau lebih",IF(P56="Belum ada data","refresh rate belum diketahui",""))))</f>
        <v/>
      </c>
      <c r="X56" s="33" t="str">
        <f aca="false">IF($A56="","",IF(K56="Kurang",R56&amp;"; ","")&amp;IF(L56="Kurang",S56&amp;"; ","")&amp;IF(M56="Kurang",T56&amp;"; ","")&amp;IF(N56="Kurang",U56&amp;"; ","")&amp;IF(O56="Kurang",V56&amp;"; ","")&amp;IF(P56="Kurang",W56&amp;"; ","")&amp;IF(K56="Belum ada data",R56&amp;"; ","")&amp;IF(L56="Belum ada data",S56&amp;"; ","")&amp;IF(M56="Belum ada data",T56&amp;"; ","")&amp;IF(N56="Belum ada data",U56&amp;"; ","")&amp;IF(O56="Belum ada data",V56&amp;"; ","")&amp;IF(P56="Belum ada data",W56&amp;"; ","")&amp;IF(K56="Cukup",R56&amp;"; ","")&amp;IF(L56="Cukup",S56&amp;"; ","")&amp;IF(M56="Cukup",T56&amp;"; ","")&amp;IF(N56="Cukup",U56&amp;"; ","")&amp;IF(O56="Cukup",V56&amp;"; ","")&amp;IF(P56="Cukup",W56&amp;"; ",""))</f>
        <v>layar TN, di bawah batas minimal (IPS); prosesor tingkat 2 dari 5 cukup, nyamannya mulai tingkat 3; grafis tingkat 1 dari 5 cukup, nyamannya mulai tingkat 2; RAM 8 GB cukup, nyamannya 16 GB atau lebih (menempel di papan utama, tidak bisa ditambah); </v>
      </c>
      <c r="Y56" s="33" t="str">
        <f aca="false">IF($A56="","",IF(K56="Nyaman","prosesor, ","")&amp;IF(L56="Nyaman","grafis, ","")&amp;IF(M56="Nyaman","RAM, ","")&amp;IF(N56="Nyaman","penyimpanan, ","")&amp;IF(O56="Nyaman","layar, ","")&amp;IF(P56="Nyaman","refresh rate, ",""))</f>
        <v>penyimpanan, </v>
      </c>
      <c r="Z56" s="33" t="str">
        <f aca="false">IF($A56="","",IF(Q56="Tidak dinilai","Belum ada kriteria yang dinilai untuk kebutuhan ini.",IF(Q56="Cocok","Semua kriteria yang dinilai sudah nyaman: "&amp;LEFT(Y56,LEN(Y56)-2)&amp;".",UPPER(LEFT(X56,1))&amp;MID(X56,2,LEN(X56)-3)&amp;"."&amp;IF(Y56="",""," Sudah nyaman: "&amp;LEFT(Y56,LEN(Y56)-2)&amp;"."))))</f>
        <v>Layar TN, di bawah batas minimal (IPS); prosesor tingkat 2 dari 5 cukup, nyamannya mulai tingkat 3; grafis tingkat 1 dari 5 cukup, nyamannya mulai tingkat 2; RAM 8 GB cukup, nyamannya 16 GB atau lebih (menempel di papan utama, tidak bisa ditambah). Sudah nyaman: penyimpanan.</v>
      </c>
      <c r="AA56" s="33"/>
      <c r="AB56" s="33"/>
      <c r="AC56" s="69"/>
    </row>
    <row r="57" customFormat="false" ht="15" hidden="false" customHeight="true" outlineLevel="0" collapsed="false">
      <c r="A57" s="33" t="str">
        <f aca="false">IF(Varian!$A15="","",Varian!$A15)</f>
        <v>acer-aspire-3-a314-23m-r3-7320u-8-512</v>
      </c>
      <c r="B57" s="33" t="str">
        <f aca="false">IF($A57="","",Aturan!$A$23)</f>
        <v>Pemrograman</v>
      </c>
      <c r="C57" s="69" t="n">
        <f aca="false">IF($A57="","",IFERROR(IF(ISNUMBER(INDEX(CPU!$J$4:$J$64,MATCH(Varian!$J15,CPU!$A$4:$A$64,0))),INDEX(CPU!$J$4:$J$64,MATCH(Varian!$J15,CPU!$A$4:$A$64,0)),""),""))</f>
        <v>2</v>
      </c>
      <c r="D57" s="69" t="n">
        <f aca="false">IF($A57="","",IFERROR(IF(ISNUMBER(INDEX(GPU!$G$4:$G$64,MATCH(Varian!$K15,GPU!$A$4:$A$64,0))),INDEX(GPU!$G$4:$G$64,MATCH(Varian!$K15,GPU!$A$4:$A$64,0)),""),""))</f>
        <v>1</v>
      </c>
      <c r="E57" s="69" t="n">
        <f aca="false">IF($A57="","",IF(ISNUMBER(Varian!$M15),Varian!$M15,""))</f>
        <v>8</v>
      </c>
      <c r="F57" s="69" t="n">
        <f aca="false">IF($A57="","",IF(ISNUMBER(Varian!$V15),Varian!$V15,""))</f>
        <v>512</v>
      </c>
      <c r="G57" s="69" t="n">
        <f aca="false">IF($A57="","",IFERROR(INDEX(Aturan!$B$63:$B$66,MATCH(Varian!$AG15,Aturan!$A$63:$A$66,0)),""))</f>
        <v>1</v>
      </c>
      <c r="H57" s="69" t="n">
        <f aca="false">IF($A57="","",IF(ISNUMBER(Varian!$AI15),Varian!$AI15,""))</f>
        <v>60</v>
      </c>
      <c r="I57" s="33" t="str">
        <f aca="false">IF($A57="","",IF(Varian!$Q15="disolder","menempel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7" s="33" t="str">
        <f aca="false">IF($A57="","",IF(Varian!$Z15="ya","bisa diganti dengan yang lebih besar",IF(Varian!$Z15="tidak","menempel, tidak bisa diganti","belum diketahui apakah bisa diganti")))</f>
        <v>bisa diganti dengan yang lebih besar</v>
      </c>
      <c r="K57" s="70" t="str">
        <f aca="false">IF($A57="","",IF(AND(Aturan!$C$42="",Aturan!$D$42=""),"Tidak dinilai",IF(C57="","Belum ada data",IF(C57&lt;IF(Aturan!$C$42="",0,Aturan!$C$42),"Kurang",IF(C57&gt;=IF(Aturan!$D$42="",Aturan!$C$42,Aturan!$D$42),"Nyaman","Cukup")))))</f>
        <v>Cukup</v>
      </c>
      <c r="L57" s="70" t="str">
        <f aca="false">IF($A57="","",IF(AND(Aturan!$C$43="",Aturan!$D$43=""),"Tidak dinilai",IF(D57="","Belum ada data",IF(D57&lt;IF(Aturan!$C$43="",0,Aturan!$C$43),"Kurang",IF(D57&gt;=IF(Aturan!$D$43="",Aturan!$C$43,Aturan!$D$43),"Nyaman","Cukup")))))</f>
        <v>Tidak dinilai</v>
      </c>
      <c r="M57" s="70" t="str">
        <f aca="false">IF($A57="","",IF(AND(Aturan!$C$44="",Aturan!$D$44=""),"Tidak dinilai",IF(E57="","Belum ada data",IF(E57&lt;IF(Aturan!$C$44="",0,Aturan!$C$44),"Kurang",IF(E57&gt;=IF(Aturan!$D$44="",Aturan!$C$44,Aturan!$D$44),"Nyaman","Cukup")))))</f>
        <v>Cukup</v>
      </c>
      <c r="N57" s="70" t="str">
        <f aca="false">IF($A57="","",IF(AND(Aturan!$C$45="",Aturan!$D$45=""),"Tidak dinilai",IF(F57="","Belum ada data",IF(F57&lt;IF(Aturan!$C$45="",0,Aturan!$C$45),"Kurang",IF(F57&gt;=IF(Aturan!$D$45="",Aturan!$C$45,Aturan!$D$45),"Nyaman","Cukup")))))</f>
        <v>Nyaman</v>
      </c>
      <c r="O57" s="70" t="str">
        <f aca="false">IF($A57="","",IF(AND(Aturan!$C$46="",Aturan!$D$46=""),"Tidak dinilai",IF(G57="","Belum ada data",IF(G57&lt;IF(Aturan!$C$46="",0,Aturan!$C$46),"Kurang",IF(G57&gt;=IF(Aturan!$D$46="",Aturan!$C$46,Aturan!$D$46),"Nyaman","Cukup")))))</f>
        <v>Tidak dinilai</v>
      </c>
      <c r="P57" s="70" t="str">
        <f aca="false">IF($A57="","",IF(AND(Aturan!$C$47="",Aturan!$D$47=""),"Tidak dinilai",IF(H57="","Belum ada data",IF(H57&lt;IF(Aturan!$C$47="",0,Aturan!$C$47),"Kurang",IF(H57&gt;=IF(Aturan!$D$47="",Aturan!$C$47,Aturan!$D$47),"Nyaman","Cukup")))))</f>
        <v>Tidak dinilai</v>
      </c>
      <c r="Q57" s="70" t="str">
        <f aca="false">IF($A57="","",IF(COUNTIF(K57:P57,"Tidak dinilai")=6,"Tidak dinilai",IF(COUNTIF(K57:P57,"Kurang")&gt;0,"Kurang cocok",IF(COUNTIF(K57:P57,"Belum ada data")&gt;0,"Data belum lengkap",IF(COUNTIF(K57:P57,"Cukup")&gt;0,"Bisa, dengan catatan","Cocok")))))</f>
        <v>Bisa, dengan catatan</v>
      </c>
      <c r="R57" s="33" t="str">
        <f aca="false">IF($A57="","",IF(K57="Kurang","prosesor tingkat "&amp;C57&amp;" dari 5, di bawah batas minimal (tingkat "&amp;Aturan!$C$42&amp;")",IF(K57="Cukup","prosesor tingkat "&amp;C57&amp;" dari 5 cukup, nyamannya mulai tingkat "&amp;Aturan!$D$42,IF(K57="Belum ada data","tingkat prosesor belum diisi",""))))</f>
        <v>prosesor tingkat 2 dari 5 cukup, nyamannya mulai tingkat 3</v>
      </c>
      <c r="S57" s="33" t="str">
        <f aca="false">IF($A57="","",IF(L57="Kurang","grafis tingkat "&amp;D57&amp;" dari 5, di bawah batas minimal (tingkat "&amp;Aturan!$C$43&amp;")",IF(L57="Cukup","grafis tingkat "&amp;D57&amp;" dari 5 cukup, nyamannya mulai tingkat "&amp;Aturan!$D$43,IF(L57="Belum ada data","tingkat grafis belum diisi",""))))</f>
        <v/>
      </c>
      <c r="T57" s="33" t="str">
        <f aca="false">IF($A57="","",IF(M57="Kurang","RAM "&amp;E57&amp;" GB, di bawah batas minimal "&amp;Aturan!$C$44&amp;" GB ("&amp;I57&amp;")",IF(M57="Cukup","RAM "&amp;E57&amp;" GB cukup, nyamannya "&amp;Aturan!$D$44&amp;" GB atau lebih ("&amp;I57&amp;")",IF(M57="Belum ada data","ukuran RAM belum diisi",""))))</f>
        <v>RAM 8 GB cukup, nyamannya 16 GB atau lebih (menempel di papan utama, tidak bisa ditambah)</v>
      </c>
      <c r="U57" s="33" t="str">
        <f aca="false">IF($A57="","",IF(N57="Kurang","penyimpanan "&amp;F57&amp;" GB, di bawah batas minimal "&amp;Aturan!$C$45&amp;" GB ("&amp;J57&amp;")",IF(N57="Cukup","penyimpanan "&amp;F57&amp;" GB cukup, nyamannya "&amp;Aturan!$D$45&amp;" GB atau lebih ("&amp;J57&amp;")",IF(N57="Belum ada data","ukuran penyimpanan belum diisi",""))))</f>
        <v/>
      </c>
      <c r="V57" s="33" t="str">
        <f aca="false">IF($A57="","",IF(O57="Kurang","layar "&amp;Varian!$AG15&amp;", di bawah batas minimal ("&amp;IFERROR(INDEX(Aturan!$A$63:$A$66,MATCH(Aturan!$C$46,Aturan!$B$63:$B$66,0)),"peringkat "&amp;Aturan!$C$46)&amp;")",IF(O57="Cukup","layar "&amp;Varian!$AG15&amp;" cukup, nyamannya "&amp;IFERROR(INDEX(Aturan!$A$63:$A$66,MATCH(Aturan!$D$46,Aturan!$B$63:$B$66,0)),"peringkat "&amp;Aturan!$D$46),IF(O57="Belum ada data","jenis layar belum diketahui",""))))</f>
        <v/>
      </c>
      <c r="W57" s="33" t="str">
        <f aca="false">IF($A57="","",IF(P57="Kurang","layar "&amp;H57&amp;" Hz, di bawah batas minimal "&amp;Aturan!$C$47&amp;" Hz",IF(P57="Cukup","layar "&amp;H57&amp;" Hz cukup, nyamannya "&amp;Aturan!$D$47&amp;" Hz atau lebih",IF(P57="Belum ada data","refresh rate belum diketahui",""))))</f>
        <v/>
      </c>
      <c r="X57" s="33" t="str">
        <f aca="false">IF($A57="","",IF(K57="Kurang",R57&amp;"; ","")&amp;IF(L57="Kurang",S57&amp;"; ","")&amp;IF(M57="Kurang",T57&amp;"; ","")&amp;IF(N57="Kurang",U57&amp;"; ","")&amp;IF(O57="Kurang",V57&amp;"; ","")&amp;IF(P57="Kurang",W57&amp;"; ","")&amp;IF(K57="Belum ada data",R57&amp;"; ","")&amp;IF(L57="Belum ada data",S57&amp;"; ","")&amp;IF(M57="Belum ada data",T57&amp;"; ","")&amp;IF(N57="Belum ada data",U57&amp;"; ","")&amp;IF(O57="Belum ada data",V57&amp;"; ","")&amp;IF(P57="Belum ada data",W57&amp;"; ","")&amp;IF(K57="Cukup",R57&amp;"; ","")&amp;IF(L57="Cukup",S57&amp;"; ","")&amp;IF(M57="Cukup",T57&amp;"; ","")&amp;IF(N57="Cukup",U57&amp;"; ","")&amp;IF(O57="Cukup",V57&amp;"; ","")&amp;IF(P57="Cukup",W57&amp;"; ",""))</f>
        <v>prosesor tingkat 2 dari 5 cukup, nyamannya mulai tingkat 3; RAM 8 GB cukup, nyamannya 16 GB atau lebih (menempel di papan utama, tidak bisa ditambah); </v>
      </c>
      <c r="Y57" s="33" t="str">
        <f aca="false">IF($A57="","",IF(K57="Nyaman","prosesor, ","")&amp;IF(L57="Nyaman","grafis, ","")&amp;IF(M57="Nyaman","RAM, ","")&amp;IF(N57="Nyaman","penyimpanan, ","")&amp;IF(O57="Nyaman","layar, ","")&amp;IF(P57="Nyaman","refresh rate, ",""))</f>
        <v>penyimpanan, </v>
      </c>
      <c r="Z57" s="33" t="str">
        <f aca="false">IF($A57="","",IF(Q57="Tidak dinilai","Belum ada kriteria yang dinilai untuk kebutuhan ini.",IF(Q57="Cocok","Semua kriteria yang dinilai sudah nyaman: "&amp;LEFT(Y57,LEN(Y57)-2)&amp;".",UPPER(LEFT(X57,1))&amp;MID(X57,2,LEN(X57)-3)&amp;"."&amp;IF(Y57="",""," Sudah nyaman: "&amp;LEFT(Y57,LEN(Y57)-2)&amp;"."))))</f>
        <v>Prosesor tingkat 2 dari 5 cukup, nyamannya mulai tingkat 3; RAM 8 GB cukup, nyamannya 16 GB atau lebih (menempel di papan utama, tidak bisa ditambah). Sudah nyaman: penyimpanan.</v>
      </c>
      <c r="AA57" s="33"/>
      <c r="AB57" s="33"/>
      <c r="AC57" s="69"/>
    </row>
    <row r="58" customFormat="false" ht="15" hidden="false" customHeight="true" outlineLevel="0" collapsed="false">
      <c r="A58" s="33" t="str">
        <f aca="false">IF(Varian!$A15="","",Varian!$A15)</f>
        <v>acer-aspire-3-a314-23m-r3-7320u-8-512</v>
      </c>
      <c r="B58" s="33" t="str">
        <f aca="false">IF($A58="","",Aturan!$A$24)</f>
        <v>Game ringan</v>
      </c>
      <c r="C58" s="69" t="n">
        <f aca="false">IF($A58="","",IFERROR(IF(ISNUMBER(INDEX(CPU!$J$4:$J$64,MATCH(Varian!$J15,CPU!$A$4:$A$64,0))),INDEX(CPU!$J$4:$J$64,MATCH(Varian!$J15,CPU!$A$4:$A$64,0)),""),""))</f>
        <v>2</v>
      </c>
      <c r="D58" s="69" t="n">
        <f aca="false">IF($A58="","",IFERROR(IF(ISNUMBER(INDEX(GPU!$G$4:$G$64,MATCH(Varian!$K15,GPU!$A$4:$A$64,0))),INDEX(GPU!$G$4:$G$64,MATCH(Varian!$K15,GPU!$A$4:$A$64,0)),""),""))</f>
        <v>1</v>
      </c>
      <c r="E58" s="69" t="n">
        <f aca="false">IF($A58="","",IF(ISNUMBER(Varian!$M15),Varian!$M15,""))</f>
        <v>8</v>
      </c>
      <c r="F58" s="69" t="n">
        <f aca="false">IF($A58="","",IF(ISNUMBER(Varian!$V15),Varian!$V15,""))</f>
        <v>512</v>
      </c>
      <c r="G58" s="69" t="n">
        <f aca="false">IF($A58="","",IFERROR(INDEX(Aturan!$B$63:$B$66,MATCH(Varian!$AG15,Aturan!$A$63:$A$66,0)),""))</f>
        <v>1</v>
      </c>
      <c r="H58" s="69" t="n">
        <f aca="false">IF($A58="","",IF(ISNUMBER(Varian!$AI15),Varian!$AI15,""))</f>
        <v>60</v>
      </c>
      <c r="I58" s="33" t="str">
        <f aca="false">IF($A58="","",IF(Varian!$Q15="disolder","menempel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8" s="33" t="str">
        <f aca="false">IF($A58="","",IF(Varian!$Z15="ya","bisa diganti dengan yang lebih besar",IF(Varian!$Z15="tidak","menempel, tidak bisa diganti","belum diketahui apakah bisa diganti")))</f>
        <v>bisa diganti dengan yang lebih besar</v>
      </c>
      <c r="K58" s="70" t="str">
        <f aca="false">IF($A58="","",IF(AND(Aturan!$C$48="",Aturan!$D$48=""),"Tidak dinilai",IF(C58="","Belum ada data",IF(C58&lt;IF(Aturan!$C$48="",0,Aturan!$C$48),"Kurang",IF(C58&gt;=IF(Aturan!$D$48="",Aturan!$C$48,Aturan!$D$48),"Nyaman","Cukup")))))</f>
        <v>Cukup</v>
      </c>
      <c r="L58" s="70" t="str">
        <f aca="false">IF($A58="","",IF(AND(Aturan!$C$49="",Aturan!$D$49=""),"Tidak dinilai",IF(D58="","Belum ada data",IF(D58&lt;IF(Aturan!$C$49="",0,Aturan!$C$49),"Kurang",IF(D58&gt;=IF(Aturan!$D$49="",Aturan!$C$49,Aturan!$D$49),"Nyaman","Cukup")))))</f>
        <v>Cukup</v>
      </c>
      <c r="M58" s="70" t="str">
        <f aca="false">IF($A58="","",IF(AND(Aturan!$C$50="",Aturan!$D$50=""),"Tidak dinilai",IF(E58="","Belum ada data",IF(E58&lt;IF(Aturan!$C$50="",0,Aturan!$C$50),"Kurang",IF(E58&gt;=IF(Aturan!$D$50="",Aturan!$C$50,Aturan!$D$50),"Nyaman","Cukup")))))</f>
        <v>Nyaman</v>
      </c>
      <c r="N58" s="70" t="str">
        <f aca="false">IF($A58="","",IF(AND(Aturan!$C$51="",Aturan!$D$51=""),"Tidak dinilai",IF(F58="","Belum ada data",IF(F58&lt;IF(Aturan!$C$51="",0,Aturan!$C$51),"Kurang",IF(F58&gt;=IF(Aturan!$D$51="",Aturan!$C$51,Aturan!$D$51),"Nyaman","Cukup")))))</f>
        <v>Nyaman</v>
      </c>
      <c r="O58" s="70" t="str">
        <f aca="false">IF($A58="","",IF(AND(Aturan!$C$52="",Aturan!$D$52=""),"Tidak dinilai",IF(G58="","Belum ada data",IF(G58&lt;IF(Aturan!$C$52="",0,Aturan!$C$52),"Kurang",IF(G58&gt;=IF(Aturan!$D$52="",Aturan!$C$52,Aturan!$D$52),"Nyaman","Cukup")))))</f>
        <v>Tidak dinilai</v>
      </c>
      <c r="P58" s="70" t="str">
        <f aca="false">IF($A58="","",IF(AND(Aturan!$C$53="",Aturan!$D$53=""),"Tidak dinilai",IF(H58="","Belum ada data",IF(H58&lt;IF(Aturan!$C$53="",0,Aturan!$C$53),"Kurang",IF(H58&gt;=IF(Aturan!$D$53="",Aturan!$C$53,Aturan!$D$53),"Nyaman","Cukup")))))</f>
        <v>Tidak dinilai</v>
      </c>
      <c r="Q58" s="70" t="str">
        <f aca="false">IF($A58="","",IF(COUNTIF(K58:P58,"Tidak dinilai")=6,"Tidak dinilai",IF(COUNTIF(K58:P58,"Kurang")&gt;0,"Kurang cocok",IF(COUNTIF(K58:P58,"Belum ada data")&gt;0,"Data belum lengkap",IF(COUNTIF(K58:P58,"Cukup")&gt;0,"Bisa, dengan catatan","Cocok")))))</f>
        <v>Bisa, dengan catatan</v>
      </c>
      <c r="R58" s="33" t="str">
        <f aca="false">IF($A58="","",IF(K58="Kurang","prosesor tingkat "&amp;C58&amp;" dari 5, di bawah batas minimal (tingkat "&amp;Aturan!$C$48&amp;")",IF(K58="Cukup","prosesor tingkat "&amp;C58&amp;" dari 5 cukup, nyamannya mulai tingkat "&amp;Aturan!$D$48,IF(K58="Belum ada data","tingkat prosesor belum diisi",""))))</f>
        <v>prosesor tingkat 2 dari 5 cukup, nyamannya mulai tingkat 3</v>
      </c>
      <c r="S58" s="33" t="str">
        <f aca="false">IF($A58="","",IF(L58="Kurang","grafis tingkat "&amp;D58&amp;" dari 5, di bawah batas minimal (tingkat "&amp;Aturan!$C$49&amp;")",IF(L58="Cukup","grafis tingkat "&amp;D58&amp;" dari 5 cukup, nyamannya mulai tingkat "&amp;Aturan!$D$49,IF(L58="Belum ada data","tingkat grafis belum diisi",""))))</f>
        <v>grafis tingkat 1 dari 5 cukup, nyamannya mulai tingkat 2</v>
      </c>
      <c r="T58" s="33" t="str">
        <f aca="false">IF($A58="","",IF(M58="Kurang","RAM "&amp;E58&amp;" GB, di bawah batas minimal "&amp;Aturan!$C$50&amp;" GB ("&amp;I58&amp;")",IF(M58="Cukup","RAM "&amp;E58&amp;" GB cukup, nyamannya "&amp;Aturan!$D$50&amp;" GB atau lebih ("&amp;I58&amp;")",IF(M58="Belum ada data","ukuran RAM belum diisi",""))))</f>
        <v/>
      </c>
      <c r="U58" s="33" t="str">
        <f aca="false">IF($A58="","",IF(N58="Kurang","penyimpanan "&amp;F58&amp;" GB, di bawah batas minimal "&amp;Aturan!$C$51&amp;" GB ("&amp;J58&amp;")",IF(N58="Cukup","penyimpanan "&amp;F58&amp;" GB cukup, nyamannya "&amp;Aturan!$D$51&amp;" GB atau lebih ("&amp;J58&amp;")",IF(N58="Belum ada data","ukuran penyimpanan belum diisi",""))))</f>
        <v/>
      </c>
      <c r="V58" s="33" t="str">
        <f aca="false">IF($A58="","",IF(O58="Kurang","layar "&amp;Varian!$AG15&amp;", di bawah batas minimal ("&amp;IFERROR(INDEX(Aturan!$A$63:$A$66,MATCH(Aturan!$C$52,Aturan!$B$63:$B$66,0)),"peringkat "&amp;Aturan!$C$52)&amp;")",IF(O58="Cukup","layar "&amp;Varian!$AG15&amp;" cukup, nyamannya "&amp;IFERROR(INDEX(Aturan!$A$63:$A$66,MATCH(Aturan!$D$52,Aturan!$B$63:$B$66,0)),"peringkat "&amp;Aturan!$D$52),IF(O58="Belum ada data","jenis layar belum diketahui",""))))</f>
        <v/>
      </c>
      <c r="W58" s="33" t="str">
        <f aca="false">IF($A58="","",IF(P58="Kurang","layar "&amp;H58&amp;" Hz, di bawah batas minimal "&amp;Aturan!$C$53&amp;" Hz",IF(P58="Cukup","layar "&amp;H58&amp;" Hz cukup, nyamannya "&amp;Aturan!$D$53&amp;" Hz atau lebih",IF(P58="Belum ada data","refresh rate belum diketahui",""))))</f>
        <v/>
      </c>
      <c r="X58" s="33" t="str">
        <f aca="false">IF($A58="","",IF(K58="Kurang",R58&amp;"; ","")&amp;IF(L58="Kurang",S58&amp;"; ","")&amp;IF(M58="Kurang",T58&amp;"; ","")&amp;IF(N58="Kurang",U58&amp;"; ","")&amp;IF(O58="Kurang",V58&amp;"; ","")&amp;IF(P58="Kurang",W58&amp;"; ","")&amp;IF(K58="Belum ada data",R58&amp;"; ","")&amp;IF(L58="Belum ada data",S58&amp;"; ","")&amp;IF(M58="Belum ada data",T58&amp;"; ","")&amp;IF(N58="Belum ada data",U58&amp;"; ","")&amp;IF(O58="Belum ada data",V58&amp;"; ","")&amp;IF(P58="Belum ada data",W58&amp;"; ","")&amp;IF(K58="Cukup",R58&amp;"; ","")&amp;IF(L58="Cukup",S58&amp;"; ","")&amp;IF(M58="Cukup",T58&amp;"; ","")&amp;IF(N58="Cukup",U58&amp;"; ","")&amp;IF(O58="Cukup",V58&amp;"; ","")&amp;IF(P58="Cukup",W58&amp;"; ",""))</f>
        <v>prosesor tingkat 2 dari 5 cukup, nyamannya mulai tingkat 3; grafis tingkat 1 dari 5 cukup, nyamannya mulai tingkat 2; </v>
      </c>
      <c r="Y58" s="33" t="str">
        <f aca="false">IF($A58="","",IF(K58="Nyaman","prosesor, ","")&amp;IF(L58="Nyaman","grafis, ","")&amp;IF(M58="Nyaman","RAM, ","")&amp;IF(N58="Nyaman","penyimpanan, ","")&amp;IF(O58="Nyaman","layar, ","")&amp;IF(P58="Nyaman","refresh rate, ",""))</f>
        <v>RAM, penyimpanan, </v>
      </c>
      <c r="Z58" s="33" t="str">
        <f aca="false">IF($A58="","",IF(Q58="Tidak dinilai","Belum ada kriteria yang dinilai untuk kebutuhan ini.",IF(Q58="Cocok","Semua kriteria yang dinilai sudah nyaman: "&amp;LEFT(Y58,LEN(Y58)-2)&amp;".",UPPER(LEFT(X58,1))&amp;MID(X58,2,LEN(X58)-3)&amp;"."&amp;IF(Y58="",""," Sudah nyaman: "&amp;LEFT(Y58,LEN(Y58)-2)&amp;"."))))</f>
        <v>Prosesor tingkat 2 dari 5 cukup, nyamannya mulai tingkat 3; grafis tingkat 1 dari 5 cukup, nyamannya mulai tingkat 2. Sudah nyaman: RAM, penyimpanan.</v>
      </c>
      <c r="AA58" s="33"/>
      <c r="AB58" s="33"/>
      <c r="AC58" s="69"/>
    </row>
    <row r="59" customFormat="false" ht="15" hidden="false" customHeight="true" outlineLevel="0" collapsed="false">
      <c r="A59" s="33" t="str">
        <f aca="false">IF(Varian!$A15="","",Varian!$A15)</f>
        <v>acer-aspire-3-a314-23m-r3-7320u-8-512</v>
      </c>
      <c r="B59" s="33" t="str">
        <f aca="false">IF($A59="","",Aturan!$A$25)</f>
        <v>Game berat</v>
      </c>
      <c r="C59" s="69" t="n">
        <f aca="false">IF($A59="","",IFERROR(IF(ISNUMBER(INDEX(CPU!$J$4:$J$64,MATCH(Varian!$J15,CPU!$A$4:$A$64,0))),INDEX(CPU!$J$4:$J$64,MATCH(Varian!$J15,CPU!$A$4:$A$64,0)),""),""))</f>
        <v>2</v>
      </c>
      <c r="D59" s="69" t="n">
        <f aca="false">IF($A59="","",IFERROR(IF(ISNUMBER(INDEX(GPU!$G$4:$G$64,MATCH(Varian!$K15,GPU!$A$4:$A$64,0))),INDEX(GPU!$G$4:$G$64,MATCH(Varian!$K15,GPU!$A$4:$A$64,0)),""),""))</f>
        <v>1</v>
      </c>
      <c r="E59" s="69" t="n">
        <f aca="false">IF($A59="","",IF(ISNUMBER(Varian!$M15),Varian!$M15,""))</f>
        <v>8</v>
      </c>
      <c r="F59" s="69" t="n">
        <f aca="false">IF($A59="","",IF(ISNUMBER(Varian!$V15),Varian!$V15,""))</f>
        <v>512</v>
      </c>
      <c r="G59" s="69" t="n">
        <f aca="false">IF($A59="","",IFERROR(INDEX(Aturan!$B$63:$B$66,MATCH(Varian!$AG15,Aturan!$A$63:$A$66,0)),""))</f>
        <v>1</v>
      </c>
      <c r="H59" s="69" t="n">
        <f aca="false">IF($A59="","",IF(ISNUMBER(Varian!$AI15),Varian!$AI15,""))</f>
        <v>60</v>
      </c>
      <c r="I59" s="33" t="str">
        <f aca="false">IF($A59="","",IF(Varian!$Q15="disolder","menempel di papan utama, tidak bisa ditambah",IF(OR(Varian!$Q15="slot",Varian!$Q15="setengah_disolder"),IF(Varian!$Q15="setengah_disolder","sebagian menempel, ","")&amp;IF(ISNUMBER(Varian!$U15),IF(AND(ISNUMBER(Varian!$M15),Varian!$U15&gt;Varian!$M15),"bisa dinaikkan lewat slot sampai "&amp;Varian!$U15&amp;" GB","sudah di batas maksimal "&amp;Varian!$U15&amp;" GB"),"ada slot, batas maksimalnya belum diketahui"),"belum diketahui apakah bisa ditambah")))</f>
        <v>menempel di papan utama, tidak bisa ditambah</v>
      </c>
      <c r="J59" s="33" t="str">
        <f aca="false">IF($A59="","",IF(Varian!$Z15="ya","bisa diganti dengan yang lebih besar",IF(Varian!$Z15="tidak","menempel, tidak bisa diganti","belum diketahui apakah bisa diganti")))</f>
        <v>bisa diganti dengan yang lebih besar</v>
      </c>
      <c r="K59" s="70" t="str">
        <f aca="false">IF($A59="","",IF(AND(Aturan!$C$54="",Aturan!$D$54=""),"Tidak dinilai",IF(C59="","Belum ada data",IF(C59&lt;IF(Aturan!$C$54="",0,Aturan!$C$54),"Kurang",IF(C59&gt;=IF(Aturan!$D$54="",Aturan!$C$54,Aturan!$D$54),"Nyaman","Cukup")))))</f>
        <v>Kurang</v>
      </c>
      <c r="L59" s="70" t="str">
        <f aca="false">IF($A59="","",IF(AND(Aturan!$C$55="",Aturan!$D$55=""),"Tidak dinilai",IF(D59="","Belum ada data",IF(D59&lt;IF(Aturan!$C$55="",0,Aturan!$C$55),"Kurang",IF(D59&gt;=IF(Aturan!$D$55="",Aturan!$C$55,Aturan!$D$55),"Nyaman","Cukup")))))</f>
        <v>Kurang</v>
      </c>
      <c r="M59" s="70" t="str">
        <f aca="false">IF($A59="","",IF(AND(Aturan!$C$56="",Aturan!$D$56=""),"Tidak dinilai",IF(E59="","Belum ada data",IF(E59&lt;IF(Aturan!$C$56="",0,Aturan!$C$56),"Kurang",IF(E59&gt;=IF(Aturan!$D$56="",Aturan!$C$56,Aturan!$D$56),"Nyaman","Cukup")))))</f>
        <v>Cukup</v>
      </c>
      <c r="N59" s="70" t="str">
        <f aca="false">IF($A59="","",IF(AND(Aturan!$C$57="",Aturan!$D$57=""),"Tidak dinilai",IF(F59="","Belum ada data",IF(F59&lt;IF(Aturan!$C$57="",0,Aturan!$C$57),"Kurang",IF(F59&gt;=IF(Aturan!$D$57="",Aturan!$C$57,Aturan!$D$57),"Nyaman","Cukup")))))</f>
        <v>Cukup</v>
      </c>
      <c r="O59" s="70" t="str">
        <f aca="false">IF($A59="","",IF(AND(Aturan!$C$58="",Aturan!$D$58=""),"Tidak dinilai",IF(G59="","Belum ada data",IF(G59&lt;IF(Aturan!$C$58="",0,Aturan!$C$58),"Kurang",IF(G59&gt;=IF(Aturan!$D$58="",Aturan!$C$58,Aturan!$D$58),"Nyaman","Cukup")))))</f>
        <v>Tidak dinilai</v>
      </c>
      <c r="P59" s="70" t="str">
        <f aca="false">IF($A59="","",IF(AND(Aturan!$C$59="",Aturan!$D$59=""),"Tidak dinilai",IF(H59="","Belum ada data",IF(H59&lt;IF(Aturan!$C$59="",0,Aturan!$C$59),"Kurang",IF(H59&gt;=IF(Aturan!$D$59="",Aturan!$C$59,Aturan!$D$59),"Nyaman","Cukup")))))</f>
        <v>Cukup</v>
      </c>
      <c r="Q59" s="70" t="str">
        <f aca="false">IF($A59="","",IF(COUNTIF(K59:P59,"Tidak dinilai")=6,"Tidak dinilai",IF(COUNTIF(K59:P59,"Kurang")&gt;0,"Kurang cocok",IF(COUNTIF(K59:P59,"Belum ada data")&gt;0,"Data belum lengkap",IF(COUNTIF(K59:P59,"Cukup")&gt;0,"Bisa, dengan catatan","Cocok")))))</f>
        <v>Kurang cocok</v>
      </c>
      <c r="R59" s="33" t="str">
        <f aca="false">IF($A59="","",IF(K59="Kurang","prosesor tingkat "&amp;C59&amp;" dari 5, di bawah batas minimal (tingkat "&amp;Aturan!$C$54&amp;")",IF(K59="Cukup","prosesor tingkat "&amp;C59&amp;" dari 5 cukup, nyamannya mulai tingkat "&amp;Aturan!$D$54,IF(K59="Belum ada data","tingkat prosesor belum diisi",""))))</f>
        <v>prosesor tingkat 2 dari 5, di bawah batas minimal (tingkat 3)</v>
      </c>
      <c r="S59" s="33" t="str">
        <f aca="false">IF($A59="","",IF(L59="Kurang","grafis tingkat "&amp;D59&amp;" dari 5, di bawah batas minimal (tingkat "&amp;Aturan!$C$55&amp;")",IF(L59="Cukup","grafis tingkat "&amp;D59&amp;" dari 5 cukup, nyamannya mulai tingkat "&amp;Aturan!$D$55,IF(L59="Belum ada data","tingkat grafis belum diisi",""))))</f>
        <v>grafis tingkat 1 dari 5, di bawah batas minimal (tingkat 3)</v>
      </c>
      <c r="T59" s="33" t="str">
        <f aca="false">IF($A59="","",IF(M59="Kurang","RAM "&amp;E59&amp;" GB, di bawah batas minimal "&amp;Aturan!$C$56&amp;" GB ("&amp;I59&amp;")",IF(M59="Cukup","RAM "&amp;E59&amp;" GB cukup, nyamannya "&amp;Aturan!$D$56&amp;" GB atau lebih ("&amp;I59&amp;")",IF(M59="Belum ada data","ukuran RAM belum diisi",""))))</f>
        <v>RAM 8 GB cukup, nyamannya 16 GB atau lebih (menempel di papan utama, tidak bisa ditambah)</v>
      </c>
      <c r="U59" s="33" t="str">
        <f aca="false">IF($A59="","",IF(N59="Kurang","penyimpanan "&amp;F59&amp;" GB, di bawah batas minimal "&amp;Aturan!$C$57&amp;" GB ("&amp;J59&amp;")",IF(N59="Cukup","penyimpanan "&amp;F59&amp;" GB cukup, nyamannya "&amp;Aturan!$D$57&amp;" GB atau lebih ("&amp;J59&amp;")",IF(N59="Belum ada data","ukuran penyimpanan belum diisi",""))))</f>
        <v>penyimpanan 512 GB cukup, nyamannya 1000 GB atau lebih (bisa diganti dengan yang lebih besar)</v>
      </c>
      <c r="V59" s="33" t="str">
        <f aca="false">IF($A59="","",IF(O59="Kurang","layar "&amp;Varian!$AG15&amp;", di bawah batas minimal ("&amp;IFERROR(INDEX(Aturan!$A$63:$A$66,MATCH(Aturan!$C$58,Aturan!$B$63:$B$66,0)),"peringkat "&amp;Aturan!$C$58)&amp;")",IF(O59="Cukup","layar "&amp;Varian!$AG15&amp;" cukup, nyamannya "&amp;IFERROR(INDEX(Aturan!$A$63:$A$66,MATCH(Aturan!$D$58,Aturan!$B$63:$B$66,0)),"peringkat "&amp;Aturan!$D$58),IF(O59="Belum ada data","jenis layar belum diketahui",""))))</f>
        <v/>
      </c>
      <c r="W59" s="33" t="str">
        <f aca="false">IF($A59="","",IF(P59="Kurang","layar "&amp;H59&amp;" Hz, di bawah batas minimal "&amp;Aturan!$C$59&amp;" Hz",IF(P59="Cukup","layar "&amp;H59&amp;" Hz cukup, nyamannya "&amp;Aturan!$D$59&amp;" Hz atau lebih",IF(P59="Belum ada data","refresh rate belum diketahui",""))))</f>
        <v>layar 60 Hz cukup, nyamannya 120 Hz atau lebih</v>
      </c>
      <c r="X59" s="33" t="str">
        <f aca="false">IF($A59="","",IF(K59="Kurang",R59&amp;"; ","")&amp;IF(L59="Kurang",S59&amp;"; ","")&amp;IF(M59="Kurang",T59&amp;"; ","")&amp;IF(N59="Kurang",U59&amp;"; ","")&amp;IF(O59="Kurang",V59&amp;"; ","")&amp;IF(P59="Kurang",W59&amp;"; ","")&amp;IF(K59="Belum ada data",R59&amp;"; ","")&amp;IF(L59="Belum ada data",S59&amp;"; ","")&amp;IF(M59="Belum ada data",T59&amp;"; ","")&amp;IF(N59="Belum ada data",U59&amp;"; ","")&amp;IF(O59="Belum ada data",V59&amp;"; ","")&amp;IF(P59="Belum ada data",W59&amp;"; ","")&amp;IF(K59="Cukup",R59&amp;"; ","")&amp;IF(L59="Cukup",S59&amp;"; ","")&amp;IF(M59="Cukup",T59&amp;"; ","")&amp;IF(N59="Cukup",U59&amp;"; ","")&amp;IF(O59="Cukup",V59&amp;"; ","")&amp;IF(P59="Cukup",W59&amp;"; ",""))</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 </v>
      </c>
      <c r="Y59" s="33" t="str">
        <f aca="false">IF($A59="","",IF(K59="Nyaman","prosesor, ","")&amp;IF(L59="Nyaman","grafis, ","")&amp;IF(M59="Nyaman","RAM, ","")&amp;IF(N59="Nyaman","penyimpanan, ","")&amp;IF(O59="Nyaman","layar, ","")&amp;IF(P59="Nyaman","refresh rate, ",""))</f>
        <v/>
      </c>
      <c r="Z59" s="33" t="str">
        <f aca="false">IF($A59="","",IF(Q59="Tidak dinilai","Belum ada kriteria yang dinilai untuk kebutuhan ini.",IF(Q59="Cocok","Semua kriteria yang dinilai sudah nyaman: "&amp;LEFT(Y59,LEN(Y59)-2)&amp;".",UPPER(LEFT(X59,1))&amp;MID(X59,2,LEN(X59)-3)&amp;"."&amp;IF(Y59="",""," Sudah nyaman: "&amp;LEFT(Y59,LEN(Y59)-2)&amp;"."))))</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v>
      </c>
      <c r="AA59" s="33"/>
      <c r="AB59" s="33"/>
      <c r="AC59" s="69"/>
    </row>
    <row r="60" customFormat="false" ht="15" hidden="false" customHeight="true" outlineLevel="0" collapsed="false">
      <c r="A60" s="66" t="str">
        <f aca="false">IF(Varian!$A16="","",Varian!$A16)</f>
        <v>lenovo-ideapad-slim-3-14iah8-i5-12450h-16-512</v>
      </c>
      <c r="B60" s="66" t="str">
        <f aca="false">IF($A60="","",Aturan!$A$21)</f>
        <v>Kuliah dan kantor</v>
      </c>
      <c r="C60" s="67" t="n">
        <f aca="false">IF($A60="","",IFERROR(IF(ISNUMBER(INDEX(CPU!$J$4:$J$64,MATCH(Varian!$J16,CPU!$A$4:$A$64,0))),INDEX(CPU!$J$4:$J$64,MATCH(Varian!$J16,CPU!$A$4:$A$64,0)),""),""))</f>
        <v>3</v>
      </c>
      <c r="D60" s="67" t="n">
        <f aca="false">IF($A60="","",IFERROR(IF(ISNUMBER(INDEX(GPU!$G$4:$G$64,MATCH(Varian!$K16,GPU!$A$4:$A$64,0))),INDEX(GPU!$G$4:$G$64,MATCH(Varian!$K16,GPU!$A$4:$A$64,0)),""),""))</f>
        <v>2</v>
      </c>
      <c r="E60" s="67" t="n">
        <f aca="false">IF($A60="","",IF(ISNUMBER(Varian!$M16),Varian!$M16,""))</f>
        <v>16</v>
      </c>
      <c r="F60" s="67" t="n">
        <f aca="false">IF($A60="","",IF(ISNUMBER(Varian!$V16),Varian!$V16,""))</f>
        <v>512</v>
      </c>
      <c r="G60" s="67" t="n">
        <f aca="false">IF($A60="","",IFERROR(INDEX(Aturan!$B$63:$B$66,MATCH(Varian!$AG16,Aturan!$A$63:$A$66,0)),""))</f>
        <v>3</v>
      </c>
      <c r="H60" s="67" t="n">
        <f aca="false">IF($A60="","",IF(ISNUMBER(Varian!$AI16),Varian!$AI16,""))</f>
        <v>60</v>
      </c>
      <c r="I60" s="66" t="str">
        <f aca="false">IF($A60="","",IF(Varian!$Q16="disolder","menempel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0" s="66" t="str">
        <f aca="false">IF($A60="","",IF(Varian!$Z16="ya","bisa diganti dengan yang lebih besar",IF(Varian!$Z16="tidak","menempel, tidak bisa diganti","belum diketahui apakah bisa diganti")))</f>
        <v>bisa diganti dengan yang lebih besar</v>
      </c>
      <c r="K60" s="68" t="str">
        <f aca="false">IF($A60="","",IF(AND(Aturan!$C$30="",Aturan!$D$30=""),"Tidak dinilai",IF(C60="","Belum ada data",IF(C60&lt;IF(Aturan!$C$30="",0,Aturan!$C$30),"Kurang",IF(C60&gt;=IF(Aturan!$D$30="",Aturan!$C$30,Aturan!$D$30),"Nyaman","Cukup")))))</f>
        <v>Nyaman</v>
      </c>
      <c r="L60" s="68" t="str">
        <f aca="false">IF($A60="","",IF(AND(Aturan!$C$31="",Aturan!$D$31=""),"Tidak dinilai",IF(D60="","Belum ada data",IF(D60&lt;IF(Aturan!$C$31="",0,Aturan!$C$31),"Kurang",IF(D60&gt;=IF(Aturan!$D$31="",Aturan!$C$31,Aturan!$D$31),"Nyaman","Cukup")))))</f>
        <v>Tidak dinilai</v>
      </c>
      <c r="M60" s="68" t="str">
        <f aca="false">IF($A60="","",IF(AND(Aturan!$C$32="",Aturan!$D$32=""),"Tidak dinilai",IF(E60="","Belum ada data",IF(E60&lt;IF(Aturan!$C$32="",0,Aturan!$C$32),"Kurang",IF(E60&gt;=IF(Aturan!$D$32="",Aturan!$C$32,Aturan!$D$32),"Nyaman","Cukup")))))</f>
        <v>Nyaman</v>
      </c>
      <c r="N60" s="68" t="str">
        <f aca="false">IF($A60="","",IF(AND(Aturan!$C$33="",Aturan!$D$33=""),"Tidak dinilai",IF(F60="","Belum ada data",IF(F60&lt;IF(Aturan!$C$33="",0,Aturan!$C$33),"Kurang",IF(F60&gt;=IF(Aturan!$D$33="",Aturan!$C$33,Aturan!$D$33),"Nyaman","Cukup")))))</f>
        <v>Nyaman</v>
      </c>
      <c r="O60" s="68" t="str">
        <f aca="false">IF($A60="","",IF(AND(Aturan!$C$34="",Aturan!$D$34=""),"Tidak dinilai",IF(G60="","Belum ada data",IF(G60&lt;IF(Aturan!$C$34="",0,Aturan!$C$34),"Kurang",IF(G60&gt;=IF(Aturan!$D$34="",Aturan!$C$34,Aturan!$D$34),"Nyaman","Cukup")))))</f>
        <v>Tidak dinilai</v>
      </c>
      <c r="P60" s="68" t="str">
        <f aca="false">IF($A60="","",IF(AND(Aturan!$C$35="",Aturan!$D$35=""),"Tidak dinilai",IF(H60="","Belum ada data",IF(H60&lt;IF(Aturan!$C$35="",0,Aturan!$C$35),"Kurang",IF(H60&gt;=IF(Aturan!$D$35="",Aturan!$C$35,Aturan!$D$35),"Nyaman","Cukup")))))</f>
        <v>Tidak dinilai</v>
      </c>
      <c r="Q60" s="68" t="str">
        <f aca="false">IF($A60="","",IF(COUNTIF(K60:P60,"Tidak dinilai")=6,"Tidak dinilai",IF(COUNTIF(K60:P60,"Kurang")&gt;0,"Kurang cocok",IF(COUNTIF(K60:P60,"Belum ada data")&gt;0,"Data belum lengkap",IF(COUNTIF(K60:P60,"Cukup")&gt;0,"Bisa, dengan catatan","Cocok")))))</f>
        <v>Cocok</v>
      </c>
      <c r="R60" s="66" t="str">
        <f aca="false">IF($A60="","",IF(K60="Kurang","prosesor tingkat "&amp;C60&amp;" dari 5, di bawah batas minimal (tingkat "&amp;Aturan!$C$30&amp;")",IF(K60="Cukup","prosesor tingkat "&amp;C60&amp;" dari 5 cukup, nyamannya mulai tingkat "&amp;Aturan!$D$30,IF(K60="Belum ada data","tingkat prosesor belum diisi",""))))</f>
        <v/>
      </c>
      <c r="S60" s="66" t="str">
        <f aca="false">IF($A60="","",IF(L60="Kurang","grafis tingkat "&amp;D60&amp;" dari 5, di bawah batas minimal (tingkat "&amp;Aturan!$C$31&amp;")",IF(L60="Cukup","grafis tingkat "&amp;D60&amp;" dari 5 cukup, nyamannya mulai tingkat "&amp;Aturan!$D$31,IF(L60="Belum ada data","tingkat grafis belum diisi",""))))</f>
        <v/>
      </c>
      <c r="T60" s="66" t="str">
        <f aca="false">IF($A60="","",IF(M60="Kurang","RAM "&amp;E60&amp;" GB, di bawah batas minimal "&amp;Aturan!$C$32&amp;" GB ("&amp;I60&amp;")",IF(M60="Cukup","RAM "&amp;E60&amp;" GB cukup, nyamannya "&amp;Aturan!$D$32&amp;" GB atau lebih ("&amp;I60&amp;")",IF(M60="Belum ada data","ukuran RAM belum diisi",""))))</f>
        <v/>
      </c>
      <c r="U60" s="66" t="str">
        <f aca="false">IF($A60="","",IF(N60="Kurang","penyimpanan "&amp;F60&amp;" GB, di bawah batas minimal "&amp;Aturan!$C$33&amp;" GB ("&amp;J60&amp;")",IF(N60="Cukup","penyimpanan "&amp;F60&amp;" GB cukup, nyamannya "&amp;Aturan!$D$33&amp;" GB atau lebih ("&amp;J60&amp;")",IF(N60="Belum ada data","ukuran penyimpanan belum diisi",""))))</f>
        <v/>
      </c>
      <c r="V60" s="66" t="str">
        <f aca="false">IF($A60="","",IF(O60="Kurang","layar "&amp;Varian!$AG16&amp;", di bawah batas minimal ("&amp;IFERROR(INDEX(Aturan!$A$63:$A$66,MATCH(Aturan!$C$34,Aturan!$B$63:$B$66,0)),"peringkat "&amp;Aturan!$C$34)&amp;")",IF(O60="Cukup","layar "&amp;Varian!$AG16&amp;" cukup, nyamannya "&amp;IFERROR(INDEX(Aturan!$A$63:$A$66,MATCH(Aturan!$D$34,Aturan!$B$63:$B$66,0)),"peringkat "&amp;Aturan!$D$34),IF(O60="Belum ada data","jenis layar belum diketahui",""))))</f>
        <v/>
      </c>
      <c r="W60" s="66" t="str">
        <f aca="false">IF($A60="","",IF(P60="Kurang","layar "&amp;H60&amp;" Hz, di bawah batas minimal "&amp;Aturan!$C$35&amp;" Hz",IF(P60="Cukup","layar "&amp;H60&amp;" Hz cukup, nyamannya "&amp;Aturan!$D$35&amp;" Hz atau lebih",IF(P60="Belum ada data","refresh rate belum diketahui",""))))</f>
        <v/>
      </c>
      <c r="X60" s="66" t="str">
        <f aca="false">IF($A60="","",IF(K60="Kurang",R60&amp;"; ","")&amp;IF(L60="Kurang",S60&amp;"; ","")&amp;IF(M60="Kurang",T60&amp;"; ","")&amp;IF(N60="Kurang",U60&amp;"; ","")&amp;IF(O60="Kurang",V60&amp;"; ","")&amp;IF(P60="Kurang",W60&amp;"; ","")&amp;IF(K60="Belum ada data",R60&amp;"; ","")&amp;IF(L60="Belum ada data",S60&amp;"; ","")&amp;IF(M60="Belum ada data",T60&amp;"; ","")&amp;IF(N60="Belum ada data",U60&amp;"; ","")&amp;IF(O60="Belum ada data",V60&amp;"; ","")&amp;IF(P60="Belum ada data",W60&amp;"; ","")&amp;IF(K60="Cukup",R60&amp;"; ","")&amp;IF(L60="Cukup",S60&amp;"; ","")&amp;IF(M60="Cukup",T60&amp;"; ","")&amp;IF(N60="Cukup",U60&amp;"; ","")&amp;IF(O60="Cukup",V60&amp;"; ","")&amp;IF(P60="Cukup",W60&amp;"; ",""))</f>
        <v/>
      </c>
      <c r="Y60" s="66" t="str">
        <f aca="false">IF($A60="","",IF(K60="Nyaman","prosesor, ","")&amp;IF(L60="Nyaman","grafis, ","")&amp;IF(M60="Nyaman","RAM, ","")&amp;IF(N60="Nyaman","penyimpanan, ","")&amp;IF(O60="Nyaman","layar, ","")&amp;IF(P60="Nyaman","refresh rate, ",""))</f>
        <v>prosesor, RAM, penyimpanan, </v>
      </c>
      <c r="Z60" s="66" t="str">
        <f aca="false">IF($A60="","",IF(Q60="Tidak dinilai","Belum ada kriteria yang dinilai untuk kebutuhan ini.",IF(Q60="Cocok","Semua kriteria yang dinilai sudah nyaman: "&amp;LEFT(Y60,LEN(Y60)-2)&amp;".",UPPER(LEFT(X60,1))&amp;MID(X60,2,LEN(X60)-3)&amp;"."&amp;IF(Y60="",""," Sudah nyaman: "&amp;LEFT(Y60,LEN(Y60)-2)&amp;"."))))</f>
        <v>Semua kriteria yang dinilai sudah nyaman: prosesor, RAM, penyimpanan.</v>
      </c>
      <c r="AA60" s="66" t="str">
        <f aca="false">IF($A60="","",IF(Varian!$AR16="Windows 10","• "&amp;Aturan!$E$71&amp;CHAR(10),"")&amp;IF(Varian!$BB16="tidak","• "&amp;Aturan!$E$72&amp;CHAR(10),"")&amp;IF(OR(Varian!$AD16="belum terverifikasi",Varian!$AD16="tidak diketahui"),"• "&amp;Aturan!$E$73&amp;CHAR(10),"")&amp;IF(Varian!$AH16="1366x768","• "&amp;Aturan!$E$74&amp;CHAR(10),"")&amp;IF(Varian!$AG16="TN","• "&amp;Aturan!$E$75&amp;CHAR(10),"")&amp;IF(AND(Varian!$Q16="disolder",ISNUMBER(Varian!$M16),Varian!$M16&lt;=8),"• "&amp;Aturan!$E$76&amp;CHAR(10),""))</f>
        <v/>
      </c>
      <c r="AB60" s="66" t="str">
        <f aca="false">IF($A60="","",IF(AA60="","",LEFT(AA60,LEN(AA60)-1)))</f>
        <v/>
      </c>
      <c r="AC60" s="67" t="n">
        <f aca="false">IF($A60="","",IF(AA60="",0,LEN(AA60)-LEN(SUBSTITUTE(AA60,CHAR(10),""))))</f>
        <v>0</v>
      </c>
    </row>
    <row r="61" customFormat="false" ht="15" hidden="false" customHeight="true" outlineLevel="0" collapsed="false">
      <c r="A61" s="33" t="str">
        <f aca="false">IF(Varian!$A16="","",Varian!$A16)</f>
        <v>lenovo-ideapad-slim-3-14iah8-i5-12450h-16-512</v>
      </c>
      <c r="B61" s="33" t="str">
        <f aca="false">IF($A61="","",Aturan!$A$22)</f>
        <v>Desain grafis</v>
      </c>
      <c r="C61" s="69" t="n">
        <f aca="false">IF($A61="","",IFERROR(IF(ISNUMBER(INDEX(CPU!$J$4:$J$64,MATCH(Varian!$J16,CPU!$A$4:$A$64,0))),INDEX(CPU!$J$4:$J$64,MATCH(Varian!$J16,CPU!$A$4:$A$64,0)),""),""))</f>
        <v>3</v>
      </c>
      <c r="D61" s="69" t="n">
        <f aca="false">IF($A61="","",IFERROR(IF(ISNUMBER(INDEX(GPU!$G$4:$G$64,MATCH(Varian!$K16,GPU!$A$4:$A$64,0))),INDEX(GPU!$G$4:$G$64,MATCH(Varian!$K16,GPU!$A$4:$A$64,0)),""),""))</f>
        <v>2</v>
      </c>
      <c r="E61" s="69" t="n">
        <f aca="false">IF($A61="","",IF(ISNUMBER(Varian!$M16),Varian!$M16,""))</f>
        <v>16</v>
      </c>
      <c r="F61" s="69" t="n">
        <f aca="false">IF($A61="","",IF(ISNUMBER(Varian!$V16),Varian!$V16,""))</f>
        <v>512</v>
      </c>
      <c r="G61" s="69" t="n">
        <f aca="false">IF($A61="","",IFERROR(INDEX(Aturan!$B$63:$B$66,MATCH(Varian!$AG16,Aturan!$A$63:$A$66,0)),""))</f>
        <v>3</v>
      </c>
      <c r="H61" s="69" t="n">
        <f aca="false">IF($A61="","",IF(ISNUMBER(Varian!$AI16),Varian!$AI16,""))</f>
        <v>60</v>
      </c>
      <c r="I61" s="33" t="str">
        <f aca="false">IF($A61="","",IF(Varian!$Q16="disolder","menempel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1" s="33" t="str">
        <f aca="false">IF($A61="","",IF(Varian!$Z16="ya","bisa diganti dengan yang lebih besar",IF(Varian!$Z16="tidak","menempel, tidak bisa diganti","belum diketahui apakah bisa diganti")))</f>
        <v>bisa diganti dengan yang lebih besar</v>
      </c>
      <c r="K61" s="70" t="str">
        <f aca="false">IF($A61="","",IF(AND(Aturan!$C$36="",Aturan!$D$36=""),"Tidak dinilai",IF(C61="","Belum ada data",IF(C61&lt;IF(Aturan!$C$36="",0,Aturan!$C$36),"Kurang",IF(C61&gt;=IF(Aturan!$D$36="",Aturan!$C$36,Aturan!$D$36),"Nyaman","Cukup")))))</f>
        <v>Nyaman</v>
      </c>
      <c r="L61" s="70" t="str">
        <f aca="false">IF($A61="","",IF(AND(Aturan!$C$37="",Aturan!$D$37=""),"Tidak dinilai",IF(D61="","Belum ada data",IF(D61&lt;IF(Aturan!$C$37="",0,Aturan!$C$37),"Kurang",IF(D61&gt;=IF(Aturan!$D$37="",Aturan!$C$37,Aturan!$D$37),"Nyaman","Cukup")))))</f>
        <v>Nyaman</v>
      </c>
      <c r="M61" s="70" t="str">
        <f aca="false">IF($A61="","",IF(AND(Aturan!$C$38="",Aturan!$D$38=""),"Tidak dinilai",IF(E61="","Belum ada data",IF(E61&lt;IF(Aturan!$C$38="",0,Aturan!$C$38),"Kurang",IF(E61&gt;=IF(Aturan!$D$38="",Aturan!$C$38,Aturan!$D$38),"Nyaman","Cukup")))))</f>
        <v>Nyaman</v>
      </c>
      <c r="N61" s="70" t="str">
        <f aca="false">IF($A61="","",IF(AND(Aturan!$C$39="",Aturan!$D$39=""),"Tidak dinilai",IF(F61="","Belum ada data",IF(F61&lt;IF(Aturan!$C$39="",0,Aturan!$C$39),"Kurang",IF(F61&gt;=IF(Aturan!$D$39="",Aturan!$C$39,Aturan!$D$39),"Nyaman","Cukup")))))</f>
        <v>Nyaman</v>
      </c>
      <c r="O61" s="70" t="str">
        <f aca="false">IF($A61="","",IF(AND(Aturan!$C$40="",Aturan!$D$40=""),"Tidak dinilai",IF(G61="","Belum ada data",IF(G61&lt;IF(Aturan!$C$40="",0,Aturan!$C$40),"Kurang",IF(G61&gt;=IF(Aturan!$D$40="",Aturan!$C$40,Aturan!$D$40),"Nyaman","Cukup")))))</f>
        <v>Cukup</v>
      </c>
      <c r="P61" s="70" t="str">
        <f aca="false">IF($A61="","",IF(AND(Aturan!$C$41="",Aturan!$D$41=""),"Tidak dinilai",IF(H61="","Belum ada data",IF(H61&lt;IF(Aturan!$C$41="",0,Aturan!$C$41),"Kurang",IF(H61&gt;=IF(Aturan!$D$41="",Aturan!$C$41,Aturan!$D$41),"Nyaman","Cukup")))))</f>
        <v>Tidak dinilai</v>
      </c>
      <c r="Q61" s="70" t="str">
        <f aca="false">IF($A61="","",IF(COUNTIF(K61:P61,"Tidak dinilai")=6,"Tidak dinilai",IF(COUNTIF(K61:P61,"Kurang")&gt;0,"Kurang cocok",IF(COUNTIF(K61:P61,"Belum ada data")&gt;0,"Data belum lengkap",IF(COUNTIF(K61:P61,"Cukup")&gt;0,"Bisa, dengan catatan","Cocok")))))</f>
        <v>Bisa, dengan catatan</v>
      </c>
      <c r="R61" s="33" t="str">
        <f aca="false">IF($A61="","",IF(K61="Kurang","prosesor tingkat "&amp;C61&amp;" dari 5, di bawah batas minimal (tingkat "&amp;Aturan!$C$36&amp;")",IF(K61="Cukup","prosesor tingkat "&amp;C61&amp;" dari 5 cukup, nyamannya mulai tingkat "&amp;Aturan!$D$36,IF(K61="Belum ada data","tingkat prosesor belum diisi",""))))</f>
        <v/>
      </c>
      <c r="S61" s="33" t="str">
        <f aca="false">IF($A61="","",IF(L61="Kurang","grafis tingkat "&amp;D61&amp;" dari 5, di bawah batas minimal (tingkat "&amp;Aturan!$C$37&amp;")",IF(L61="Cukup","grafis tingkat "&amp;D61&amp;" dari 5 cukup, nyamannya mulai tingkat "&amp;Aturan!$D$37,IF(L61="Belum ada data","tingkat grafis belum diisi",""))))</f>
        <v/>
      </c>
      <c r="T61" s="33" t="str">
        <f aca="false">IF($A61="","",IF(M61="Kurang","RAM "&amp;E61&amp;" GB, di bawah batas minimal "&amp;Aturan!$C$38&amp;" GB ("&amp;I61&amp;")",IF(M61="Cukup","RAM "&amp;E61&amp;" GB cukup, nyamannya "&amp;Aturan!$D$38&amp;" GB atau lebih ("&amp;I61&amp;")",IF(M61="Belum ada data","ukuran RAM belum diisi",""))))</f>
        <v/>
      </c>
      <c r="U61" s="33" t="str">
        <f aca="false">IF($A61="","",IF(N61="Kurang","penyimpanan "&amp;F61&amp;" GB, di bawah batas minimal "&amp;Aturan!$C$39&amp;" GB ("&amp;J61&amp;")",IF(N61="Cukup","penyimpanan "&amp;F61&amp;" GB cukup, nyamannya "&amp;Aturan!$D$39&amp;" GB atau lebih ("&amp;J61&amp;")",IF(N61="Belum ada data","ukuran penyimpanan belum diisi",""))))</f>
        <v/>
      </c>
      <c r="V61" s="33" t="str">
        <f aca="false">IF($A61="","",IF(O61="Kurang","layar "&amp;Varian!$AG16&amp;", di bawah batas minimal ("&amp;IFERROR(INDEX(Aturan!$A$63:$A$66,MATCH(Aturan!$C$40,Aturan!$B$63:$B$66,0)),"peringkat "&amp;Aturan!$C$40)&amp;")",IF(O61="Cukup","layar "&amp;Varian!$AG16&amp;" cukup, nyamannya "&amp;IFERROR(INDEX(Aturan!$A$63:$A$66,MATCH(Aturan!$D$40,Aturan!$B$63:$B$66,0)),"peringkat "&amp;Aturan!$D$40),IF(O61="Belum ada data","jenis layar belum diketahui",""))))</f>
        <v>layar IPS cukup, nyamannya OLED</v>
      </c>
      <c r="W61" s="33" t="str">
        <f aca="false">IF($A61="","",IF(P61="Kurang","layar "&amp;H61&amp;" Hz, di bawah batas minimal "&amp;Aturan!$C$41&amp;" Hz",IF(P61="Cukup","layar "&amp;H61&amp;" Hz cukup, nyamannya "&amp;Aturan!$D$41&amp;" Hz atau lebih",IF(P61="Belum ada data","refresh rate belum diketahui",""))))</f>
        <v/>
      </c>
      <c r="X61" s="33" t="str">
        <f aca="false">IF($A61="","",IF(K61="Kurang",R61&amp;"; ","")&amp;IF(L61="Kurang",S61&amp;"; ","")&amp;IF(M61="Kurang",T61&amp;"; ","")&amp;IF(N61="Kurang",U61&amp;"; ","")&amp;IF(O61="Kurang",V61&amp;"; ","")&amp;IF(P61="Kurang",W61&amp;"; ","")&amp;IF(K61="Belum ada data",R61&amp;"; ","")&amp;IF(L61="Belum ada data",S61&amp;"; ","")&amp;IF(M61="Belum ada data",T61&amp;"; ","")&amp;IF(N61="Belum ada data",U61&amp;"; ","")&amp;IF(O61="Belum ada data",V61&amp;"; ","")&amp;IF(P61="Belum ada data",W61&amp;"; ","")&amp;IF(K61="Cukup",R61&amp;"; ","")&amp;IF(L61="Cukup",S61&amp;"; ","")&amp;IF(M61="Cukup",T61&amp;"; ","")&amp;IF(N61="Cukup",U61&amp;"; ","")&amp;IF(O61="Cukup",V61&amp;"; ","")&amp;IF(P61="Cukup",W61&amp;"; ",""))</f>
        <v>layar IPS cukup, nyamannya OLED; </v>
      </c>
      <c r="Y61" s="33" t="str">
        <f aca="false">IF($A61="","",IF(K61="Nyaman","prosesor, ","")&amp;IF(L61="Nyaman","grafis, ","")&amp;IF(M61="Nyaman","RAM, ","")&amp;IF(N61="Nyaman","penyimpanan, ","")&amp;IF(O61="Nyaman","layar, ","")&amp;IF(P61="Nyaman","refresh rate, ",""))</f>
        <v>prosesor, grafis, RAM, penyimpanan, </v>
      </c>
      <c r="Z61" s="33" t="str">
        <f aca="false">IF($A61="","",IF(Q61="Tidak dinilai","Belum ada kriteria yang dinilai untuk kebutuhan ini.",IF(Q61="Cocok","Semua kriteria yang dinilai sudah nyaman: "&amp;LEFT(Y61,LEN(Y61)-2)&amp;".",UPPER(LEFT(X61,1))&amp;MID(X61,2,LEN(X61)-3)&amp;"."&amp;IF(Y61="",""," Sudah nyaman: "&amp;LEFT(Y61,LEN(Y61)-2)&amp;"."))))</f>
        <v>Layar IPS cukup, nyamannya OLED. Sudah nyaman: prosesor, grafis, RAM, penyimpanan.</v>
      </c>
      <c r="AA61" s="33"/>
      <c r="AB61" s="33"/>
      <c r="AC61" s="69"/>
    </row>
    <row r="62" customFormat="false" ht="15" hidden="false" customHeight="true" outlineLevel="0" collapsed="false">
      <c r="A62" s="33" t="str">
        <f aca="false">IF(Varian!$A16="","",Varian!$A16)</f>
        <v>lenovo-ideapad-slim-3-14iah8-i5-12450h-16-512</v>
      </c>
      <c r="B62" s="33" t="str">
        <f aca="false">IF($A62="","",Aturan!$A$23)</f>
        <v>Pemrograman</v>
      </c>
      <c r="C62" s="69" t="n">
        <f aca="false">IF($A62="","",IFERROR(IF(ISNUMBER(INDEX(CPU!$J$4:$J$64,MATCH(Varian!$J16,CPU!$A$4:$A$64,0))),INDEX(CPU!$J$4:$J$64,MATCH(Varian!$J16,CPU!$A$4:$A$64,0)),""),""))</f>
        <v>3</v>
      </c>
      <c r="D62" s="69" t="n">
        <f aca="false">IF($A62="","",IFERROR(IF(ISNUMBER(INDEX(GPU!$G$4:$G$64,MATCH(Varian!$K16,GPU!$A$4:$A$64,0))),INDEX(GPU!$G$4:$G$64,MATCH(Varian!$K16,GPU!$A$4:$A$64,0)),""),""))</f>
        <v>2</v>
      </c>
      <c r="E62" s="69" t="n">
        <f aca="false">IF($A62="","",IF(ISNUMBER(Varian!$M16),Varian!$M16,""))</f>
        <v>16</v>
      </c>
      <c r="F62" s="69" t="n">
        <f aca="false">IF($A62="","",IF(ISNUMBER(Varian!$V16),Varian!$V16,""))</f>
        <v>512</v>
      </c>
      <c r="G62" s="69" t="n">
        <f aca="false">IF($A62="","",IFERROR(INDEX(Aturan!$B$63:$B$66,MATCH(Varian!$AG16,Aturan!$A$63:$A$66,0)),""))</f>
        <v>3</v>
      </c>
      <c r="H62" s="69" t="n">
        <f aca="false">IF($A62="","",IF(ISNUMBER(Varian!$AI16),Varian!$AI16,""))</f>
        <v>60</v>
      </c>
      <c r="I62" s="33" t="str">
        <f aca="false">IF($A62="","",IF(Varian!$Q16="disolder","menempel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2" s="33" t="str">
        <f aca="false">IF($A62="","",IF(Varian!$Z16="ya","bisa diganti dengan yang lebih besar",IF(Varian!$Z16="tidak","menempel, tidak bisa diganti","belum diketahui apakah bisa diganti")))</f>
        <v>bisa diganti dengan yang lebih besar</v>
      </c>
      <c r="K62" s="70" t="str">
        <f aca="false">IF($A62="","",IF(AND(Aturan!$C$42="",Aturan!$D$42=""),"Tidak dinilai",IF(C62="","Belum ada data",IF(C62&lt;IF(Aturan!$C$42="",0,Aturan!$C$42),"Kurang",IF(C62&gt;=IF(Aturan!$D$42="",Aturan!$C$42,Aturan!$D$42),"Nyaman","Cukup")))))</f>
        <v>Nyaman</v>
      </c>
      <c r="L62" s="70" t="str">
        <f aca="false">IF($A62="","",IF(AND(Aturan!$C$43="",Aturan!$D$43=""),"Tidak dinilai",IF(D62="","Belum ada data",IF(D62&lt;IF(Aturan!$C$43="",0,Aturan!$C$43),"Kurang",IF(D62&gt;=IF(Aturan!$D$43="",Aturan!$C$43,Aturan!$D$43),"Nyaman","Cukup")))))</f>
        <v>Tidak dinilai</v>
      </c>
      <c r="M62" s="70" t="str">
        <f aca="false">IF($A62="","",IF(AND(Aturan!$C$44="",Aturan!$D$44=""),"Tidak dinilai",IF(E62="","Belum ada data",IF(E62&lt;IF(Aturan!$C$44="",0,Aturan!$C$44),"Kurang",IF(E62&gt;=IF(Aturan!$D$44="",Aturan!$C$44,Aturan!$D$44),"Nyaman","Cukup")))))</f>
        <v>Nyaman</v>
      </c>
      <c r="N62" s="70" t="str">
        <f aca="false">IF($A62="","",IF(AND(Aturan!$C$45="",Aturan!$D$45=""),"Tidak dinilai",IF(F62="","Belum ada data",IF(F62&lt;IF(Aturan!$C$45="",0,Aturan!$C$45),"Kurang",IF(F62&gt;=IF(Aturan!$D$45="",Aturan!$C$45,Aturan!$D$45),"Nyaman","Cukup")))))</f>
        <v>Nyaman</v>
      </c>
      <c r="O62" s="70" t="str">
        <f aca="false">IF($A62="","",IF(AND(Aturan!$C$46="",Aturan!$D$46=""),"Tidak dinilai",IF(G62="","Belum ada data",IF(G62&lt;IF(Aturan!$C$46="",0,Aturan!$C$46),"Kurang",IF(G62&gt;=IF(Aturan!$D$46="",Aturan!$C$46,Aturan!$D$46),"Nyaman","Cukup")))))</f>
        <v>Tidak dinilai</v>
      </c>
      <c r="P62" s="70" t="str">
        <f aca="false">IF($A62="","",IF(AND(Aturan!$C$47="",Aturan!$D$47=""),"Tidak dinilai",IF(H62="","Belum ada data",IF(H62&lt;IF(Aturan!$C$47="",0,Aturan!$C$47),"Kurang",IF(H62&gt;=IF(Aturan!$D$47="",Aturan!$C$47,Aturan!$D$47),"Nyaman","Cukup")))))</f>
        <v>Tidak dinilai</v>
      </c>
      <c r="Q62" s="70" t="str">
        <f aca="false">IF($A62="","",IF(COUNTIF(K62:P62,"Tidak dinilai")=6,"Tidak dinilai",IF(COUNTIF(K62:P62,"Kurang")&gt;0,"Kurang cocok",IF(COUNTIF(K62:P62,"Belum ada data")&gt;0,"Data belum lengkap",IF(COUNTIF(K62:P62,"Cukup")&gt;0,"Bisa, dengan catatan","Cocok")))))</f>
        <v>Cocok</v>
      </c>
      <c r="R62" s="33" t="str">
        <f aca="false">IF($A62="","",IF(K62="Kurang","prosesor tingkat "&amp;C62&amp;" dari 5, di bawah batas minimal (tingkat "&amp;Aturan!$C$42&amp;")",IF(K62="Cukup","prosesor tingkat "&amp;C62&amp;" dari 5 cukup, nyamannya mulai tingkat "&amp;Aturan!$D$42,IF(K62="Belum ada data","tingkat prosesor belum diisi",""))))</f>
        <v/>
      </c>
      <c r="S62" s="33" t="str">
        <f aca="false">IF($A62="","",IF(L62="Kurang","grafis tingkat "&amp;D62&amp;" dari 5, di bawah batas minimal (tingkat "&amp;Aturan!$C$43&amp;")",IF(L62="Cukup","grafis tingkat "&amp;D62&amp;" dari 5 cukup, nyamannya mulai tingkat "&amp;Aturan!$D$43,IF(L62="Belum ada data","tingkat grafis belum diisi",""))))</f>
        <v/>
      </c>
      <c r="T62" s="33" t="str">
        <f aca="false">IF($A62="","",IF(M62="Kurang","RAM "&amp;E62&amp;" GB, di bawah batas minimal "&amp;Aturan!$C$44&amp;" GB ("&amp;I62&amp;")",IF(M62="Cukup","RAM "&amp;E62&amp;" GB cukup, nyamannya "&amp;Aturan!$D$44&amp;" GB atau lebih ("&amp;I62&amp;")",IF(M62="Belum ada data","ukuran RAM belum diisi",""))))</f>
        <v/>
      </c>
      <c r="U62" s="33" t="str">
        <f aca="false">IF($A62="","",IF(N62="Kurang","penyimpanan "&amp;F62&amp;" GB, di bawah batas minimal "&amp;Aturan!$C$45&amp;" GB ("&amp;J62&amp;")",IF(N62="Cukup","penyimpanan "&amp;F62&amp;" GB cukup, nyamannya "&amp;Aturan!$D$45&amp;" GB atau lebih ("&amp;J62&amp;")",IF(N62="Belum ada data","ukuran penyimpanan belum diisi",""))))</f>
        <v/>
      </c>
      <c r="V62" s="33" t="str">
        <f aca="false">IF($A62="","",IF(O62="Kurang","layar "&amp;Varian!$AG16&amp;", di bawah batas minimal ("&amp;IFERROR(INDEX(Aturan!$A$63:$A$66,MATCH(Aturan!$C$46,Aturan!$B$63:$B$66,0)),"peringkat "&amp;Aturan!$C$46)&amp;")",IF(O62="Cukup","layar "&amp;Varian!$AG16&amp;" cukup, nyamannya "&amp;IFERROR(INDEX(Aturan!$A$63:$A$66,MATCH(Aturan!$D$46,Aturan!$B$63:$B$66,0)),"peringkat "&amp;Aturan!$D$46),IF(O62="Belum ada data","jenis layar belum diketahui",""))))</f>
        <v/>
      </c>
      <c r="W62" s="33" t="str">
        <f aca="false">IF($A62="","",IF(P62="Kurang","layar "&amp;H62&amp;" Hz, di bawah batas minimal "&amp;Aturan!$C$47&amp;" Hz",IF(P62="Cukup","layar "&amp;H62&amp;" Hz cukup, nyamannya "&amp;Aturan!$D$47&amp;" Hz atau lebih",IF(P62="Belum ada data","refresh rate belum diketahui",""))))</f>
        <v/>
      </c>
      <c r="X62" s="33" t="str">
        <f aca="false">IF($A62="","",IF(K62="Kurang",R62&amp;"; ","")&amp;IF(L62="Kurang",S62&amp;"; ","")&amp;IF(M62="Kurang",T62&amp;"; ","")&amp;IF(N62="Kurang",U62&amp;"; ","")&amp;IF(O62="Kurang",V62&amp;"; ","")&amp;IF(P62="Kurang",W62&amp;"; ","")&amp;IF(K62="Belum ada data",R62&amp;"; ","")&amp;IF(L62="Belum ada data",S62&amp;"; ","")&amp;IF(M62="Belum ada data",T62&amp;"; ","")&amp;IF(N62="Belum ada data",U62&amp;"; ","")&amp;IF(O62="Belum ada data",V62&amp;"; ","")&amp;IF(P62="Belum ada data",W62&amp;"; ","")&amp;IF(K62="Cukup",R62&amp;"; ","")&amp;IF(L62="Cukup",S62&amp;"; ","")&amp;IF(M62="Cukup",T62&amp;"; ","")&amp;IF(N62="Cukup",U62&amp;"; ","")&amp;IF(O62="Cukup",V62&amp;"; ","")&amp;IF(P62="Cukup",W62&amp;"; ",""))</f>
        <v/>
      </c>
      <c r="Y62" s="33" t="str">
        <f aca="false">IF($A62="","",IF(K62="Nyaman","prosesor, ","")&amp;IF(L62="Nyaman","grafis, ","")&amp;IF(M62="Nyaman","RAM, ","")&amp;IF(N62="Nyaman","penyimpanan, ","")&amp;IF(O62="Nyaman","layar, ","")&amp;IF(P62="Nyaman","refresh rate, ",""))</f>
        <v>prosesor, RAM, penyimpanan, </v>
      </c>
      <c r="Z62" s="33" t="str">
        <f aca="false">IF($A62="","",IF(Q62="Tidak dinilai","Belum ada kriteria yang dinilai untuk kebutuhan ini.",IF(Q62="Cocok","Semua kriteria yang dinilai sudah nyaman: "&amp;LEFT(Y62,LEN(Y62)-2)&amp;".",UPPER(LEFT(X62,1))&amp;MID(X62,2,LEN(X62)-3)&amp;"."&amp;IF(Y62="",""," Sudah nyaman: "&amp;LEFT(Y62,LEN(Y62)-2)&amp;"."))))</f>
        <v>Semua kriteria yang dinilai sudah nyaman: prosesor, RAM, penyimpanan.</v>
      </c>
      <c r="AA62" s="33"/>
      <c r="AB62" s="33"/>
      <c r="AC62" s="69"/>
    </row>
    <row r="63" customFormat="false" ht="15" hidden="false" customHeight="true" outlineLevel="0" collapsed="false">
      <c r="A63" s="33" t="str">
        <f aca="false">IF(Varian!$A16="","",Varian!$A16)</f>
        <v>lenovo-ideapad-slim-3-14iah8-i5-12450h-16-512</v>
      </c>
      <c r="B63" s="33" t="str">
        <f aca="false">IF($A63="","",Aturan!$A$24)</f>
        <v>Game ringan</v>
      </c>
      <c r="C63" s="69" t="n">
        <f aca="false">IF($A63="","",IFERROR(IF(ISNUMBER(INDEX(CPU!$J$4:$J$64,MATCH(Varian!$J16,CPU!$A$4:$A$64,0))),INDEX(CPU!$J$4:$J$64,MATCH(Varian!$J16,CPU!$A$4:$A$64,0)),""),""))</f>
        <v>3</v>
      </c>
      <c r="D63" s="69" t="n">
        <f aca="false">IF($A63="","",IFERROR(IF(ISNUMBER(INDEX(GPU!$G$4:$G$64,MATCH(Varian!$K16,GPU!$A$4:$A$64,0))),INDEX(GPU!$G$4:$G$64,MATCH(Varian!$K16,GPU!$A$4:$A$64,0)),""),""))</f>
        <v>2</v>
      </c>
      <c r="E63" s="69" t="n">
        <f aca="false">IF($A63="","",IF(ISNUMBER(Varian!$M16),Varian!$M16,""))</f>
        <v>16</v>
      </c>
      <c r="F63" s="69" t="n">
        <f aca="false">IF($A63="","",IF(ISNUMBER(Varian!$V16),Varian!$V16,""))</f>
        <v>512</v>
      </c>
      <c r="G63" s="69" t="n">
        <f aca="false">IF($A63="","",IFERROR(INDEX(Aturan!$B$63:$B$66,MATCH(Varian!$AG16,Aturan!$A$63:$A$66,0)),""))</f>
        <v>3</v>
      </c>
      <c r="H63" s="69" t="n">
        <f aca="false">IF($A63="","",IF(ISNUMBER(Varian!$AI16),Varian!$AI16,""))</f>
        <v>60</v>
      </c>
      <c r="I63" s="33" t="str">
        <f aca="false">IF($A63="","",IF(Varian!$Q16="disolder","menempel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3" s="33" t="str">
        <f aca="false">IF($A63="","",IF(Varian!$Z16="ya","bisa diganti dengan yang lebih besar",IF(Varian!$Z16="tidak","menempel, tidak bisa diganti","belum diketahui apakah bisa diganti")))</f>
        <v>bisa diganti dengan yang lebih besar</v>
      </c>
      <c r="K63" s="70" t="str">
        <f aca="false">IF($A63="","",IF(AND(Aturan!$C$48="",Aturan!$D$48=""),"Tidak dinilai",IF(C63="","Belum ada data",IF(C63&lt;IF(Aturan!$C$48="",0,Aturan!$C$48),"Kurang",IF(C63&gt;=IF(Aturan!$D$48="",Aturan!$C$48,Aturan!$D$48),"Nyaman","Cukup")))))</f>
        <v>Nyaman</v>
      </c>
      <c r="L63" s="70" t="str">
        <f aca="false">IF($A63="","",IF(AND(Aturan!$C$49="",Aturan!$D$49=""),"Tidak dinilai",IF(D63="","Belum ada data",IF(D63&lt;IF(Aturan!$C$49="",0,Aturan!$C$49),"Kurang",IF(D63&gt;=IF(Aturan!$D$49="",Aturan!$C$49,Aturan!$D$49),"Nyaman","Cukup")))))</f>
        <v>Nyaman</v>
      </c>
      <c r="M63" s="70" t="str">
        <f aca="false">IF($A63="","",IF(AND(Aturan!$C$50="",Aturan!$D$50=""),"Tidak dinilai",IF(E63="","Belum ada data",IF(E63&lt;IF(Aturan!$C$50="",0,Aturan!$C$50),"Kurang",IF(E63&gt;=IF(Aturan!$D$50="",Aturan!$C$50,Aturan!$D$50),"Nyaman","Cukup")))))</f>
        <v>Nyaman</v>
      </c>
      <c r="N63" s="70" t="str">
        <f aca="false">IF($A63="","",IF(AND(Aturan!$C$51="",Aturan!$D$51=""),"Tidak dinilai",IF(F63="","Belum ada data",IF(F63&lt;IF(Aturan!$C$51="",0,Aturan!$C$51),"Kurang",IF(F63&gt;=IF(Aturan!$D$51="",Aturan!$C$51,Aturan!$D$51),"Nyaman","Cukup")))))</f>
        <v>Nyaman</v>
      </c>
      <c r="O63" s="70" t="str">
        <f aca="false">IF($A63="","",IF(AND(Aturan!$C$52="",Aturan!$D$52=""),"Tidak dinilai",IF(G63="","Belum ada data",IF(G63&lt;IF(Aturan!$C$52="",0,Aturan!$C$52),"Kurang",IF(G63&gt;=IF(Aturan!$D$52="",Aturan!$C$52,Aturan!$D$52),"Nyaman","Cukup")))))</f>
        <v>Tidak dinilai</v>
      </c>
      <c r="P63" s="70" t="str">
        <f aca="false">IF($A63="","",IF(AND(Aturan!$C$53="",Aturan!$D$53=""),"Tidak dinilai",IF(H63="","Belum ada data",IF(H63&lt;IF(Aturan!$C$53="",0,Aturan!$C$53),"Kurang",IF(H63&gt;=IF(Aturan!$D$53="",Aturan!$C$53,Aturan!$D$53),"Nyaman","Cukup")))))</f>
        <v>Tidak dinilai</v>
      </c>
      <c r="Q63" s="70" t="str">
        <f aca="false">IF($A63="","",IF(COUNTIF(K63:P63,"Tidak dinilai")=6,"Tidak dinilai",IF(COUNTIF(K63:P63,"Kurang")&gt;0,"Kurang cocok",IF(COUNTIF(K63:P63,"Belum ada data")&gt;0,"Data belum lengkap",IF(COUNTIF(K63:P63,"Cukup")&gt;0,"Bisa, dengan catatan","Cocok")))))</f>
        <v>Cocok</v>
      </c>
      <c r="R63" s="33" t="str">
        <f aca="false">IF($A63="","",IF(K63="Kurang","prosesor tingkat "&amp;C63&amp;" dari 5, di bawah batas minimal (tingkat "&amp;Aturan!$C$48&amp;")",IF(K63="Cukup","prosesor tingkat "&amp;C63&amp;" dari 5 cukup, nyamannya mulai tingkat "&amp;Aturan!$D$48,IF(K63="Belum ada data","tingkat prosesor belum diisi",""))))</f>
        <v/>
      </c>
      <c r="S63" s="33" t="str">
        <f aca="false">IF($A63="","",IF(L63="Kurang","grafis tingkat "&amp;D63&amp;" dari 5, di bawah batas minimal (tingkat "&amp;Aturan!$C$49&amp;")",IF(L63="Cukup","grafis tingkat "&amp;D63&amp;" dari 5 cukup, nyamannya mulai tingkat "&amp;Aturan!$D$49,IF(L63="Belum ada data","tingkat grafis belum diisi",""))))</f>
        <v/>
      </c>
      <c r="T63" s="33" t="str">
        <f aca="false">IF($A63="","",IF(M63="Kurang","RAM "&amp;E63&amp;" GB, di bawah batas minimal "&amp;Aturan!$C$50&amp;" GB ("&amp;I63&amp;")",IF(M63="Cukup","RAM "&amp;E63&amp;" GB cukup, nyamannya "&amp;Aturan!$D$50&amp;" GB atau lebih ("&amp;I63&amp;")",IF(M63="Belum ada data","ukuran RAM belum diisi",""))))</f>
        <v/>
      </c>
      <c r="U63" s="33" t="str">
        <f aca="false">IF($A63="","",IF(N63="Kurang","penyimpanan "&amp;F63&amp;" GB, di bawah batas minimal "&amp;Aturan!$C$51&amp;" GB ("&amp;J63&amp;")",IF(N63="Cukup","penyimpanan "&amp;F63&amp;" GB cukup, nyamannya "&amp;Aturan!$D$51&amp;" GB atau lebih ("&amp;J63&amp;")",IF(N63="Belum ada data","ukuran penyimpanan belum diisi",""))))</f>
        <v/>
      </c>
      <c r="V63" s="33" t="str">
        <f aca="false">IF($A63="","",IF(O63="Kurang","layar "&amp;Varian!$AG16&amp;", di bawah batas minimal ("&amp;IFERROR(INDEX(Aturan!$A$63:$A$66,MATCH(Aturan!$C$52,Aturan!$B$63:$B$66,0)),"peringkat "&amp;Aturan!$C$52)&amp;")",IF(O63="Cukup","layar "&amp;Varian!$AG16&amp;" cukup, nyamannya "&amp;IFERROR(INDEX(Aturan!$A$63:$A$66,MATCH(Aturan!$D$52,Aturan!$B$63:$B$66,0)),"peringkat "&amp;Aturan!$D$52),IF(O63="Belum ada data","jenis layar belum diketahui",""))))</f>
        <v/>
      </c>
      <c r="W63" s="33" t="str">
        <f aca="false">IF($A63="","",IF(P63="Kurang","layar "&amp;H63&amp;" Hz, di bawah batas minimal "&amp;Aturan!$C$53&amp;" Hz",IF(P63="Cukup","layar "&amp;H63&amp;" Hz cukup, nyamannya "&amp;Aturan!$D$53&amp;" Hz atau lebih",IF(P63="Belum ada data","refresh rate belum diketahui",""))))</f>
        <v/>
      </c>
      <c r="X63" s="33" t="str">
        <f aca="false">IF($A63="","",IF(K63="Kurang",R63&amp;"; ","")&amp;IF(L63="Kurang",S63&amp;"; ","")&amp;IF(M63="Kurang",T63&amp;"; ","")&amp;IF(N63="Kurang",U63&amp;"; ","")&amp;IF(O63="Kurang",V63&amp;"; ","")&amp;IF(P63="Kurang",W63&amp;"; ","")&amp;IF(K63="Belum ada data",R63&amp;"; ","")&amp;IF(L63="Belum ada data",S63&amp;"; ","")&amp;IF(M63="Belum ada data",T63&amp;"; ","")&amp;IF(N63="Belum ada data",U63&amp;"; ","")&amp;IF(O63="Belum ada data",V63&amp;"; ","")&amp;IF(P63="Belum ada data",W63&amp;"; ","")&amp;IF(K63="Cukup",R63&amp;"; ","")&amp;IF(L63="Cukup",S63&amp;"; ","")&amp;IF(M63="Cukup",T63&amp;"; ","")&amp;IF(N63="Cukup",U63&amp;"; ","")&amp;IF(O63="Cukup",V63&amp;"; ","")&amp;IF(P63="Cukup",W63&amp;"; ",""))</f>
        <v/>
      </c>
      <c r="Y63" s="33" t="str">
        <f aca="false">IF($A63="","",IF(K63="Nyaman","prosesor, ","")&amp;IF(L63="Nyaman","grafis, ","")&amp;IF(M63="Nyaman","RAM, ","")&amp;IF(N63="Nyaman","penyimpanan, ","")&amp;IF(O63="Nyaman","layar, ","")&amp;IF(P63="Nyaman","refresh rate, ",""))</f>
        <v>prosesor, grafis, RAM, penyimpanan, </v>
      </c>
      <c r="Z63" s="33" t="str">
        <f aca="false">IF($A63="","",IF(Q63="Tidak dinilai","Belum ada kriteria yang dinilai untuk kebutuhan ini.",IF(Q63="Cocok","Semua kriteria yang dinilai sudah nyaman: "&amp;LEFT(Y63,LEN(Y63)-2)&amp;".",UPPER(LEFT(X63,1))&amp;MID(X63,2,LEN(X63)-3)&amp;"."&amp;IF(Y63="",""," Sudah nyaman: "&amp;LEFT(Y63,LEN(Y63)-2)&amp;"."))))</f>
        <v>Semua kriteria yang dinilai sudah nyaman: prosesor, grafis, RAM, penyimpanan.</v>
      </c>
      <c r="AA63" s="33"/>
      <c r="AB63" s="33"/>
      <c r="AC63" s="69"/>
    </row>
    <row r="64" customFormat="false" ht="15" hidden="false" customHeight="true" outlineLevel="0" collapsed="false">
      <c r="A64" s="33" t="str">
        <f aca="false">IF(Varian!$A16="","",Varian!$A16)</f>
        <v>lenovo-ideapad-slim-3-14iah8-i5-12450h-16-512</v>
      </c>
      <c r="B64" s="33" t="str">
        <f aca="false">IF($A64="","",Aturan!$A$25)</f>
        <v>Game berat</v>
      </c>
      <c r="C64" s="69" t="n">
        <f aca="false">IF($A64="","",IFERROR(IF(ISNUMBER(INDEX(CPU!$J$4:$J$64,MATCH(Varian!$J16,CPU!$A$4:$A$64,0))),INDEX(CPU!$J$4:$J$64,MATCH(Varian!$J16,CPU!$A$4:$A$64,0)),""),""))</f>
        <v>3</v>
      </c>
      <c r="D64" s="69" t="n">
        <f aca="false">IF($A64="","",IFERROR(IF(ISNUMBER(INDEX(GPU!$G$4:$G$64,MATCH(Varian!$K16,GPU!$A$4:$A$64,0))),INDEX(GPU!$G$4:$G$64,MATCH(Varian!$K16,GPU!$A$4:$A$64,0)),""),""))</f>
        <v>2</v>
      </c>
      <c r="E64" s="69" t="n">
        <f aca="false">IF($A64="","",IF(ISNUMBER(Varian!$M16),Varian!$M16,""))</f>
        <v>16</v>
      </c>
      <c r="F64" s="69" t="n">
        <f aca="false">IF($A64="","",IF(ISNUMBER(Varian!$V16),Varian!$V16,""))</f>
        <v>512</v>
      </c>
      <c r="G64" s="69" t="n">
        <f aca="false">IF($A64="","",IFERROR(INDEX(Aturan!$B$63:$B$66,MATCH(Varian!$AG16,Aturan!$A$63:$A$66,0)),""))</f>
        <v>3</v>
      </c>
      <c r="H64" s="69" t="n">
        <f aca="false">IF($A64="","",IF(ISNUMBER(Varian!$AI16),Varian!$AI16,""))</f>
        <v>60</v>
      </c>
      <c r="I64" s="33" t="str">
        <f aca="false">IF($A64="","",IF(Varian!$Q16="disolder","menempel di papan utama, tidak bisa ditambah",IF(OR(Varian!$Q16="slot",Varian!$Q16="setengah_disolder"),IF(Varian!$Q16="setengah_disolder","sebagian menempel, ","")&amp;IF(ISNUMBER(Varian!$U16),IF(AND(ISNUMBER(Varian!$M16),Varian!$U16&gt;Varian!$M16),"bisa dinaikkan lewat slot sampai "&amp;Varian!$U16&amp;" GB","sudah di batas maksimal "&amp;Varian!$U16&amp;" GB"),"ada slot, batas maksimalnya belum diketahui"),"belum diketahui apakah bisa ditambah")))</f>
        <v>menempel di papan utama, tidak bisa ditambah</v>
      </c>
      <c r="J64" s="33" t="str">
        <f aca="false">IF($A64="","",IF(Varian!$Z16="ya","bisa diganti dengan yang lebih besar",IF(Varian!$Z16="tidak","menempel, tidak bisa diganti","belum diketahui apakah bisa diganti")))</f>
        <v>bisa diganti dengan yang lebih besar</v>
      </c>
      <c r="K64" s="70" t="str">
        <f aca="false">IF($A64="","",IF(AND(Aturan!$C$54="",Aturan!$D$54=""),"Tidak dinilai",IF(C64="","Belum ada data",IF(C64&lt;IF(Aturan!$C$54="",0,Aturan!$C$54),"Kurang",IF(C64&gt;=IF(Aturan!$D$54="",Aturan!$C$54,Aturan!$D$54),"Nyaman","Cukup")))))</f>
        <v>Cukup</v>
      </c>
      <c r="L64" s="70" t="str">
        <f aca="false">IF($A64="","",IF(AND(Aturan!$C$55="",Aturan!$D$55=""),"Tidak dinilai",IF(D64="","Belum ada data",IF(D64&lt;IF(Aturan!$C$55="",0,Aturan!$C$55),"Kurang",IF(D64&gt;=IF(Aturan!$D$55="",Aturan!$C$55,Aturan!$D$55),"Nyaman","Cukup")))))</f>
        <v>Kurang</v>
      </c>
      <c r="M64" s="70" t="str">
        <f aca="false">IF($A64="","",IF(AND(Aturan!$C$56="",Aturan!$D$56=""),"Tidak dinilai",IF(E64="","Belum ada data",IF(E64&lt;IF(Aturan!$C$56="",0,Aturan!$C$56),"Kurang",IF(E64&gt;=IF(Aturan!$D$56="",Aturan!$C$56,Aturan!$D$56),"Nyaman","Cukup")))))</f>
        <v>Nyaman</v>
      </c>
      <c r="N64" s="70" t="str">
        <f aca="false">IF($A64="","",IF(AND(Aturan!$C$57="",Aturan!$D$57=""),"Tidak dinilai",IF(F64="","Belum ada data",IF(F64&lt;IF(Aturan!$C$57="",0,Aturan!$C$57),"Kurang",IF(F64&gt;=IF(Aturan!$D$57="",Aturan!$C$57,Aturan!$D$57),"Nyaman","Cukup")))))</f>
        <v>Cukup</v>
      </c>
      <c r="O64" s="70" t="str">
        <f aca="false">IF($A64="","",IF(AND(Aturan!$C$58="",Aturan!$D$58=""),"Tidak dinilai",IF(G64="","Belum ada data",IF(G64&lt;IF(Aturan!$C$58="",0,Aturan!$C$58),"Kurang",IF(G64&gt;=IF(Aturan!$D$58="",Aturan!$C$58,Aturan!$D$58),"Nyaman","Cukup")))))</f>
        <v>Tidak dinilai</v>
      </c>
      <c r="P64" s="70" t="str">
        <f aca="false">IF($A64="","",IF(AND(Aturan!$C$59="",Aturan!$D$59=""),"Tidak dinilai",IF(H64="","Belum ada data",IF(H64&lt;IF(Aturan!$C$59="",0,Aturan!$C$59),"Kurang",IF(H64&gt;=IF(Aturan!$D$59="",Aturan!$C$59,Aturan!$D$59),"Nyaman","Cukup")))))</f>
        <v>Cukup</v>
      </c>
      <c r="Q64" s="70" t="str">
        <f aca="false">IF($A64="","",IF(COUNTIF(K64:P64,"Tidak dinilai")=6,"Tidak dinilai",IF(COUNTIF(K64:P64,"Kurang")&gt;0,"Kurang cocok",IF(COUNTIF(K64:P64,"Belum ada data")&gt;0,"Data belum lengkap",IF(COUNTIF(K64:P64,"Cukup")&gt;0,"Bisa, dengan catatan","Cocok")))))</f>
        <v>Kurang cocok</v>
      </c>
      <c r="R64" s="33" t="str">
        <f aca="false">IF($A64="","",IF(K64="Kurang","prosesor tingkat "&amp;C64&amp;" dari 5, di bawah batas minimal (tingkat "&amp;Aturan!$C$54&amp;")",IF(K64="Cukup","prosesor tingkat "&amp;C64&amp;" dari 5 cukup, nyamannya mulai tingkat "&amp;Aturan!$D$54,IF(K64="Belum ada data","tingkat prosesor belum diisi",""))))</f>
        <v>prosesor tingkat 3 dari 5 cukup, nyamannya mulai tingkat 4</v>
      </c>
      <c r="S64" s="33" t="str">
        <f aca="false">IF($A64="","",IF(L64="Kurang","grafis tingkat "&amp;D64&amp;" dari 5, di bawah batas minimal (tingkat "&amp;Aturan!$C$55&amp;")",IF(L64="Cukup","grafis tingkat "&amp;D64&amp;" dari 5 cukup, nyamannya mulai tingkat "&amp;Aturan!$D$55,IF(L64="Belum ada data","tingkat grafis belum diisi",""))))</f>
        <v>grafis tingkat 2 dari 5, di bawah batas minimal (tingkat 3)</v>
      </c>
      <c r="T64" s="33" t="str">
        <f aca="false">IF($A64="","",IF(M64="Kurang","RAM "&amp;E64&amp;" GB, di bawah batas minimal "&amp;Aturan!$C$56&amp;" GB ("&amp;I64&amp;")",IF(M64="Cukup","RAM "&amp;E64&amp;" GB cukup, nyamannya "&amp;Aturan!$D$56&amp;" GB atau lebih ("&amp;I64&amp;")",IF(M64="Belum ada data","ukuran RAM belum diisi",""))))</f>
        <v/>
      </c>
      <c r="U64" s="33" t="str">
        <f aca="false">IF($A64="","",IF(N64="Kurang","penyimpanan "&amp;F64&amp;" GB, di bawah batas minimal "&amp;Aturan!$C$57&amp;" GB ("&amp;J64&amp;")",IF(N64="Cukup","penyimpanan "&amp;F64&amp;" GB cukup, nyamannya "&amp;Aturan!$D$57&amp;" GB atau lebih ("&amp;J64&amp;")",IF(N64="Belum ada data","ukuran penyimpanan belum diisi",""))))</f>
        <v>penyimpanan 512 GB cukup, nyamannya 1000 GB atau lebih (bisa diganti dengan yang lebih besar)</v>
      </c>
      <c r="V64" s="33" t="str">
        <f aca="false">IF($A64="","",IF(O64="Kurang","layar "&amp;Varian!$AG16&amp;", di bawah batas minimal ("&amp;IFERROR(INDEX(Aturan!$A$63:$A$66,MATCH(Aturan!$C$58,Aturan!$B$63:$B$66,0)),"peringkat "&amp;Aturan!$C$58)&amp;")",IF(O64="Cukup","layar "&amp;Varian!$AG16&amp;" cukup, nyamannya "&amp;IFERROR(INDEX(Aturan!$A$63:$A$66,MATCH(Aturan!$D$58,Aturan!$B$63:$B$66,0)),"peringkat "&amp;Aturan!$D$58),IF(O64="Belum ada data","jenis layar belum diketahui",""))))</f>
        <v/>
      </c>
      <c r="W64" s="33" t="str">
        <f aca="false">IF($A64="","",IF(P64="Kurang","layar "&amp;H64&amp;" Hz, di bawah batas minimal "&amp;Aturan!$C$59&amp;" Hz",IF(P64="Cukup","layar "&amp;H64&amp;" Hz cukup, nyamannya "&amp;Aturan!$D$59&amp;" Hz atau lebih",IF(P64="Belum ada data","refresh rate belum diketahui",""))))</f>
        <v>layar 60 Hz cukup, nyamannya 120 Hz atau lebih</v>
      </c>
      <c r="X64" s="33" t="str">
        <f aca="false">IF($A64="","",IF(K64="Kurang",R64&amp;"; ","")&amp;IF(L64="Kurang",S64&amp;"; ","")&amp;IF(M64="Kurang",T64&amp;"; ","")&amp;IF(N64="Kurang",U64&amp;"; ","")&amp;IF(O64="Kurang",V64&amp;"; ","")&amp;IF(P64="Kurang",W64&amp;"; ","")&amp;IF(K64="Belum ada data",R64&amp;"; ","")&amp;IF(L64="Belum ada data",S64&amp;"; ","")&amp;IF(M64="Belum ada data",T64&amp;"; ","")&amp;IF(N64="Belum ada data",U64&amp;"; ","")&amp;IF(O64="Belum ada data",V64&amp;"; ","")&amp;IF(P64="Belum ada data",W64&amp;"; ","")&amp;IF(K64="Cukup",R64&amp;"; ","")&amp;IF(L64="Cukup",S64&amp;"; ","")&amp;IF(M64="Cukup",T64&amp;"; ","")&amp;IF(N64="Cukup",U64&amp;"; ","")&amp;IF(O64="Cukup",V64&amp;"; ","")&amp;IF(P64="Cukup",W64&amp;"; ",""))</f>
        <v>grafis tingkat 2 dari 5, di bawah batas minimal (tingkat 3); prosesor tingkat 3 dari 5 cukup, nyamannya mulai tingkat 4; penyimpanan 512 GB cukup, nyamannya 1000 GB atau lebih (bisa diganti dengan yang lebih besar); layar 60 Hz cukup, nyamannya 120 Hz atau lebih; </v>
      </c>
      <c r="Y64" s="33" t="str">
        <f aca="false">IF($A64="","",IF(K64="Nyaman","prosesor, ","")&amp;IF(L64="Nyaman","grafis, ","")&amp;IF(M64="Nyaman","RAM, ","")&amp;IF(N64="Nyaman","penyimpanan, ","")&amp;IF(O64="Nyaman","layar, ","")&amp;IF(P64="Nyaman","refresh rate, ",""))</f>
        <v>RAM, </v>
      </c>
      <c r="Z64" s="33" t="str">
        <f aca="false">IF($A64="","",IF(Q64="Tidak dinilai","Belum ada kriteria yang dinilai untuk kebutuhan ini.",IF(Q64="Cocok","Semua kriteria yang dinilai sudah nyaman: "&amp;LEFT(Y64,LEN(Y64)-2)&amp;".",UPPER(LEFT(X64,1))&amp;MID(X64,2,LEN(X64)-3)&amp;"."&amp;IF(Y64="",""," Sudah nyaman: "&amp;LEFT(Y64,LEN(Y64)-2)&amp;"."))))</f>
        <v>Grafis tingkat 2 dari 5, di bawah batas minimal (tingkat 3); prosesor tingkat 3 dari 5 cukup, nyamannya mulai tingkat 4; penyimpanan 512 GB cukup, nyamannya 1000 GB atau lebih (bisa diganti dengan yang lebih besar); layar 60 Hz cukup, nyamannya 120 Hz atau lebih. Sudah nyaman: RAM.</v>
      </c>
      <c r="AA64" s="33"/>
      <c r="AB64" s="33"/>
      <c r="AC64" s="69"/>
    </row>
    <row r="65" customFormat="false" ht="15" hidden="false" customHeight="true" outlineLevel="0" collapsed="false">
      <c r="A65" s="66" t="str">
        <f aca="false">IF(Varian!$A17="","",Varian!$A17)</f>
        <v>lenovo-ideapad-slim-3-14iah8-i5-12450h-8-512</v>
      </c>
      <c r="B65" s="66" t="str">
        <f aca="false">IF($A65="","",Aturan!$A$21)</f>
        <v>Kuliah dan kantor</v>
      </c>
      <c r="C65" s="67" t="n">
        <f aca="false">IF($A65="","",IFERROR(IF(ISNUMBER(INDEX(CPU!$J$4:$J$64,MATCH(Varian!$J17,CPU!$A$4:$A$64,0))),INDEX(CPU!$J$4:$J$64,MATCH(Varian!$J17,CPU!$A$4:$A$64,0)),""),""))</f>
        <v>3</v>
      </c>
      <c r="D65" s="67" t="n">
        <f aca="false">IF($A65="","",IFERROR(IF(ISNUMBER(INDEX(GPU!$G$4:$G$64,MATCH(Varian!$K17,GPU!$A$4:$A$64,0))),INDEX(GPU!$G$4:$G$64,MATCH(Varian!$K17,GPU!$A$4:$A$64,0)),""),""))</f>
        <v>2</v>
      </c>
      <c r="E65" s="67" t="n">
        <f aca="false">IF($A65="","",IF(ISNUMBER(Varian!$M17),Varian!$M17,""))</f>
        <v>8</v>
      </c>
      <c r="F65" s="67" t="n">
        <f aca="false">IF($A65="","",IF(ISNUMBER(Varian!$V17),Varian!$V17,""))</f>
        <v>512</v>
      </c>
      <c r="G65" s="67" t="n">
        <f aca="false">IF($A65="","",IFERROR(INDEX(Aturan!$B$63:$B$66,MATCH(Varian!$AG17,Aturan!$A$63:$A$66,0)),""))</f>
        <v>3</v>
      </c>
      <c r="H65" s="67" t="n">
        <f aca="false">IF($A65="","",IF(ISNUMBER(Varian!$AI17),Varian!$AI17,""))</f>
        <v>60</v>
      </c>
      <c r="I65" s="66" t="str">
        <f aca="false">IF($A65="","",IF(Varian!$Q17="disolder","menempel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5" s="66" t="str">
        <f aca="false">IF($A65="","",IF(Varian!$Z17="ya","bisa diganti dengan yang lebih besar",IF(Varian!$Z17="tidak","menempel, tidak bisa diganti","belum diketahui apakah bisa diganti")))</f>
        <v>bisa diganti dengan yang lebih besar</v>
      </c>
      <c r="K65" s="68" t="str">
        <f aca="false">IF($A65="","",IF(AND(Aturan!$C$30="",Aturan!$D$30=""),"Tidak dinilai",IF(C65="","Belum ada data",IF(C65&lt;IF(Aturan!$C$30="",0,Aturan!$C$30),"Kurang",IF(C65&gt;=IF(Aturan!$D$30="",Aturan!$C$30,Aturan!$D$30),"Nyaman","Cukup")))))</f>
        <v>Nyaman</v>
      </c>
      <c r="L65" s="68" t="str">
        <f aca="false">IF($A65="","",IF(AND(Aturan!$C$31="",Aturan!$D$31=""),"Tidak dinilai",IF(D65="","Belum ada data",IF(D65&lt;IF(Aturan!$C$31="",0,Aturan!$C$31),"Kurang",IF(D65&gt;=IF(Aturan!$D$31="",Aturan!$C$31,Aturan!$D$31),"Nyaman","Cukup")))))</f>
        <v>Tidak dinilai</v>
      </c>
      <c r="M65" s="68" t="str">
        <f aca="false">IF($A65="","",IF(AND(Aturan!$C$32="",Aturan!$D$32=""),"Tidak dinilai",IF(E65="","Belum ada data",IF(E65&lt;IF(Aturan!$C$32="",0,Aturan!$C$32),"Kurang",IF(E65&gt;=IF(Aturan!$D$32="",Aturan!$C$32,Aturan!$D$32),"Nyaman","Cukup")))))</f>
        <v>Nyaman</v>
      </c>
      <c r="N65" s="68" t="str">
        <f aca="false">IF($A65="","",IF(AND(Aturan!$C$33="",Aturan!$D$33=""),"Tidak dinilai",IF(F65="","Belum ada data",IF(F65&lt;IF(Aturan!$C$33="",0,Aturan!$C$33),"Kurang",IF(F65&gt;=IF(Aturan!$D$33="",Aturan!$C$33,Aturan!$D$33),"Nyaman","Cukup")))))</f>
        <v>Nyaman</v>
      </c>
      <c r="O65" s="68" t="str">
        <f aca="false">IF($A65="","",IF(AND(Aturan!$C$34="",Aturan!$D$34=""),"Tidak dinilai",IF(G65="","Belum ada data",IF(G65&lt;IF(Aturan!$C$34="",0,Aturan!$C$34),"Kurang",IF(G65&gt;=IF(Aturan!$D$34="",Aturan!$C$34,Aturan!$D$34),"Nyaman","Cukup")))))</f>
        <v>Tidak dinilai</v>
      </c>
      <c r="P65" s="68" t="str">
        <f aca="false">IF($A65="","",IF(AND(Aturan!$C$35="",Aturan!$D$35=""),"Tidak dinilai",IF(H65="","Belum ada data",IF(H65&lt;IF(Aturan!$C$35="",0,Aturan!$C$35),"Kurang",IF(H65&gt;=IF(Aturan!$D$35="",Aturan!$C$35,Aturan!$D$35),"Nyaman","Cukup")))))</f>
        <v>Tidak dinilai</v>
      </c>
      <c r="Q65" s="68" t="str">
        <f aca="false">IF($A65="","",IF(COUNTIF(K65:P65,"Tidak dinilai")=6,"Tidak dinilai",IF(COUNTIF(K65:P65,"Kurang")&gt;0,"Kurang cocok",IF(COUNTIF(K65:P65,"Belum ada data")&gt;0,"Data belum lengkap",IF(COUNTIF(K65:P65,"Cukup")&gt;0,"Bisa, dengan catatan","Cocok")))))</f>
        <v>Cocok</v>
      </c>
      <c r="R65" s="66" t="str">
        <f aca="false">IF($A65="","",IF(K65="Kurang","prosesor tingkat "&amp;C65&amp;" dari 5, di bawah batas minimal (tingkat "&amp;Aturan!$C$30&amp;")",IF(K65="Cukup","prosesor tingkat "&amp;C65&amp;" dari 5 cukup, nyamannya mulai tingkat "&amp;Aturan!$D$30,IF(K65="Belum ada data","tingkat prosesor belum diisi",""))))</f>
        <v/>
      </c>
      <c r="S65" s="66" t="str">
        <f aca="false">IF($A65="","",IF(L65="Kurang","grafis tingkat "&amp;D65&amp;" dari 5, di bawah batas minimal (tingkat "&amp;Aturan!$C$31&amp;")",IF(L65="Cukup","grafis tingkat "&amp;D65&amp;" dari 5 cukup, nyamannya mulai tingkat "&amp;Aturan!$D$31,IF(L65="Belum ada data","tingkat grafis belum diisi",""))))</f>
        <v/>
      </c>
      <c r="T65" s="66" t="str">
        <f aca="false">IF($A65="","",IF(M65="Kurang","RAM "&amp;E65&amp;" GB, di bawah batas minimal "&amp;Aturan!$C$32&amp;" GB ("&amp;I65&amp;")",IF(M65="Cukup","RAM "&amp;E65&amp;" GB cukup, nyamannya "&amp;Aturan!$D$32&amp;" GB atau lebih ("&amp;I65&amp;")",IF(M65="Belum ada data","ukuran RAM belum diisi",""))))</f>
        <v/>
      </c>
      <c r="U65" s="66" t="str">
        <f aca="false">IF($A65="","",IF(N65="Kurang","penyimpanan "&amp;F65&amp;" GB, di bawah batas minimal "&amp;Aturan!$C$33&amp;" GB ("&amp;J65&amp;")",IF(N65="Cukup","penyimpanan "&amp;F65&amp;" GB cukup, nyamannya "&amp;Aturan!$D$33&amp;" GB atau lebih ("&amp;J65&amp;")",IF(N65="Belum ada data","ukuran penyimpanan belum diisi",""))))</f>
        <v/>
      </c>
      <c r="V65" s="66" t="str">
        <f aca="false">IF($A65="","",IF(O65="Kurang","layar "&amp;Varian!$AG17&amp;", di bawah batas minimal ("&amp;IFERROR(INDEX(Aturan!$A$63:$A$66,MATCH(Aturan!$C$34,Aturan!$B$63:$B$66,0)),"peringkat "&amp;Aturan!$C$34)&amp;")",IF(O65="Cukup","layar "&amp;Varian!$AG17&amp;" cukup, nyamannya "&amp;IFERROR(INDEX(Aturan!$A$63:$A$66,MATCH(Aturan!$D$34,Aturan!$B$63:$B$66,0)),"peringkat "&amp;Aturan!$D$34),IF(O65="Belum ada data","jenis layar belum diketahui",""))))</f>
        <v/>
      </c>
      <c r="W65" s="66" t="str">
        <f aca="false">IF($A65="","",IF(P65="Kurang","layar "&amp;H65&amp;" Hz, di bawah batas minimal "&amp;Aturan!$C$35&amp;" Hz",IF(P65="Cukup","layar "&amp;H65&amp;" Hz cukup, nyamannya "&amp;Aturan!$D$35&amp;" Hz atau lebih",IF(P65="Belum ada data","refresh rate belum diketahui",""))))</f>
        <v/>
      </c>
      <c r="X65" s="66" t="str">
        <f aca="false">IF($A65="","",IF(K65="Kurang",R65&amp;"; ","")&amp;IF(L65="Kurang",S65&amp;"; ","")&amp;IF(M65="Kurang",T65&amp;"; ","")&amp;IF(N65="Kurang",U65&amp;"; ","")&amp;IF(O65="Kurang",V65&amp;"; ","")&amp;IF(P65="Kurang",W65&amp;"; ","")&amp;IF(K65="Belum ada data",R65&amp;"; ","")&amp;IF(L65="Belum ada data",S65&amp;"; ","")&amp;IF(M65="Belum ada data",T65&amp;"; ","")&amp;IF(N65="Belum ada data",U65&amp;"; ","")&amp;IF(O65="Belum ada data",V65&amp;"; ","")&amp;IF(P65="Belum ada data",W65&amp;"; ","")&amp;IF(K65="Cukup",R65&amp;"; ","")&amp;IF(L65="Cukup",S65&amp;"; ","")&amp;IF(M65="Cukup",T65&amp;"; ","")&amp;IF(N65="Cukup",U65&amp;"; ","")&amp;IF(O65="Cukup",V65&amp;"; ","")&amp;IF(P65="Cukup",W65&amp;"; ",""))</f>
        <v/>
      </c>
      <c r="Y65" s="66" t="str">
        <f aca="false">IF($A65="","",IF(K65="Nyaman","prosesor, ","")&amp;IF(L65="Nyaman","grafis, ","")&amp;IF(M65="Nyaman","RAM, ","")&amp;IF(N65="Nyaman","penyimpanan, ","")&amp;IF(O65="Nyaman","layar, ","")&amp;IF(P65="Nyaman","refresh rate, ",""))</f>
        <v>prosesor, RAM, penyimpanan, </v>
      </c>
      <c r="Z65" s="66" t="str">
        <f aca="false">IF($A65="","",IF(Q65="Tidak dinilai","Belum ada kriteria yang dinilai untuk kebutuhan ini.",IF(Q65="Cocok","Semua kriteria yang dinilai sudah nyaman: "&amp;LEFT(Y65,LEN(Y65)-2)&amp;".",UPPER(LEFT(X65,1))&amp;MID(X65,2,LEN(X65)-3)&amp;"."&amp;IF(Y65="",""," Sudah nyaman: "&amp;LEFT(Y65,LEN(Y65)-2)&amp;"."))))</f>
        <v>Semua kriteria yang dinilai sudah nyaman: prosesor, RAM, penyimpanan.</v>
      </c>
      <c r="AA65" s="71" t="str">
        <f aca="false">IF($A65="","",IF(Varian!$AR17="Windows 10","• "&amp;Aturan!$E$71&amp;CHAR(10),"")&amp;IF(Varian!$BB17="tidak","• "&amp;Aturan!$E$72&amp;CHAR(10),"")&amp;IF(OR(Varian!$AD17="belum terverifikasi",Varian!$AD17="tidak diketahui"),"• "&amp;Aturan!$E$73&amp;CHAR(10),"")&amp;IF(Varian!$AH17="1366x768","• "&amp;Aturan!$E$74&amp;CHAR(10),"")&amp;IF(Varian!$AG17="TN","• "&amp;Aturan!$E$75&amp;CHAR(10),"")&amp;IF(AND(Varian!$Q17="disolder",ISNUMBER(Varian!$M17),Varian!$M17&lt;=8),"• "&amp;Aturan!$E$76&amp;CHAR(10),""))</f>
        <v>• RAM menempel di papan utama dan tidak bisa ditambah, padahal ukurannya kecil (8 GB atau kurang).
</v>
      </c>
      <c r="AB65" s="66" t="str">
        <f aca="false">IF($A65="","",IF(AA65="","",LEFT(AA65,LEN(AA65)-1)))</f>
        <v>• RAM menempel di papan utama dan tidak bisa ditambah, padahal ukurannya kecil (8 GB atau kurang).</v>
      </c>
      <c r="AC65" s="67" t="n">
        <f aca="false">IF($A65="","",IF(AA65="",0,LEN(AA65)-LEN(SUBSTITUTE(AA65,CHAR(10),""))))</f>
        <v>1</v>
      </c>
    </row>
    <row r="66" customFormat="false" ht="15" hidden="false" customHeight="true" outlineLevel="0" collapsed="false">
      <c r="A66" s="33" t="str">
        <f aca="false">IF(Varian!$A17="","",Varian!$A17)</f>
        <v>lenovo-ideapad-slim-3-14iah8-i5-12450h-8-512</v>
      </c>
      <c r="B66" s="33" t="str">
        <f aca="false">IF($A66="","",Aturan!$A$22)</f>
        <v>Desain grafis</v>
      </c>
      <c r="C66" s="69" t="n">
        <f aca="false">IF($A66="","",IFERROR(IF(ISNUMBER(INDEX(CPU!$J$4:$J$64,MATCH(Varian!$J17,CPU!$A$4:$A$64,0))),INDEX(CPU!$J$4:$J$64,MATCH(Varian!$J17,CPU!$A$4:$A$64,0)),""),""))</f>
        <v>3</v>
      </c>
      <c r="D66" s="69" t="n">
        <f aca="false">IF($A66="","",IFERROR(IF(ISNUMBER(INDEX(GPU!$G$4:$G$64,MATCH(Varian!$K17,GPU!$A$4:$A$64,0))),INDEX(GPU!$G$4:$G$64,MATCH(Varian!$K17,GPU!$A$4:$A$64,0)),""),""))</f>
        <v>2</v>
      </c>
      <c r="E66" s="69" t="n">
        <f aca="false">IF($A66="","",IF(ISNUMBER(Varian!$M17),Varian!$M17,""))</f>
        <v>8</v>
      </c>
      <c r="F66" s="69" t="n">
        <f aca="false">IF($A66="","",IF(ISNUMBER(Varian!$V17),Varian!$V17,""))</f>
        <v>512</v>
      </c>
      <c r="G66" s="69" t="n">
        <f aca="false">IF($A66="","",IFERROR(INDEX(Aturan!$B$63:$B$66,MATCH(Varian!$AG17,Aturan!$A$63:$A$66,0)),""))</f>
        <v>3</v>
      </c>
      <c r="H66" s="69" t="n">
        <f aca="false">IF($A66="","",IF(ISNUMBER(Varian!$AI17),Varian!$AI17,""))</f>
        <v>60</v>
      </c>
      <c r="I66" s="33" t="str">
        <f aca="false">IF($A66="","",IF(Varian!$Q17="disolder","menempel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6" s="33" t="str">
        <f aca="false">IF($A66="","",IF(Varian!$Z17="ya","bisa diganti dengan yang lebih besar",IF(Varian!$Z17="tidak","menempel, tidak bisa diganti","belum diketahui apakah bisa diganti")))</f>
        <v>bisa diganti dengan yang lebih besar</v>
      </c>
      <c r="K66" s="70" t="str">
        <f aca="false">IF($A66="","",IF(AND(Aturan!$C$36="",Aturan!$D$36=""),"Tidak dinilai",IF(C66="","Belum ada data",IF(C66&lt;IF(Aturan!$C$36="",0,Aturan!$C$36),"Kurang",IF(C66&gt;=IF(Aturan!$D$36="",Aturan!$C$36,Aturan!$D$36),"Nyaman","Cukup")))))</f>
        <v>Nyaman</v>
      </c>
      <c r="L66" s="70" t="str">
        <f aca="false">IF($A66="","",IF(AND(Aturan!$C$37="",Aturan!$D$37=""),"Tidak dinilai",IF(D66="","Belum ada data",IF(D66&lt;IF(Aturan!$C$37="",0,Aturan!$C$37),"Kurang",IF(D66&gt;=IF(Aturan!$D$37="",Aturan!$C$37,Aturan!$D$37),"Nyaman","Cukup")))))</f>
        <v>Nyaman</v>
      </c>
      <c r="M66" s="70" t="str">
        <f aca="false">IF($A66="","",IF(AND(Aturan!$C$38="",Aturan!$D$38=""),"Tidak dinilai",IF(E66="","Belum ada data",IF(E66&lt;IF(Aturan!$C$38="",0,Aturan!$C$38),"Kurang",IF(E66&gt;=IF(Aturan!$D$38="",Aturan!$C$38,Aturan!$D$38),"Nyaman","Cukup")))))</f>
        <v>Cukup</v>
      </c>
      <c r="N66" s="70" t="str">
        <f aca="false">IF($A66="","",IF(AND(Aturan!$C$39="",Aturan!$D$39=""),"Tidak dinilai",IF(F66="","Belum ada data",IF(F66&lt;IF(Aturan!$C$39="",0,Aturan!$C$39),"Kurang",IF(F66&gt;=IF(Aturan!$D$39="",Aturan!$C$39,Aturan!$D$39),"Nyaman","Cukup")))))</f>
        <v>Nyaman</v>
      </c>
      <c r="O66" s="70" t="str">
        <f aca="false">IF($A66="","",IF(AND(Aturan!$C$40="",Aturan!$D$40=""),"Tidak dinilai",IF(G66="","Belum ada data",IF(G66&lt;IF(Aturan!$C$40="",0,Aturan!$C$40),"Kurang",IF(G66&gt;=IF(Aturan!$D$40="",Aturan!$C$40,Aturan!$D$40),"Nyaman","Cukup")))))</f>
        <v>Cukup</v>
      </c>
      <c r="P66" s="70" t="str">
        <f aca="false">IF($A66="","",IF(AND(Aturan!$C$41="",Aturan!$D$41=""),"Tidak dinilai",IF(H66="","Belum ada data",IF(H66&lt;IF(Aturan!$C$41="",0,Aturan!$C$41),"Kurang",IF(H66&gt;=IF(Aturan!$D$41="",Aturan!$C$41,Aturan!$D$41),"Nyaman","Cukup")))))</f>
        <v>Tidak dinilai</v>
      </c>
      <c r="Q66" s="70" t="str">
        <f aca="false">IF($A66="","",IF(COUNTIF(K66:P66,"Tidak dinilai")=6,"Tidak dinilai",IF(COUNTIF(K66:P66,"Kurang")&gt;0,"Kurang cocok",IF(COUNTIF(K66:P66,"Belum ada data")&gt;0,"Data belum lengkap",IF(COUNTIF(K66:P66,"Cukup")&gt;0,"Bisa, dengan catatan","Cocok")))))</f>
        <v>Bisa, dengan catatan</v>
      </c>
      <c r="R66" s="33" t="str">
        <f aca="false">IF($A66="","",IF(K66="Kurang","prosesor tingkat "&amp;C66&amp;" dari 5, di bawah batas minimal (tingkat "&amp;Aturan!$C$36&amp;")",IF(K66="Cukup","prosesor tingkat "&amp;C66&amp;" dari 5 cukup, nyamannya mulai tingkat "&amp;Aturan!$D$36,IF(K66="Belum ada data","tingkat prosesor belum diisi",""))))</f>
        <v/>
      </c>
      <c r="S66" s="33" t="str">
        <f aca="false">IF($A66="","",IF(L66="Kurang","grafis tingkat "&amp;D66&amp;" dari 5, di bawah batas minimal (tingkat "&amp;Aturan!$C$37&amp;")",IF(L66="Cukup","grafis tingkat "&amp;D66&amp;" dari 5 cukup, nyamannya mulai tingkat "&amp;Aturan!$D$37,IF(L66="Belum ada data","tingkat grafis belum diisi",""))))</f>
        <v/>
      </c>
      <c r="T66" s="33" t="str">
        <f aca="false">IF($A66="","",IF(M66="Kurang","RAM "&amp;E66&amp;" GB, di bawah batas minimal "&amp;Aturan!$C$38&amp;" GB ("&amp;I66&amp;")",IF(M66="Cukup","RAM "&amp;E66&amp;" GB cukup, nyamannya "&amp;Aturan!$D$38&amp;" GB atau lebih ("&amp;I66&amp;")",IF(M66="Belum ada data","ukuran RAM belum diisi",""))))</f>
        <v>RAM 8 GB cukup, nyamannya 16 GB atau lebih (menempel di papan utama, tidak bisa ditambah)</v>
      </c>
      <c r="U66" s="33" t="str">
        <f aca="false">IF($A66="","",IF(N66="Kurang","penyimpanan "&amp;F66&amp;" GB, di bawah batas minimal "&amp;Aturan!$C$39&amp;" GB ("&amp;J66&amp;")",IF(N66="Cukup","penyimpanan "&amp;F66&amp;" GB cukup, nyamannya "&amp;Aturan!$D$39&amp;" GB atau lebih ("&amp;J66&amp;")",IF(N66="Belum ada data","ukuran penyimpanan belum diisi",""))))</f>
        <v/>
      </c>
      <c r="V66" s="33" t="str">
        <f aca="false">IF($A66="","",IF(O66="Kurang","layar "&amp;Varian!$AG17&amp;", di bawah batas minimal ("&amp;IFERROR(INDEX(Aturan!$A$63:$A$66,MATCH(Aturan!$C$40,Aturan!$B$63:$B$66,0)),"peringkat "&amp;Aturan!$C$40)&amp;")",IF(O66="Cukup","layar "&amp;Varian!$AG17&amp;" cukup, nyamannya "&amp;IFERROR(INDEX(Aturan!$A$63:$A$66,MATCH(Aturan!$D$40,Aturan!$B$63:$B$66,0)),"peringkat "&amp;Aturan!$D$40),IF(O66="Belum ada data","jenis layar belum diketahui",""))))</f>
        <v>layar IPS cukup, nyamannya OLED</v>
      </c>
      <c r="W66" s="33" t="str">
        <f aca="false">IF($A66="","",IF(P66="Kurang","layar "&amp;H66&amp;" Hz, di bawah batas minimal "&amp;Aturan!$C$41&amp;" Hz",IF(P66="Cukup","layar "&amp;H66&amp;" Hz cukup, nyamannya "&amp;Aturan!$D$41&amp;" Hz atau lebih",IF(P66="Belum ada data","refresh rate belum diketahui",""))))</f>
        <v/>
      </c>
      <c r="X66" s="33" t="str">
        <f aca="false">IF($A66="","",IF(K66="Kurang",R66&amp;"; ","")&amp;IF(L66="Kurang",S66&amp;"; ","")&amp;IF(M66="Kurang",T66&amp;"; ","")&amp;IF(N66="Kurang",U66&amp;"; ","")&amp;IF(O66="Kurang",V66&amp;"; ","")&amp;IF(P66="Kurang",W66&amp;"; ","")&amp;IF(K66="Belum ada data",R66&amp;"; ","")&amp;IF(L66="Belum ada data",S66&amp;"; ","")&amp;IF(M66="Belum ada data",T66&amp;"; ","")&amp;IF(N66="Belum ada data",U66&amp;"; ","")&amp;IF(O66="Belum ada data",V66&amp;"; ","")&amp;IF(P66="Belum ada data",W66&amp;"; ","")&amp;IF(K66="Cukup",R66&amp;"; ","")&amp;IF(L66="Cukup",S66&amp;"; ","")&amp;IF(M66="Cukup",T66&amp;"; ","")&amp;IF(N66="Cukup",U66&amp;"; ","")&amp;IF(O66="Cukup",V66&amp;"; ","")&amp;IF(P66="Cukup",W66&amp;"; ",""))</f>
        <v>RAM 8 GB cukup, nyamannya 16 GB atau lebih (menempel di papan utama, tidak bisa ditambah); layar IPS cukup, nyamannya OLED; </v>
      </c>
      <c r="Y66" s="33" t="str">
        <f aca="false">IF($A66="","",IF(K66="Nyaman","prosesor, ","")&amp;IF(L66="Nyaman","grafis, ","")&amp;IF(M66="Nyaman","RAM, ","")&amp;IF(N66="Nyaman","penyimpanan, ","")&amp;IF(O66="Nyaman","layar, ","")&amp;IF(P66="Nyaman","refresh rate, ",""))</f>
        <v>prosesor, grafis, penyimpanan, </v>
      </c>
      <c r="Z66" s="33" t="str">
        <f aca="false">IF($A66="","",IF(Q66="Tidak dinilai","Belum ada kriteria yang dinilai untuk kebutuhan ini.",IF(Q66="Cocok","Semua kriteria yang dinilai sudah nyaman: "&amp;LEFT(Y66,LEN(Y66)-2)&amp;".",UPPER(LEFT(X66,1))&amp;MID(X66,2,LEN(X66)-3)&amp;"."&amp;IF(Y66="",""," Sudah nyaman: "&amp;LEFT(Y66,LEN(Y66)-2)&amp;"."))))</f>
        <v>RAM 8 GB cukup, nyamannya 16 GB atau lebih (menempel di papan utama, tidak bisa ditambah); layar IPS cukup, nyamannya OLED. Sudah nyaman: prosesor, grafis, penyimpanan.</v>
      </c>
      <c r="AA66" s="33"/>
      <c r="AB66" s="33"/>
      <c r="AC66" s="69"/>
    </row>
    <row r="67" customFormat="false" ht="15" hidden="false" customHeight="true" outlineLevel="0" collapsed="false">
      <c r="A67" s="33" t="str">
        <f aca="false">IF(Varian!$A17="","",Varian!$A17)</f>
        <v>lenovo-ideapad-slim-3-14iah8-i5-12450h-8-512</v>
      </c>
      <c r="B67" s="33" t="str">
        <f aca="false">IF($A67="","",Aturan!$A$23)</f>
        <v>Pemrograman</v>
      </c>
      <c r="C67" s="69" t="n">
        <f aca="false">IF($A67="","",IFERROR(IF(ISNUMBER(INDEX(CPU!$J$4:$J$64,MATCH(Varian!$J17,CPU!$A$4:$A$64,0))),INDEX(CPU!$J$4:$J$64,MATCH(Varian!$J17,CPU!$A$4:$A$64,0)),""),""))</f>
        <v>3</v>
      </c>
      <c r="D67" s="69" t="n">
        <f aca="false">IF($A67="","",IFERROR(IF(ISNUMBER(INDEX(GPU!$G$4:$G$64,MATCH(Varian!$K17,GPU!$A$4:$A$64,0))),INDEX(GPU!$G$4:$G$64,MATCH(Varian!$K17,GPU!$A$4:$A$64,0)),""),""))</f>
        <v>2</v>
      </c>
      <c r="E67" s="69" t="n">
        <f aca="false">IF($A67="","",IF(ISNUMBER(Varian!$M17),Varian!$M17,""))</f>
        <v>8</v>
      </c>
      <c r="F67" s="69" t="n">
        <f aca="false">IF($A67="","",IF(ISNUMBER(Varian!$V17),Varian!$V17,""))</f>
        <v>512</v>
      </c>
      <c r="G67" s="69" t="n">
        <f aca="false">IF($A67="","",IFERROR(INDEX(Aturan!$B$63:$B$66,MATCH(Varian!$AG17,Aturan!$A$63:$A$66,0)),""))</f>
        <v>3</v>
      </c>
      <c r="H67" s="69" t="n">
        <f aca="false">IF($A67="","",IF(ISNUMBER(Varian!$AI17),Varian!$AI17,""))</f>
        <v>60</v>
      </c>
      <c r="I67" s="33" t="str">
        <f aca="false">IF($A67="","",IF(Varian!$Q17="disolder","menempel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7" s="33" t="str">
        <f aca="false">IF($A67="","",IF(Varian!$Z17="ya","bisa diganti dengan yang lebih besar",IF(Varian!$Z17="tidak","menempel, tidak bisa diganti","belum diketahui apakah bisa diganti")))</f>
        <v>bisa diganti dengan yang lebih besar</v>
      </c>
      <c r="K67" s="70" t="str">
        <f aca="false">IF($A67="","",IF(AND(Aturan!$C$42="",Aturan!$D$42=""),"Tidak dinilai",IF(C67="","Belum ada data",IF(C67&lt;IF(Aturan!$C$42="",0,Aturan!$C$42),"Kurang",IF(C67&gt;=IF(Aturan!$D$42="",Aturan!$C$42,Aturan!$D$42),"Nyaman","Cukup")))))</f>
        <v>Nyaman</v>
      </c>
      <c r="L67" s="70" t="str">
        <f aca="false">IF($A67="","",IF(AND(Aturan!$C$43="",Aturan!$D$43=""),"Tidak dinilai",IF(D67="","Belum ada data",IF(D67&lt;IF(Aturan!$C$43="",0,Aturan!$C$43),"Kurang",IF(D67&gt;=IF(Aturan!$D$43="",Aturan!$C$43,Aturan!$D$43),"Nyaman","Cukup")))))</f>
        <v>Tidak dinilai</v>
      </c>
      <c r="M67" s="70" t="str">
        <f aca="false">IF($A67="","",IF(AND(Aturan!$C$44="",Aturan!$D$44=""),"Tidak dinilai",IF(E67="","Belum ada data",IF(E67&lt;IF(Aturan!$C$44="",0,Aturan!$C$44),"Kurang",IF(E67&gt;=IF(Aturan!$D$44="",Aturan!$C$44,Aturan!$D$44),"Nyaman","Cukup")))))</f>
        <v>Cukup</v>
      </c>
      <c r="N67" s="70" t="str">
        <f aca="false">IF($A67="","",IF(AND(Aturan!$C$45="",Aturan!$D$45=""),"Tidak dinilai",IF(F67="","Belum ada data",IF(F67&lt;IF(Aturan!$C$45="",0,Aturan!$C$45),"Kurang",IF(F67&gt;=IF(Aturan!$D$45="",Aturan!$C$45,Aturan!$D$45),"Nyaman","Cukup")))))</f>
        <v>Nyaman</v>
      </c>
      <c r="O67" s="70" t="str">
        <f aca="false">IF($A67="","",IF(AND(Aturan!$C$46="",Aturan!$D$46=""),"Tidak dinilai",IF(G67="","Belum ada data",IF(G67&lt;IF(Aturan!$C$46="",0,Aturan!$C$46),"Kurang",IF(G67&gt;=IF(Aturan!$D$46="",Aturan!$C$46,Aturan!$D$46),"Nyaman","Cukup")))))</f>
        <v>Tidak dinilai</v>
      </c>
      <c r="P67" s="70" t="str">
        <f aca="false">IF($A67="","",IF(AND(Aturan!$C$47="",Aturan!$D$47=""),"Tidak dinilai",IF(H67="","Belum ada data",IF(H67&lt;IF(Aturan!$C$47="",0,Aturan!$C$47),"Kurang",IF(H67&gt;=IF(Aturan!$D$47="",Aturan!$C$47,Aturan!$D$47),"Nyaman","Cukup")))))</f>
        <v>Tidak dinilai</v>
      </c>
      <c r="Q67" s="70" t="str">
        <f aca="false">IF($A67="","",IF(COUNTIF(K67:P67,"Tidak dinilai")=6,"Tidak dinilai",IF(COUNTIF(K67:P67,"Kurang")&gt;0,"Kurang cocok",IF(COUNTIF(K67:P67,"Belum ada data")&gt;0,"Data belum lengkap",IF(COUNTIF(K67:P67,"Cukup")&gt;0,"Bisa, dengan catatan","Cocok")))))</f>
        <v>Bisa, dengan catatan</v>
      </c>
      <c r="R67" s="33" t="str">
        <f aca="false">IF($A67="","",IF(K67="Kurang","prosesor tingkat "&amp;C67&amp;" dari 5, di bawah batas minimal (tingkat "&amp;Aturan!$C$42&amp;")",IF(K67="Cukup","prosesor tingkat "&amp;C67&amp;" dari 5 cukup, nyamannya mulai tingkat "&amp;Aturan!$D$42,IF(K67="Belum ada data","tingkat prosesor belum diisi",""))))</f>
        <v/>
      </c>
      <c r="S67" s="33" t="str">
        <f aca="false">IF($A67="","",IF(L67="Kurang","grafis tingkat "&amp;D67&amp;" dari 5, di bawah batas minimal (tingkat "&amp;Aturan!$C$43&amp;")",IF(L67="Cukup","grafis tingkat "&amp;D67&amp;" dari 5 cukup, nyamannya mulai tingkat "&amp;Aturan!$D$43,IF(L67="Belum ada data","tingkat grafis belum diisi",""))))</f>
        <v/>
      </c>
      <c r="T67" s="33" t="str">
        <f aca="false">IF($A67="","",IF(M67="Kurang","RAM "&amp;E67&amp;" GB, di bawah batas minimal "&amp;Aturan!$C$44&amp;" GB ("&amp;I67&amp;")",IF(M67="Cukup","RAM "&amp;E67&amp;" GB cukup, nyamannya "&amp;Aturan!$D$44&amp;" GB atau lebih ("&amp;I67&amp;")",IF(M67="Belum ada data","ukuran RAM belum diisi",""))))</f>
        <v>RAM 8 GB cukup, nyamannya 16 GB atau lebih (menempel di papan utama, tidak bisa ditambah)</v>
      </c>
      <c r="U67" s="33" t="str">
        <f aca="false">IF($A67="","",IF(N67="Kurang","penyimpanan "&amp;F67&amp;" GB, di bawah batas minimal "&amp;Aturan!$C$45&amp;" GB ("&amp;J67&amp;")",IF(N67="Cukup","penyimpanan "&amp;F67&amp;" GB cukup, nyamannya "&amp;Aturan!$D$45&amp;" GB atau lebih ("&amp;J67&amp;")",IF(N67="Belum ada data","ukuran penyimpanan belum diisi",""))))</f>
        <v/>
      </c>
      <c r="V67" s="33" t="str">
        <f aca="false">IF($A67="","",IF(O67="Kurang","layar "&amp;Varian!$AG17&amp;", di bawah batas minimal ("&amp;IFERROR(INDEX(Aturan!$A$63:$A$66,MATCH(Aturan!$C$46,Aturan!$B$63:$B$66,0)),"peringkat "&amp;Aturan!$C$46)&amp;")",IF(O67="Cukup","layar "&amp;Varian!$AG17&amp;" cukup, nyamannya "&amp;IFERROR(INDEX(Aturan!$A$63:$A$66,MATCH(Aturan!$D$46,Aturan!$B$63:$B$66,0)),"peringkat "&amp;Aturan!$D$46),IF(O67="Belum ada data","jenis layar belum diketahui",""))))</f>
        <v/>
      </c>
      <c r="W67" s="33" t="str">
        <f aca="false">IF($A67="","",IF(P67="Kurang","layar "&amp;H67&amp;" Hz, di bawah batas minimal "&amp;Aturan!$C$47&amp;" Hz",IF(P67="Cukup","layar "&amp;H67&amp;" Hz cukup, nyamannya "&amp;Aturan!$D$47&amp;" Hz atau lebih",IF(P67="Belum ada data","refresh rate belum diketahui",""))))</f>
        <v/>
      </c>
      <c r="X67" s="33" t="str">
        <f aca="false">IF($A67="","",IF(K67="Kurang",R67&amp;"; ","")&amp;IF(L67="Kurang",S67&amp;"; ","")&amp;IF(M67="Kurang",T67&amp;"; ","")&amp;IF(N67="Kurang",U67&amp;"; ","")&amp;IF(O67="Kurang",V67&amp;"; ","")&amp;IF(P67="Kurang",W67&amp;"; ","")&amp;IF(K67="Belum ada data",R67&amp;"; ","")&amp;IF(L67="Belum ada data",S67&amp;"; ","")&amp;IF(M67="Belum ada data",T67&amp;"; ","")&amp;IF(N67="Belum ada data",U67&amp;"; ","")&amp;IF(O67="Belum ada data",V67&amp;"; ","")&amp;IF(P67="Belum ada data",W67&amp;"; ","")&amp;IF(K67="Cukup",R67&amp;"; ","")&amp;IF(L67="Cukup",S67&amp;"; ","")&amp;IF(M67="Cukup",T67&amp;"; ","")&amp;IF(N67="Cukup",U67&amp;"; ","")&amp;IF(O67="Cukup",V67&amp;"; ","")&amp;IF(P67="Cukup",W67&amp;"; ",""))</f>
        <v>RAM 8 GB cukup, nyamannya 16 GB atau lebih (menempel di papan utama, tidak bisa ditambah); </v>
      </c>
      <c r="Y67" s="33" t="str">
        <f aca="false">IF($A67="","",IF(K67="Nyaman","prosesor, ","")&amp;IF(L67="Nyaman","grafis, ","")&amp;IF(M67="Nyaman","RAM, ","")&amp;IF(N67="Nyaman","penyimpanan, ","")&amp;IF(O67="Nyaman","layar, ","")&amp;IF(P67="Nyaman","refresh rate, ",""))</f>
        <v>prosesor, penyimpanan, </v>
      </c>
      <c r="Z67" s="33" t="str">
        <f aca="false">IF($A67="","",IF(Q67="Tidak dinilai","Belum ada kriteria yang dinilai untuk kebutuhan ini.",IF(Q67="Cocok","Semua kriteria yang dinilai sudah nyaman: "&amp;LEFT(Y67,LEN(Y67)-2)&amp;".",UPPER(LEFT(X67,1))&amp;MID(X67,2,LEN(X67)-3)&amp;"."&amp;IF(Y67="",""," Sudah nyaman: "&amp;LEFT(Y67,LEN(Y67)-2)&amp;"."))))</f>
        <v>RAM 8 GB cukup, nyamannya 16 GB atau lebih (menempel di papan utama, tidak bisa ditambah). Sudah nyaman: prosesor, penyimpanan.</v>
      </c>
      <c r="AA67" s="33"/>
      <c r="AB67" s="33"/>
      <c r="AC67" s="69"/>
    </row>
    <row r="68" customFormat="false" ht="15" hidden="false" customHeight="true" outlineLevel="0" collapsed="false">
      <c r="A68" s="33" t="str">
        <f aca="false">IF(Varian!$A17="","",Varian!$A17)</f>
        <v>lenovo-ideapad-slim-3-14iah8-i5-12450h-8-512</v>
      </c>
      <c r="B68" s="33" t="str">
        <f aca="false">IF($A68="","",Aturan!$A$24)</f>
        <v>Game ringan</v>
      </c>
      <c r="C68" s="69" t="n">
        <f aca="false">IF($A68="","",IFERROR(IF(ISNUMBER(INDEX(CPU!$J$4:$J$64,MATCH(Varian!$J17,CPU!$A$4:$A$64,0))),INDEX(CPU!$J$4:$J$64,MATCH(Varian!$J17,CPU!$A$4:$A$64,0)),""),""))</f>
        <v>3</v>
      </c>
      <c r="D68" s="69" t="n">
        <f aca="false">IF($A68="","",IFERROR(IF(ISNUMBER(INDEX(GPU!$G$4:$G$64,MATCH(Varian!$K17,GPU!$A$4:$A$64,0))),INDEX(GPU!$G$4:$G$64,MATCH(Varian!$K17,GPU!$A$4:$A$64,0)),""),""))</f>
        <v>2</v>
      </c>
      <c r="E68" s="69" t="n">
        <f aca="false">IF($A68="","",IF(ISNUMBER(Varian!$M17),Varian!$M17,""))</f>
        <v>8</v>
      </c>
      <c r="F68" s="69" t="n">
        <f aca="false">IF($A68="","",IF(ISNUMBER(Varian!$V17),Varian!$V17,""))</f>
        <v>512</v>
      </c>
      <c r="G68" s="69" t="n">
        <f aca="false">IF($A68="","",IFERROR(INDEX(Aturan!$B$63:$B$66,MATCH(Varian!$AG17,Aturan!$A$63:$A$66,0)),""))</f>
        <v>3</v>
      </c>
      <c r="H68" s="69" t="n">
        <f aca="false">IF($A68="","",IF(ISNUMBER(Varian!$AI17),Varian!$AI17,""))</f>
        <v>60</v>
      </c>
      <c r="I68" s="33" t="str">
        <f aca="false">IF($A68="","",IF(Varian!$Q17="disolder","menempel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8" s="33" t="str">
        <f aca="false">IF($A68="","",IF(Varian!$Z17="ya","bisa diganti dengan yang lebih besar",IF(Varian!$Z17="tidak","menempel, tidak bisa diganti","belum diketahui apakah bisa diganti")))</f>
        <v>bisa diganti dengan yang lebih besar</v>
      </c>
      <c r="K68" s="70" t="str">
        <f aca="false">IF($A68="","",IF(AND(Aturan!$C$48="",Aturan!$D$48=""),"Tidak dinilai",IF(C68="","Belum ada data",IF(C68&lt;IF(Aturan!$C$48="",0,Aturan!$C$48),"Kurang",IF(C68&gt;=IF(Aturan!$D$48="",Aturan!$C$48,Aturan!$D$48),"Nyaman","Cukup")))))</f>
        <v>Nyaman</v>
      </c>
      <c r="L68" s="70" t="str">
        <f aca="false">IF($A68="","",IF(AND(Aturan!$C$49="",Aturan!$D$49=""),"Tidak dinilai",IF(D68="","Belum ada data",IF(D68&lt;IF(Aturan!$C$49="",0,Aturan!$C$49),"Kurang",IF(D68&gt;=IF(Aturan!$D$49="",Aturan!$C$49,Aturan!$D$49),"Nyaman","Cukup")))))</f>
        <v>Nyaman</v>
      </c>
      <c r="M68" s="70" t="str">
        <f aca="false">IF($A68="","",IF(AND(Aturan!$C$50="",Aturan!$D$50=""),"Tidak dinilai",IF(E68="","Belum ada data",IF(E68&lt;IF(Aturan!$C$50="",0,Aturan!$C$50),"Kurang",IF(E68&gt;=IF(Aturan!$D$50="",Aturan!$C$50,Aturan!$D$50),"Nyaman","Cukup")))))</f>
        <v>Nyaman</v>
      </c>
      <c r="N68" s="70" t="str">
        <f aca="false">IF($A68="","",IF(AND(Aturan!$C$51="",Aturan!$D$51=""),"Tidak dinilai",IF(F68="","Belum ada data",IF(F68&lt;IF(Aturan!$C$51="",0,Aturan!$C$51),"Kurang",IF(F68&gt;=IF(Aturan!$D$51="",Aturan!$C$51,Aturan!$D$51),"Nyaman","Cukup")))))</f>
        <v>Nyaman</v>
      </c>
      <c r="O68" s="70" t="str">
        <f aca="false">IF($A68="","",IF(AND(Aturan!$C$52="",Aturan!$D$52=""),"Tidak dinilai",IF(G68="","Belum ada data",IF(G68&lt;IF(Aturan!$C$52="",0,Aturan!$C$52),"Kurang",IF(G68&gt;=IF(Aturan!$D$52="",Aturan!$C$52,Aturan!$D$52),"Nyaman","Cukup")))))</f>
        <v>Tidak dinilai</v>
      </c>
      <c r="P68" s="70" t="str">
        <f aca="false">IF($A68="","",IF(AND(Aturan!$C$53="",Aturan!$D$53=""),"Tidak dinilai",IF(H68="","Belum ada data",IF(H68&lt;IF(Aturan!$C$53="",0,Aturan!$C$53),"Kurang",IF(H68&gt;=IF(Aturan!$D$53="",Aturan!$C$53,Aturan!$D$53),"Nyaman","Cukup")))))</f>
        <v>Tidak dinilai</v>
      </c>
      <c r="Q68" s="70" t="str">
        <f aca="false">IF($A68="","",IF(COUNTIF(K68:P68,"Tidak dinilai")=6,"Tidak dinilai",IF(COUNTIF(K68:P68,"Kurang")&gt;0,"Kurang cocok",IF(COUNTIF(K68:P68,"Belum ada data")&gt;0,"Data belum lengkap",IF(COUNTIF(K68:P68,"Cukup")&gt;0,"Bisa, dengan catatan","Cocok")))))</f>
        <v>Cocok</v>
      </c>
      <c r="R68" s="33" t="str">
        <f aca="false">IF($A68="","",IF(K68="Kurang","prosesor tingkat "&amp;C68&amp;" dari 5, di bawah batas minimal (tingkat "&amp;Aturan!$C$48&amp;")",IF(K68="Cukup","prosesor tingkat "&amp;C68&amp;" dari 5 cukup, nyamannya mulai tingkat "&amp;Aturan!$D$48,IF(K68="Belum ada data","tingkat prosesor belum diisi",""))))</f>
        <v/>
      </c>
      <c r="S68" s="33" t="str">
        <f aca="false">IF($A68="","",IF(L68="Kurang","grafis tingkat "&amp;D68&amp;" dari 5, di bawah batas minimal (tingkat "&amp;Aturan!$C$49&amp;")",IF(L68="Cukup","grafis tingkat "&amp;D68&amp;" dari 5 cukup, nyamannya mulai tingkat "&amp;Aturan!$D$49,IF(L68="Belum ada data","tingkat grafis belum diisi",""))))</f>
        <v/>
      </c>
      <c r="T68" s="33" t="str">
        <f aca="false">IF($A68="","",IF(M68="Kurang","RAM "&amp;E68&amp;" GB, di bawah batas minimal "&amp;Aturan!$C$50&amp;" GB ("&amp;I68&amp;")",IF(M68="Cukup","RAM "&amp;E68&amp;" GB cukup, nyamannya "&amp;Aturan!$D$50&amp;" GB atau lebih ("&amp;I68&amp;")",IF(M68="Belum ada data","ukuran RAM belum diisi",""))))</f>
        <v/>
      </c>
      <c r="U68" s="33" t="str">
        <f aca="false">IF($A68="","",IF(N68="Kurang","penyimpanan "&amp;F68&amp;" GB, di bawah batas minimal "&amp;Aturan!$C$51&amp;" GB ("&amp;J68&amp;")",IF(N68="Cukup","penyimpanan "&amp;F68&amp;" GB cukup, nyamannya "&amp;Aturan!$D$51&amp;" GB atau lebih ("&amp;J68&amp;")",IF(N68="Belum ada data","ukuran penyimpanan belum diisi",""))))</f>
        <v/>
      </c>
      <c r="V68" s="33" t="str">
        <f aca="false">IF($A68="","",IF(O68="Kurang","layar "&amp;Varian!$AG17&amp;", di bawah batas minimal ("&amp;IFERROR(INDEX(Aturan!$A$63:$A$66,MATCH(Aturan!$C$52,Aturan!$B$63:$B$66,0)),"peringkat "&amp;Aturan!$C$52)&amp;")",IF(O68="Cukup","layar "&amp;Varian!$AG17&amp;" cukup, nyamannya "&amp;IFERROR(INDEX(Aturan!$A$63:$A$66,MATCH(Aturan!$D$52,Aturan!$B$63:$B$66,0)),"peringkat "&amp;Aturan!$D$52),IF(O68="Belum ada data","jenis layar belum diketahui",""))))</f>
        <v/>
      </c>
      <c r="W68" s="33" t="str">
        <f aca="false">IF($A68="","",IF(P68="Kurang","layar "&amp;H68&amp;" Hz, di bawah batas minimal "&amp;Aturan!$C$53&amp;" Hz",IF(P68="Cukup","layar "&amp;H68&amp;" Hz cukup, nyamannya "&amp;Aturan!$D$53&amp;" Hz atau lebih",IF(P68="Belum ada data","refresh rate belum diketahui",""))))</f>
        <v/>
      </c>
      <c r="X68" s="33" t="str">
        <f aca="false">IF($A68="","",IF(K68="Kurang",R68&amp;"; ","")&amp;IF(L68="Kurang",S68&amp;"; ","")&amp;IF(M68="Kurang",T68&amp;"; ","")&amp;IF(N68="Kurang",U68&amp;"; ","")&amp;IF(O68="Kurang",V68&amp;"; ","")&amp;IF(P68="Kurang",W68&amp;"; ","")&amp;IF(K68="Belum ada data",R68&amp;"; ","")&amp;IF(L68="Belum ada data",S68&amp;"; ","")&amp;IF(M68="Belum ada data",T68&amp;"; ","")&amp;IF(N68="Belum ada data",U68&amp;"; ","")&amp;IF(O68="Belum ada data",V68&amp;"; ","")&amp;IF(P68="Belum ada data",W68&amp;"; ","")&amp;IF(K68="Cukup",R68&amp;"; ","")&amp;IF(L68="Cukup",S68&amp;"; ","")&amp;IF(M68="Cukup",T68&amp;"; ","")&amp;IF(N68="Cukup",U68&amp;"; ","")&amp;IF(O68="Cukup",V68&amp;"; ","")&amp;IF(P68="Cukup",W68&amp;"; ",""))</f>
        <v/>
      </c>
      <c r="Y68" s="33" t="str">
        <f aca="false">IF($A68="","",IF(K68="Nyaman","prosesor, ","")&amp;IF(L68="Nyaman","grafis, ","")&amp;IF(M68="Nyaman","RAM, ","")&amp;IF(N68="Nyaman","penyimpanan, ","")&amp;IF(O68="Nyaman","layar, ","")&amp;IF(P68="Nyaman","refresh rate, ",""))</f>
        <v>prosesor, grafis, RAM, penyimpanan, </v>
      </c>
      <c r="Z68" s="33" t="str">
        <f aca="false">IF($A68="","",IF(Q68="Tidak dinilai","Belum ada kriteria yang dinilai untuk kebutuhan ini.",IF(Q68="Cocok","Semua kriteria yang dinilai sudah nyaman: "&amp;LEFT(Y68,LEN(Y68)-2)&amp;".",UPPER(LEFT(X68,1))&amp;MID(X68,2,LEN(X68)-3)&amp;"."&amp;IF(Y68="",""," Sudah nyaman: "&amp;LEFT(Y68,LEN(Y68)-2)&amp;"."))))</f>
        <v>Semua kriteria yang dinilai sudah nyaman: prosesor, grafis, RAM, penyimpanan.</v>
      </c>
      <c r="AA68" s="33"/>
      <c r="AB68" s="33"/>
      <c r="AC68" s="69"/>
    </row>
    <row r="69" customFormat="false" ht="15" hidden="false" customHeight="true" outlineLevel="0" collapsed="false">
      <c r="A69" s="33" t="str">
        <f aca="false">IF(Varian!$A17="","",Varian!$A17)</f>
        <v>lenovo-ideapad-slim-3-14iah8-i5-12450h-8-512</v>
      </c>
      <c r="B69" s="33" t="str">
        <f aca="false">IF($A69="","",Aturan!$A$25)</f>
        <v>Game berat</v>
      </c>
      <c r="C69" s="69" t="n">
        <f aca="false">IF($A69="","",IFERROR(IF(ISNUMBER(INDEX(CPU!$J$4:$J$64,MATCH(Varian!$J17,CPU!$A$4:$A$64,0))),INDEX(CPU!$J$4:$J$64,MATCH(Varian!$J17,CPU!$A$4:$A$64,0)),""),""))</f>
        <v>3</v>
      </c>
      <c r="D69" s="69" t="n">
        <f aca="false">IF($A69="","",IFERROR(IF(ISNUMBER(INDEX(GPU!$G$4:$G$64,MATCH(Varian!$K17,GPU!$A$4:$A$64,0))),INDEX(GPU!$G$4:$G$64,MATCH(Varian!$K17,GPU!$A$4:$A$64,0)),""),""))</f>
        <v>2</v>
      </c>
      <c r="E69" s="69" t="n">
        <f aca="false">IF($A69="","",IF(ISNUMBER(Varian!$M17),Varian!$M17,""))</f>
        <v>8</v>
      </c>
      <c r="F69" s="69" t="n">
        <f aca="false">IF($A69="","",IF(ISNUMBER(Varian!$V17),Varian!$V17,""))</f>
        <v>512</v>
      </c>
      <c r="G69" s="69" t="n">
        <f aca="false">IF($A69="","",IFERROR(INDEX(Aturan!$B$63:$B$66,MATCH(Varian!$AG17,Aturan!$A$63:$A$66,0)),""))</f>
        <v>3</v>
      </c>
      <c r="H69" s="69" t="n">
        <f aca="false">IF($A69="","",IF(ISNUMBER(Varian!$AI17),Varian!$AI17,""))</f>
        <v>60</v>
      </c>
      <c r="I69" s="33" t="str">
        <f aca="false">IF($A69="","",IF(Varian!$Q17="disolder","menempel di papan utama, tidak bisa ditambah",IF(OR(Varian!$Q17="slot",Varian!$Q17="setengah_disolder"),IF(Varian!$Q17="setengah_disolder","sebagian menempel, ","")&amp;IF(ISNUMBER(Varian!$U17),IF(AND(ISNUMBER(Varian!$M17),Varian!$U17&gt;Varian!$M17),"bisa dinaikkan lewat slot sampai "&amp;Varian!$U17&amp;" GB","sudah di batas maksimal "&amp;Varian!$U17&amp;" GB"),"ada slot, batas maksimalnya belum diketahui"),"belum diketahui apakah bisa ditambah")))</f>
        <v>menempel di papan utama, tidak bisa ditambah</v>
      </c>
      <c r="J69" s="33" t="str">
        <f aca="false">IF($A69="","",IF(Varian!$Z17="ya","bisa diganti dengan yang lebih besar",IF(Varian!$Z17="tidak","menempel, tidak bisa diganti","belum diketahui apakah bisa diganti")))</f>
        <v>bisa diganti dengan yang lebih besar</v>
      </c>
      <c r="K69" s="70" t="str">
        <f aca="false">IF($A69="","",IF(AND(Aturan!$C$54="",Aturan!$D$54=""),"Tidak dinilai",IF(C69="","Belum ada data",IF(C69&lt;IF(Aturan!$C$54="",0,Aturan!$C$54),"Kurang",IF(C69&gt;=IF(Aturan!$D$54="",Aturan!$C$54,Aturan!$D$54),"Nyaman","Cukup")))))</f>
        <v>Cukup</v>
      </c>
      <c r="L69" s="70" t="str">
        <f aca="false">IF($A69="","",IF(AND(Aturan!$C$55="",Aturan!$D$55=""),"Tidak dinilai",IF(D69="","Belum ada data",IF(D69&lt;IF(Aturan!$C$55="",0,Aturan!$C$55),"Kurang",IF(D69&gt;=IF(Aturan!$D$55="",Aturan!$C$55,Aturan!$D$55),"Nyaman","Cukup")))))</f>
        <v>Kurang</v>
      </c>
      <c r="M69" s="70" t="str">
        <f aca="false">IF($A69="","",IF(AND(Aturan!$C$56="",Aturan!$D$56=""),"Tidak dinilai",IF(E69="","Belum ada data",IF(E69&lt;IF(Aturan!$C$56="",0,Aturan!$C$56),"Kurang",IF(E69&gt;=IF(Aturan!$D$56="",Aturan!$C$56,Aturan!$D$56),"Nyaman","Cukup")))))</f>
        <v>Cukup</v>
      </c>
      <c r="N69" s="70" t="str">
        <f aca="false">IF($A69="","",IF(AND(Aturan!$C$57="",Aturan!$D$57=""),"Tidak dinilai",IF(F69="","Belum ada data",IF(F69&lt;IF(Aturan!$C$57="",0,Aturan!$C$57),"Kurang",IF(F69&gt;=IF(Aturan!$D$57="",Aturan!$C$57,Aturan!$D$57),"Nyaman","Cukup")))))</f>
        <v>Cukup</v>
      </c>
      <c r="O69" s="70" t="str">
        <f aca="false">IF($A69="","",IF(AND(Aturan!$C$58="",Aturan!$D$58=""),"Tidak dinilai",IF(G69="","Belum ada data",IF(G69&lt;IF(Aturan!$C$58="",0,Aturan!$C$58),"Kurang",IF(G69&gt;=IF(Aturan!$D$58="",Aturan!$C$58,Aturan!$D$58),"Nyaman","Cukup")))))</f>
        <v>Tidak dinilai</v>
      </c>
      <c r="P69" s="70" t="str">
        <f aca="false">IF($A69="","",IF(AND(Aturan!$C$59="",Aturan!$D$59=""),"Tidak dinilai",IF(H69="","Belum ada data",IF(H69&lt;IF(Aturan!$C$59="",0,Aturan!$C$59),"Kurang",IF(H69&gt;=IF(Aturan!$D$59="",Aturan!$C$59,Aturan!$D$59),"Nyaman","Cukup")))))</f>
        <v>Cukup</v>
      </c>
      <c r="Q69" s="70" t="str">
        <f aca="false">IF($A69="","",IF(COUNTIF(K69:P69,"Tidak dinilai")=6,"Tidak dinilai",IF(COUNTIF(K69:P69,"Kurang")&gt;0,"Kurang cocok",IF(COUNTIF(K69:P69,"Belum ada data")&gt;0,"Data belum lengkap",IF(COUNTIF(K69:P69,"Cukup")&gt;0,"Bisa, dengan catatan","Cocok")))))</f>
        <v>Kurang cocok</v>
      </c>
      <c r="R69" s="33" t="str">
        <f aca="false">IF($A69="","",IF(K69="Kurang","prosesor tingkat "&amp;C69&amp;" dari 5, di bawah batas minimal (tingkat "&amp;Aturan!$C$54&amp;")",IF(K69="Cukup","prosesor tingkat "&amp;C69&amp;" dari 5 cukup, nyamannya mulai tingkat "&amp;Aturan!$D$54,IF(K69="Belum ada data","tingkat prosesor belum diisi",""))))</f>
        <v>prosesor tingkat 3 dari 5 cukup, nyamannya mulai tingkat 4</v>
      </c>
      <c r="S69" s="33" t="str">
        <f aca="false">IF($A69="","",IF(L69="Kurang","grafis tingkat "&amp;D69&amp;" dari 5, di bawah batas minimal (tingkat "&amp;Aturan!$C$55&amp;")",IF(L69="Cukup","grafis tingkat "&amp;D69&amp;" dari 5 cukup, nyamannya mulai tingkat "&amp;Aturan!$D$55,IF(L69="Belum ada data","tingkat grafis belum diisi",""))))</f>
        <v>grafis tingkat 2 dari 5, di bawah batas minimal (tingkat 3)</v>
      </c>
      <c r="T69" s="33" t="str">
        <f aca="false">IF($A69="","",IF(M69="Kurang","RAM "&amp;E69&amp;" GB, di bawah batas minimal "&amp;Aturan!$C$56&amp;" GB ("&amp;I69&amp;")",IF(M69="Cukup","RAM "&amp;E69&amp;" GB cukup, nyamannya "&amp;Aturan!$D$56&amp;" GB atau lebih ("&amp;I69&amp;")",IF(M69="Belum ada data","ukuran RAM belum diisi",""))))</f>
        <v>RAM 8 GB cukup, nyamannya 16 GB atau lebih (menempel di papan utama, tidak bisa ditambah)</v>
      </c>
      <c r="U69" s="33" t="str">
        <f aca="false">IF($A69="","",IF(N69="Kurang","penyimpanan "&amp;F69&amp;" GB, di bawah batas minimal "&amp;Aturan!$C$57&amp;" GB ("&amp;J69&amp;")",IF(N69="Cukup","penyimpanan "&amp;F69&amp;" GB cukup, nyamannya "&amp;Aturan!$D$57&amp;" GB atau lebih ("&amp;J69&amp;")",IF(N69="Belum ada data","ukuran penyimpanan belum diisi",""))))</f>
        <v>penyimpanan 512 GB cukup, nyamannya 1000 GB atau lebih (bisa diganti dengan yang lebih besar)</v>
      </c>
      <c r="V69" s="33" t="str">
        <f aca="false">IF($A69="","",IF(O69="Kurang","layar "&amp;Varian!$AG17&amp;", di bawah batas minimal ("&amp;IFERROR(INDEX(Aturan!$A$63:$A$66,MATCH(Aturan!$C$58,Aturan!$B$63:$B$66,0)),"peringkat "&amp;Aturan!$C$58)&amp;")",IF(O69="Cukup","layar "&amp;Varian!$AG17&amp;" cukup, nyamannya "&amp;IFERROR(INDEX(Aturan!$A$63:$A$66,MATCH(Aturan!$D$58,Aturan!$B$63:$B$66,0)),"peringkat "&amp;Aturan!$D$58),IF(O69="Belum ada data","jenis layar belum diketahui",""))))</f>
        <v/>
      </c>
      <c r="W69" s="33" t="str">
        <f aca="false">IF($A69="","",IF(P69="Kurang","layar "&amp;H69&amp;" Hz, di bawah batas minimal "&amp;Aturan!$C$59&amp;" Hz",IF(P69="Cukup","layar "&amp;H69&amp;" Hz cukup, nyamannya "&amp;Aturan!$D$59&amp;" Hz atau lebih",IF(P69="Belum ada data","refresh rate belum diketahui",""))))</f>
        <v>layar 60 Hz cukup, nyamannya 120 Hz atau lebih</v>
      </c>
      <c r="X69" s="33" t="str">
        <f aca="false">IF($A69="","",IF(K69="Kurang",R69&amp;"; ","")&amp;IF(L69="Kurang",S69&amp;"; ","")&amp;IF(M69="Kurang",T69&amp;"; ","")&amp;IF(N69="Kurang",U69&amp;"; ","")&amp;IF(O69="Kurang",V69&amp;"; ","")&amp;IF(P69="Kurang",W69&amp;"; ","")&amp;IF(K69="Belum ada data",R69&amp;"; ","")&amp;IF(L69="Belum ada data",S69&amp;"; ","")&amp;IF(M69="Belum ada data",T69&amp;"; ","")&amp;IF(N69="Belum ada data",U69&amp;"; ","")&amp;IF(O69="Belum ada data",V69&amp;"; ","")&amp;IF(P69="Belum ada data",W69&amp;"; ","")&amp;IF(K69="Cukup",R69&amp;"; ","")&amp;IF(L69="Cukup",S69&amp;"; ","")&amp;IF(M69="Cukup",T69&amp;"; ","")&amp;IF(N69="Cukup",U69&amp;"; ","")&amp;IF(O69="Cukup",V69&amp;"; ","")&amp;IF(P69="Cukup",W69&amp;"; ",""))</f>
        <v>grafis tingkat 2 dari 5, di bawah batas minimal (tingkat 3); prosesor tingkat 3 dari 5 cukup, nyamannya mulai tingkat 4; RAM 8 GB cukup, nyamannya 16 GB atau lebih (menempel di papan utama, tidak bisa ditambah); penyimpanan 512 GB cukup, nyamannya 1000 GB atau lebih (bisa diganti dengan yang lebih besar); layar 60 Hz cukup, nyamannya 120 Hz atau lebih; </v>
      </c>
      <c r="Y69" s="33" t="str">
        <f aca="false">IF($A69="","",IF(K69="Nyaman","prosesor, ","")&amp;IF(L69="Nyaman","grafis, ","")&amp;IF(M69="Nyaman","RAM, ","")&amp;IF(N69="Nyaman","penyimpanan, ","")&amp;IF(O69="Nyaman","layar, ","")&amp;IF(P69="Nyaman","refresh rate, ",""))</f>
        <v/>
      </c>
      <c r="Z69" s="33" t="str">
        <f aca="false">IF($A69="","",IF(Q69="Tidak dinilai","Belum ada kriteria yang dinilai untuk kebutuhan ini.",IF(Q69="Cocok","Semua kriteria yang dinilai sudah nyaman: "&amp;LEFT(Y69,LEN(Y69)-2)&amp;".",UPPER(LEFT(X69,1))&amp;MID(X69,2,LEN(X69)-3)&amp;"."&amp;IF(Y69="",""," Sudah nyaman: "&amp;LEFT(Y69,LEN(Y69)-2)&amp;"."))))</f>
        <v>Grafis tingkat 2 dari 5, di bawah batas minimal (tingkat 3); prosesor tingkat 3 dari 5 cukup, nyamannya mulai tingkat 4; RAM 8 GB cukup, nyamannya 16 GB atau lebih (menempel di papan utama, tidak bisa ditambah); penyimpanan 512 GB cukup, nyamannya 1000 GB atau lebih (bisa diganti dengan yang lebih besar); layar 60 Hz cukup, nyamannya 120 Hz atau lebih.</v>
      </c>
      <c r="AA69" s="33"/>
      <c r="AB69" s="33"/>
      <c r="AC69" s="69"/>
    </row>
    <row r="70" customFormat="false" ht="15" hidden="false" customHeight="true" outlineLevel="0" collapsed="false">
      <c r="A70" s="66" t="str">
        <f aca="false">IF(Varian!$A18="","",Varian!$A18)</f>
        <v>asus-vivobook-go-14-e1404-r3-7320u-8-512</v>
      </c>
      <c r="B70" s="66" t="str">
        <f aca="false">IF($A70="","",Aturan!$A$21)</f>
        <v>Kuliah dan kantor</v>
      </c>
      <c r="C70" s="67" t="n">
        <f aca="false">IF($A70="","",IFERROR(IF(ISNUMBER(INDEX(CPU!$J$4:$J$64,MATCH(Varian!$J18,CPU!$A$4:$A$64,0))),INDEX(CPU!$J$4:$J$64,MATCH(Varian!$J18,CPU!$A$4:$A$64,0)),""),""))</f>
        <v>2</v>
      </c>
      <c r="D70" s="67" t="n">
        <f aca="false">IF($A70="","",IFERROR(IF(ISNUMBER(INDEX(GPU!$G$4:$G$64,MATCH(Varian!$K18,GPU!$A$4:$A$64,0))),INDEX(GPU!$G$4:$G$64,MATCH(Varian!$K18,GPU!$A$4:$A$64,0)),""),""))</f>
        <v>1</v>
      </c>
      <c r="E70" s="67" t="n">
        <f aca="false">IF($A70="","",IF(ISNUMBER(Varian!$M18),Varian!$M18,""))</f>
        <v>8</v>
      </c>
      <c r="F70" s="67" t="n">
        <f aca="false">IF($A70="","",IF(ISNUMBER(Varian!$V18),Varian!$V18,""))</f>
        <v>512</v>
      </c>
      <c r="G70" s="67" t="n">
        <f aca="false">IF($A70="","",IFERROR(INDEX(Aturan!$B$63:$B$66,MATCH(Varian!$AG18,Aturan!$A$63:$A$66,0)),""))</f>
        <v>1</v>
      </c>
      <c r="H70" s="67" t="n">
        <f aca="false">IF($A70="","",IF(ISNUMBER(Varian!$AI18),Varian!$AI18,""))</f>
        <v>60</v>
      </c>
      <c r="I70" s="66" t="str">
        <f aca="false">IF($A70="","",IF(Varian!$Q18="disolder","menempel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0" s="66" t="str">
        <f aca="false">IF($A70="","",IF(Varian!$Z18="ya","bisa diganti dengan yang lebih besar",IF(Varian!$Z18="tidak","menempel, tidak bisa diganti","belum diketahui apakah bisa diganti")))</f>
        <v>bisa diganti dengan yang lebih besar</v>
      </c>
      <c r="K70" s="68" t="str">
        <f aca="false">IF($A70="","",IF(AND(Aturan!$C$30="",Aturan!$D$30=""),"Tidak dinilai",IF(C70="","Belum ada data",IF(C70&lt;IF(Aturan!$C$30="",0,Aturan!$C$30),"Kurang",IF(C70&gt;=IF(Aturan!$D$30="",Aturan!$C$30,Aturan!$D$30),"Nyaman","Cukup")))))</f>
        <v>Nyaman</v>
      </c>
      <c r="L70" s="68" t="str">
        <f aca="false">IF($A70="","",IF(AND(Aturan!$C$31="",Aturan!$D$31=""),"Tidak dinilai",IF(D70="","Belum ada data",IF(D70&lt;IF(Aturan!$C$31="",0,Aturan!$C$31),"Kurang",IF(D70&gt;=IF(Aturan!$D$31="",Aturan!$C$31,Aturan!$D$31),"Nyaman","Cukup")))))</f>
        <v>Tidak dinilai</v>
      </c>
      <c r="M70" s="68" t="str">
        <f aca="false">IF($A70="","",IF(AND(Aturan!$C$32="",Aturan!$D$32=""),"Tidak dinilai",IF(E70="","Belum ada data",IF(E70&lt;IF(Aturan!$C$32="",0,Aturan!$C$32),"Kurang",IF(E70&gt;=IF(Aturan!$D$32="",Aturan!$C$32,Aturan!$D$32),"Nyaman","Cukup")))))</f>
        <v>Nyaman</v>
      </c>
      <c r="N70" s="68" t="str">
        <f aca="false">IF($A70="","",IF(AND(Aturan!$C$33="",Aturan!$D$33=""),"Tidak dinilai",IF(F70="","Belum ada data",IF(F70&lt;IF(Aturan!$C$33="",0,Aturan!$C$33),"Kurang",IF(F70&gt;=IF(Aturan!$D$33="",Aturan!$C$33,Aturan!$D$33),"Nyaman","Cukup")))))</f>
        <v>Nyaman</v>
      </c>
      <c r="O70" s="68" t="str">
        <f aca="false">IF($A70="","",IF(AND(Aturan!$C$34="",Aturan!$D$34=""),"Tidak dinilai",IF(G70="","Belum ada data",IF(G70&lt;IF(Aturan!$C$34="",0,Aturan!$C$34),"Kurang",IF(G70&gt;=IF(Aturan!$D$34="",Aturan!$C$34,Aturan!$D$34),"Nyaman","Cukup")))))</f>
        <v>Tidak dinilai</v>
      </c>
      <c r="P70" s="68" t="str">
        <f aca="false">IF($A70="","",IF(AND(Aturan!$C$35="",Aturan!$D$35=""),"Tidak dinilai",IF(H70="","Belum ada data",IF(H70&lt;IF(Aturan!$C$35="",0,Aturan!$C$35),"Kurang",IF(H70&gt;=IF(Aturan!$D$35="",Aturan!$C$35,Aturan!$D$35),"Nyaman","Cukup")))))</f>
        <v>Tidak dinilai</v>
      </c>
      <c r="Q70" s="68" t="str">
        <f aca="false">IF($A70="","",IF(COUNTIF(K70:P70,"Tidak dinilai")=6,"Tidak dinilai",IF(COUNTIF(K70:P70,"Kurang")&gt;0,"Kurang cocok",IF(COUNTIF(K70:P70,"Belum ada data")&gt;0,"Data belum lengkap",IF(COUNTIF(K70:P70,"Cukup")&gt;0,"Bisa, dengan catatan","Cocok")))))</f>
        <v>Cocok</v>
      </c>
      <c r="R70" s="66" t="str">
        <f aca="false">IF($A70="","",IF(K70="Kurang","prosesor tingkat "&amp;C70&amp;" dari 5, di bawah batas minimal (tingkat "&amp;Aturan!$C$30&amp;")",IF(K70="Cukup","prosesor tingkat "&amp;C70&amp;" dari 5 cukup, nyamannya mulai tingkat "&amp;Aturan!$D$30,IF(K70="Belum ada data","tingkat prosesor belum diisi",""))))</f>
        <v/>
      </c>
      <c r="S70" s="66" t="str">
        <f aca="false">IF($A70="","",IF(L70="Kurang","grafis tingkat "&amp;D70&amp;" dari 5, di bawah batas minimal (tingkat "&amp;Aturan!$C$31&amp;")",IF(L70="Cukup","grafis tingkat "&amp;D70&amp;" dari 5 cukup, nyamannya mulai tingkat "&amp;Aturan!$D$31,IF(L70="Belum ada data","tingkat grafis belum diisi",""))))</f>
        <v/>
      </c>
      <c r="T70" s="66" t="str">
        <f aca="false">IF($A70="","",IF(M70="Kurang","RAM "&amp;E70&amp;" GB, di bawah batas minimal "&amp;Aturan!$C$32&amp;" GB ("&amp;I70&amp;")",IF(M70="Cukup","RAM "&amp;E70&amp;" GB cukup, nyamannya "&amp;Aturan!$D$32&amp;" GB atau lebih ("&amp;I70&amp;")",IF(M70="Belum ada data","ukuran RAM belum diisi",""))))</f>
        <v/>
      </c>
      <c r="U70" s="66" t="str">
        <f aca="false">IF($A70="","",IF(N70="Kurang","penyimpanan "&amp;F70&amp;" GB, di bawah batas minimal "&amp;Aturan!$C$33&amp;" GB ("&amp;J70&amp;")",IF(N70="Cukup","penyimpanan "&amp;F70&amp;" GB cukup, nyamannya "&amp;Aturan!$D$33&amp;" GB atau lebih ("&amp;J70&amp;")",IF(N70="Belum ada data","ukuran penyimpanan belum diisi",""))))</f>
        <v/>
      </c>
      <c r="V70" s="66" t="str">
        <f aca="false">IF($A70="","",IF(O70="Kurang","layar "&amp;Varian!$AG18&amp;", di bawah batas minimal ("&amp;IFERROR(INDEX(Aturan!$A$63:$A$66,MATCH(Aturan!$C$34,Aturan!$B$63:$B$66,0)),"peringkat "&amp;Aturan!$C$34)&amp;")",IF(O70="Cukup","layar "&amp;Varian!$AG18&amp;" cukup, nyamannya "&amp;IFERROR(INDEX(Aturan!$A$63:$A$66,MATCH(Aturan!$D$34,Aturan!$B$63:$B$66,0)),"peringkat "&amp;Aturan!$D$34),IF(O70="Belum ada data","jenis layar belum diketahui",""))))</f>
        <v/>
      </c>
      <c r="W70" s="66" t="str">
        <f aca="false">IF($A70="","",IF(P70="Kurang","layar "&amp;H70&amp;" Hz, di bawah batas minimal "&amp;Aturan!$C$35&amp;" Hz",IF(P70="Cukup","layar "&amp;H70&amp;" Hz cukup, nyamannya "&amp;Aturan!$D$35&amp;" Hz atau lebih",IF(P70="Belum ada data","refresh rate belum diketahui",""))))</f>
        <v/>
      </c>
      <c r="X70" s="66" t="str">
        <f aca="false">IF($A70="","",IF(K70="Kurang",R70&amp;"; ","")&amp;IF(L70="Kurang",S70&amp;"; ","")&amp;IF(M70="Kurang",T70&amp;"; ","")&amp;IF(N70="Kurang",U70&amp;"; ","")&amp;IF(O70="Kurang",V70&amp;"; ","")&amp;IF(P70="Kurang",W70&amp;"; ","")&amp;IF(K70="Belum ada data",R70&amp;"; ","")&amp;IF(L70="Belum ada data",S70&amp;"; ","")&amp;IF(M70="Belum ada data",T70&amp;"; ","")&amp;IF(N70="Belum ada data",U70&amp;"; ","")&amp;IF(O70="Belum ada data",V70&amp;"; ","")&amp;IF(P70="Belum ada data",W70&amp;"; ","")&amp;IF(K70="Cukup",R70&amp;"; ","")&amp;IF(L70="Cukup",S70&amp;"; ","")&amp;IF(M70="Cukup",T70&amp;"; ","")&amp;IF(N70="Cukup",U70&amp;"; ","")&amp;IF(O70="Cukup",V70&amp;"; ","")&amp;IF(P70="Cukup",W70&amp;"; ",""))</f>
        <v/>
      </c>
      <c r="Y70" s="66" t="str">
        <f aca="false">IF($A70="","",IF(K70="Nyaman","prosesor, ","")&amp;IF(L70="Nyaman","grafis, ","")&amp;IF(M70="Nyaman","RAM, ","")&amp;IF(N70="Nyaman","penyimpanan, ","")&amp;IF(O70="Nyaman","layar, ","")&amp;IF(P70="Nyaman","refresh rate, ",""))</f>
        <v>prosesor, RAM, penyimpanan, </v>
      </c>
      <c r="Z70" s="66" t="str">
        <f aca="false">IF($A70="","",IF(Q70="Tidak dinilai","Belum ada kriteria yang dinilai untuk kebutuhan ini.",IF(Q70="Cocok","Semua kriteria yang dinilai sudah nyaman: "&amp;LEFT(Y70,LEN(Y70)-2)&amp;".",UPPER(LEFT(X70,1))&amp;MID(X70,2,LEN(X70)-3)&amp;"."&amp;IF(Y70="",""," Sudah nyaman: "&amp;LEFT(Y70,LEN(Y70)-2)&amp;"."))))</f>
        <v>Semua kriteria yang dinilai sudah nyaman: prosesor, RAM, penyimpanan.</v>
      </c>
      <c r="AA70" s="71" t="str">
        <f aca="false">IF($A70="","",IF(Varian!$AR18="Windows 10","• "&amp;Aturan!$E$71&amp;CHAR(10),"")&amp;IF(Varian!$BB18="tidak","• "&amp;Aturan!$E$72&amp;CHAR(10),"")&amp;IF(OR(Varian!$AD18="belum terverifikasi",Varian!$AD18="tidak diketahui"),"• "&amp;Aturan!$E$73&amp;CHAR(10),"")&amp;IF(Varian!$AH18="1366x768","• "&amp;Aturan!$E$74&amp;CHAR(10),"")&amp;IF(Varian!$AG18="TN","• "&amp;Aturan!$E$75&amp;CHAR(10),"")&amp;IF(AND(Varian!$Q18="disolder",ISNUMBER(Varian!$M18),Varian!$M18&lt;=8),"• "&amp;Aturan!$E$76&amp;CHAR(10),""))</f>
        <v>• Panel TN: warna cenderung pucat dan sudut pandang sempit.
• RAM menempel di papan utama dan tidak bisa ditambah, padahal ukurannya kecil (8 GB atau kurang).
</v>
      </c>
      <c r="AB70" s="71" t="str">
        <f aca="false">IF($A70="","",IF(AA70="","",LEFT(AA70,LEN(AA70)-1)))</f>
        <v>• Panel TN: warna cenderung pucat dan sudut pandang sempit.
• RAM menempel di papan utama dan tidak bisa ditambah, padahal ukurannya kecil (8 GB atau kurang).</v>
      </c>
      <c r="AC70" s="67" t="n">
        <f aca="false">IF($A70="","",IF(AA70="",0,LEN(AA70)-LEN(SUBSTITUTE(AA70,CHAR(10),""))))</f>
        <v>2</v>
      </c>
    </row>
    <row r="71" customFormat="false" ht="15" hidden="false" customHeight="true" outlineLevel="0" collapsed="false">
      <c r="A71" s="33" t="str">
        <f aca="false">IF(Varian!$A18="","",Varian!$A18)</f>
        <v>asus-vivobook-go-14-e1404-r3-7320u-8-512</v>
      </c>
      <c r="B71" s="33" t="str">
        <f aca="false">IF($A71="","",Aturan!$A$22)</f>
        <v>Desain grafis</v>
      </c>
      <c r="C71" s="69" t="n">
        <f aca="false">IF($A71="","",IFERROR(IF(ISNUMBER(INDEX(CPU!$J$4:$J$64,MATCH(Varian!$J18,CPU!$A$4:$A$64,0))),INDEX(CPU!$J$4:$J$64,MATCH(Varian!$J18,CPU!$A$4:$A$64,0)),""),""))</f>
        <v>2</v>
      </c>
      <c r="D71" s="69" t="n">
        <f aca="false">IF($A71="","",IFERROR(IF(ISNUMBER(INDEX(GPU!$G$4:$G$64,MATCH(Varian!$K18,GPU!$A$4:$A$64,0))),INDEX(GPU!$G$4:$G$64,MATCH(Varian!$K18,GPU!$A$4:$A$64,0)),""),""))</f>
        <v>1</v>
      </c>
      <c r="E71" s="69" t="n">
        <f aca="false">IF($A71="","",IF(ISNUMBER(Varian!$M18),Varian!$M18,""))</f>
        <v>8</v>
      </c>
      <c r="F71" s="69" t="n">
        <f aca="false">IF($A71="","",IF(ISNUMBER(Varian!$V18),Varian!$V18,""))</f>
        <v>512</v>
      </c>
      <c r="G71" s="69" t="n">
        <f aca="false">IF($A71="","",IFERROR(INDEX(Aturan!$B$63:$B$66,MATCH(Varian!$AG18,Aturan!$A$63:$A$66,0)),""))</f>
        <v>1</v>
      </c>
      <c r="H71" s="69" t="n">
        <f aca="false">IF($A71="","",IF(ISNUMBER(Varian!$AI18),Varian!$AI18,""))</f>
        <v>60</v>
      </c>
      <c r="I71" s="33" t="str">
        <f aca="false">IF($A71="","",IF(Varian!$Q18="disolder","menempel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1" s="33" t="str">
        <f aca="false">IF($A71="","",IF(Varian!$Z18="ya","bisa diganti dengan yang lebih besar",IF(Varian!$Z18="tidak","menempel, tidak bisa diganti","belum diketahui apakah bisa diganti")))</f>
        <v>bisa diganti dengan yang lebih besar</v>
      </c>
      <c r="K71" s="70" t="str">
        <f aca="false">IF($A71="","",IF(AND(Aturan!$C$36="",Aturan!$D$36=""),"Tidak dinilai",IF(C71="","Belum ada data",IF(C71&lt;IF(Aturan!$C$36="",0,Aturan!$C$36),"Kurang",IF(C71&gt;=IF(Aturan!$D$36="",Aturan!$C$36,Aturan!$D$36),"Nyaman","Cukup")))))</f>
        <v>Cukup</v>
      </c>
      <c r="L71" s="70" t="str">
        <f aca="false">IF($A71="","",IF(AND(Aturan!$C$37="",Aturan!$D$37=""),"Tidak dinilai",IF(D71="","Belum ada data",IF(D71&lt;IF(Aturan!$C$37="",0,Aturan!$C$37),"Kurang",IF(D71&gt;=IF(Aturan!$D$37="",Aturan!$C$37,Aturan!$D$37),"Nyaman","Cukup")))))</f>
        <v>Cukup</v>
      </c>
      <c r="M71" s="70" t="str">
        <f aca="false">IF($A71="","",IF(AND(Aturan!$C$38="",Aturan!$D$38=""),"Tidak dinilai",IF(E71="","Belum ada data",IF(E71&lt;IF(Aturan!$C$38="",0,Aturan!$C$38),"Kurang",IF(E71&gt;=IF(Aturan!$D$38="",Aturan!$C$38,Aturan!$D$38),"Nyaman","Cukup")))))</f>
        <v>Cukup</v>
      </c>
      <c r="N71" s="70" t="str">
        <f aca="false">IF($A71="","",IF(AND(Aturan!$C$39="",Aturan!$D$39=""),"Tidak dinilai",IF(F71="","Belum ada data",IF(F71&lt;IF(Aturan!$C$39="",0,Aturan!$C$39),"Kurang",IF(F71&gt;=IF(Aturan!$D$39="",Aturan!$C$39,Aturan!$D$39),"Nyaman","Cukup")))))</f>
        <v>Nyaman</v>
      </c>
      <c r="O71" s="70" t="str">
        <f aca="false">IF($A71="","",IF(AND(Aturan!$C$40="",Aturan!$D$40=""),"Tidak dinilai",IF(G71="","Belum ada data",IF(G71&lt;IF(Aturan!$C$40="",0,Aturan!$C$40),"Kurang",IF(G71&gt;=IF(Aturan!$D$40="",Aturan!$C$40,Aturan!$D$40),"Nyaman","Cukup")))))</f>
        <v>Kurang</v>
      </c>
      <c r="P71" s="70" t="str">
        <f aca="false">IF($A71="","",IF(AND(Aturan!$C$41="",Aturan!$D$41=""),"Tidak dinilai",IF(H71="","Belum ada data",IF(H71&lt;IF(Aturan!$C$41="",0,Aturan!$C$41),"Kurang",IF(H71&gt;=IF(Aturan!$D$41="",Aturan!$C$41,Aturan!$D$41),"Nyaman","Cukup")))))</f>
        <v>Tidak dinilai</v>
      </c>
      <c r="Q71" s="70" t="str">
        <f aca="false">IF($A71="","",IF(COUNTIF(K71:P71,"Tidak dinilai")=6,"Tidak dinilai",IF(COUNTIF(K71:P71,"Kurang")&gt;0,"Kurang cocok",IF(COUNTIF(K71:P71,"Belum ada data")&gt;0,"Data belum lengkap",IF(COUNTIF(K71:P71,"Cukup")&gt;0,"Bisa, dengan catatan","Cocok")))))</f>
        <v>Kurang cocok</v>
      </c>
      <c r="R71" s="33" t="str">
        <f aca="false">IF($A71="","",IF(K71="Kurang","prosesor tingkat "&amp;C71&amp;" dari 5, di bawah batas minimal (tingkat "&amp;Aturan!$C$36&amp;")",IF(K71="Cukup","prosesor tingkat "&amp;C71&amp;" dari 5 cukup, nyamannya mulai tingkat "&amp;Aturan!$D$36,IF(K71="Belum ada data","tingkat prosesor belum diisi",""))))</f>
        <v>prosesor tingkat 2 dari 5 cukup, nyamannya mulai tingkat 3</v>
      </c>
      <c r="S71" s="33" t="str">
        <f aca="false">IF($A71="","",IF(L71="Kurang","grafis tingkat "&amp;D71&amp;" dari 5, di bawah batas minimal (tingkat "&amp;Aturan!$C$37&amp;")",IF(L71="Cukup","grafis tingkat "&amp;D71&amp;" dari 5 cukup, nyamannya mulai tingkat "&amp;Aturan!$D$37,IF(L71="Belum ada data","tingkat grafis belum diisi",""))))</f>
        <v>grafis tingkat 1 dari 5 cukup, nyamannya mulai tingkat 2</v>
      </c>
      <c r="T71" s="33" t="str">
        <f aca="false">IF($A71="","",IF(M71="Kurang","RAM "&amp;E71&amp;" GB, di bawah batas minimal "&amp;Aturan!$C$38&amp;" GB ("&amp;I71&amp;")",IF(M71="Cukup","RAM "&amp;E71&amp;" GB cukup, nyamannya "&amp;Aturan!$D$38&amp;" GB atau lebih ("&amp;I71&amp;")",IF(M71="Belum ada data","ukuran RAM belum diisi",""))))</f>
        <v>RAM 8 GB cukup, nyamannya 16 GB atau lebih (menempel di papan utama, tidak bisa ditambah)</v>
      </c>
      <c r="U71" s="33" t="str">
        <f aca="false">IF($A71="","",IF(N71="Kurang","penyimpanan "&amp;F71&amp;" GB, di bawah batas minimal "&amp;Aturan!$C$39&amp;" GB ("&amp;J71&amp;")",IF(N71="Cukup","penyimpanan "&amp;F71&amp;" GB cukup, nyamannya "&amp;Aturan!$D$39&amp;" GB atau lebih ("&amp;J71&amp;")",IF(N71="Belum ada data","ukuran penyimpanan belum diisi",""))))</f>
        <v/>
      </c>
      <c r="V71" s="33" t="str">
        <f aca="false">IF($A71="","",IF(O71="Kurang","layar "&amp;Varian!$AG18&amp;", di bawah batas minimal ("&amp;IFERROR(INDEX(Aturan!$A$63:$A$66,MATCH(Aturan!$C$40,Aturan!$B$63:$B$66,0)),"peringkat "&amp;Aturan!$C$40)&amp;")",IF(O71="Cukup","layar "&amp;Varian!$AG18&amp;" cukup, nyamannya "&amp;IFERROR(INDEX(Aturan!$A$63:$A$66,MATCH(Aturan!$D$40,Aturan!$B$63:$B$66,0)),"peringkat "&amp;Aturan!$D$40),IF(O71="Belum ada data","jenis layar belum diketahui",""))))</f>
        <v>layar TN, di bawah batas minimal (IPS)</v>
      </c>
      <c r="W71" s="33" t="str">
        <f aca="false">IF($A71="","",IF(P71="Kurang","layar "&amp;H71&amp;" Hz, di bawah batas minimal "&amp;Aturan!$C$41&amp;" Hz",IF(P71="Cukup","layar "&amp;H71&amp;" Hz cukup, nyamannya "&amp;Aturan!$D$41&amp;" Hz atau lebih",IF(P71="Belum ada data","refresh rate belum diketahui",""))))</f>
        <v/>
      </c>
      <c r="X71" s="33" t="str">
        <f aca="false">IF($A71="","",IF(K71="Kurang",R71&amp;"; ","")&amp;IF(L71="Kurang",S71&amp;"; ","")&amp;IF(M71="Kurang",T71&amp;"; ","")&amp;IF(N71="Kurang",U71&amp;"; ","")&amp;IF(O71="Kurang",V71&amp;"; ","")&amp;IF(P71="Kurang",W71&amp;"; ","")&amp;IF(K71="Belum ada data",R71&amp;"; ","")&amp;IF(L71="Belum ada data",S71&amp;"; ","")&amp;IF(M71="Belum ada data",T71&amp;"; ","")&amp;IF(N71="Belum ada data",U71&amp;"; ","")&amp;IF(O71="Belum ada data",V71&amp;"; ","")&amp;IF(P71="Belum ada data",W71&amp;"; ","")&amp;IF(K71="Cukup",R71&amp;"; ","")&amp;IF(L71="Cukup",S71&amp;"; ","")&amp;IF(M71="Cukup",T71&amp;"; ","")&amp;IF(N71="Cukup",U71&amp;"; ","")&amp;IF(O71="Cukup",V71&amp;"; ","")&amp;IF(P71="Cukup",W71&amp;"; ",""))</f>
        <v>layar TN, di bawah batas minimal (IPS); prosesor tingkat 2 dari 5 cukup, nyamannya mulai tingkat 3; grafis tingkat 1 dari 5 cukup, nyamannya mulai tingkat 2; RAM 8 GB cukup, nyamannya 16 GB atau lebih (menempel di papan utama, tidak bisa ditambah); </v>
      </c>
      <c r="Y71" s="33" t="str">
        <f aca="false">IF($A71="","",IF(K71="Nyaman","prosesor, ","")&amp;IF(L71="Nyaman","grafis, ","")&amp;IF(M71="Nyaman","RAM, ","")&amp;IF(N71="Nyaman","penyimpanan, ","")&amp;IF(O71="Nyaman","layar, ","")&amp;IF(P71="Nyaman","refresh rate, ",""))</f>
        <v>penyimpanan, </v>
      </c>
      <c r="Z71" s="33" t="str">
        <f aca="false">IF($A71="","",IF(Q71="Tidak dinilai","Belum ada kriteria yang dinilai untuk kebutuhan ini.",IF(Q71="Cocok","Semua kriteria yang dinilai sudah nyaman: "&amp;LEFT(Y71,LEN(Y71)-2)&amp;".",UPPER(LEFT(X71,1))&amp;MID(X71,2,LEN(X71)-3)&amp;"."&amp;IF(Y71="",""," Sudah nyaman: "&amp;LEFT(Y71,LEN(Y71)-2)&amp;"."))))</f>
        <v>Layar TN, di bawah batas minimal (IPS); prosesor tingkat 2 dari 5 cukup, nyamannya mulai tingkat 3; grafis tingkat 1 dari 5 cukup, nyamannya mulai tingkat 2; RAM 8 GB cukup, nyamannya 16 GB atau lebih (menempel di papan utama, tidak bisa ditambah). Sudah nyaman: penyimpanan.</v>
      </c>
      <c r="AA71" s="33"/>
      <c r="AB71" s="33"/>
      <c r="AC71" s="69"/>
    </row>
    <row r="72" customFormat="false" ht="15" hidden="false" customHeight="true" outlineLevel="0" collapsed="false">
      <c r="A72" s="33" t="str">
        <f aca="false">IF(Varian!$A18="","",Varian!$A18)</f>
        <v>asus-vivobook-go-14-e1404-r3-7320u-8-512</v>
      </c>
      <c r="B72" s="33" t="str">
        <f aca="false">IF($A72="","",Aturan!$A$23)</f>
        <v>Pemrograman</v>
      </c>
      <c r="C72" s="69" t="n">
        <f aca="false">IF($A72="","",IFERROR(IF(ISNUMBER(INDEX(CPU!$J$4:$J$64,MATCH(Varian!$J18,CPU!$A$4:$A$64,0))),INDEX(CPU!$J$4:$J$64,MATCH(Varian!$J18,CPU!$A$4:$A$64,0)),""),""))</f>
        <v>2</v>
      </c>
      <c r="D72" s="69" t="n">
        <f aca="false">IF($A72="","",IFERROR(IF(ISNUMBER(INDEX(GPU!$G$4:$G$64,MATCH(Varian!$K18,GPU!$A$4:$A$64,0))),INDEX(GPU!$G$4:$G$64,MATCH(Varian!$K18,GPU!$A$4:$A$64,0)),""),""))</f>
        <v>1</v>
      </c>
      <c r="E72" s="69" t="n">
        <f aca="false">IF($A72="","",IF(ISNUMBER(Varian!$M18),Varian!$M18,""))</f>
        <v>8</v>
      </c>
      <c r="F72" s="69" t="n">
        <f aca="false">IF($A72="","",IF(ISNUMBER(Varian!$V18),Varian!$V18,""))</f>
        <v>512</v>
      </c>
      <c r="G72" s="69" t="n">
        <f aca="false">IF($A72="","",IFERROR(INDEX(Aturan!$B$63:$B$66,MATCH(Varian!$AG18,Aturan!$A$63:$A$66,0)),""))</f>
        <v>1</v>
      </c>
      <c r="H72" s="69" t="n">
        <f aca="false">IF($A72="","",IF(ISNUMBER(Varian!$AI18),Varian!$AI18,""))</f>
        <v>60</v>
      </c>
      <c r="I72" s="33" t="str">
        <f aca="false">IF($A72="","",IF(Varian!$Q18="disolder","menempel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2" s="33" t="str">
        <f aca="false">IF($A72="","",IF(Varian!$Z18="ya","bisa diganti dengan yang lebih besar",IF(Varian!$Z18="tidak","menempel, tidak bisa diganti","belum diketahui apakah bisa diganti")))</f>
        <v>bisa diganti dengan yang lebih besar</v>
      </c>
      <c r="K72" s="70" t="str">
        <f aca="false">IF($A72="","",IF(AND(Aturan!$C$42="",Aturan!$D$42=""),"Tidak dinilai",IF(C72="","Belum ada data",IF(C72&lt;IF(Aturan!$C$42="",0,Aturan!$C$42),"Kurang",IF(C72&gt;=IF(Aturan!$D$42="",Aturan!$C$42,Aturan!$D$42),"Nyaman","Cukup")))))</f>
        <v>Cukup</v>
      </c>
      <c r="L72" s="70" t="str">
        <f aca="false">IF($A72="","",IF(AND(Aturan!$C$43="",Aturan!$D$43=""),"Tidak dinilai",IF(D72="","Belum ada data",IF(D72&lt;IF(Aturan!$C$43="",0,Aturan!$C$43),"Kurang",IF(D72&gt;=IF(Aturan!$D$43="",Aturan!$C$43,Aturan!$D$43),"Nyaman","Cukup")))))</f>
        <v>Tidak dinilai</v>
      </c>
      <c r="M72" s="70" t="str">
        <f aca="false">IF($A72="","",IF(AND(Aturan!$C$44="",Aturan!$D$44=""),"Tidak dinilai",IF(E72="","Belum ada data",IF(E72&lt;IF(Aturan!$C$44="",0,Aturan!$C$44),"Kurang",IF(E72&gt;=IF(Aturan!$D$44="",Aturan!$C$44,Aturan!$D$44),"Nyaman","Cukup")))))</f>
        <v>Cukup</v>
      </c>
      <c r="N72" s="70" t="str">
        <f aca="false">IF($A72="","",IF(AND(Aturan!$C$45="",Aturan!$D$45=""),"Tidak dinilai",IF(F72="","Belum ada data",IF(F72&lt;IF(Aturan!$C$45="",0,Aturan!$C$45),"Kurang",IF(F72&gt;=IF(Aturan!$D$45="",Aturan!$C$45,Aturan!$D$45),"Nyaman","Cukup")))))</f>
        <v>Nyaman</v>
      </c>
      <c r="O72" s="70" t="str">
        <f aca="false">IF($A72="","",IF(AND(Aturan!$C$46="",Aturan!$D$46=""),"Tidak dinilai",IF(G72="","Belum ada data",IF(G72&lt;IF(Aturan!$C$46="",0,Aturan!$C$46),"Kurang",IF(G72&gt;=IF(Aturan!$D$46="",Aturan!$C$46,Aturan!$D$46),"Nyaman","Cukup")))))</f>
        <v>Tidak dinilai</v>
      </c>
      <c r="P72" s="70" t="str">
        <f aca="false">IF($A72="","",IF(AND(Aturan!$C$47="",Aturan!$D$47=""),"Tidak dinilai",IF(H72="","Belum ada data",IF(H72&lt;IF(Aturan!$C$47="",0,Aturan!$C$47),"Kurang",IF(H72&gt;=IF(Aturan!$D$47="",Aturan!$C$47,Aturan!$D$47),"Nyaman","Cukup")))))</f>
        <v>Tidak dinilai</v>
      </c>
      <c r="Q72" s="70" t="str">
        <f aca="false">IF($A72="","",IF(COUNTIF(K72:P72,"Tidak dinilai")=6,"Tidak dinilai",IF(COUNTIF(K72:P72,"Kurang")&gt;0,"Kurang cocok",IF(COUNTIF(K72:P72,"Belum ada data")&gt;0,"Data belum lengkap",IF(COUNTIF(K72:P72,"Cukup")&gt;0,"Bisa, dengan catatan","Cocok")))))</f>
        <v>Bisa, dengan catatan</v>
      </c>
      <c r="R72" s="33" t="str">
        <f aca="false">IF($A72="","",IF(K72="Kurang","prosesor tingkat "&amp;C72&amp;" dari 5, di bawah batas minimal (tingkat "&amp;Aturan!$C$42&amp;")",IF(K72="Cukup","prosesor tingkat "&amp;C72&amp;" dari 5 cukup, nyamannya mulai tingkat "&amp;Aturan!$D$42,IF(K72="Belum ada data","tingkat prosesor belum diisi",""))))</f>
        <v>prosesor tingkat 2 dari 5 cukup, nyamannya mulai tingkat 3</v>
      </c>
      <c r="S72" s="33" t="str">
        <f aca="false">IF($A72="","",IF(L72="Kurang","grafis tingkat "&amp;D72&amp;" dari 5, di bawah batas minimal (tingkat "&amp;Aturan!$C$43&amp;")",IF(L72="Cukup","grafis tingkat "&amp;D72&amp;" dari 5 cukup, nyamannya mulai tingkat "&amp;Aturan!$D$43,IF(L72="Belum ada data","tingkat grafis belum diisi",""))))</f>
        <v/>
      </c>
      <c r="T72" s="33" t="str">
        <f aca="false">IF($A72="","",IF(M72="Kurang","RAM "&amp;E72&amp;" GB, di bawah batas minimal "&amp;Aturan!$C$44&amp;" GB ("&amp;I72&amp;")",IF(M72="Cukup","RAM "&amp;E72&amp;" GB cukup, nyamannya "&amp;Aturan!$D$44&amp;" GB atau lebih ("&amp;I72&amp;")",IF(M72="Belum ada data","ukuran RAM belum diisi",""))))</f>
        <v>RAM 8 GB cukup, nyamannya 16 GB atau lebih (menempel di papan utama, tidak bisa ditambah)</v>
      </c>
      <c r="U72" s="33" t="str">
        <f aca="false">IF($A72="","",IF(N72="Kurang","penyimpanan "&amp;F72&amp;" GB, di bawah batas minimal "&amp;Aturan!$C$45&amp;" GB ("&amp;J72&amp;")",IF(N72="Cukup","penyimpanan "&amp;F72&amp;" GB cukup, nyamannya "&amp;Aturan!$D$45&amp;" GB atau lebih ("&amp;J72&amp;")",IF(N72="Belum ada data","ukuran penyimpanan belum diisi",""))))</f>
        <v/>
      </c>
      <c r="V72" s="33" t="str">
        <f aca="false">IF($A72="","",IF(O72="Kurang","layar "&amp;Varian!$AG18&amp;", di bawah batas minimal ("&amp;IFERROR(INDEX(Aturan!$A$63:$A$66,MATCH(Aturan!$C$46,Aturan!$B$63:$B$66,0)),"peringkat "&amp;Aturan!$C$46)&amp;")",IF(O72="Cukup","layar "&amp;Varian!$AG18&amp;" cukup, nyamannya "&amp;IFERROR(INDEX(Aturan!$A$63:$A$66,MATCH(Aturan!$D$46,Aturan!$B$63:$B$66,0)),"peringkat "&amp;Aturan!$D$46),IF(O72="Belum ada data","jenis layar belum diketahui",""))))</f>
        <v/>
      </c>
      <c r="W72" s="33" t="str">
        <f aca="false">IF($A72="","",IF(P72="Kurang","layar "&amp;H72&amp;" Hz, di bawah batas minimal "&amp;Aturan!$C$47&amp;" Hz",IF(P72="Cukup","layar "&amp;H72&amp;" Hz cukup, nyamannya "&amp;Aturan!$D$47&amp;" Hz atau lebih",IF(P72="Belum ada data","refresh rate belum diketahui",""))))</f>
        <v/>
      </c>
      <c r="X72" s="33" t="str">
        <f aca="false">IF($A72="","",IF(K72="Kurang",R72&amp;"; ","")&amp;IF(L72="Kurang",S72&amp;"; ","")&amp;IF(M72="Kurang",T72&amp;"; ","")&amp;IF(N72="Kurang",U72&amp;"; ","")&amp;IF(O72="Kurang",V72&amp;"; ","")&amp;IF(P72="Kurang",W72&amp;"; ","")&amp;IF(K72="Belum ada data",R72&amp;"; ","")&amp;IF(L72="Belum ada data",S72&amp;"; ","")&amp;IF(M72="Belum ada data",T72&amp;"; ","")&amp;IF(N72="Belum ada data",U72&amp;"; ","")&amp;IF(O72="Belum ada data",V72&amp;"; ","")&amp;IF(P72="Belum ada data",W72&amp;"; ","")&amp;IF(K72="Cukup",R72&amp;"; ","")&amp;IF(L72="Cukup",S72&amp;"; ","")&amp;IF(M72="Cukup",T72&amp;"; ","")&amp;IF(N72="Cukup",U72&amp;"; ","")&amp;IF(O72="Cukup",V72&amp;"; ","")&amp;IF(P72="Cukup",W72&amp;"; ",""))</f>
        <v>prosesor tingkat 2 dari 5 cukup, nyamannya mulai tingkat 3; RAM 8 GB cukup, nyamannya 16 GB atau lebih (menempel di papan utama, tidak bisa ditambah); </v>
      </c>
      <c r="Y72" s="33" t="str">
        <f aca="false">IF($A72="","",IF(K72="Nyaman","prosesor, ","")&amp;IF(L72="Nyaman","grafis, ","")&amp;IF(M72="Nyaman","RAM, ","")&amp;IF(N72="Nyaman","penyimpanan, ","")&amp;IF(O72="Nyaman","layar, ","")&amp;IF(P72="Nyaman","refresh rate, ",""))</f>
        <v>penyimpanan, </v>
      </c>
      <c r="Z72" s="33" t="str">
        <f aca="false">IF($A72="","",IF(Q72="Tidak dinilai","Belum ada kriteria yang dinilai untuk kebutuhan ini.",IF(Q72="Cocok","Semua kriteria yang dinilai sudah nyaman: "&amp;LEFT(Y72,LEN(Y72)-2)&amp;".",UPPER(LEFT(X72,1))&amp;MID(X72,2,LEN(X72)-3)&amp;"."&amp;IF(Y72="",""," Sudah nyaman: "&amp;LEFT(Y72,LEN(Y72)-2)&amp;"."))))</f>
        <v>Prosesor tingkat 2 dari 5 cukup, nyamannya mulai tingkat 3; RAM 8 GB cukup, nyamannya 16 GB atau lebih (menempel di papan utama, tidak bisa ditambah). Sudah nyaman: penyimpanan.</v>
      </c>
      <c r="AA72" s="33"/>
      <c r="AB72" s="33"/>
      <c r="AC72" s="69"/>
    </row>
    <row r="73" customFormat="false" ht="15" hidden="false" customHeight="true" outlineLevel="0" collapsed="false">
      <c r="A73" s="33" t="str">
        <f aca="false">IF(Varian!$A18="","",Varian!$A18)</f>
        <v>asus-vivobook-go-14-e1404-r3-7320u-8-512</v>
      </c>
      <c r="B73" s="33" t="str">
        <f aca="false">IF($A73="","",Aturan!$A$24)</f>
        <v>Game ringan</v>
      </c>
      <c r="C73" s="69" t="n">
        <f aca="false">IF($A73="","",IFERROR(IF(ISNUMBER(INDEX(CPU!$J$4:$J$64,MATCH(Varian!$J18,CPU!$A$4:$A$64,0))),INDEX(CPU!$J$4:$J$64,MATCH(Varian!$J18,CPU!$A$4:$A$64,0)),""),""))</f>
        <v>2</v>
      </c>
      <c r="D73" s="69" t="n">
        <f aca="false">IF($A73="","",IFERROR(IF(ISNUMBER(INDEX(GPU!$G$4:$G$64,MATCH(Varian!$K18,GPU!$A$4:$A$64,0))),INDEX(GPU!$G$4:$G$64,MATCH(Varian!$K18,GPU!$A$4:$A$64,0)),""),""))</f>
        <v>1</v>
      </c>
      <c r="E73" s="69" t="n">
        <f aca="false">IF($A73="","",IF(ISNUMBER(Varian!$M18),Varian!$M18,""))</f>
        <v>8</v>
      </c>
      <c r="F73" s="69" t="n">
        <f aca="false">IF($A73="","",IF(ISNUMBER(Varian!$V18),Varian!$V18,""))</f>
        <v>512</v>
      </c>
      <c r="G73" s="69" t="n">
        <f aca="false">IF($A73="","",IFERROR(INDEX(Aturan!$B$63:$B$66,MATCH(Varian!$AG18,Aturan!$A$63:$A$66,0)),""))</f>
        <v>1</v>
      </c>
      <c r="H73" s="69" t="n">
        <f aca="false">IF($A73="","",IF(ISNUMBER(Varian!$AI18),Varian!$AI18,""))</f>
        <v>60</v>
      </c>
      <c r="I73" s="33" t="str">
        <f aca="false">IF($A73="","",IF(Varian!$Q18="disolder","menempel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3" s="33" t="str">
        <f aca="false">IF($A73="","",IF(Varian!$Z18="ya","bisa diganti dengan yang lebih besar",IF(Varian!$Z18="tidak","menempel, tidak bisa diganti","belum diketahui apakah bisa diganti")))</f>
        <v>bisa diganti dengan yang lebih besar</v>
      </c>
      <c r="K73" s="70" t="str">
        <f aca="false">IF($A73="","",IF(AND(Aturan!$C$48="",Aturan!$D$48=""),"Tidak dinilai",IF(C73="","Belum ada data",IF(C73&lt;IF(Aturan!$C$48="",0,Aturan!$C$48),"Kurang",IF(C73&gt;=IF(Aturan!$D$48="",Aturan!$C$48,Aturan!$D$48),"Nyaman","Cukup")))))</f>
        <v>Cukup</v>
      </c>
      <c r="L73" s="70" t="str">
        <f aca="false">IF($A73="","",IF(AND(Aturan!$C$49="",Aturan!$D$49=""),"Tidak dinilai",IF(D73="","Belum ada data",IF(D73&lt;IF(Aturan!$C$49="",0,Aturan!$C$49),"Kurang",IF(D73&gt;=IF(Aturan!$D$49="",Aturan!$C$49,Aturan!$D$49),"Nyaman","Cukup")))))</f>
        <v>Cukup</v>
      </c>
      <c r="M73" s="70" t="str">
        <f aca="false">IF($A73="","",IF(AND(Aturan!$C$50="",Aturan!$D$50=""),"Tidak dinilai",IF(E73="","Belum ada data",IF(E73&lt;IF(Aturan!$C$50="",0,Aturan!$C$50),"Kurang",IF(E73&gt;=IF(Aturan!$D$50="",Aturan!$C$50,Aturan!$D$50),"Nyaman","Cukup")))))</f>
        <v>Nyaman</v>
      </c>
      <c r="N73" s="70" t="str">
        <f aca="false">IF($A73="","",IF(AND(Aturan!$C$51="",Aturan!$D$51=""),"Tidak dinilai",IF(F73="","Belum ada data",IF(F73&lt;IF(Aturan!$C$51="",0,Aturan!$C$51),"Kurang",IF(F73&gt;=IF(Aturan!$D$51="",Aturan!$C$51,Aturan!$D$51),"Nyaman","Cukup")))))</f>
        <v>Nyaman</v>
      </c>
      <c r="O73" s="70" t="str">
        <f aca="false">IF($A73="","",IF(AND(Aturan!$C$52="",Aturan!$D$52=""),"Tidak dinilai",IF(G73="","Belum ada data",IF(G73&lt;IF(Aturan!$C$52="",0,Aturan!$C$52),"Kurang",IF(G73&gt;=IF(Aturan!$D$52="",Aturan!$C$52,Aturan!$D$52),"Nyaman","Cukup")))))</f>
        <v>Tidak dinilai</v>
      </c>
      <c r="P73" s="70" t="str">
        <f aca="false">IF($A73="","",IF(AND(Aturan!$C$53="",Aturan!$D$53=""),"Tidak dinilai",IF(H73="","Belum ada data",IF(H73&lt;IF(Aturan!$C$53="",0,Aturan!$C$53),"Kurang",IF(H73&gt;=IF(Aturan!$D$53="",Aturan!$C$53,Aturan!$D$53),"Nyaman","Cukup")))))</f>
        <v>Tidak dinilai</v>
      </c>
      <c r="Q73" s="70" t="str">
        <f aca="false">IF($A73="","",IF(COUNTIF(K73:P73,"Tidak dinilai")=6,"Tidak dinilai",IF(COUNTIF(K73:P73,"Kurang")&gt;0,"Kurang cocok",IF(COUNTIF(K73:P73,"Belum ada data")&gt;0,"Data belum lengkap",IF(COUNTIF(K73:P73,"Cukup")&gt;0,"Bisa, dengan catatan","Cocok")))))</f>
        <v>Bisa, dengan catatan</v>
      </c>
      <c r="R73" s="33" t="str">
        <f aca="false">IF($A73="","",IF(K73="Kurang","prosesor tingkat "&amp;C73&amp;" dari 5, di bawah batas minimal (tingkat "&amp;Aturan!$C$48&amp;")",IF(K73="Cukup","prosesor tingkat "&amp;C73&amp;" dari 5 cukup, nyamannya mulai tingkat "&amp;Aturan!$D$48,IF(K73="Belum ada data","tingkat prosesor belum diisi",""))))</f>
        <v>prosesor tingkat 2 dari 5 cukup, nyamannya mulai tingkat 3</v>
      </c>
      <c r="S73" s="33" t="str">
        <f aca="false">IF($A73="","",IF(L73="Kurang","grafis tingkat "&amp;D73&amp;" dari 5, di bawah batas minimal (tingkat "&amp;Aturan!$C$49&amp;")",IF(L73="Cukup","grafis tingkat "&amp;D73&amp;" dari 5 cukup, nyamannya mulai tingkat "&amp;Aturan!$D$49,IF(L73="Belum ada data","tingkat grafis belum diisi",""))))</f>
        <v>grafis tingkat 1 dari 5 cukup, nyamannya mulai tingkat 2</v>
      </c>
      <c r="T73" s="33" t="str">
        <f aca="false">IF($A73="","",IF(M73="Kurang","RAM "&amp;E73&amp;" GB, di bawah batas minimal "&amp;Aturan!$C$50&amp;" GB ("&amp;I73&amp;")",IF(M73="Cukup","RAM "&amp;E73&amp;" GB cukup, nyamannya "&amp;Aturan!$D$50&amp;" GB atau lebih ("&amp;I73&amp;")",IF(M73="Belum ada data","ukuran RAM belum diisi",""))))</f>
        <v/>
      </c>
      <c r="U73" s="33" t="str">
        <f aca="false">IF($A73="","",IF(N73="Kurang","penyimpanan "&amp;F73&amp;" GB, di bawah batas minimal "&amp;Aturan!$C$51&amp;" GB ("&amp;J73&amp;")",IF(N73="Cukup","penyimpanan "&amp;F73&amp;" GB cukup, nyamannya "&amp;Aturan!$D$51&amp;" GB atau lebih ("&amp;J73&amp;")",IF(N73="Belum ada data","ukuran penyimpanan belum diisi",""))))</f>
        <v/>
      </c>
      <c r="V73" s="33" t="str">
        <f aca="false">IF($A73="","",IF(O73="Kurang","layar "&amp;Varian!$AG18&amp;", di bawah batas minimal ("&amp;IFERROR(INDEX(Aturan!$A$63:$A$66,MATCH(Aturan!$C$52,Aturan!$B$63:$B$66,0)),"peringkat "&amp;Aturan!$C$52)&amp;")",IF(O73="Cukup","layar "&amp;Varian!$AG18&amp;" cukup, nyamannya "&amp;IFERROR(INDEX(Aturan!$A$63:$A$66,MATCH(Aturan!$D$52,Aturan!$B$63:$B$66,0)),"peringkat "&amp;Aturan!$D$52),IF(O73="Belum ada data","jenis layar belum diketahui",""))))</f>
        <v/>
      </c>
      <c r="W73" s="33" t="str">
        <f aca="false">IF($A73="","",IF(P73="Kurang","layar "&amp;H73&amp;" Hz, di bawah batas minimal "&amp;Aturan!$C$53&amp;" Hz",IF(P73="Cukup","layar "&amp;H73&amp;" Hz cukup, nyamannya "&amp;Aturan!$D$53&amp;" Hz atau lebih",IF(P73="Belum ada data","refresh rate belum diketahui",""))))</f>
        <v/>
      </c>
      <c r="X73" s="33" t="str">
        <f aca="false">IF($A73="","",IF(K73="Kurang",R73&amp;"; ","")&amp;IF(L73="Kurang",S73&amp;"; ","")&amp;IF(M73="Kurang",T73&amp;"; ","")&amp;IF(N73="Kurang",U73&amp;"; ","")&amp;IF(O73="Kurang",V73&amp;"; ","")&amp;IF(P73="Kurang",W73&amp;"; ","")&amp;IF(K73="Belum ada data",R73&amp;"; ","")&amp;IF(L73="Belum ada data",S73&amp;"; ","")&amp;IF(M73="Belum ada data",T73&amp;"; ","")&amp;IF(N73="Belum ada data",U73&amp;"; ","")&amp;IF(O73="Belum ada data",V73&amp;"; ","")&amp;IF(P73="Belum ada data",W73&amp;"; ","")&amp;IF(K73="Cukup",R73&amp;"; ","")&amp;IF(L73="Cukup",S73&amp;"; ","")&amp;IF(M73="Cukup",T73&amp;"; ","")&amp;IF(N73="Cukup",U73&amp;"; ","")&amp;IF(O73="Cukup",V73&amp;"; ","")&amp;IF(P73="Cukup",W73&amp;"; ",""))</f>
        <v>prosesor tingkat 2 dari 5 cukup, nyamannya mulai tingkat 3; grafis tingkat 1 dari 5 cukup, nyamannya mulai tingkat 2; </v>
      </c>
      <c r="Y73" s="33" t="str">
        <f aca="false">IF($A73="","",IF(K73="Nyaman","prosesor, ","")&amp;IF(L73="Nyaman","grafis, ","")&amp;IF(M73="Nyaman","RAM, ","")&amp;IF(N73="Nyaman","penyimpanan, ","")&amp;IF(O73="Nyaman","layar, ","")&amp;IF(P73="Nyaman","refresh rate, ",""))</f>
        <v>RAM, penyimpanan, </v>
      </c>
      <c r="Z73" s="33" t="str">
        <f aca="false">IF($A73="","",IF(Q73="Tidak dinilai","Belum ada kriteria yang dinilai untuk kebutuhan ini.",IF(Q73="Cocok","Semua kriteria yang dinilai sudah nyaman: "&amp;LEFT(Y73,LEN(Y73)-2)&amp;".",UPPER(LEFT(X73,1))&amp;MID(X73,2,LEN(X73)-3)&amp;"."&amp;IF(Y73="",""," Sudah nyaman: "&amp;LEFT(Y73,LEN(Y73)-2)&amp;"."))))</f>
        <v>Prosesor tingkat 2 dari 5 cukup, nyamannya mulai tingkat 3; grafis tingkat 1 dari 5 cukup, nyamannya mulai tingkat 2. Sudah nyaman: RAM, penyimpanan.</v>
      </c>
      <c r="AA73" s="33"/>
      <c r="AB73" s="33"/>
      <c r="AC73" s="69"/>
    </row>
    <row r="74" customFormat="false" ht="15" hidden="false" customHeight="true" outlineLevel="0" collapsed="false">
      <c r="A74" s="33" t="str">
        <f aca="false">IF(Varian!$A18="","",Varian!$A18)</f>
        <v>asus-vivobook-go-14-e1404-r3-7320u-8-512</v>
      </c>
      <c r="B74" s="33" t="str">
        <f aca="false">IF($A74="","",Aturan!$A$25)</f>
        <v>Game berat</v>
      </c>
      <c r="C74" s="69" t="n">
        <f aca="false">IF($A74="","",IFERROR(IF(ISNUMBER(INDEX(CPU!$J$4:$J$64,MATCH(Varian!$J18,CPU!$A$4:$A$64,0))),INDEX(CPU!$J$4:$J$64,MATCH(Varian!$J18,CPU!$A$4:$A$64,0)),""),""))</f>
        <v>2</v>
      </c>
      <c r="D74" s="69" t="n">
        <f aca="false">IF($A74="","",IFERROR(IF(ISNUMBER(INDEX(GPU!$G$4:$G$64,MATCH(Varian!$K18,GPU!$A$4:$A$64,0))),INDEX(GPU!$G$4:$G$64,MATCH(Varian!$K18,GPU!$A$4:$A$64,0)),""),""))</f>
        <v>1</v>
      </c>
      <c r="E74" s="69" t="n">
        <f aca="false">IF($A74="","",IF(ISNUMBER(Varian!$M18),Varian!$M18,""))</f>
        <v>8</v>
      </c>
      <c r="F74" s="69" t="n">
        <f aca="false">IF($A74="","",IF(ISNUMBER(Varian!$V18),Varian!$V18,""))</f>
        <v>512</v>
      </c>
      <c r="G74" s="69" t="n">
        <f aca="false">IF($A74="","",IFERROR(INDEX(Aturan!$B$63:$B$66,MATCH(Varian!$AG18,Aturan!$A$63:$A$66,0)),""))</f>
        <v>1</v>
      </c>
      <c r="H74" s="69" t="n">
        <f aca="false">IF($A74="","",IF(ISNUMBER(Varian!$AI18),Varian!$AI18,""))</f>
        <v>60</v>
      </c>
      <c r="I74" s="33" t="str">
        <f aca="false">IF($A74="","",IF(Varian!$Q18="disolder","menempel di papan utama, tidak bisa ditambah",IF(OR(Varian!$Q18="slot",Varian!$Q18="setengah_disolder"),IF(Varian!$Q18="setengah_disolder","sebagian menempel, ","")&amp;IF(ISNUMBER(Varian!$U18),IF(AND(ISNUMBER(Varian!$M18),Varian!$U18&gt;Varian!$M18),"bisa dinaikkan lewat slot sampai "&amp;Varian!$U18&amp;" GB","sudah di batas maksimal "&amp;Varian!$U18&amp;" GB"),"ada slot, batas maksimalnya belum diketahui"),"belum diketahui apakah bisa ditambah")))</f>
        <v>menempel di papan utama, tidak bisa ditambah</v>
      </c>
      <c r="J74" s="33" t="str">
        <f aca="false">IF($A74="","",IF(Varian!$Z18="ya","bisa diganti dengan yang lebih besar",IF(Varian!$Z18="tidak","menempel, tidak bisa diganti","belum diketahui apakah bisa diganti")))</f>
        <v>bisa diganti dengan yang lebih besar</v>
      </c>
      <c r="K74" s="70" t="str">
        <f aca="false">IF($A74="","",IF(AND(Aturan!$C$54="",Aturan!$D$54=""),"Tidak dinilai",IF(C74="","Belum ada data",IF(C74&lt;IF(Aturan!$C$54="",0,Aturan!$C$54),"Kurang",IF(C74&gt;=IF(Aturan!$D$54="",Aturan!$C$54,Aturan!$D$54),"Nyaman","Cukup")))))</f>
        <v>Kurang</v>
      </c>
      <c r="L74" s="70" t="str">
        <f aca="false">IF($A74="","",IF(AND(Aturan!$C$55="",Aturan!$D$55=""),"Tidak dinilai",IF(D74="","Belum ada data",IF(D74&lt;IF(Aturan!$C$55="",0,Aturan!$C$55),"Kurang",IF(D74&gt;=IF(Aturan!$D$55="",Aturan!$C$55,Aturan!$D$55),"Nyaman","Cukup")))))</f>
        <v>Kurang</v>
      </c>
      <c r="M74" s="70" t="str">
        <f aca="false">IF($A74="","",IF(AND(Aturan!$C$56="",Aturan!$D$56=""),"Tidak dinilai",IF(E74="","Belum ada data",IF(E74&lt;IF(Aturan!$C$56="",0,Aturan!$C$56),"Kurang",IF(E74&gt;=IF(Aturan!$D$56="",Aturan!$C$56,Aturan!$D$56),"Nyaman","Cukup")))))</f>
        <v>Cukup</v>
      </c>
      <c r="N74" s="70" t="str">
        <f aca="false">IF($A74="","",IF(AND(Aturan!$C$57="",Aturan!$D$57=""),"Tidak dinilai",IF(F74="","Belum ada data",IF(F74&lt;IF(Aturan!$C$57="",0,Aturan!$C$57),"Kurang",IF(F74&gt;=IF(Aturan!$D$57="",Aturan!$C$57,Aturan!$D$57),"Nyaman","Cukup")))))</f>
        <v>Cukup</v>
      </c>
      <c r="O74" s="70" t="str">
        <f aca="false">IF($A74="","",IF(AND(Aturan!$C$58="",Aturan!$D$58=""),"Tidak dinilai",IF(G74="","Belum ada data",IF(G74&lt;IF(Aturan!$C$58="",0,Aturan!$C$58),"Kurang",IF(G74&gt;=IF(Aturan!$D$58="",Aturan!$C$58,Aturan!$D$58),"Nyaman","Cukup")))))</f>
        <v>Tidak dinilai</v>
      </c>
      <c r="P74" s="70" t="str">
        <f aca="false">IF($A74="","",IF(AND(Aturan!$C$59="",Aturan!$D$59=""),"Tidak dinilai",IF(H74="","Belum ada data",IF(H74&lt;IF(Aturan!$C$59="",0,Aturan!$C$59),"Kurang",IF(H74&gt;=IF(Aturan!$D$59="",Aturan!$C$59,Aturan!$D$59),"Nyaman","Cukup")))))</f>
        <v>Cukup</v>
      </c>
      <c r="Q74" s="70" t="str">
        <f aca="false">IF($A74="","",IF(COUNTIF(K74:P74,"Tidak dinilai")=6,"Tidak dinilai",IF(COUNTIF(K74:P74,"Kurang")&gt;0,"Kurang cocok",IF(COUNTIF(K74:P74,"Belum ada data")&gt;0,"Data belum lengkap",IF(COUNTIF(K74:P74,"Cukup")&gt;0,"Bisa, dengan catatan","Cocok")))))</f>
        <v>Kurang cocok</v>
      </c>
      <c r="R74" s="33" t="str">
        <f aca="false">IF($A74="","",IF(K74="Kurang","prosesor tingkat "&amp;C74&amp;" dari 5, di bawah batas minimal (tingkat "&amp;Aturan!$C$54&amp;")",IF(K74="Cukup","prosesor tingkat "&amp;C74&amp;" dari 5 cukup, nyamannya mulai tingkat "&amp;Aturan!$D$54,IF(K74="Belum ada data","tingkat prosesor belum diisi",""))))</f>
        <v>prosesor tingkat 2 dari 5, di bawah batas minimal (tingkat 3)</v>
      </c>
      <c r="S74" s="33" t="str">
        <f aca="false">IF($A74="","",IF(L74="Kurang","grafis tingkat "&amp;D74&amp;" dari 5, di bawah batas minimal (tingkat "&amp;Aturan!$C$55&amp;")",IF(L74="Cukup","grafis tingkat "&amp;D74&amp;" dari 5 cukup, nyamannya mulai tingkat "&amp;Aturan!$D$55,IF(L74="Belum ada data","tingkat grafis belum diisi",""))))</f>
        <v>grafis tingkat 1 dari 5, di bawah batas minimal (tingkat 3)</v>
      </c>
      <c r="T74" s="33" t="str">
        <f aca="false">IF($A74="","",IF(M74="Kurang","RAM "&amp;E74&amp;" GB, di bawah batas minimal "&amp;Aturan!$C$56&amp;" GB ("&amp;I74&amp;")",IF(M74="Cukup","RAM "&amp;E74&amp;" GB cukup, nyamannya "&amp;Aturan!$D$56&amp;" GB atau lebih ("&amp;I74&amp;")",IF(M74="Belum ada data","ukuran RAM belum diisi",""))))</f>
        <v>RAM 8 GB cukup, nyamannya 16 GB atau lebih (menempel di papan utama, tidak bisa ditambah)</v>
      </c>
      <c r="U74" s="33" t="str">
        <f aca="false">IF($A74="","",IF(N74="Kurang","penyimpanan "&amp;F74&amp;" GB, di bawah batas minimal "&amp;Aturan!$C$57&amp;" GB ("&amp;J74&amp;")",IF(N74="Cukup","penyimpanan "&amp;F74&amp;" GB cukup, nyamannya "&amp;Aturan!$D$57&amp;" GB atau lebih ("&amp;J74&amp;")",IF(N74="Belum ada data","ukuran penyimpanan belum diisi",""))))</f>
        <v>penyimpanan 512 GB cukup, nyamannya 1000 GB atau lebih (bisa diganti dengan yang lebih besar)</v>
      </c>
      <c r="V74" s="33" t="str">
        <f aca="false">IF($A74="","",IF(O74="Kurang","layar "&amp;Varian!$AG18&amp;", di bawah batas minimal ("&amp;IFERROR(INDEX(Aturan!$A$63:$A$66,MATCH(Aturan!$C$58,Aturan!$B$63:$B$66,0)),"peringkat "&amp;Aturan!$C$58)&amp;")",IF(O74="Cukup","layar "&amp;Varian!$AG18&amp;" cukup, nyamannya "&amp;IFERROR(INDEX(Aturan!$A$63:$A$66,MATCH(Aturan!$D$58,Aturan!$B$63:$B$66,0)),"peringkat "&amp;Aturan!$D$58),IF(O74="Belum ada data","jenis layar belum diketahui",""))))</f>
        <v/>
      </c>
      <c r="W74" s="33" t="str">
        <f aca="false">IF($A74="","",IF(P74="Kurang","layar "&amp;H74&amp;" Hz, di bawah batas minimal "&amp;Aturan!$C$59&amp;" Hz",IF(P74="Cukup","layar "&amp;H74&amp;" Hz cukup, nyamannya "&amp;Aturan!$D$59&amp;" Hz atau lebih",IF(P74="Belum ada data","refresh rate belum diketahui",""))))</f>
        <v>layar 60 Hz cukup, nyamannya 120 Hz atau lebih</v>
      </c>
      <c r="X74" s="33" t="str">
        <f aca="false">IF($A74="","",IF(K74="Kurang",R74&amp;"; ","")&amp;IF(L74="Kurang",S74&amp;"; ","")&amp;IF(M74="Kurang",T74&amp;"; ","")&amp;IF(N74="Kurang",U74&amp;"; ","")&amp;IF(O74="Kurang",V74&amp;"; ","")&amp;IF(P74="Kurang",W74&amp;"; ","")&amp;IF(K74="Belum ada data",R74&amp;"; ","")&amp;IF(L74="Belum ada data",S74&amp;"; ","")&amp;IF(M74="Belum ada data",T74&amp;"; ","")&amp;IF(N74="Belum ada data",U74&amp;"; ","")&amp;IF(O74="Belum ada data",V74&amp;"; ","")&amp;IF(P74="Belum ada data",W74&amp;"; ","")&amp;IF(K74="Cukup",R74&amp;"; ","")&amp;IF(L74="Cukup",S74&amp;"; ","")&amp;IF(M74="Cukup",T74&amp;"; ","")&amp;IF(N74="Cukup",U74&amp;"; ","")&amp;IF(O74="Cukup",V74&amp;"; ","")&amp;IF(P74="Cukup",W74&amp;"; ",""))</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 </v>
      </c>
      <c r="Y74" s="33" t="str">
        <f aca="false">IF($A74="","",IF(K74="Nyaman","prosesor, ","")&amp;IF(L74="Nyaman","grafis, ","")&amp;IF(M74="Nyaman","RAM, ","")&amp;IF(N74="Nyaman","penyimpanan, ","")&amp;IF(O74="Nyaman","layar, ","")&amp;IF(P74="Nyaman","refresh rate, ",""))</f>
        <v/>
      </c>
      <c r="Z74" s="33" t="str">
        <f aca="false">IF($A74="","",IF(Q74="Tidak dinilai","Belum ada kriteria yang dinilai untuk kebutuhan ini.",IF(Q74="Cocok","Semua kriteria yang dinilai sudah nyaman: "&amp;LEFT(Y74,LEN(Y74)-2)&amp;".",UPPER(LEFT(X74,1))&amp;MID(X74,2,LEN(X74)-3)&amp;"."&amp;IF(Y74="",""," Sudah nyaman: "&amp;LEFT(Y74,LEN(Y74)-2)&amp;"."))))</f>
        <v>Prosesor tingkat 2 dari 5, di bawah batas minimal (tingkat 3); grafis tingkat 1 dari 5, di bawah batas minimal (tingkat 3); RAM 8 GB cukup, nyamannya 16 GB atau lebih (menempel di papan utama, tidak bisa ditambah); penyimpanan 512 GB cukup, nyamannya 1000 GB atau lebih (bisa diganti dengan yang lebih besar); layar 60 Hz cukup, nyamannya 120 Hz atau lebih.</v>
      </c>
      <c r="AA74" s="33"/>
      <c r="AB74" s="33"/>
      <c r="AC74" s="69"/>
    </row>
    <row r="75" customFormat="false" ht="15" hidden="false" customHeight="true" outlineLevel="0" collapsed="false">
      <c r="A75" s="66" t="str">
        <f aca="false">IF(Varian!$A19="","",Varian!$A19)</f>
        <v>asus-vivobook-15-a1504-core5-120u-16-512</v>
      </c>
      <c r="B75" s="66" t="str">
        <f aca="false">IF($A75="","",Aturan!$A$21)</f>
        <v>Kuliah dan kantor</v>
      </c>
      <c r="C75" s="67" t="n">
        <f aca="false">IF($A75="","",IFERROR(IF(ISNUMBER(INDEX(CPU!$J$4:$J$64,MATCH(Varian!$J19,CPU!$A$4:$A$64,0))),INDEX(CPU!$J$4:$J$64,MATCH(Varian!$J19,CPU!$A$4:$A$64,0)),""),""))</f>
        <v>3</v>
      </c>
      <c r="D75" s="67" t="n">
        <f aca="false">IF($A75="","",IFERROR(IF(ISNUMBER(INDEX(GPU!$G$4:$G$64,MATCH(Varian!$K19,GPU!$A$4:$A$64,0))),INDEX(GPU!$G$4:$G$64,MATCH(Varian!$K19,GPU!$A$4:$A$64,0)),""),""))</f>
        <v>2</v>
      </c>
      <c r="E75" s="67" t="n">
        <f aca="false">IF($A75="","",IF(ISNUMBER(Varian!$M19),Varian!$M19,""))</f>
        <v>16</v>
      </c>
      <c r="F75" s="67" t="n">
        <f aca="false">IF($A75="","",IF(ISNUMBER(Varian!$V19),Varian!$V19,""))</f>
        <v>512</v>
      </c>
      <c r="G75" s="67" t="n">
        <f aca="false">IF($A75="","",IFERROR(INDEX(Aturan!$B$63:$B$66,MATCH(Varian!$AG19,Aturan!$A$63:$A$66,0)),""))</f>
        <v>3</v>
      </c>
      <c r="H75" s="67" t="n">
        <f aca="false">IF($A75="","",IF(ISNUMBER(Varian!$AI19),Varian!$AI19,""))</f>
        <v>60</v>
      </c>
      <c r="I75" s="66" t="str">
        <f aca="false">IF($A75="","",IF(Varian!$Q19="disolder","menempel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5" s="66" t="str">
        <f aca="false">IF($A75="","",IF(Varian!$Z19="ya","bisa diganti dengan yang lebih besar",IF(Varian!$Z19="tidak","menempel, tidak bisa diganti","belum diketahui apakah bisa diganti")))</f>
        <v>bisa diganti dengan yang lebih besar</v>
      </c>
      <c r="K75" s="68" t="str">
        <f aca="false">IF($A75="","",IF(AND(Aturan!$C$30="",Aturan!$D$30=""),"Tidak dinilai",IF(C75="","Belum ada data",IF(C75&lt;IF(Aturan!$C$30="",0,Aturan!$C$30),"Kurang",IF(C75&gt;=IF(Aturan!$D$30="",Aturan!$C$30,Aturan!$D$30),"Nyaman","Cukup")))))</f>
        <v>Nyaman</v>
      </c>
      <c r="L75" s="68" t="str">
        <f aca="false">IF($A75="","",IF(AND(Aturan!$C$31="",Aturan!$D$31=""),"Tidak dinilai",IF(D75="","Belum ada data",IF(D75&lt;IF(Aturan!$C$31="",0,Aturan!$C$31),"Kurang",IF(D75&gt;=IF(Aturan!$D$31="",Aturan!$C$31,Aturan!$D$31),"Nyaman","Cukup")))))</f>
        <v>Tidak dinilai</v>
      </c>
      <c r="M75" s="68" t="str">
        <f aca="false">IF($A75="","",IF(AND(Aturan!$C$32="",Aturan!$D$32=""),"Tidak dinilai",IF(E75="","Belum ada data",IF(E75&lt;IF(Aturan!$C$32="",0,Aturan!$C$32),"Kurang",IF(E75&gt;=IF(Aturan!$D$32="",Aturan!$C$32,Aturan!$D$32),"Nyaman","Cukup")))))</f>
        <v>Nyaman</v>
      </c>
      <c r="N75" s="68" t="str">
        <f aca="false">IF($A75="","",IF(AND(Aturan!$C$33="",Aturan!$D$33=""),"Tidak dinilai",IF(F75="","Belum ada data",IF(F75&lt;IF(Aturan!$C$33="",0,Aturan!$C$33),"Kurang",IF(F75&gt;=IF(Aturan!$D$33="",Aturan!$C$33,Aturan!$D$33),"Nyaman","Cukup")))))</f>
        <v>Nyaman</v>
      </c>
      <c r="O75" s="68" t="str">
        <f aca="false">IF($A75="","",IF(AND(Aturan!$C$34="",Aturan!$D$34=""),"Tidak dinilai",IF(G75="","Belum ada data",IF(G75&lt;IF(Aturan!$C$34="",0,Aturan!$C$34),"Kurang",IF(G75&gt;=IF(Aturan!$D$34="",Aturan!$C$34,Aturan!$D$34),"Nyaman","Cukup")))))</f>
        <v>Tidak dinilai</v>
      </c>
      <c r="P75" s="68" t="str">
        <f aca="false">IF($A75="","",IF(AND(Aturan!$C$35="",Aturan!$D$35=""),"Tidak dinilai",IF(H75="","Belum ada data",IF(H75&lt;IF(Aturan!$C$35="",0,Aturan!$C$35),"Kurang",IF(H75&gt;=IF(Aturan!$D$35="",Aturan!$C$35,Aturan!$D$35),"Nyaman","Cukup")))))</f>
        <v>Tidak dinilai</v>
      </c>
      <c r="Q75" s="68" t="str">
        <f aca="false">IF($A75="","",IF(COUNTIF(K75:P75,"Tidak dinilai")=6,"Tidak dinilai",IF(COUNTIF(K75:P75,"Kurang")&gt;0,"Kurang cocok",IF(COUNTIF(K75:P75,"Belum ada data")&gt;0,"Data belum lengkap",IF(COUNTIF(K75:P75,"Cukup")&gt;0,"Bisa, dengan catatan","Cocok")))))</f>
        <v>Cocok</v>
      </c>
      <c r="R75" s="66" t="str">
        <f aca="false">IF($A75="","",IF(K75="Kurang","prosesor tingkat "&amp;C75&amp;" dari 5, di bawah batas minimal (tingkat "&amp;Aturan!$C$30&amp;")",IF(K75="Cukup","prosesor tingkat "&amp;C75&amp;" dari 5 cukup, nyamannya mulai tingkat "&amp;Aturan!$D$30,IF(K75="Belum ada data","tingkat prosesor belum diisi",""))))</f>
        <v/>
      </c>
      <c r="S75" s="66" t="str">
        <f aca="false">IF($A75="","",IF(L75="Kurang","grafis tingkat "&amp;D75&amp;" dari 5, di bawah batas minimal (tingkat "&amp;Aturan!$C$31&amp;")",IF(L75="Cukup","grafis tingkat "&amp;D75&amp;" dari 5 cukup, nyamannya mulai tingkat "&amp;Aturan!$D$31,IF(L75="Belum ada data","tingkat grafis belum diisi",""))))</f>
        <v/>
      </c>
      <c r="T75" s="66" t="str">
        <f aca="false">IF($A75="","",IF(M75="Kurang","RAM "&amp;E75&amp;" GB, di bawah batas minimal "&amp;Aturan!$C$32&amp;" GB ("&amp;I75&amp;")",IF(M75="Cukup","RAM "&amp;E75&amp;" GB cukup, nyamannya "&amp;Aturan!$D$32&amp;" GB atau lebih ("&amp;I75&amp;")",IF(M75="Belum ada data","ukuran RAM belum diisi",""))))</f>
        <v/>
      </c>
      <c r="U75" s="66" t="str">
        <f aca="false">IF($A75="","",IF(N75="Kurang","penyimpanan "&amp;F75&amp;" GB, di bawah batas minimal "&amp;Aturan!$C$33&amp;" GB ("&amp;J75&amp;")",IF(N75="Cukup","penyimpanan "&amp;F75&amp;" GB cukup, nyamannya "&amp;Aturan!$D$33&amp;" GB atau lebih ("&amp;J75&amp;")",IF(N75="Belum ada data","ukuran penyimpanan belum diisi",""))))</f>
        <v/>
      </c>
      <c r="V75" s="66" t="str">
        <f aca="false">IF($A75="","",IF(O75="Kurang","layar "&amp;Varian!$AG19&amp;", di bawah batas minimal ("&amp;IFERROR(INDEX(Aturan!$A$63:$A$66,MATCH(Aturan!$C$34,Aturan!$B$63:$B$66,0)),"peringkat "&amp;Aturan!$C$34)&amp;")",IF(O75="Cukup","layar "&amp;Varian!$AG19&amp;" cukup, nyamannya "&amp;IFERROR(INDEX(Aturan!$A$63:$A$66,MATCH(Aturan!$D$34,Aturan!$B$63:$B$66,0)),"peringkat "&amp;Aturan!$D$34),IF(O75="Belum ada data","jenis layar belum diketahui",""))))</f>
        <v/>
      </c>
      <c r="W75" s="66" t="str">
        <f aca="false">IF($A75="","",IF(P75="Kurang","layar "&amp;H75&amp;" Hz, di bawah batas minimal "&amp;Aturan!$C$35&amp;" Hz",IF(P75="Cukup","layar "&amp;H75&amp;" Hz cukup, nyamannya "&amp;Aturan!$D$35&amp;" Hz atau lebih",IF(P75="Belum ada data","refresh rate belum diketahui",""))))</f>
        <v/>
      </c>
      <c r="X75" s="66" t="str">
        <f aca="false">IF($A75="","",IF(K75="Kurang",R75&amp;"; ","")&amp;IF(L75="Kurang",S75&amp;"; ","")&amp;IF(M75="Kurang",T75&amp;"; ","")&amp;IF(N75="Kurang",U75&amp;"; ","")&amp;IF(O75="Kurang",V75&amp;"; ","")&amp;IF(P75="Kurang",W75&amp;"; ","")&amp;IF(K75="Belum ada data",R75&amp;"; ","")&amp;IF(L75="Belum ada data",S75&amp;"; ","")&amp;IF(M75="Belum ada data",T75&amp;"; ","")&amp;IF(N75="Belum ada data",U75&amp;"; ","")&amp;IF(O75="Belum ada data",V75&amp;"; ","")&amp;IF(P75="Belum ada data",W75&amp;"; ","")&amp;IF(K75="Cukup",R75&amp;"; ","")&amp;IF(L75="Cukup",S75&amp;"; ","")&amp;IF(M75="Cukup",T75&amp;"; ","")&amp;IF(N75="Cukup",U75&amp;"; ","")&amp;IF(O75="Cukup",V75&amp;"; ","")&amp;IF(P75="Cukup",W75&amp;"; ",""))</f>
        <v/>
      </c>
      <c r="Y75" s="66" t="str">
        <f aca="false">IF($A75="","",IF(K75="Nyaman","prosesor, ","")&amp;IF(L75="Nyaman","grafis, ","")&amp;IF(M75="Nyaman","RAM, ","")&amp;IF(N75="Nyaman","penyimpanan, ","")&amp;IF(O75="Nyaman","layar, ","")&amp;IF(P75="Nyaman","refresh rate, ",""))</f>
        <v>prosesor, RAM, penyimpanan, </v>
      </c>
      <c r="Z75" s="66" t="str">
        <f aca="false">IF($A75="","",IF(Q75="Tidak dinilai","Belum ada kriteria yang dinilai untuk kebutuhan ini.",IF(Q75="Cocok","Semua kriteria yang dinilai sudah nyaman: "&amp;LEFT(Y75,LEN(Y75)-2)&amp;".",UPPER(LEFT(X75,1))&amp;MID(X75,2,LEN(X75)-3)&amp;"."&amp;IF(Y75="",""," Sudah nyaman: "&amp;LEFT(Y75,LEN(Y75)-2)&amp;"."))))</f>
        <v>Semua kriteria yang dinilai sudah nyaman: prosesor, RAM, penyimpanan.</v>
      </c>
      <c r="AA75" s="66" t="str">
        <f aca="false">IF($A75="","",IF(Varian!$AR19="Windows 10","• "&amp;Aturan!$E$71&amp;CHAR(10),"")&amp;IF(Varian!$BB19="tidak","• "&amp;Aturan!$E$72&amp;CHAR(10),"")&amp;IF(OR(Varian!$AD19="belum terverifikasi",Varian!$AD19="tidak diketahui"),"• "&amp;Aturan!$E$73&amp;CHAR(10),"")&amp;IF(Varian!$AH19="1366x768","• "&amp;Aturan!$E$74&amp;CHAR(10),"")&amp;IF(Varian!$AG19="TN","• "&amp;Aturan!$E$75&amp;CHAR(10),"")&amp;IF(AND(Varian!$Q19="disolder",ISNUMBER(Varian!$M19),Varian!$M19&lt;=8),"• "&amp;Aturan!$E$76&amp;CHAR(10),""))</f>
        <v/>
      </c>
      <c r="AB75" s="66" t="str">
        <f aca="false">IF($A75="","",IF(AA75="","",LEFT(AA75,LEN(AA75)-1)))</f>
        <v/>
      </c>
      <c r="AC75" s="67" t="n">
        <f aca="false">IF($A75="","",IF(AA75="",0,LEN(AA75)-LEN(SUBSTITUTE(AA75,CHAR(10),""))))</f>
        <v>0</v>
      </c>
    </row>
    <row r="76" customFormat="false" ht="15" hidden="false" customHeight="true" outlineLevel="0" collapsed="false">
      <c r="A76" s="33" t="str">
        <f aca="false">IF(Varian!$A19="","",Varian!$A19)</f>
        <v>asus-vivobook-15-a1504-core5-120u-16-512</v>
      </c>
      <c r="B76" s="33" t="str">
        <f aca="false">IF($A76="","",Aturan!$A$22)</f>
        <v>Desain grafis</v>
      </c>
      <c r="C76" s="69" t="n">
        <f aca="false">IF($A76="","",IFERROR(IF(ISNUMBER(INDEX(CPU!$J$4:$J$64,MATCH(Varian!$J19,CPU!$A$4:$A$64,0))),INDEX(CPU!$J$4:$J$64,MATCH(Varian!$J19,CPU!$A$4:$A$64,0)),""),""))</f>
        <v>3</v>
      </c>
      <c r="D76" s="69" t="n">
        <f aca="false">IF($A76="","",IFERROR(IF(ISNUMBER(INDEX(GPU!$G$4:$G$64,MATCH(Varian!$K19,GPU!$A$4:$A$64,0))),INDEX(GPU!$G$4:$G$64,MATCH(Varian!$K19,GPU!$A$4:$A$64,0)),""),""))</f>
        <v>2</v>
      </c>
      <c r="E76" s="69" t="n">
        <f aca="false">IF($A76="","",IF(ISNUMBER(Varian!$M19),Varian!$M19,""))</f>
        <v>16</v>
      </c>
      <c r="F76" s="69" t="n">
        <f aca="false">IF($A76="","",IF(ISNUMBER(Varian!$V19),Varian!$V19,""))</f>
        <v>512</v>
      </c>
      <c r="G76" s="69" t="n">
        <f aca="false">IF($A76="","",IFERROR(INDEX(Aturan!$B$63:$B$66,MATCH(Varian!$AG19,Aturan!$A$63:$A$66,0)),""))</f>
        <v>3</v>
      </c>
      <c r="H76" s="69" t="n">
        <f aca="false">IF($A76="","",IF(ISNUMBER(Varian!$AI19),Varian!$AI19,""))</f>
        <v>60</v>
      </c>
      <c r="I76" s="33" t="str">
        <f aca="false">IF($A76="","",IF(Varian!$Q19="disolder","menempel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6" s="33" t="str">
        <f aca="false">IF($A76="","",IF(Varian!$Z19="ya","bisa diganti dengan yang lebih besar",IF(Varian!$Z19="tidak","menempel, tidak bisa diganti","belum diketahui apakah bisa diganti")))</f>
        <v>bisa diganti dengan yang lebih besar</v>
      </c>
      <c r="K76" s="70" t="str">
        <f aca="false">IF($A76="","",IF(AND(Aturan!$C$36="",Aturan!$D$36=""),"Tidak dinilai",IF(C76="","Belum ada data",IF(C76&lt;IF(Aturan!$C$36="",0,Aturan!$C$36),"Kurang",IF(C76&gt;=IF(Aturan!$D$36="",Aturan!$C$36,Aturan!$D$36),"Nyaman","Cukup")))))</f>
        <v>Nyaman</v>
      </c>
      <c r="L76" s="70" t="str">
        <f aca="false">IF($A76="","",IF(AND(Aturan!$C$37="",Aturan!$D$37=""),"Tidak dinilai",IF(D76="","Belum ada data",IF(D76&lt;IF(Aturan!$C$37="",0,Aturan!$C$37),"Kurang",IF(D76&gt;=IF(Aturan!$D$37="",Aturan!$C$37,Aturan!$D$37),"Nyaman","Cukup")))))</f>
        <v>Nyaman</v>
      </c>
      <c r="M76" s="70" t="str">
        <f aca="false">IF($A76="","",IF(AND(Aturan!$C$38="",Aturan!$D$38=""),"Tidak dinilai",IF(E76="","Belum ada data",IF(E76&lt;IF(Aturan!$C$38="",0,Aturan!$C$38),"Kurang",IF(E76&gt;=IF(Aturan!$D$38="",Aturan!$C$38,Aturan!$D$38),"Nyaman","Cukup")))))</f>
        <v>Nyaman</v>
      </c>
      <c r="N76" s="70" t="str">
        <f aca="false">IF($A76="","",IF(AND(Aturan!$C$39="",Aturan!$D$39=""),"Tidak dinilai",IF(F76="","Belum ada data",IF(F76&lt;IF(Aturan!$C$39="",0,Aturan!$C$39),"Kurang",IF(F76&gt;=IF(Aturan!$D$39="",Aturan!$C$39,Aturan!$D$39),"Nyaman","Cukup")))))</f>
        <v>Nyaman</v>
      </c>
      <c r="O76" s="70" t="str">
        <f aca="false">IF($A76="","",IF(AND(Aturan!$C$40="",Aturan!$D$40=""),"Tidak dinilai",IF(G76="","Belum ada data",IF(G76&lt;IF(Aturan!$C$40="",0,Aturan!$C$40),"Kurang",IF(G76&gt;=IF(Aturan!$D$40="",Aturan!$C$40,Aturan!$D$40),"Nyaman","Cukup")))))</f>
        <v>Cukup</v>
      </c>
      <c r="P76" s="70" t="str">
        <f aca="false">IF($A76="","",IF(AND(Aturan!$C$41="",Aturan!$D$41=""),"Tidak dinilai",IF(H76="","Belum ada data",IF(H76&lt;IF(Aturan!$C$41="",0,Aturan!$C$41),"Kurang",IF(H76&gt;=IF(Aturan!$D$41="",Aturan!$C$41,Aturan!$D$41),"Nyaman","Cukup")))))</f>
        <v>Tidak dinilai</v>
      </c>
      <c r="Q76" s="70" t="str">
        <f aca="false">IF($A76="","",IF(COUNTIF(K76:P76,"Tidak dinilai")=6,"Tidak dinilai",IF(COUNTIF(K76:P76,"Kurang")&gt;0,"Kurang cocok",IF(COUNTIF(K76:P76,"Belum ada data")&gt;0,"Data belum lengkap",IF(COUNTIF(K76:P76,"Cukup")&gt;0,"Bisa, dengan catatan","Cocok")))))</f>
        <v>Bisa, dengan catatan</v>
      </c>
      <c r="R76" s="33" t="str">
        <f aca="false">IF($A76="","",IF(K76="Kurang","prosesor tingkat "&amp;C76&amp;" dari 5, di bawah batas minimal (tingkat "&amp;Aturan!$C$36&amp;")",IF(K76="Cukup","prosesor tingkat "&amp;C76&amp;" dari 5 cukup, nyamannya mulai tingkat "&amp;Aturan!$D$36,IF(K76="Belum ada data","tingkat prosesor belum diisi",""))))</f>
        <v/>
      </c>
      <c r="S76" s="33" t="str">
        <f aca="false">IF($A76="","",IF(L76="Kurang","grafis tingkat "&amp;D76&amp;" dari 5, di bawah batas minimal (tingkat "&amp;Aturan!$C$37&amp;")",IF(L76="Cukup","grafis tingkat "&amp;D76&amp;" dari 5 cukup, nyamannya mulai tingkat "&amp;Aturan!$D$37,IF(L76="Belum ada data","tingkat grafis belum diisi",""))))</f>
        <v/>
      </c>
      <c r="T76" s="33" t="str">
        <f aca="false">IF($A76="","",IF(M76="Kurang","RAM "&amp;E76&amp;" GB, di bawah batas minimal "&amp;Aturan!$C$38&amp;" GB ("&amp;I76&amp;")",IF(M76="Cukup","RAM "&amp;E76&amp;" GB cukup, nyamannya "&amp;Aturan!$D$38&amp;" GB atau lebih ("&amp;I76&amp;")",IF(M76="Belum ada data","ukuran RAM belum diisi",""))))</f>
        <v/>
      </c>
      <c r="U76" s="33" t="str">
        <f aca="false">IF($A76="","",IF(N76="Kurang","penyimpanan "&amp;F76&amp;" GB, di bawah batas minimal "&amp;Aturan!$C$39&amp;" GB ("&amp;J76&amp;")",IF(N76="Cukup","penyimpanan "&amp;F76&amp;" GB cukup, nyamannya "&amp;Aturan!$D$39&amp;" GB atau lebih ("&amp;J76&amp;")",IF(N76="Belum ada data","ukuran penyimpanan belum diisi",""))))</f>
        <v/>
      </c>
      <c r="V76" s="33" t="str">
        <f aca="false">IF($A76="","",IF(O76="Kurang","layar "&amp;Varian!$AG19&amp;", di bawah batas minimal ("&amp;IFERROR(INDEX(Aturan!$A$63:$A$66,MATCH(Aturan!$C$40,Aturan!$B$63:$B$66,0)),"peringkat "&amp;Aturan!$C$40)&amp;")",IF(O76="Cukup","layar "&amp;Varian!$AG19&amp;" cukup, nyamannya "&amp;IFERROR(INDEX(Aturan!$A$63:$A$66,MATCH(Aturan!$D$40,Aturan!$B$63:$B$66,0)),"peringkat "&amp;Aturan!$D$40),IF(O76="Belum ada data","jenis layar belum diketahui",""))))</f>
        <v>layar IPS cukup, nyamannya OLED</v>
      </c>
      <c r="W76" s="33" t="str">
        <f aca="false">IF($A76="","",IF(P76="Kurang","layar "&amp;H76&amp;" Hz, di bawah batas minimal "&amp;Aturan!$C$41&amp;" Hz",IF(P76="Cukup","layar "&amp;H76&amp;" Hz cukup, nyamannya "&amp;Aturan!$D$41&amp;" Hz atau lebih",IF(P76="Belum ada data","refresh rate belum diketahui",""))))</f>
        <v/>
      </c>
      <c r="X76" s="33" t="str">
        <f aca="false">IF($A76="","",IF(K76="Kurang",R76&amp;"; ","")&amp;IF(L76="Kurang",S76&amp;"; ","")&amp;IF(M76="Kurang",T76&amp;"; ","")&amp;IF(N76="Kurang",U76&amp;"; ","")&amp;IF(O76="Kurang",V76&amp;"; ","")&amp;IF(P76="Kurang",W76&amp;"; ","")&amp;IF(K76="Belum ada data",R76&amp;"; ","")&amp;IF(L76="Belum ada data",S76&amp;"; ","")&amp;IF(M76="Belum ada data",T76&amp;"; ","")&amp;IF(N76="Belum ada data",U76&amp;"; ","")&amp;IF(O76="Belum ada data",V76&amp;"; ","")&amp;IF(P76="Belum ada data",W76&amp;"; ","")&amp;IF(K76="Cukup",R76&amp;"; ","")&amp;IF(L76="Cukup",S76&amp;"; ","")&amp;IF(M76="Cukup",T76&amp;"; ","")&amp;IF(N76="Cukup",U76&amp;"; ","")&amp;IF(O76="Cukup",V76&amp;"; ","")&amp;IF(P76="Cukup",W76&amp;"; ",""))</f>
        <v>layar IPS cukup, nyamannya OLED; </v>
      </c>
      <c r="Y76" s="33" t="str">
        <f aca="false">IF($A76="","",IF(K76="Nyaman","prosesor, ","")&amp;IF(L76="Nyaman","grafis, ","")&amp;IF(M76="Nyaman","RAM, ","")&amp;IF(N76="Nyaman","penyimpanan, ","")&amp;IF(O76="Nyaman","layar, ","")&amp;IF(P76="Nyaman","refresh rate, ",""))</f>
        <v>prosesor, grafis, RAM, penyimpanan, </v>
      </c>
      <c r="Z76" s="33" t="str">
        <f aca="false">IF($A76="","",IF(Q76="Tidak dinilai","Belum ada kriteria yang dinilai untuk kebutuhan ini.",IF(Q76="Cocok","Semua kriteria yang dinilai sudah nyaman: "&amp;LEFT(Y76,LEN(Y76)-2)&amp;".",UPPER(LEFT(X76,1))&amp;MID(X76,2,LEN(X76)-3)&amp;"."&amp;IF(Y76="",""," Sudah nyaman: "&amp;LEFT(Y76,LEN(Y76)-2)&amp;"."))))</f>
        <v>Layar IPS cukup, nyamannya OLED. Sudah nyaman: prosesor, grafis, RAM, penyimpanan.</v>
      </c>
      <c r="AA76" s="33"/>
      <c r="AB76" s="33"/>
      <c r="AC76" s="69"/>
    </row>
    <row r="77" customFormat="false" ht="15" hidden="false" customHeight="true" outlineLevel="0" collapsed="false">
      <c r="A77" s="33" t="str">
        <f aca="false">IF(Varian!$A19="","",Varian!$A19)</f>
        <v>asus-vivobook-15-a1504-core5-120u-16-512</v>
      </c>
      <c r="B77" s="33" t="str">
        <f aca="false">IF($A77="","",Aturan!$A$23)</f>
        <v>Pemrograman</v>
      </c>
      <c r="C77" s="69" t="n">
        <f aca="false">IF($A77="","",IFERROR(IF(ISNUMBER(INDEX(CPU!$J$4:$J$64,MATCH(Varian!$J19,CPU!$A$4:$A$64,0))),INDEX(CPU!$J$4:$J$64,MATCH(Varian!$J19,CPU!$A$4:$A$64,0)),""),""))</f>
        <v>3</v>
      </c>
      <c r="D77" s="69" t="n">
        <f aca="false">IF($A77="","",IFERROR(IF(ISNUMBER(INDEX(GPU!$G$4:$G$64,MATCH(Varian!$K19,GPU!$A$4:$A$64,0))),INDEX(GPU!$G$4:$G$64,MATCH(Varian!$K19,GPU!$A$4:$A$64,0)),""),""))</f>
        <v>2</v>
      </c>
      <c r="E77" s="69" t="n">
        <f aca="false">IF($A77="","",IF(ISNUMBER(Varian!$M19),Varian!$M19,""))</f>
        <v>16</v>
      </c>
      <c r="F77" s="69" t="n">
        <f aca="false">IF($A77="","",IF(ISNUMBER(Varian!$V19),Varian!$V19,""))</f>
        <v>512</v>
      </c>
      <c r="G77" s="69" t="n">
        <f aca="false">IF($A77="","",IFERROR(INDEX(Aturan!$B$63:$B$66,MATCH(Varian!$AG19,Aturan!$A$63:$A$66,0)),""))</f>
        <v>3</v>
      </c>
      <c r="H77" s="69" t="n">
        <f aca="false">IF($A77="","",IF(ISNUMBER(Varian!$AI19),Varian!$AI19,""))</f>
        <v>60</v>
      </c>
      <c r="I77" s="33" t="str">
        <f aca="false">IF($A77="","",IF(Varian!$Q19="disolder","menempel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7" s="33" t="str">
        <f aca="false">IF($A77="","",IF(Varian!$Z19="ya","bisa diganti dengan yang lebih besar",IF(Varian!$Z19="tidak","menempel, tidak bisa diganti","belum diketahui apakah bisa diganti")))</f>
        <v>bisa diganti dengan yang lebih besar</v>
      </c>
      <c r="K77" s="70" t="str">
        <f aca="false">IF($A77="","",IF(AND(Aturan!$C$42="",Aturan!$D$42=""),"Tidak dinilai",IF(C77="","Belum ada data",IF(C77&lt;IF(Aturan!$C$42="",0,Aturan!$C$42),"Kurang",IF(C77&gt;=IF(Aturan!$D$42="",Aturan!$C$42,Aturan!$D$42),"Nyaman","Cukup")))))</f>
        <v>Nyaman</v>
      </c>
      <c r="L77" s="70" t="str">
        <f aca="false">IF($A77="","",IF(AND(Aturan!$C$43="",Aturan!$D$43=""),"Tidak dinilai",IF(D77="","Belum ada data",IF(D77&lt;IF(Aturan!$C$43="",0,Aturan!$C$43),"Kurang",IF(D77&gt;=IF(Aturan!$D$43="",Aturan!$C$43,Aturan!$D$43),"Nyaman","Cukup")))))</f>
        <v>Tidak dinilai</v>
      </c>
      <c r="M77" s="70" t="str">
        <f aca="false">IF($A77="","",IF(AND(Aturan!$C$44="",Aturan!$D$44=""),"Tidak dinilai",IF(E77="","Belum ada data",IF(E77&lt;IF(Aturan!$C$44="",0,Aturan!$C$44),"Kurang",IF(E77&gt;=IF(Aturan!$D$44="",Aturan!$C$44,Aturan!$D$44),"Nyaman","Cukup")))))</f>
        <v>Nyaman</v>
      </c>
      <c r="N77" s="70" t="str">
        <f aca="false">IF($A77="","",IF(AND(Aturan!$C$45="",Aturan!$D$45=""),"Tidak dinilai",IF(F77="","Belum ada data",IF(F77&lt;IF(Aturan!$C$45="",0,Aturan!$C$45),"Kurang",IF(F77&gt;=IF(Aturan!$D$45="",Aturan!$C$45,Aturan!$D$45),"Nyaman","Cukup")))))</f>
        <v>Nyaman</v>
      </c>
      <c r="O77" s="70" t="str">
        <f aca="false">IF($A77="","",IF(AND(Aturan!$C$46="",Aturan!$D$46=""),"Tidak dinilai",IF(G77="","Belum ada data",IF(G77&lt;IF(Aturan!$C$46="",0,Aturan!$C$46),"Kurang",IF(G77&gt;=IF(Aturan!$D$46="",Aturan!$C$46,Aturan!$D$46),"Nyaman","Cukup")))))</f>
        <v>Tidak dinilai</v>
      </c>
      <c r="P77" s="70" t="str">
        <f aca="false">IF($A77="","",IF(AND(Aturan!$C$47="",Aturan!$D$47=""),"Tidak dinilai",IF(H77="","Belum ada data",IF(H77&lt;IF(Aturan!$C$47="",0,Aturan!$C$47),"Kurang",IF(H77&gt;=IF(Aturan!$D$47="",Aturan!$C$47,Aturan!$D$47),"Nyaman","Cukup")))))</f>
        <v>Tidak dinilai</v>
      </c>
      <c r="Q77" s="70" t="str">
        <f aca="false">IF($A77="","",IF(COUNTIF(K77:P77,"Tidak dinilai")=6,"Tidak dinilai",IF(COUNTIF(K77:P77,"Kurang")&gt;0,"Kurang cocok",IF(COUNTIF(K77:P77,"Belum ada data")&gt;0,"Data belum lengkap",IF(COUNTIF(K77:P77,"Cukup")&gt;0,"Bisa, dengan catatan","Cocok")))))</f>
        <v>Cocok</v>
      </c>
      <c r="R77" s="33" t="str">
        <f aca="false">IF($A77="","",IF(K77="Kurang","prosesor tingkat "&amp;C77&amp;" dari 5, di bawah batas minimal (tingkat "&amp;Aturan!$C$42&amp;")",IF(K77="Cukup","prosesor tingkat "&amp;C77&amp;" dari 5 cukup, nyamannya mulai tingkat "&amp;Aturan!$D$42,IF(K77="Belum ada data","tingkat prosesor belum diisi",""))))</f>
        <v/>
      </c>
      <c r="S77" s="33" t="str">
        <f aca="false">IF($A77="","",IF(L77="Kurang","grafis tingkat "&amp;D77&amp;" dari 5, di bawah batas minimal (tingkat "&amp;Aturan!$C$43&amp;")",IF(L77="Cukup","grafis tingkat "&amp;D77&amp;" dari 5 cukup, nyamannya mulai tingkat "&amp;Aturan!$D$43,IF(L77="Belum ada data","tingkat grafis belum diisi",""))))</f>
        <v/>
      </c>
      <c r="T77" s="33" t="str">
        <f aca="false">IF($A77="","",IF(M77="Kurang","RAM "&amp;E77&amp;" GB, di bawah batas minimal "&amp;Aturan!$C$44&amp;" GB ("&amp;I77&amp;")",IF(M77="Cukup","RAM "&amp;E77&amp;" GB cukup, nyamannya "&amp;Aturan!$D$44&amp;" GB atau lebih ("&amp;I77&amp;")",IF(M77="Belum ada data","ukuran RAM belum diisi",""))))</f>
        <v/>
      </c>
      <c r="U77" s="33" t="str">
        <f aca="false">IF($A77="","",IF(N77="Kurang","penyimpanan "&amp;F77&amp;" GB, di bawah batas minimal "&amp;Aturan!$C$45&amp;" GB ("&amp;J77&amp;")",IF(N77="Cukup","penyimpanan "&amp;F77&amp;" GB cukup, nyamannya "&amp;Aturan!$D$45&amp;" GB atau lebih ("&amp;J77&amp;")",IF(N77="Belum ada data","ukuran penyimpanan belum diisi",""))))</f>
        <v/>
      </c>
      <c r="V77" s="33" t="str">
        <f aca="false">IF($A77="","",IF(O77="Kurang","layar "&amp;Varian!$AG19&amp;", di bawah batas minimal ("&amp;IFERROR(INDEX(Aturan!$A$63:$A$66,MATCH(Aturan!$C$46,Aturan!$B$63:$B$66,0)),"peringkat "&amp;Aturan!$C$46)&amp;")",IF(O77="Cukup","layar "&amp;Varian!$AG19&amp;" cukup, nyamannya "&amp;IFERROR(INDEX(Aturan!$A$63:$A$66,MATCH(Aturan!$D$46,Aturan!$B$63:$B$66,0)),"peringkat "&amp;Aturan!$D$46),IF(O77="Belum ada data","jenis layar belum diketahui",""))))</f>
        <v/>
      </c>
      <c r="W77" s="33" t="str">
        <f aca="false">IF($A77="","",IF(P77="Kurang","layar "&amp;H77&amp;" Hz, di bawah batas minimal "&amp;Aturan!$C$47&amp;" Hz",IF(P77="Cukup","layar "&amp;H77&amp;" Hz cukup, nyamannya "&amp;Aturan!$D$47&amp;" Hz atau lebih",IF(P77="Belum ada data","refresh rate belum diketahui",""))))</f>
        <v/>
      </c>
      <c r="X77" s="33" t="str">
        <f aca="false">IF($A77="","",IF(K77="Kurang",R77&amp;"; ","")&amp;IF(L77="Kurang",S77&amp;"; ","")&amp;IF(M77="Kurang",T77&amp;"; ","")&amp;IF(N77="Kurang",U77&amp;"; ","")&amp;IF(O77="Kurang",V77&amp;"; ","")&amp;IF(P77="Kurang",W77&amp;"; ","")&amp;IF(K77="Belum ada data",R77&amp;"; ","")&amp;IF(L77="Belum ada data",S77&amp;"; ","")&amp;IF(M77="Belum ada data",T77&amp;"; ","")&amp;IF(N77="Belum ada data",U77&amp;"; ","")&amp;IF(O77="Belum ada data",V77&amp;"; ","")&amp;IF(P77="Belum ada data",W77&amp;"; ","")&amp;IF(K77="Cukup",R77&amp;"; ","")&amp;IF(L77="Cukup",S77&amp;"; ","")&amp;IF(M77="Cukup",T77&amp;"; ","")&amp;IF(N77="Cukup",U77&amp;"; ","")&amp;IF(O77="Cukup",V77&amp;"; ","")&amp;IF(P77="Cukup",W77&amp;"; ",""))</f>
        <v/>
      </c>
      <c r="Y77" s="33" t="str">
        <f aca="false">IF($A77="","",IF(K77="Nyaman","prosesor, ","")&amp;IF(L77="Nyaman","grafis, ","")&amp;IF(M77="Nyaman","RAM, ","")&amp;IF(N77="Nyaman","penyimpanan, ","")&amp;IF(O77="Nyaman","layar, ","")&amp;IF(P77="Nyaman","refresh rate, ",""))</f>
        <v>prosesor, RAM, penyimpanan, </v>
      </c>
      <c r="Z77" s="33" t="str">
        <f aca="false">IF($A77="","",IF(Q77="Tidak dinilai","Belum ada kriteria yang dinilai untuk kebutuhan ini.",IF(Q77="Cocok","Semua kriteria yang dinilai sudah nyaman: "&amp;LEFT(Y77,LEN(Y77)-2)&amp;".",UPPER(LEFT(X77,1))&amp;MID(X77,2,LEN(X77)-3)&amp;"."&amp;IF(Y77="",""," Sudah nyaman: "&amp;LEFT(Y77,LEN(Y77)-2)&amp;"."))))</f>
        <v>Semua kriteria yang dinilai sudah nyaman: prosesor, RAM, penyimpanan.</v>
      </c>
      <c r="AA77" s="33"/>
      <c r="AB77" s="33"/>
      <c r="AC77" s="69"/>
    </row>
    <row r="78" customFormat="false" ht="15" hidden="false" customHeight="true" outlineLevel="0" collapsed="false">
      <c r="A78" s="33" t="str">
        <f aca="false">IF(Varian!$A19="","",Varian!$A19)</f>
        <v>asus-vivobook-15-a1504-core5-120u-16-512</v>
      </c>
      <c r="B78" s="33" t="str">
        <f aca="false">IF($A78="","",Aturan!$A$24)</f>
        <v>Game ringan</v>
      </c>
      <c r="C78" s="69" t="n">
        <f aca="false">IF($A78="","",IFERROR(IF(ISNUMBER(INDEX(CPU!$J$4:$J$64,MATCH(Varian!$J19,CPU!$A$4:$A$64,0))),INDEX(CPU!$J$4:$J$64,MATCH(Varian!$J19,CPU!$A$4:$A$64,0)),""),""))</f>
        <v>3</v>
      </c>
      <c r="D78" s="69" t="n">
        <f aca="false">IF($A78="","",IFERROR(IF(ISNUMBER(INDEX(GPU!$G$4:$G$64,MATCH(Varian!$K19,GPU!$A$4:$A$64,0))),INDEX(GPU!$G$4:$G$64,MATCH(Varian!$K19,GPU!$A$4:$A$64,0)),""),""))</f>
        <v>2</v>
      </c>
      <c r="E78" s="69" t="n">
        <f aca="false">IF($A78="","",IF(ISNUMBER(Varian!$M19),Varian!$M19,""))</f>
        <v>16</v>
      </c>
      <c r="F78" s="69" t="n">
        <f aca="false">IF($A78="","",IF(ISNUMBER(Varian!$V19),Varian!$V19,""))</f>
        <v>512</v>
      </c>
      <c r="G78" s="69" t="n">
        <f aca="false">IF($A78="","",IFERROR(INDEX(Aturan!$B$63:$B$66,MATCH(Varian!$AG19,Aturan!$A$63:$A$66,0)),""))</f>
        <v>3</v>
      </c>
      <c r="H78" s="69" t="n">
        <f aca="false">IF($A78="","",IF(ISNUMBER(Varian!$AI19),Varian!$AI19,""))</f>
        <v>60</v>
      </c>
      <c r="I78" s="33" t="str">
        <f aca="false">IF($A78="","",IF(Varian!$Q19="disolder","menempel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8" s="33" t="str">
        <f aca="false">IF($A78="","",IF(Varian!$Z19="ya","bisa diganti dengan yang lebih besar",IF(Varian!$Z19="tidak","menempel, tidak bisa diganti","belum diketahui apakah bisa diganti")))</f>
        <v>bisa diganti dengan yang lebih besar</v>
      </c>
      <c r="K78" s="70" t="str">
        <f aca="false">IF($A78="","",IF(AND(Aturan!$C$48="",Aturan!$D$48=""),"Tidak dinilai",IF(C78="","Belum ada data",IF(C78&lt;IF(Aturan!$C$48="",0,Aturan!$C$48),"Kurang",IF(C78&gt;=IF(Aturan!$D$48="",Aturan!$C$48,Aturan!$D$48),"Nyaman","Cukup")))))</f>
        <v>Nyaman</v>
      </c>
      <c r="L78" s="70" t="str">
        <f aca="false">IF($A78="","",IF(AND(Aturan!$C$49="",Aturan!$D$49=""),"Tidak dinilai",IF(D78="","Belum ada data",IF(D78&lt;IF(Aturan!$C$49="",0,Aturan!$C$49),"Kurang",IF(D78&gt;=IF(Aturan!$D$49="",Aturan!$C$49,Aturan!$D$49),"Nyaman","Cukup")))))</f>
        <v>Nyaman</v>
      </c>
      <c r="M78" s="70" t="str">
        <f aca="false">IF($A78="","",IF(AND(Aturan!$C$50="",Aturan!$D$50=""),"Tidak dinilai",IF(E78="","Belum ada data",IF(E78&lt;IF(Aturan!$C$50="",0,Aturan!$C$50),"Kurang",IF(E78&gt;=IF(Aturan!$D$50="",Aturan!$C$50,Aturan!$D$50),"Nyaman","Cukup")))))</f>
        <v>Nyaman</v>
      </c>
      <c r="N78" s="70" t="str">
        <f aca="false">IF($A78="","",IF(AND(Aturan!$C$51="",Aturan!$D$51=""),"Tidak dinilai",IF(F78="","Belum ada data",IF(F78&lt;IF(Aturan!$C$51="",0,Aturan!$C$51),"Kurang",IF(F78&gt;=IF(Aturan!$D$51="",Aturan!$C$51,Aturan!$D$51),"Nyaman","Cukup")))))</f>
        <v>Nyaman</v>
      </c>
      <c r="O78" s="70" t="str">
        <f aca="false">IF($A78="","",IF(AND(Aturan!$C$52="",Aturan!$D$52=""),"Tidak dinilai",IF(G78="","Belum ada data",IF(G78&lt;IF(Aturan!$C$52="",0,Aturan!$C$52),"Kurang",IF(G78&gt;=IF(Aturan!$D$52="",Aturan!$C$52,Aturan!$D$52),"Nyaman","Cukup")))))</f>
        <v>Tidak dinilai</v>
      </c>
      <c r="P78" s="70" t="str">
        <f aca="false">IF($A78="","",IF(AND(Aturan!$C$53="",Aturan!$D$53=""),"Tidak dinilai",IF(H78="","Belum ada data",IF(H78&lt;IF(Aturan!$C$53="",0,Aturan!$C$53),"Kurang",IF(H78&gt;=IF(Aturan!$D$53="",Aturan!$C$53,Aturan!$D$53),"Nyaman","Cukup")))))</f>
        <v>Tidak dinilai</v>
      </c>
      <c r="Q78" s="70" t="str">
        <f aca="false">IF($A78="","",IF(COUNTIF(K78:P78,"Tidak dinilai")=6,"Tidak dinilai",IF(COUNTIF(K78:P78,"Kurang")&gt;0,"Kurang cocok",IF(COUNTIF(K78:P78,"Belum ada data")&gt;0,"Data belum lengkap",IF(COUNTIF(K78:P78,"Cukup")&gt;0,"Bisa, dengan catatan","Cocok")))))</f>
        <v>Cocok</v>
      </c>
      <c r="R78" s="33" t="str">
        <f aca="false">IF($A78="","",IF(K78="Kurang","prosesor tingkat "&amp;C78&amp;" dari 5, di bawah batas minimal (tingkat "&amp;Aturan!$C$48&amp;")",IF(K78="Cukup","prosesor tingkat "&amp;C78&amp;" dari 5 cukup, nyamannya mulai tingkat "&amp;Aturan!$D$48,IF(K78="Belum ada data","tingkat prosesor belum diisi",""))))</f>
        <v/>
      </c>
      <c r="S78" s="33" t="str">
        <f aca="false">IF($A78="","",IF(L78="Kurang","grafis tingkat "&amp;D78&amp;" dari 5, di bawah batas minimal (tingkat "&amp;Aturan!$C$49&amp;")",IF(L78="Cukup","grafis tingkat "&amp;D78&amp;" dari 5 cukup, nyamannya mulai tingkat "&amp;Aturan!$D$49,IF(L78="Belum ada data","tingkat grafis belum diisi",""))))</f>
        <v/>
      </c>
      <c r="T78" s="33" t="str">
        <f aca="false">IF($A78="","",IF(M78="Kurang","RAM "&amp;E78&amp;" GB, di bawah batas minimal "&amp;Aturan!$C$50&amp;" GB ("&amp;I78&amp;")",IF(M78="Cukup","RAM "&amp;E78&amp;" GB cukup, nyamannya "&amp;Aturan!$D$50&amp;" GB atau lebih ("&amp;I78&amp;")",IF(M78="Belum ada data","ukuran RAM belum diisi",""))))</f>
        <v/>
      </c>
      <c r="U78" s="33" t="str">
        <f aca="false">IF($A78="","",IF(N78="Kurang","penyimpanan "&amp;F78&amp;" GB, di bawah batas minimal "&amp;Aturan!$C$51&amp;" GB ("&amp;J78&amp;")",IF(N78="Cukup","penyimpanan "&amp;F78&amp;" GB cukup, nyamannya "&amp;Aturan!$D$51&amp;" GB atau lebih ("&amp;J78&amp;")",IF(N78="Belum ada data","ukuran penyimpanan belum diisi",""))))</f>
        <v/>
      </c>
      <c r="V78" s="33" t="str">
        <f aca="false">IF($A78="","",IF(O78="Kurang","layar "&amp;Varian!$AG19&amp;", di bawah batas minimal ("&amp;IFERROR(INDEX(Aturan!$A$63:$A$66,MATCH(Aturan!$C$52,Aturan!$B$63:$B$66,0)),"peringkat "&amp;Aturan!$C$52)&amp;")",IF(O78="Cukup","layar "&amp;Varian!$AG19&amp;" cukup, nyamannya "&amp;IFERROR(INDEX(Aturan!$A$63:$A$66,MATCH(Aturan!$D$52,Aturan!$B$63:$B$66,0)),"peringkat "&amp;Aturan!$D$52),IF(O78="Belum ada data","jenis layar belum diketahui",""))))</f>
        <v/>
      </c>
      <c r="W78" s="33" t="str">
        <f aca="false">IF($A78="","",IF(P78="Kurang","layar "&amp;H78&amp;" Hz, di bawah batas minimal "&amp;Aturan!$C$53&amp;" Hz",IF(P78="Cukup","layar "&amp;H78&amp;" Hz cukup, nyamannya "&amp;Aturan!$D$53&amp;" Hz atau lebih",IF(P78="Belum ada data","refresh rate belum diketahui",""))))</f>
        <v/>
      </c>
      <c r="X78" s="33" t="str">
        <f aca="false">IF($A78="","",IF(K78="Kurang",R78&amp;"; ","")&amp;IF(L78="Kurang",S78&amp;"; ","")&amp;IF(M78="Kurang",T78&amp;"; ","")&amp;IF(N78="Kurang",U78&amp;"; ","")&amp;IF(O78="Kurang",V78&amp;"; ","")&amp;IF(P78="Kurang",W78&amp;"; ","")&amp;IF(K78="Belum ada data",R78&amp;"; ","")&amp;IF(L78="Belum ada data",S78&amp;"; ","")&amp;IF(M78="Belum ada data",T78&amp;"; ","")&amp;IF(N78="Belum ada data",U78&amp;"; ","")&amp;IF(O78="Belum ada data",V78&amp;"; ","")&amp;IF(P78="Belum ada data",W78&amp;"; ","")&amp;IF(K78="Cukup",R78&amp;"; ","")&amp;IF(L78="Cukup",S78&amp;"; ","")&amp;IF(M78="Cukup",T78&amp;"; ","")&amp;IF(N78="Cukup",U78&amp;"; ","")&amp;IF(O78="Cukup",V78&amp;"; ","")&amp;IF(P78="Cukup",W78&amp;"; ",""))</f>
        <v/>
      </c>
      <c r="Y78" s="33" t="str">
        <f aca="false">IF($A78="","",IF(K78="Nyaman","prosesor, ","")&amp;IF(L78="Nyaman","grafis, ","")&amp;IF(M78="Nyaman","RAM, ","")&amp;IF(N78="Nyaman","penyimpanan, ","")&amp;IF(O78="Nyaman","layar, ","")&amp;IF(P78="Nyaman","refresh rate, ",""))</f>
        <v>prosesor, grafis, RAM, penyimpanan, </v>
      </c>
      <c r="Z78" s="33" t="str">
        <f aca="false">IF($A78="","",IF(Q78="Tidak dinilai","Belum ada kriteria yang dinilai untuk kebutuhan ini.",IF(Q78="Cocok","Semua kriteria yang dinilai sudah nyaman: "&amp;LEFT(Y78,LEN(Y78)-2)&amp;".",UPPER(LEFT(X78,1))&amp;MID(X78,2,LEN(X78)-3)&amp;"."&amp;IF(Y78="",""," Sudah nyaman: "&amp;LEFT(Y78,LEN(Y78)-2)&amp;"."))))</f>
        <v>Semua kriteria yang dinilai sudah nyaman: prosesor, grafis, RAM, penyimpanan.</v>
      </c>
      <c r="AA78" s="33"/>
      <c r="AB78" s="33"/>
      <c r="AC78" s="69"/>
    </row>
    <row r="79" customFormat="false" ht="15" hidden="false" customHeight="true" outlineLevel="0" collapsed="false">
      <c r="A79" s="33" t="str">
        <f aca="false">IF(Varian!$A19="","",Varian!$A19)</f>
        <v>asus-vivobook-15-a1504-core5-120u-16-512</v>
      </c>
      <c r="B79" s="33" t="str">
        <f aca="false">IF($A79="","",Aturan!$A$25)</f>
        <v>Game berat</v>
      </c>
      <c r="C79" s="69" t="n">
        <f aca="false">IF($A79="","",IFERROR(IF(ISNUMBER(INDEX(CPU!$J$4:$J$64,MATCH(Varian!$J19,CPU!$A$4:$A$64,0))),INDEX(CPU!$J$4:$J$64,MATCH(Varian!$J19,CPU!$A$4:$A$64,0)),""),""))</f>
        <v>3</v>
      </c>
      <c r="D79" s="69" t="n">
        <f aca="false">IF($A79="","",IFERROR(IF(ISNUMBER(INDEX(GPU!$G$4:$G$64,MATCH(Varian!$K19,GPU!$A$4:$A$64,0))),INDEX(GPU!$G$4:$G$64,MATCH(Varian!$K19,GPU!$A$4:$A$64,0)),""),""))</f>
        <v>2</v>
      </c>
      <c r="E79" s="69" t="n">
        <f aca="false">IF($A79="","",IF(ISNUMBER(Varian!$M19),Varian!$M19,""))</f>
        <v>16</v>
      </c>
      <c r="F79" s="69" t="n">
        <f aca="false">IF($A79="","",IF(ISNUMBER(Varian!$V19),Varian!$V19,""))</f>
        <v>512</v>
      </c>
      <c r="G79" s="69" t="n">
        <f aca="false">IF($A79="","",IFERROR(INDEX(Aturan!$B$63:$B$66,MATCH(Varian!$AG19,Aturan!$A$63:$A$66,0)),""))</f>
        <v>3</v>
      </c>
      <c r="H79" s="69" t="n">
        <f aca="false">IF($A79="","",IF(ISNUMBER(Varian!$AI19),Varian!$AI19,""))</f>
        <v>60</v>
      </c>
      <c r="I79" s="33" t="str">
        <f aca="false">IF($A79="","",IF(Varian!$Q19="disolder","menempel di papan utama, tidak bisa ditambah",IF(OR(Varian!$Q19="slot",Varian!$Q19="setengah_disolder"),IF(Varian!$Q19="setengah_disolder","sebagian menempel, ","")&amp;IF(ISNUMBER(Varian!$U19),IF(AND(ISNUMBER(Varian!$M19),Varian!$U19&gt;Varian!$M19),"bisa dinaikkan lewat slot sampai "&amp;Varian!$U19&amp;" GB","sudah di batas maksimal "&amp;Varian!$U19&amp;" GB"),"ada slot, batas maksimalnya belum diketahui"),"belum diketahui apakah bisa ditambah")))</f>
        <v>sebagian menempel, bisa dinaikkan lewat slot sampai 24 GB</v>
      </c>
      <c r="J79" s="33" t="str">
        <f aca="false">IF($A79="","",IF(Varian!$Z19="ya","bisa diganti dengan yang lebih besar",IF(Varian!$Z19="tidak","menempel, tidak bisa diganti","belum diketahui apakah bisa diganti")))</f>
        <v>bisa diganti dengan yang lebih besar</v>
      </c>
      <c r="K79" s="70" t="str">
        <f aca="false">IF($A79="","",IF(AND(Aturan!$C$54="",Aturan!$D$54=""),"Tidak dinilai",IF(C79="","Belum ada data",IF(C79&lt;IF(Aturan!$C$54="",0,Aturan!$C$54),"Kurang",IF(C79&gt;=IF(Aturan!$D$54="",Aturan!$C$54,Aturan!$D$54),"Nyaman","Cukup")))))</f>
        <v>Cukup</v>
      </c>
      <c r="L79" s="70" t="str">
        <f aca="false">IF($A79="","",IF(AND(Aturan!$C$55="",Aturan!$D$55=""),"Tidak dinilai",IF(D79="","Belum ada data",IF(D79&lt;IF(Aturan!$C$55="",0,Aturan!$C$55),"Kurang",IF(D79&gt;=IF(Aturan!$D$55="",Aturan!$C$55,Aturan!$D$55),"Nyaman","Cukup")))))</f>
        <v>Kurang</v>
      </c>
      <c r="M79" s="70" t="str">
        <f aca="false">IF($A79="","",IF(AND(Aturan!$C$56="",Aturan!$D$56=""),"Tidak dinilai",IF(E79="","Belum ada data",IF(E79&lt;IF(Aturan!$C$56="",0,Aturan!$C$56),"Kurang",IF(E79&gt;=IF(Aturan!$D$56="",Aturan!$C$56,Aturan!$D$56),"Nyaman","Cukup")))))</f>
        <v>Nyaman</v>
      </c>
      <c r="N79" s="70" t="str">
        <f aca="false">IF($A79="","",IF(AND(Aturan!$C$57="",Aturan!$D$57=""),"Tidak dinilai",IF(F79="","Belum ada data",IF(F79&lt;IF(Aturan!$C$57="",0,Aturan!$C$57),"Kurang",IF(F79&gt;=IF(Aturan!$D$57="",Aturan!$C$57,Aturan!$D$57),"Nyaman","Cukup")))))</f>
        <v>Cukup</v>
      </c>
      <c r="O79" s="70" t="str">
        <f aca="false">IF($A79="","",IF(AND(Aturan!$C$58="",Aturan!$D$58=""),"Tidak dinilai",IF(G79="","Belum ada data",IF(G79&lt;IF(Aturan!$C$58="",0,Aturan!$C$58),"Kurang",IF(G79&gt;=IF(Aturan!$D$58="",Aturan!$C$58,Aturan!$D$58),"Nyaman","Cukup")))))</f>
        <v>Tidak dinilai</v>
      </c>
      <c r="P79" s="70" t="str">
        <f aca="false">IF($A79="","",IF(AND(Aturan!$C$59="",Aturan!$D$59=""),"Tidak dinilai",IF(H79="","Belum ada data",IF(H79&lt;IF(Aturan!$C$59="",0,Aturan!$C$59),"Kurang",IF(H79&gt;=IF(Aturan!$D$59="",Aturan!$C$59,Aturan!$D$59),"Nyaman","Cukup")))))</f>
        <v>Cukup</v>
      </c>
      <c r="Q79" s="70" t="str">
        <f aca="false">IF($A79="","",IF(COUNTIF(K79:P79,"Tidak dinilai")=6,"Tidak dinilai",IF(COUNTIF(K79:P79,"Kurang")&gt;0,"Kurang cocok",IF(COUNTIF(K79:P79,"Belum ada data")&gt;0,"Data belum lengkap",IF(COUNTIF(K79:P79,"Cukup")&gt;0,"Bisa, dengan catatan","Cocok")))))</f>
        <v>Kurang cocok</v>
      </c>
      <c r="R79" s="33" t="str">
        <f aca="false">IF($A79="","",IF(K79="Kurang","prosesor tingkat "&amp;C79&amp;" dari 5, di bawah batas minimal (tingkat "&amp;Aturan!$C$54&amp;")",IF(K79="Cukup","prosesor tingkat "&amp;C79&amp;" dari 5 cukup, nyamannya mulai tingkat "&amp;Aturan!$D$54,IF(K79="Belum ada data","tingkat prosesor belum diisi",""))))</f>
        <v>prosesor tingkat 3 dari 5 cukup, nyamannya mulai tingkat 4</v>
      </c>
      <c r="S79" s="33" t="str">
        <f aca="false">IF($A79="","",IF(L79="Kurang","grafis tingkat "&amp;D79&amp;" dari 5, di bawah batas minimal (tingkat "&amp;Aturan!$C$55&amp;")",IF(L79="Cukup","grafis tingkat "&amp;D79&amp;" dari 5 cukup, nyamannya mulai tingkat "&amp;Aturan!$D$55,IF(L79="Belum ada data","tingkat grafis belum diisi",""))))</f>
        <v>grafis tingkat 2 dari 5, di bawah batas minimal (tingkat 3)</v>
      </c>
      <c r="T79" s="33" t="str">
        <f aca="false">IF($A79="","",IF(M79="Kurang","RAM "&amp;E79&amp;" GB, di bawah batas minimal "&amp;Aturan!$C$56&amp;" GB ("&amp;I79&amp;")",IF(M79="Cukup","RAM "&amp;E79&amp;" GB cukup, nyamannya "&amp;Aturan!$D$56&amp;" GB atau lebih ("&amp;I79&amp;")",IF(M79="Belum ada data","ukuran RAM belum diisi",""))))</f>
        <v/>
      </c>
      <c r="U79" s="33" t="str">
        <f aca="false">IF($A79="","",IF(N79="Kurang","penyimpanan "&amp;F79&amp;" GB, di bawah batas minimal "&amp;Aturan!$C$57&amp;" GB ("&amp;J79&amp;")",IF(N79="Cukup","penyimpanan "&amp;F79&amp;" GB cukup, nyamannya "&amp;Aturan!$D$57&amp;" GB atau lebih ("&amp;J79&amp;")",IF(N79="Belum ada data","ukuran penyimpanan belum diisi",""))))</f>
        <v>penyimpanan 512 GB cukup, nyamannya 1000 GB atau lebih (bisa diganti dengan yang lebih besar)</v>
      </c>
      <c r="V79" s="33" t="str">
        <f aca="false">IF($A79="","",IF(O79="Kurang","layar "&amp;Varian!$AG19&amp;", di bawah batas minimal ("&amp;IFERROR(INDEX(Aturan!$A$63:$A$66,MATCH(Aturan!$C$58,Aturan!$B$63:$B$66,0)),"peringkat "&amp;Aturan!$C$58)&amp;")",IF(O79="Cukup","layar "&amp;Varian!$AG19&amp;" cukup, nyamannya "&amp;IFERROR(INDEX(Aturan!$A$63:$A$66,MATCH(Aturan!$D$58,Aturan!$B$63:$B$66,0)),"peringkat "&amp;Aturan!$D$58),IF(O79="Belum ada data","jenis layar belum diketahui",""))))</f>
        <v/>
      </c>
      <c r="W79" s="33" t="str">
        <f aca="false">IF($A79="","",IF(P79="Kurang","layar "&amp;H79&amp;" Hz, di bawah batas minimal "&amp;Aturan!$C$59&amp;" Hz",IF(P79="Cukup","layar "&amp;H79&amp;" Hz cukup, nyamannya "&amp;Aturan!$D$59&amp;" Hz atau lebih",IF(P79="Belum ada data","refresh rate belum diketahui",""))))</f>
        <v>layar 60 Hz cukup, nyamannya 120 Hz atau lebih</v>
      </c>
      <c r="X79" s="33" t="str">
        <f aca="false">IF($A79="","",IF(K79="Kurang",R79&amp;"; ","")&amp;IF(L79="Kurang",S79&amp;"; ","")&amp;IF(M79="Kurang",T79&amp;"; ","")&amp;IF(N79="Kurang",U79&amp;"; ","")&amp;IF(O79="Kurang",V79&amp;"; ","")&amp;IF(P79="Kurang",W79&amp;"; ","")&amp;IF(K79="Belum ada data",R79&amp;"; ","")&amp;IF(L79="Belum ada data",S79&amp;"; ","")&amp;IF(M79="Belum ada data",T79&amp;"; ","")&amp;IF(N79="Belum ada data",U79&amp;"; ","")&amp;IF(O79="Belum ada data",V79&amp;"; ","")&amp;IF(P79="Belum ada data",W79&amp;"; ","")&amp;IF(K79="Cukup",R79&amp;"; ","")&amp;IF(L79="Cukup",S79&amp;"; ","")&amp;IF(M79="Cukup",T79&amp;"; ","")&amp;IF(N79="Cukup",U79&amp;"; ","")&amp;IF(O79="Cukup",V79&amp;"; ","")&amp;IF(P79="Cukup",W79&amp;"; ",""))</f>
        <v>grafis tingkat 2 dari 5, di bawah batas minimal (tingkat 3); prosesor tingkat 3 dari 5 cukup, nyamannya mulai tingkat 4; penyimpanan 512 GB cukup, nyamannya 1000 GB atau lebih (bisa diganti dengan yang lebih besar); layar 60 Hz cukup, nyamannya 120 Hz atau lebih; </v>
      </c>
      <c r="Y79" s="33" t="str">
        <f aca="false">IF($A79="","",IF(K79="Nyaman","prosesor, ","")&amp;IF(L79="Nyaman","grafis, ","")&amp;IF(M79="Nyaman","RAM, ","")&amp;IF(N79="Nyaman","penyimpanan, ","")&amp;IF(O79="Nyaman","layar, ","")&amp;IF(P79="Nyaman","refresh rate, ",""))</f>
        <v>RAM, </v>
      </c>
      <c r="Z79" s="33" t="str">
        <f aca="false">IF($A79="","",IF(Q79="Tidak dinilai","Belum ada kriteria yang dinilai untuk kebutuhan ini.",IF(Q79="Cocok","Semua kriteria yang dinilai sudah nyaman: "&amp;LEFT(Y79,LEN(Y79)-2)&amp;".",UPPER(LEFT(X79,1))&amp;MID(X79,2,LEN(X79)-3)&amp;"."&amp;IF(Y79="",""," Sudah nyaman: "&amp;LEFT(Y79,LEN(Y79)-2)&amp;"."))))</f>
        <v>Grafis tingkat 2 dari 5, di bawah batas minimal (tingkat 3); prosesor tingkat 3 dari 5 cukup, nyamannya mulai tingkat 4; penyimpanan 512 GB cukup, nyamannya 1000 GB atau lebih (bisa diganti dengan yang lebih besar); layar 60 Hz cukup, nyamannya 120 Hz atau lebih. Sudah nyaman: RAM.</v>
      </c>
      <c r="AA79" s="33"/>
      <c r="AB79" s="33"/>
      <c r="AC79" s="69"/>
    </row>
    <row r="80" customFormat="false" ht="15" hidden="false" customHeight="true" outlineLevel="0" collapsed="false">
      <c r="A80" s="66" t="str">
        <f aca="false">IF(Varian!$A20="","",Varian!$A20)</f>
        <v>asus-vivobook-15-a1504-i5-1335u-8-512</v>
      </c>
      <c r="B80" s="66" t="str">
        <f aca="false">IF($A80="","",Aturan!$A$21)</f>
        <v>Kuliah dan kantor</v>
      </c>
      <c r="C80" s="67" t="n">
        <f aca="false">IF($A80="","",IFERROR(IF(ISNUMBER(INDEX(CPU!$J$4:$J$64,MATCH(Varian!$J20,CPU!$A$4:$A$64,0))),INDEX(CPU!$J$4:$J$64,MATCH(Varian!$J20,CPU!$A$4:$A$64,0)),""),""))</f>
        <v>3</v>
      </c>
      <c r="D80" s="67" t="n">
        <f aca="false">IF($A80="","",IFERROR(IF(ISNUMBER(INDEX(GPU!$G$4:$G$64,MATCH(Varian!$K20,GPU!$A$4:$A$64,0))),INDEX(GPU!$G$4:$G$64,MATCH(Varian!$K20,GPU!$A$4:$A$64,0)),""),""))</f>
        <v>2</v>
      </c>
      <c r="E80" s="67" t="n">
        <f aca="false">IF($A80="","",IF(ISNUMBER(Varian!$M20),Varian!$M20,""))</f>
        <v>8</v>
      </c>
      <c r="F80" s="67" t="n">
        <f aca="false">IF($A80="","",IF(ISNUMBER(Varian!$V20),Varian!$V20,""))</f>
        <v>512</v>
      </c>
      <c r="G80" s="67" t="n">
        <f aca="false">IF($A80="","",IFERROR(INDEX(Aturan!$B$63:$B$66,MATCH(Varian!$AG20,Aturan!$A$63:$A$66,0)),""))</f>
        <v>3</v>
      </c>
      <c r="H80" s="67" t="n">
        <f aca="false">IF($A80="","",IF(ISNUMBER(Varian!$AI20),Varian!$AI20,""))</f>
        <v>60</v>
      </c>
      <c r="I80" s="66" t="str">
        <f aca="false">IF($A80="","",IF(Varian!$Q20="disolder","menempel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0" s="66" t="str">
        <f aca="false">IF($A80="","",IF(Varian!$Z20="ya","bisa diganti dengan yang lebih besar",IF(Varian!$Z20="tidak","menempel, tidak bisa diganti","belum diketahui apakah bisa diganti")))</f>
        <v>bisa diganti dengan yang lebih besar</v>
      </c>
      <c r="K80" s="68" t="str">
        <f aca="false">IF($A80="","",IF(AND(Aturan!$C$30="",Aturan!$D$30=""),"Tidak dinilai",IF(C80="","Belum ada data",IF(C80&lt;IF(Aturan!$C$30="",0,Aturan!$C$30),"Kurang",IF(C80&gt;=IF(Aturan!$D$30="",Aturan!$C$30,Aturan!$D$30),"Nyaman","Cukup")))))</f>
        <v>Nyaman</v>
      </c>
      <c r="L80" s="68" t="str">
        <f aca="false">IF($A80="","",IF(AND(Aturan!$C$31="",Aturan!$D$31=""),"Tidak dinilai",IF(D80="","Belum ada data",IF(D80&lt;IF(Aturan!$C$31="",0,Aturan!$C$31),"Kurang",IF(D80&gt;=IF(Aturan!$D$31="",Aturan!$C$31,Aturan!$D$31),"Nyaman","Cukup")))))</f>
        <v>Tidak dinilai</v>
      </c>
      <c r="M80" s="68" t="str">
        <f aca="false">IF($A80="","",IF(AND(Aturan!$C$32="",Aturan!$D$32=""),"Tidak dinilai",IF(E80="","Belum ada data",IF(E80&lt;IF(Aturan!$C$32="",0,Aturan!$C$32),"Kurang",IF(E80&gt;=IF(Aturan!$D$32="",Aturan!$C$32,Aturan!$D$32),"Nyaman","Cukup")))))</f>
        <v>Nyaman</v>
      </c>
      <c r="N80" s="68" t="str">
        <f aca="false">IF($A80="","",IF(AND(Aturan!$C$33="",Aturan!$D$33=""),"Tidak dinilai",IF(F80="","Belum ada data",IF(F80&lt;IF(Aturan!$C$33="",0,Aturan!$C$33),"Kurang",IF(F80&gt;=IF(Aturan!$D$33="",Aturan!$C$33,Aturan!$D$33),"Nyaman","Cukup")))))</f>
        <v>Nyaman</v>
      </c>
      <c r="O80" s="68" t="str">
        <f aca="false">IF($A80="","",IF(AND(Aturan!$C$34="",Aturan!$D$34=""),"Tidak dinilai",IF(G80="","Belum ada data",IF(G80&lt;IF(Aturan!$C$34="",0,Aturan!$C$34),"Kurang",IF(G80&gt;=IF(Aturan!$D$34="",Aturan!$C$34,Aturan!$D$34),"Nyaman","Cukup")))))</f>
        <v>Tidak dinilai</v>
      </c>
      <c r="P80" s="68" t="str">
        <f aca="false">IF($A80="","",IF(AND(Aturan!$C$35="",Aturan!$D$35=""),"Tidak dinilai",IF(H80="","Belum ada data",IF(H80&lt;IF(Aturan!$C$35="",0,Aturan!$C$35),"Kurang",IF(H80&gt;=IF(Aturan!$D$35="",Aturan!$C$35,Aturan!$D$35),"Nyaman","Cukup")))))</f>
        <v>Tidak dinilai</v>
      </c>
      <c r="Q80" s="68" t="str">
        <f aca="false">IF($A80="","",IF(COUNTIF(K80:P80,"Tidak dinilai")=6,"Tidak dinilai",IF(COUNTIF(K80:P80,"Kurang")&gt;0,"Kurang cocok",IF(COUNTIF(K80:P80,"Belum ada data")&gt;0,"Data belum lengkap",IF(COUNTIF(K80:P80,"Cukup")&gt;0,"Bisa, dengan catatan","Cocok")))))</f>
        <v>Cocok</v>
      </c>
      <c r="R80" s="66" t="str">
        <f aca="false">IF($A80="","",IF(K80="Kurang","prosesor tingkat "&amp;C80&amp;" dari 5, di bawah batas minimal (tingkat "&amp;Aturan!$C$30&amp;")",IF(K80="Cukup","prosesor tingkat "&amp;C80&amp;" dari 5 cukup, nyamannya mulai tingkat "&amp;Aturan!$D$30,IF(K80="Belum ada data","tingkat prosesor belum diisi",""))))</f>
        <v/>
      </c>
      <c r="S80" s="66" t="str">
        <f aca="false">IF($A80="","",IF(L80="Kurang","grafis tingkat "&amp;D80&amp;" dari 5, di bawah batas minimal (tingkat "&amp;Aturan!$C$31&amp;")",IF(L80="Cukup","grafis tingkat "&amp;D80&amp;" dari 5 cukup, nyamannya mulai tingkat "&amp;Aturan!$D$31,IF(L80="Belum ada data","tingkat grafis belum diisi",""))))</f>
        <v/>
      </c>
      <c r="T80" s="66" t="str">
        <f aca="false">IF($A80="","",IF(M80="Kurang","RAM "&amp;E80&amp;" GB, di bawah batas minimal "&amp;Aturan!$C$32&amp;" GB ("&amp;I80&amp;")",IF(M80="Cukup","RAM "&amp;E80&amp;" GB cukup, nyamannya "&amp;Aturan!$D$32&amp;" GB atau lebih ("&amp;I80&amp;")",IF(M80="Belum ada data","ukuran RAM belum diisi",""))))</f>
        <v/>
      </c>
      <c r="U80" s="66" t="str">
        <f aca="false">IF($A80="","",IF(N80="Kurang","penyimpanan "&amp;F80&amp;" GB, di bawah batas minimal "&amp;Aturan!$C$33&amp;" GB ("&amp;J80&amp;")",IF(N80="Cukup","penyimpanan "&amp;F80&amp;" GB cukup, nyamannya "&amp;Aturan!$D$33&amp;" GB atau lebih ("&amp;J80&amp;")",IF(N80="Belum ada data","ukuran penyimpanan belum diisi",""))))</f>
        <v/>
      </c>
      <c r="V80" s="66" t="str">
        <f aca="false">IF($A80="","",IF(O80="Kurang","layar "&amp;Varian!$AG20&amp;", di bawah batas minimal ("&amp;IFERROR(INDEX(Aturan!$A$63:$A$66,MATCH(Aturan!$C$34,Aturan!$B$63:$B$66,0)),"peringkat "&amp;Aturan!$C$34)&amp;")",IF(O80="Cukup","layar "&amp;Varian!$AG20&amp;" cukup, nyamannya "&amp;IFERROR(INDEX(Aturan!$A$63:$A$66,MATCH(Aturan!$D$34,Aturan!$B$63:$B$66,0)),"peringkat "&amp;Aturan!$D$34),IF(O80="Belum ada data","jenis layar belum diketahui",""))))</f>
        <v/>
      </c>
      <c r="W80" s="66" t="str">
        <f aca="false">IF($A80="","",IF(P80="Kurang","layar "&amp;H80&amp;" Hz, di bawah batas minimal "&amp;Aturan!$C$35&amp;" Hz",IF(P80="Cukup","layar "&amp;H80&amp;" Hz cukup, nyamannya "&amp;Aturan!$D$35&amp;" Hz atau lebih",IF(P80="Belum ada data","refresh rate belum diketahui",""))))</f>
        <v/>
      </c>
      <c r="X80" s="66" t="str">
        <f aca="false">IF($A80="","",IF(K80="Kurang",R80&amp;"; ","")&amp;IF(L80="Kurang",S80&amp;"; ","")&amp;IF(M80="Kurang",T80&amp;"; ","")&amp;IF(N80="Kurang",U80&amp;"; ","")&amp;IF(O80="Kurang",V80&amp;"; ","")&amp;IF(P80="Kurang",W80&amp;"; ","")&amp;IF(K80="Belum ada data",R80&amp;"; ","")&amp;IF(L80="Belum ada data",S80&amp;"; ","")&amp;IF(M80="Belum ada data",T80&amp;"; ","")&amp;IF(N80="Belum ada data",U80&amp;"; ","")&amp;IF(O80="Belum ada data",V80&amp;"; ","")&amp;IF(P80="Belum ada data",W80&amp;"; ","")&amp;IF(K80="Cukup",R80&amp;"; ","")&amp;IF(L80="Cukup",S80&amp;"; ","")&amp;IF(M80="Cukup",T80&amp;"; ","")&amp;IF(N80="Cukup",U80&amp;"; ","")&amp;IF(O80="Cukup",V80&amp;"; ","")&amp;IF(P80="Cukup",W80&amp;"; ",""))</f>
        <v/>
      </c>
      <c r="Y80" s="66" t="str">
        <f aca="false">IF($A80="","",IF(K80="Nyaman","prosesor, ","")&amp;IF(L80="Nyaman","grafis, ","")&amp;IF(M80="Nyaman","RAM, ","")&amp;IF(N80="Nyaman","penyimpanan, ","")&amp;IF(O80="Nyaman","layar, ","")&amp;IF(P80="Nyaman","refresh rate, ",""))</f>
        <v>prosesor, RAM, penyimpanan, </v>
      </c>
      <c r="Z80" s="66" t="str">
        <f aca="false">IF($A80="","",IF(Q80="Tidak dinilai","Belum ada kriteria yang dinilai untuk kebutuhan ini.",IF(Q80="Cocok","Semua kriteria yang dinilai sudah nyaman: "&amp;LEFT(Y80,LEN(Y80)-2)&amp;".",UPPER(LEFT(X80,1))&amp;MID(X80,2,LEN(X80)-3)&amp;"."&amp;IF(Y80="",""," Sudah nyaman: "&amp;LEFT(Y80,LEN(Y80)-2)&amp;"."))))</f>
        <v>Semua kriteria yang dinilai sudah nyaman: prosesor, RAM, penyimpanan.</v>
      </c>
      <c r="AA80" s="71" t="str">
        <f aca="false">IF($A80="","",IF(Varian!$AR20="Windows 10","• "&amp;Aturan!$E$71&amp;CHAR(10),"")&amp;IF(Varian!$BB20="tidak","• "&amp;Aturan!$E$72&amp;CHAR(10),"")&amp;IF(OR(Varian!$AD20="belum terverifikasi",Varian!$AD20="tidak diketahui"),"• "&amp;Aturan!$E$73&amp;CHAR(10),"")&amp;IF(Varian!$AH20="1366x768","• "&amp;Aturan!$E$74&amp;CHAR(10),"")&amp;IF(Varian!$AG20="TN","• "&amp;Aturan!$E$75&amp;CHAR(10),"")&amp;IF(AND(Varian!$Q20="disolder",ISNUMBER(Varian!$M20),Varian!$M20&lt;=8),"• "&amp;Aturan!$E$76&amp;CHAR(10),""))</f>
        <v>• Info RAM dan penyimpanan (bisa diganti atau tidak) belum terverifikasi. Periksa lagi sebelum membeli.
</v>
      </c>
      <c r="AB80" s="66" t="str">
        <f aca="false">IF($A80="","",IF(AA80="","",LEFT(AA80,LEN(AA80)-1)))</f>
        <v>• Info RAM dan penyimpanan (bisa diganti atau tidak) belum terverifikasi. Periksa lagi sebelum membeli.</v>
      </c>
      <c r="AC80" s="67" t="n">
        <f aca="false">IF($A80="","",IF(AA80="",0,LEN(AA80)-LEN(SUBSTITUTE(AA80,CHAR(10),""))))</f>
        <v>1</v>
      </c>
    </row>
    <row r="81" customFormat="false" ht="15" hidden="false" customHeight="true" outlineLevel="0" collapsed="false">
      <c r="A81" s="33" t="str">
        <f aca="false">IF(Varian!$A20="","",Varian!$A20)</f>
        <v>asus-vivobook-15-a1504-i5-1335u-8-512</v>
      </c>
      <c r="B81" s="33" t="str">
        <f aca="false">IF($A81="","",Aturan!$A$22)</f>
        <v>Desain grafis</v>
      </c>
      <c r="C81" s="69" t="n">
        <f aca="false">IF($A81="","",IFERROR(IF(ISNUMBER(INDEX(CPU!$J$4:$J$64,MATCH(Varian!$J20,CPU!$A$4:$A$64,0))),INDEX(CPU!$J$4:$J$64,MATCH(Varian!$J20,CPU!$A$4:$A$64,0)),""),""))</f>
        <v>3</v>
      </c>
      <c r="D81" s="69" t="n">
        <f aca="false">IF($A81="","",IFERROR(IF(ISNUMBER(INDEX(GPU!$G$4:$G$64,MATCH(Varian!$K20,GPU!$A$4:$A$64,0))),INDEX(GPU!$G$4:$G$64,MATCH(Varian!$K20,GPU!$A$4:$A$64,0)),""),""))</f>
        <v>2</v>
      </c>
      <c r="E81" s="69" t="n">
        <f aca="false">IF($A81="","",IF(ISNUMBER(Varian!$M20),Varian!$M20,""))</f>
        <v>8</v>
      </c>
      <c r="F81" s="69" t="n">
        <f aca="false">IF($A81="","",IF(ISNUMBER(Varian!$V20),Varian!$V20,""))</f>
        <v>512</v>
      </c>
      <c r="G81" s="69" t="n">
        <f aca="false">IF($A81="","",IFERROR(INDEX(Aturan!$B$63:$B$66,MATCH(Varian!$AG20,Aturan!$A$63:$A$66,0)),""))</f>
        <v>3</v>
      </c>
      <c r="H81" s="69" t="n">
        <f aca="false">IF($A81="","",IF(ISNUMBER(Varian!$AI20),Varian!$AI20,""))</f>
        <v>60</v>
      </c>
      <c r="I81" s="33" t="str">
        <f aca="false">IF($A81="","",IF(Varian!$Q20="disolder","menempel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1" s="33" t="str">
        <f aca="false">IF($A81="","",IF(Varian!$Z20="ya","bisa diganti dengan yang lebih besar",IF(Varian!$Z20="tidak","menempel, tidak bisa diganti","belum diketahui apakah bisa diganti")))</f>
        <v>bisa diganti dengan yang lebih besar</v>
      </c>
      <c r="K81" s="70" t="str">
        <f aca="false">IF($A81="","",IF(AND(Aturan!$C$36="",Aturan!$D$36=""),"Tidak dinilai",IF(C81="","Belum ada data",IF(C81&lt;IF(Aturan!$C$36="",0,Aturan!$C$36),"Kurang",IF(C81&gt;=IF(Aturan!$D$36="",Aturan!$C$36,Aturan!$D$36),"Nyaman","Cukup")))))</f>
        <v>Nyaman</v>
      </c>
      <c r="L81" s="70" t="str">
        <f aca="false">IF($A81="","",IF(AND(Aturan!$C$37="",Aturan!$D$37=""),"Tidak dinilai",IF(D81="","Belum ada data",IF(D81&lt;IF(Aturan!$C$37="",0,Aturan!$C$37),"Kurang",IF(D81&gt;=IF(Aturan!$D$37="",Aturan!$C$37,Aturan!$D$37),"Nyaman","Cukup")))))</f>
        <v>Nyaman</v>
      </c>
      <c r="M81" s="70" t="str">
        <f aca="false">IF($A81="","",IF(AND(Aturan!$C$38="",Aturan!$D$38=""),"Tidak dinilai",IF(E81="","Belum ada data",IF(E81&lt;IF(Aturan!$C$38="",0,Aturan!$C$38),"Kurang",IF(E81&gt;=IF(Aturan!$D$38="",Aturan!$C$38,Aturan!$D$38),"Nyaman","Cukup")))))</f>
        <v>Cukup</v>
      </c>
      <c r="N81" s="70" t="str">
        <f aca="false">IF($A81="","",IF(AND(Aturan!$C$39="",Aturan!$D$39=""),"Tidak dinilai",IF(F81="","Belum ada data",IF(F81&lt;IF(Aturan!$C$39="",0,Aturan!$C$39),"Kurang",IF(F81&gt;=IF(Aturan!$D$39="",Aturan!$C$39,Aturan!$D$39),"Nyaman","Cukup")))))</f>
        <v>Nyaman</v>
      </c>
      <c r="O81" s="70" t="str">
        <f aca="false">IF($A81="","",IF(AND(Aturan!$C$40="",Aturan!$D$40=""),"Tidak dinilai",IF(G81="","Belum ada data",IF(G81&lt;IF(Aturan!$C$40="",0,Aturan!$C$40),"Kurang",IF(G81&gt;=IF(Aturan!$D$40="",Aturan!$C$40,Aturan!$D$40),"Nyaman","Cukup")))))</f>
        <v>Cukup</v>
      </c>
      <c r="P81" s="70" t="str">
        <f aca="false">IF($A81="","",IF(AND(Aturan!$C$41="",Aturan!$D$41=""),"Tidak dinilai",IF(H81="","Belum ada data",IF(H81&lt;IF(Aturan!$C$41="",0,Aturan!$C$41),"Kurang",IF(H81&gt;=IF(Aturan!$D$41="",Aturan!$C$41,Aturan!$D$41),"Nyaman","Cukup")))))</f>
        <v>Tidak dinilai</v>
      </c>
      <c r="Q81" s="70" t="str">
        <f aca="false">IF($A81="","",IF(COUNTIF(K81:P81,"Tidak dinilai")=6,"Tidak dinilai",IF(COUNTIF(K81:P81,"Kurang")&gt;0,"Kurang cocok",IF(COUNTIF(K81:P81,"Belum ada data")&gt;0,"Data belum lengkap",IF(COUNTIF(K81:P81,"Cukup")&gt;0,"Bisa, dengan catatan","Cocok")))))</f>
        <v>Bisa, dengan catatan</v>
      </c>
      <c r="R81" s="33" t="str">
        <f aca="false">IF($A81="","",IF(K81="Kurang","prosesor tingkat "&amp;C81&amp;" dari 5, di bawah batas minimal (tingkat "&amp;Aturan!$C$36&amp;")",IF(K81="Cukup","prosesor tingkat "&amp;C81&amp;" dari 5 cukup, nyamannya mulai tingkat "&amp;Aturan!$D$36,IF(K81="Belum ada data","tingkat prosesor belum diisi",""))))</f>
        <v/>
      </c>
      <c r="S81" s="33" t="str">
        <f aca="false">IF($A81="","",IF(L81="Kurang","grafis tingkat "&amp;D81&amp;" dari 5, di bawah batas minimal (tingkat "&amp;Aturan!$C$37&amp;")",IF(L81="Cukup","grafis tingkat "&amp;D81&amp;" dari 5 cukup, nyamannya mulai tingkat "&amp;Aturan!$D$37,IF(L81="Belum ada data","tingkat grafis belum diisi",""))))</f>
        <v/>
      </c>
      <c r="T81" s="33" t="str">
        <f aca="false">IF($A81="","",IF(M81="Kurang","RAM "&amp;E81&amp;" GB, di bawah batas minimal "&amp;Aturan!$C$38&amp;" GB ("&amp;I81&amp;")",IF(M81="Cukup","RAM "&amp;E81&amp;" GB cukup, nyamannya "&amp;Aturan!$D$38&amp;" GB atau lebih ("&amp;I81&amp;")",IF(M81="Belum ada data","ukuran RAM belum diisi",""))))</f>
        <v>RAM 8 GB cukup, nyamannya 16 GB atau lebih (sebagian menempel, bisa dinaikkan lewat slot sampai 16 GB)</v>
      </c>
      <c r="U81" s="33" t="str">
        <f aca="false">IF($A81="","",IF(N81="Kurang","penyimpanan "&amp;F81&amp;" GB, di bawah batas minimal "&amp;Aturan!$C$39&amp;" GB ("&amp;J81&amp;")",IF(N81="Cukup","penyimpanan "&amp;F81&amp;" GB cukup, nyamannya "&amp;Aturan!$D$39&amp;" GB atau lebih ("&amp;J81&amp;")",IF(N81="Belum ada data","ukuran penyimpanan belum diisi",""))))</f>
        <v/>
      </c>
      <c r="V81" s="33" t="str">
        <f aca="false">IF($A81="","",IF(O81="Kurang","layar "&amp;Varian!$AG20&amp;", di bawah batas minimal ("&amp;IFERROR(INDEX(Aturan!$A$63:$A$66,MATCH(Aturan!$C$40,Aturan!$B$63:$B$66,0)),"peringkat "&amp;Aturan!$C$40)&amp;")",IF(O81="Cukup","layar "&amp;Varian!$AG20&amp;" cukup, nyamannya "&amp;IFERROR(INDEX(Aturan!$A$63:$A$66,MATCH(Aturan!$D$40,Aturan!$B$63:$B$66,0)),"peringkat "&amp;Aturan!$D$40),IF(O81="Belum ada data","jenis layar belum diketahui",""))))</f>
        <v>layar IPS cukup, nyamannya OLED</v>
      </c>
      <c r="W81" s="33" t="str">
        <f aca="false">IF($A81="","",IF(P81="Kurang","layar "&amp;H81&amp;" Hz, di bawah batas minimal "&amp;Aturan!$C$41&amp;" Hz",IF(P81="Cukup","layar "&amp;H81&amp;" Hz cukup, nyamannya "&amp;Aturan!$D$41&amp;" Hz atau lebih",IF(P81="Belum ada data","refresh rate belum diketahui",""))))</f>
        <v/>
      </c>
      <c r="X81" s="33" t="str">
        <f aca="false">IF($A81="","",IF(K81="Kurang",R81&amp;"; ","")&amp;IF(L81="Kurang",S81&amp;"; ","")&amp;IF(M81="Kurang",T81&amp;"; ","")&amp;IF(N81="Kurang",U81&amp;"; ","")&amp;IF(O81="Kurang",V81&amp;"; ","")&amp;IF(P81="Kurang",W81&amp;"; ","")&amp;IF(K81="Belum ada data",R81&amp;"; ","")&amp;IF(L81="Belum ada data",S81&amp;"; ","")&amp;IF(M81="Belum ada data",T81&amp;"; ","")&amp;IF(N81="Belum ada data",U81&amp;"; ","")&amp;IF(O81="Belum ada data",V81&amp;"; ","")&amp;IF(P81="Belum ada data",W81&amp;"; ","")&amp;IF(K81="Cukup",R81&amp;"; ","")&amp;IF(L81="Cukup",S81&amp;"; ","")&amp;IF(M81="Cukup",T81&amp;"; ","")&amp;IF(N81="Cukup",U81&amp;"; ","")&amp;IF(O81="Cukup",V81&amp;"; ","")&amp;IF(P81="Cukup",W81&amp;"; ",""))</f>
        <v>RAM 8 GB cukup, nyamannya 16 GB atau lebih (sebagian menempel, bisa dinaikkan lewat slot sampai 16 GB); layar IPS cukup, nyamannya OLED; </v>
      </c>
      <c r="Y81" s="33" t="str">
        <f aca="false">IF($A81="","",IF(K81="Nyaman","prosesor, ","")&amp;IF(L81="Nyaman","grafis, ","")&amp;IF(M81="Nyaman","RAM, ","")&amp;IF(N81="Nyaman","penyimpanan, ","")&amp;IF(O81="Nyaman","layar, ","")&amp;IF(P81="Nyaman","refresh rate, ",""))</f>
        <v>prosesor, grafis, penyimpanan, </v>
      </c>
      <c r="Z81" s="33" t="str">
        <f aca="false">IF($A81="","",IF(Q81="Tidak dinilai","Belum ada kriteria yang dinilai untuk kebutuhan ini.",IF(Q81="Cocok","Semua kriteria yang dinilai sudah nyaman: "&amp;LEFT(Y81,LEN(Y81)-2)&amp;".",UPPER(LEFT(X81,1))&amp;MID(X81,2,LEN(X81)-3)&amp;"."&amp;IF(Y81="",""," Sudah nyaman: "&amp;LEFT(Y81,LEN(Y81)-2)&amp;"."))))</f>
        <v>RAM 8 GB cukup, nyamannya 16 GB atau lebih (sebagian menempel, bisa dinaikkan lewat slot sampai 16 GB); layar IPS cukup, nyamannya OLED. Sudah nyaman: prosesor, grafis, penyimpanan.</v>
      </c>
      <c r="AA81" s="33"/>
      <c r="AB81" s="33"/>
      <c r="AC81" s="69"/>
    </row>
    <row r="82" customFormat="false" ht="15" hidden="false" customHeight="true" outlineLevel="0" collapsed="false">
      <c r="A82" s="33" t="str">
        <f aca="false">IF(Varian!$A20="","",Varian!$A20)</f>
        <v>asus-vivobook-15-a1504-i5-1335u-8-512</v>
      </c>
      <c r="B82" s="33" t="str">
        <f aca="false">IF($A82="","",Aturan!$A$23)</f>
        <v>Pemrograman</v>
      </c>
      <c r="C82" s="69" t="n">
        <f aca="false">IF($A82="","",IFERROR(IF(ISNUMBER(INDEX(CPU!$J$4:$J$64,MATCH(Varian!$J20,CPU!$A$4:$A$64,0))),INDEX(CPU!$J$4:$J$64,MATCH(Varian!$J20,CPU!$A$4:$A$64,0)),""),""))</f>
        <v>3</v>
      </c>
      <c r="D82" s="69" t="n">
        <f aca="false">IF($A82="","",IFERROR(IF(ISNUMBER(INDEX(GPU!$G$4:$G$64,MATCH(Varian!$K20,GPU!$A$4:$A$64,0))),INDEX(GPU!$G$4:$G$64,MATCH(Varian!$K20,GPU!$A$4:$A$64,0)),""),""))</f>
        <v>2</v>
      </c>
      <c r="E82" s="69" t="n">
        <f aca="false">IF($A82="","",IF(ISNUMBER(Varian!$M20),Varian!$M20,""))</f>
        <v>8</v>
      </c>
      <c r="F82" s="69" t="n">
        <f aca="false">IF($A82="","",IF(ISNUMBER(Varian!$V20),Varian!$V20,""))</f>
        <v>512</v>
      </c>
      <c r="G82" s="69" t="n">
        <f aca="false">IF($A82="","",IFERROR(INDEX(Aturan!$B$63:$B$66,MATCH(Varian!$AG20,Aturan!$A$63:$A$66,0)),""))</f>
        <v>3</v>
      </c>
      <c r="H82" s="69" t="n">
        <f aca="false">IF($A82="","",IF(ISNUMBER(Varian!$AI20),Varian!$AI20,""))</f>
        <v>60</v>
      </c>
      <c r="I82" s="33" t="str">
        <f aca="false">IF($A82="","",IF(Varian!$Q20="disolder","menempel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2" s="33" t="str">
        <f aca="false">IF($A82="","",IF(Varian!$Z20="ya","bisa diganti dengan yang lebih besar",IF(Varian!$Z20="tidak","menempel, tidak bisa diganti","belum diketahui apakah bisa diganti")))</f>
        <v>bisa diganti dengan yang lebih besar</v>
      </c>
      <c r="K82" s="70" t="str">
        <f aca="false">IF($A82="","",IF(AND(Aturan!$C$42="",Aturan!$D$42=""),"Tidak dinilai",IF(C82="","Belum ada data",IF(C82&lt;IF(Aturan!$C$42="",0,Aturan!$C$42),"Kurang",IF(C82&gt;=IF(Aturan!$D$42="",Aturan!$C$42,Aturan!$D$42),"Nyaman","Cukup")))))</f>
        <v>Nyaman</v>
      </c>
      <c r="L82" s="70" t="str">
        <f aca="false">IF($A82="","",IF(AND(Aturan!$C$43="",Aturan!$D$43=""),"Tidak dinilai",IF(D82="","Belum ada data",IF(D82&lt;IF(Aturan!$C$43="",0,Aturan!$C$43),"Kurang",IF(D82&gt;=IF(Aturan!$D$43="",Aturan!$C$43,Aturan!$D$43),"Nyaman","Cukup")))))</f>
        <v>Tidak dinilai</v>
      </c>
      <c r="M82" s="70" t="str">
        <f aca="false">IF($A82="","",IF(AND(Aturan!$C$44="",Aturan!$D$44=""),"Tidak dinilai",IF(E82="","Belum ada data",IF(E82&lt;IF(Aturan!$C$44="",0,Aturan!$C$44),"Kurang",IF(E82&gt;=IF(Aturan!$D$44="",Aturan!$C$44,Aturan!$D$44),"Nyaman","Cukup")))))</f>
        <v>Cukup</v>
      </c>
      <c r="N82" s="70" t="str">
        <f aca="false">IF($A82="","",IF(AND(Aturan!$C$45="",Aturan!$D$45=""),"Tidak dinilai",IF(F82="","Belum ada data",IF(F82&lt;IF(Aturan!$C$45="",0,Aturan!$C$45),"Kurang",IF(F82&gt;=IF(Aturan!$D$45="",Aturan!$C$45,Aturan!$D$45),"Nyaman","Cukup")))))</f>
        <v>Nyaman</v>
      </c>
      <c r="O82" s="70" t="str">
        <f aca="false">IF($A82="","",IF(AND(Aturan!$C$46="",Aturan!$D$46=""),"Tidak dinilai",IF(G82="","Belum ada data",IF(G82&lt;IF(Aturan!$C$46="",0,Aturan!$C$46),"Kurang",IF(G82&gt;=IF(Aturan!$D$46="",Aturan!$C$46,Aturan!$D$46),"Nyaman","Cukup")))))</f>
        <v>Tidak dinilai</v>
      </c>
      <c r="P82" s="70" t="str">
        <f aca="false">IF($A82="","",IF(AND(Aturan!$C$47="",Aturan!$D$47=""),"Tidak dinilai",IF(H82="","Belum ada data",IF(H82&lt;IF(Aturan!$C$47="",0,Aturan!$C$47),"Kurang",IF(H82&gt;=IF(Aturan!$D$47="",Aturan!$C$47,Aturan!$D$47),"Nyaman","Cukup")))))</f>
        <v>Tidak dinilai</v>
      </c>
      <c r="Q82" s="70" t="str">
        <f aca="false">IF($A82="","",IF(COUNTIF(K82:P82,"Tidak dinilai")=6,"Tidak dinilai",IF(COUNTIF(K82:P82,"Kurang")&gt;0,"Kurang cocok",IF(COUNTIF(K82:P82,"Belum ada data")&gt;0,"Data belum lengkap",IF(COUNTIF(K82:P82,"Cukup")&gt;0,"Bisa, dengan catatan","Cocok")))))</f>
        <v>Bisa, dengan catatan</v>
      </c>
      <c r="R82" s="33" t="str">
        <f aca="false">IF($A82="","",IF(K82="Kurang","prosesor tingkat "&amp;C82&amp;" dari 5, di bawah batas minimal (tingkat "&amp;Aturan!$C$42&amp;")",IF(K82="Cukup","prosesor tingkat "&amp;C82&amp;" dari 5 cukup, nyamannya mulai tingkat "&amp;Aturan!$D$42,IF(K82="Belum ada data","tingkat prosesor belum diisi",""))))</f>
        <v/>
      </c>
      <c r="S82" s="33" t="str">
        <f aca="false">IF($A82="","",IF(L82="Kurang","grafis tingkat "&amp;D82&amp;" dari 5, di bawah batas minimal (tingkat "&amp;Aturan!$C$43&amp;")",IF(L82="Cukup","grafis tingkat "&amp;D82&amp;" dari 5 cukup, nyamannya mulai tingkat "&amp;Aturan!$D$43,IF(L82="Belum ada data","tingkat grafis belum diisi",""))))</f>
        <v/>
      </c>
      <c r="T82" s="33" t="str">
        <f aca="false">IF($A82="","",IF(M82="Kurang","RAM "&amp;E82&amp;" GB, di bawah batas minimal "&amp;Aturan!$C$44&amp;" GB ("&amp;I82&amp;")",IF(M82="Cukup","RAM "&amp;E82&amp;" GB cukup, nyamannya "&amp;Aturan!$D$44&amp;" GB atau lebih ("&amp;I82&amp;")",IF(M82="Belum ada data","ukuran RAM belum diisi",""))))</f>
        <v>RAM 8 GB cukup, nyamannya 16 GB atau lebih (sebagian menempel, bisa dinaikkan lewat slot sampai 16 GB)</v>
      </c>
      <c r="U82" s="33" t="str">
        <f aca="false">IF($A82="","",IF(N82="Kurang","penyimpanan "&amp;F82&amp;" GB, di bawah batas minimal "&amp;Aturan!$C$45&amp;" GB ("&amp;J82&amp;")",IF(N82="Cukup","penyimpanan "&amp;F82&amp;" GB cukup, nyamannya "&amp;Aturan!$D$45&amp;" GB atau lebih ("&amp;J82&amp;")",IF(N82="Belum ada data","ukuran penyimpanan belum diisi",""))))</f>
        <v/>
      </c>
      <c r="V82" s="33" t="str">
        <f aca="false">IF($A82="","",IF(O82="Kurang","layar "&amp;Varian!$AG20&amp;", di bawah batas minimal ("&amp;IFERROR(INDEX(Aturan!$A$63:$A$66,MATCH(Aturan!$C$46,Aturan!$B$63:$B$66,0)),"peringkat "&amp;Aturan!$C$46)&amp;")",IF(O82="Cukup","layar "&amp;Varian!$AG20&amp;" cukup, nyamannya "&amp;IFERROR(INDEX(Aturan!$A$63:$A$66,MATCH(Aturan!$D$46,Aturan!$B$63:$B$66,0)),"peringkat "&amp;Aturan!$D$46),IF(O82="Belum ada data","jenis layar belum diketahui",""))))</f>
        <v/>
      </c>
      <c r="W82" s="33" t="str">
        <f aca="false">IF($A82="","",IF(P82="Kurang","layar "&amp;H82&amp;" Hz, di bawah batas minimal "&amp;Aturan!$C$47&amp;" Hz",IF(P82="Cukup","layar "&amp;H82&amp;" Hz cukup, nyamannya "&amp;Aturan!$D$47&amp;" Hz atau lebih",IF(P82="Belum ada data","refresh rate belum diketahui",""))))</f>
        <v/>
      </c>
      <c r="X82" s="33" t="str">
        <f aca="false">IF($A82="","",IF(K82="Kurang",R82&amp;"; ","")&amp;IF(L82="Kurang",S82&amp;"; ","")&amp;IF(M82="Kurang",T82&amp;"; ","")&amp;IF(N82="Kurang",U82&amp;"; ","")&amp;IF(O82="Kurang",V82&amp;"; ","")&amp;IF(P82="Kurang",W82&amp;"; ","")&amp;IF(K82="Belum ada data",R82&amp;"; ","")&amp;IF(L82="Belum ada data",S82&amp;"; ","")&amp;IF(M82="Belum ada data",T82&amp;"; ","")&amp;IF(N82="Belum ada data",U82&amp;"; ","")&amp;IF(O82="Belum ada data",V82&amp;"; ","")&amp;IF(P82="Belum ada data",W82&amp;"; ","")&amp;IF(K82="Cukup",R82&amp;"; ","")&amp;IF(L82="Cukup",S82&amp;"; ","")&amp;IF(M82="Cukup",T82&amp;"; ","")&amp;IF(N82="Cukup",U82&amp;"; ","")&amp;IF(O82="Cukup",V82&amp;"; ","")&amp;IF(P82="Cukup",W82&amp;"; ",""))</f>
        <v>RAM 8 GB cukup, nyamannya 16 GB atau lebih (sebagian menempel, bisa dinaikkan lewat slot sampai 16 GB); </v>
      </c>
      <c r="Y82" s="33" t="str">
        <f aca="false">IF($A82="","",IF(K82="Nyaman","prosesor, ","")&amp;IF(L82="Nyaman","grafis, ","")&amp;IF(M82="Nyaman","RAM, ","")&amp;IF(N82="Nyaman","penyimpanan, ","")&amp;IF(O82="Nyaman","layar, ","")&amp;IF(P82="Nyaman","refresh rate, ",""))</f>
        <v>prosesor, penyimpanan, </v>
      </c>
      <c r="Z82" s="33" t="str">
        <f aca="false">IF($A82="","",IF(Q82="Tidak dinilai","Belum ada kriteria yang dinilai untuk kebutuhan ini.",IF(Q82="Cocok","Semua kriteria yang dinilai sudah nyaman: "&amp;LEFT(Y82,LEN(Y82)-2)&amp;".",UPPER(LEFT(X82,1))&amp;MID(X82,2,LEN(X82)-3)&amp;"."&amp;IF(Y82="",""," Sudah nyaman: "&amp;LEFT(Y82,LEN(Y82)-2)&amp;"."))))</f>
        <v>RAM 8 GB cukup, nyamannya 16 GB atau lebih (sebagian menempel, bisa dinaikkan lewat slot sampai 16 GB). Sudah nyaman: prosesor, penyimpanan.</v>
      </c>
      <c r="AA82" s="33"/>
      <c r="AB82" s="33"/>
      <c r="AC82" s="69"/>
    </row>
    <row r="83" customFormat="false" ht="15" hidden="false" customHeight="true" outlineLevel="0" collapsed="false">
      <c r="A83" s="33" t="str">
        <f aca="false">IF(Varian!$A20="","",Varian!$A20)</f>
        <v>asus-vivobook-15-a1504-i5-1335u-8-512</v>
      </c>
      <c r="B83" s="33" t="str">
        <f aca="false">IF($A83="","",Aturan!$A$24)</f>
        <v>Game ringan</v>
      </c>
      <c r="C83" s="69" t="n">
        <f aca="false">IF($A83="","",IFERROR(IF(ISNUMBER(INDEX(CPU!$J$4:$J$64,MATCH(Varian!$J20,CPU!$A$4:$A$64,0))),INDEX(CPU!$J$4:$J$64,MATCH(Varian!$J20,CPU!$A$4:$A$64,0)),""),""))</f>
        <v>3</v>
      </c>
      <c r="D83" s="69" t="n">
        <f aca="false">IF($A83="","",IFERROR(IF(ISNUMBER(INDEX(GPU!$G$4:$G$64,MATCH(Varian!$K20,GPU!$A$4:$A$64,0))),INDEX(GPU!$G$4:$G$64,MATCH(Varian!$K20,GPU!$A$4:$A$64,0)),""),""))</f>
        <v>2</v>
      </c>
      <c r="E83" s="69" t="n">
        <f aca="false">IF($A83="","",IF(ISNUMBER(Varian!$M20),Varian!$M20,""))</f>
        <v>8</v>
      </c>
      <c r="F83" s="69" t="n">
        <f aca="false">IF($A83="","",IF(ISNUMBER(Varian!$V20),Varian!$V20,""))</f>
        <v>512</v>
      </c>
      <c r="G83" s="69" t="n">
        <f aca="false">IF($A83="","",IFERROR(INDEX(Aturan!$B$63:$B$66,MATCH(Varian!$AG20,Aturan!$A$63:$A$66,0)),""))</f>
        <v>3</v>
      </c>
      <c r="H83" s="69" t="n">
        <f aca="false">IF($A83="","",IF(ISNUMBER(Varian!$AI20),Varian!$AI20,""))</f>
        <v>60</v>
      </c>
      <c r="I83" s="33" t="str">
        <f aca="false">IF($A83="","",IF(Varian!$Q20="disolder","menempel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3" s="33" t="str">
        <f aca="false">IF($A83="","",IF(Varian!$Z20="ya","bisa diganti dengan yang lebih besar",IF(Varian!$Z20="tidak","menempel, tidak bisa diganti","belum diketahui apakah bisa diganti")))</f>
        <v>bisa diganti dengan yang lebih besar</v>
      </c>
      <c r="K83" s="70" t="str">
        <f aca="false">IF($A83="","",IF(AND(Aturan!$C$48="",Aturan!$D$48=""),"Tidak dinilai",IF(C83="","Belum ada data",IF(C83&lt;IF(Aturan!$C$48="",0,Aturan!$C$48),"Kurang",IF(C83&gt;=IF(Aturan!$D$48="",Aturan!$C$48,Aturan!$D$48),"Nyaman","Cukup")))))</f>
        <v>Nyaman</v>
      </c>
      <c r="L83" s="70" t="str">
        <f aca="false">IF($A83="","",IF(AND(Aturan!$C$49="",Aturan!$D$49=""),"Tidak dinilai",IF(D83="","Belum ada data",IF(D83&lt;IF(Aturan!$C$49="",0,Aturan!$C$49),"Kurang",IF(D83&gt;=IF(Aturan!$D$49="",Aturan!$C$49,Aturan!$D$49),"Nyaman","Cukup")))))</f>
        <v>Nyaman</v>
      </c>
      <c r="M83" s="70" t="str">
        <f aca="false">IF($A83="","",IF(AND(Aturan!$C$50="",Aturan!$D$50=""),"Tidak dinilai",IF(E83="","Belum ada data",IF(E83&lt;IF(Aturan!$C$50="",0,Aturan!$C$50),"Kurang",IF(E83&gt;=IF(Aturan!$D$50="",Aturan!$C$50,Aturan!$D$50),"Nyaman","Cukup")))))</f>
        <v>Nyaman</v>
      </c>
      <c r="N83" s="70" t="str">
        <f aca="false">IF($A83="","",IF(AND(Aturan!$C$51="",Aturan!$D$51=""),"Tidak dinilai",IF(F83="","Belum ada data",IF(F83&lt;IF(Aturan!$C$51="",0,Aturan!$C$51),"Kurang",IF(F83&gt;=IF(Aturan!$D$51="",Aturan!$C$51,Aturan!$D$51),"Nyaman","Cukup")))))</f>
        <v>Nyaman</v>
      </c>
      <c r="O83" s="70" t="str">
        <f aca="false">IF($A83="","",IF(AND(Aturan!$C$52="",Aturan!$D$52=""),"Tidak dinilai",IF(G83="","Belum ada data",IF(G83&lt;IF(Aturan!$C$52="",0,Aturan!$C$52),"Kurang",IF(G83&gt;=IF(Aturan!$D$52="",Aturan!$C$52,Aturan!$D$52),"Nyaman","Cukup")))))</f>
        <v>Tidak dinilai</v>
      </c>
      <c r="P83" s="70" t="str">
        <f aca="false">IF($A83="","",IF(AND(Aturan!$C$53="",Aturan!$D$53=""),"Tidak dinilai",IF(H83="","Belum ada data",IF(H83&lt;IF(Aturan!$C$53="",0,Aturan!$C$53),"Kurang",IF(H83&gt;=IF(Aturan!$D$53="",Aturan!$C$53,Aturan!$D$53),"Nyaman","Cukup")))))</f>
        <v>Tidak dinilai</v>
      </c>
      <c r="Q83" s="70" t="str">
        <f aca="false">IF($A83="","",IF(COUNTIF(K83:P83,"Tidak dinilai")=6,"Tidak dinilai",IF(COUNTIF(K83:P83,"Kurang")&gt;0,"Kurang cocok",IF(COUNTIF(K83:P83,"Belum ada data")&gt;0,"Data belum lengkap",IF(COUNTIF(K83:P83,"Cukup")&gt;0,"Bisa, dengan catatan","Cocok")))))</f>
        <v>Cocok</v>
      </c>
      <c r="R83" s="33" t="str">
        <f aca="false">IF($A83="","",IF(K83="Kurang","prosesor tingkat "&amp;C83&amp;" dari 5, di bawah batas minimal (tingkat "&amp;Aturan!$C$48&amp;")",IF(K83="Cukup","prosesor tingkat "&amp;C83&amp;" dari 5 cukup, nyamannya mulai tingkat "&amp;Aturan!$D$48,IF(K83="Belum ada data","tingkat prosesor belum diisi",""))))</f>
        <v/>
      </c>
      <c r="S83" s="33" t="str">
        <f aca="false">IF($A83="","",IF(L83="Kurang","grafis tingkat "&amp;D83&amp;" dari 5, di bawah batas minimal (tingkat "&amp;Aturan!$C$49&amp;")",IF(L83="Cukup","grafis tingkat "&amp;D83&amp;" dari 5 cukup, nyamannya mulai tingkat "&amp;Aturan!$D$49,IF(L83="Belum ada data","tingkat grafis belum diisi",""))))</f>
        <v/>
      </c>
      <c r="T83" s="33" t="str">
        <f aca="false">IF($A83="","",IF(M83="Kurang","RAM "&amp;E83&amp;" GB, di bawah batas minimal "&amp;Aturan!$C$50&amp;" GB ("&amp;I83&amp;")",IF(M83="Cukup","RAM "&amp;E83&amp;" GB cukup, nyamannya "&amp;Aturan!$D$50&amp;" GB atau lebih ("&amp;I83&amp;")",IF(M83="Belum ada data","ukuran RAM belum diisi",""))))</f>
        <v/>
      </c>
      <c r="U83" s="33" t="str">
        <f aca="false">IF($A83="","",IF(N83="Kurang","penyimpanan "&amp;F83&amp;" GB, di bawah batas minimal "&amp;Aturan!$C$51&amp;" GB ("&amp;J83&amp;")",IF(N83="Cukup","penyimpanan "&amp;F83&amp;" GB cukup, nyamannya "&amp;Aturan!$D$51&amp;" GB atau lebih ("&amp;J83&amp;")",IF(N83="Belum ada data","ukuran penyimpanan belum diisi",""))))</f>
        <v/>
      </c>
      <c r="V83" s="33" t="str">
        <f aca="false">IF($A83="","",IF(O83="Kurang","layar "&amp;Varian!$AG20&amp;", di bawah batas minimal ("&amp;IFERROR(INDEX(Aturan!$A$63:$A$66,MATCH(Aturan!$C$52,Aturan!$B$63:$B$66,0)),"peringkat "&amp;Aturan!$C$52)&amp;")",IF(O83="Cukup","layar "&amp;Varian!$AG20&amp;" cukup, nyamannya "&amp;IFERROR(INDEX(Aturan!$A$63:$A$66,MATCH(Aturan!$D$52,Aturan!$B$63:$B$66,0)),"peringkat "&amp;Aturan!$D$52),IF(O83="Belum ada data","jenis layar belum diketahui",""))))</f>
        <v/>
      </c>
      <c r="W83" s="33" t="str">
        <f aca="false">IF($A83="","",IF(P83="Kurang","layar "&amp;H83&amp;" Hz, di bawah batas minimal "&amp;Aturan!$C$53&amp;" Hz",IF(P83="Cukup","layar "&amp;H83&amp;" Hz cukup, nyamannya "&amp;Aturan!$D$53&amp;" Hz atau lebih",IF(P83="Belum ada data","refresh rate belum diketahui",""))))</f>
        <v/>
      </c>
      <c r="X83" s="33" t="str">
        <f aca="false">IF($A83="","",IF(K83="Kurang",R83&amp;"; ","")&amp;IF(L83="Kurang",S83&amp;"; ","")&amp;IF(M83="Kurang",T83&amp;"; ","")&amp;IF(N83="Kurang",U83&amp;"; ","")&amp;IF(O83="Kurang",V83&amp;"; ","")&amp;IF(P83="Kurang",W83&amp;"; ","")&amp;IF(K83="Belum ada data",R83&amp;"; ","")&amp;IF(L83="Belum ada data",S83&amp;"; ","")&amp;IF(M83="Belum ada data",T83&amp;"; ","")&amp;IF(N83="Belum ada data",U83&amp;"; ","")&amp;IF(O83="Belum ada data",V83&amp;"; ","")&amp;IF(P83="Belum ada data",W83&amp;"; ","")&amp;IF(K83="Cukup",R83&amp;"; ","")&amp;IF(L83="Cukup",S83&amp;"; ","")&amp;IF(M83="Cukup",T83&amp;"; ","")&amp;IF(N83="Cukup",U83&amp;"; ","")&amp;IF(O83="Cukup",V83&amp;"; ","")&amp;IF(P83="Cukup",W83&amp;"; ",""))</f>
        <v/>
      </c>
      <c r="Y83" s="33" t="str">
        <f aca="false">IF($A83="","",IF(K83="Nyaman","prosesor, ","")&amp;IF(L83="Nyaman","grafis, ","")&amp;IF(M83="Nyaman","RAM, ","")&amp;IF(N83="Nyaman","penyimpanan, ","")&amp;IF(O83="Nyaman","layar, ","")&amp;IF(P83="Nyaman","refresh rate, ",""))</f>
        <v>prosesor, grafis, RAM, penyimpanan, </v>
      </c>
      <c r="Z83" s="33" t="str">
        <f aca="false">IF($A83="","",IF(Q83="Tidak dinilai","Belum ada kriteria yang dinilai untuk kebutuhan ini.",IF(Q83="Cocok","Semua kriteria yang dinilai sudah nyaman: "&amp;LEFT(Y83,LEN(Y83)-2)&amp;".",UPPER(LEFT(X83,1))&amp;MID(X83,2,LEN(X83)-3)&amp;"."&amp;IF(Y83="",""," Sudah nyaman: "&amp;LEFT(Y83,LEN(Y83)-2)&amp;"."))))</f>
        <v>Semua kriteria yang dinilai sudah nyaman: prosesor, grafis, RAM, penyimpanan.</v>
      </c>
      <c r="AA83" s="33"/>
      <c r="AB83" s="33"/>
      <c r="AC83" s="69"/>
    </row>
    <row r="84" customFormat="false" ht="15" hidden="false" customHeight="true" outlineLevel="0" collapsed="false">
      <c r="A84" s="33" t="str">
        <f aca="false">IF(Varian!$A20="","",Varian!$A20)</f>
        <v>asus-vivobook-15-a1504-i5-1335u-8-512</v>
      </c>
      <c r="B84" s="33" t="str">
        <f aca="false">IF($A84="","",Aturan!$A$25)</f>
        <v>Game berat</v>
      </c>
      <c r="C84" s="69" t="n">
        <f aca="false">IF($A84="","",IFERROR(IF(ISNUMBER(INDEX(CPU!$J$4:$J$64,MATCH(Varian!$J20,CPU!$A$4:$A$64,0))),INDEX(CPU!$J$4:$J$64,MATCH(Varian!$J20,CPU!$A$4:$A$64,0)),""),""))</f>
        <v>3</v>
      </c>
      <c r="D84" s="69" t="n">
        <f aca="false">IF($A84="","",IFERROR(IF(ISNUMBER(INDEX(GPU!$G$4:$G$64,MATCH(Varian!$K20,GPU!$A$4:$A$64,0))),INDEX(GPU!$G$4:$G$64,MATCH(Varian!$K20,GPU!$A$4:$A$64,0)),""),""))</f>
        <v>2</v>
      </c>
      <c r="E84" s="69" t="n">
        <f aca="false">IF($A84="","",IF(ISNUMBER(Varian!$M20),Varian!$M20,""))</f>
        <v>8</v>
      </c>
      <c r="F84" s="69" t="n">
        <f aca="false">IF($A84="","",IF(ISNUMBER(Varian!$V20),Varian!$V20,""))</f>
        <v>512</v>
      </c>
      <c r="G84" s="69" t="n">
        <f aca="false">IF($A84="","",IFERROR(INDEX(Aturan!$B$63:$B$66,MATCH(Varian!$AG20,Aturan!$A$63:$A$66,0)),""))</f>
        <v>3</v>
      </c>
      <c r="H84" s="69" t="n">
        <f aca="false">IF($A84="","",IF(ISNUMBER(Varian!$AI20),Varian!$AI20,""))</f>
        <v>60</v>
      </c>
      <c r="I84" s="33" t="str">
        <f aca="false">IF($A84="","",IF(Varian!$Q20="disolder","menempel di papan utama, tidak bisa ditambah",IF(OR(Varian!$Q20="slot",Varian!$Q20="setengah_disolder"),IF(Varian!$Q20="setengah_disolder","sebagian menempel, ","")&amp;IF(ISNUMBER(Varian!$U20),IF(AND(ISNUMBER(Varian!$M20),Varian!$U20&gt;Varian!$M20),"bisa dinaikkan lewat slot sampai "&amp;Varian!$U20&amp;" GB","sudah di batas maksimal "&amp;Varian!$U20&amp;" GB"),"ada slot, batas maksimalnya belum diketahui"),"belum diketahui apakah bisa ditambah")))</f>
        <v>sebagian menempel, bisa dinaikkan lewat slot sampai 16 GB</v>
      </c>
      <c r="J84" s="33" t="str">
        <f aca="false">IF($A84="","",IF(Varian!$Z20="ya","bisa diganti dengan yang lebih besar",IF(Varian!$Z20="tidak","menempel, tidak bisa diganti","belum diketahui apakah bisa diganti")))</f>
        <v>bisa diganti dengan yang lebih besar</v>
      </c>
      <c r="K84" s="70" t="str">
        <f aca="false">IF($A84="","",IF(AND(Aturan!$C$54="",Aturan!$D$54=""),"Tidak dinilai",IF(C84="","Belum ada data",IF(C84&lt;IF(Aturan!$C$54="",0,Aturan!$C$54),"Kurang",IF(C84&gt;=IF(Aturan!$D$54="",Aturan!$C$54,Aturan!$D$54),"Nyaman","Cukup")))))</f>
        <v>Cukup</v>
      </c>
      <c r="L84" s="70" t="str">
        <f aca="false">IF($A84="","",IF(AND(Aturan!$C$55="",Aturan!$D$55=""),"Tidak dinilai",IF(D84="","Belum ada data",IF(D84&lt;IF(Aturan!$C$55="",0,Aturan!$C$55),"Kurang",IF(D84&gt;=IF(Aturan!$D$55="",Aturan!$C$55,Aturan!$D$55),"Nyaman","Cukup")))))</f>
        <v>Kurang</v>
      </c>
      <c r="M84" s="70" t="str">
        <f aca="false">IF($A84="","",IF(AND(Aturan!$C$56="",Aturan!$D$56=""),"Tidak dinilai",IF(E84="","Belum ada data",IF(E84&lt;IF(Aturan!$C$56="",0,Aturan!$C$56),"Kurang",IF(E84&gt;=IF(Aturan!$D$56="",Aturan!$C$56,Aturan!$D$56),"Nyaman","Cukup")))))</f>
        <v>Cukup</v>
      </c>
      <c r="N84" s="70" t="str">
        <f aca="false">IF($A84="","",IF(AND(Aturan!$C$57="",Aturan!$D$57=""),"Tidak dinilai",IF(F84="","Belum ada data",IF(F84&lt;IF(Aturan!$C$57="",0,Aturan!$C$57),"Kurang",IF(F84&gt;=IF(Aturan!$D$57="",Aturan!$C$57,Aturan!$D$57),"Nyaman","Cukup")))))</f>
        <v>Cukup</v>
      </c>
      <c r="O84" s="70" t="str">
        <f aca="false">IF($A84="","",IF(AND(Aturan!$C$58="",Aturan!$D$58=""),"Tidak dinilai",IF(G84="","Belum ada data",IF(G84&lt;IF(Aturan!$C$58="",0,Aturan!$C$58),"Kurang",IF(G84&gt;=IF(Aturan!$D$58="",Aturan!$C$58,Aturan!$D$58),"Nyaman","Cukup")))))</f>
        <v>Tidak dinilai</v>
      </c>
      <c r="P84" s="70" t="str">
        <f aca="false">IF($A84="","",IF(AND(Aturan!$C$59="",Aturan!$D$59=""),"Tidak dinilai",IF(H84="","Belum ada data",IF(H84&lt;IF(Aturan!$C$59="",0,Aturan!$C$59),"Kurang",IF(H84&gt;=IF(Aturan!$D$59="",Aturan!$C$59,Aturan!$D$59),"Nyaman","Cukup")))))</f>
        <v>Cukup</v>
      </c>
      <c r="Q84" s="70" t="str">
        <f aca="false">IF($A84="","",IF(COUNTIF(K84:P84,"Tidak dinilai")=6,"Tidak dinilai",IF(COUNTIF(K84:P84,"Kurang")&gt;0,"Kurang cocok",IF(COUNTIF(K84:P84,"Belum ada data")&gt;0,"Data belum lengkap",IF(COUNTIF(K84:P84,"Cukup")&gt;0,"Bisa, dengan catatan","Cocok")))))</f>
        <v>Kurang cocok</v>
      </c>
      <c r="R84" s="33" t="str">
        <f aca="false">IF($A84="","",IF(K84="Kurang","prosesor tingkat "&amp;C84&amp;" dari 5, di bawah batas minimal (tingkat "&amp;Aturan!$C$54&amp;")",IF(K84="Cukup","prosesor tingkat "&amp;C84&amp;" dari 5 cukup, nyamannya mulai tingkat "&amp;Aturan!$D$54,IF(K84="Belum ada data","tingkat prosesor belum diisi",""))))</f>
        <v>prosesor tingkat 3 dari 5 cukup, nyamannya mulai tingkat 4</v>
      </c>
      <c r="S84" s="33" t="str">
        <f aca="false">IF($A84="","",IF(L84="Kurang","grafis tingkat "&amp;D84&amp;" dari 5, di bawah batas minimal (tingkat "&amp;Aturan!$C$55&amp;")",IF(L84="Cukup","grafis tingkat "&amp;D84&amp;" dari 5 cukup, nyamannya mulai tingkat "&amp;Aturan!$D$55,IF(L84="Belum ada data","tingkat grafis belum diisi",""))))</f>
        <v>grafis tingkat 2 dari 5, di bawah batas minimal (tingkat 3)</v>
      </c>
      <c r="T84" s="33" t="str">
        <f aca="false">IF($A84="","",IF(M84="Kurang","RAM "&amp;E84&amp;" GB, di bawah batas minimal "&amp;Aturan!$C$56&amp;" GB ("&amp;I84&amp;")",IF(M84="Cukup","RAM "&amp;E84&amp;" GB cukup, nyamannya "&amp;Aturan!$D$56&amp;" GB atau lebih ("&amp;I84&amp;")",IF(M84="Belum ada data","ukuran RAM belum diisi",""))))</f>
        <v>RAM 8 GB cukup, nyamannya 16 GB atau lebih (sebagian menempel, bisa dinaikkan lewat slot sampai 16 GB)</v>
      </c>
      <c r="U84" s="33" t="str">
        <f aca="false">IF($A84="","",IF(N84="Kurang","penyimpanan "&amp;F84&amp;" GB, di bawah batas minimal "&amp;Aturan!$C$57&amp;" GB ("&amp;J84&amp;")",IF(N84="Cukup","penyimpanan "&amp;F84&amp;" GB cukup, nyamannya "&amp;Aturan!$D$57&amp;" GB atau lebih ("&amp;J84&amp;")",IF(N84="Belum ada data","ukuran penyimpanan belum diisi",""))))</f>
        <v>penyimpanan 512 GB cukup, nyamannya 1000 GB atau lebih (bisa diganti dengan yang lebih besar)</v>
      </c>
      <c r="V84" s="33" t="str">
        <f aca="false">IF($A84="","",IF(O84="Kurang","layar "&amp;Varian!$AG20&amp;", di bawah batas minimal ("&amp;IFERROR(INDEX(Aturan!$A$63:$A$66,MATCH(Aturan!$C$58,Aturan!$B$63:$B$66,0)),"peringkat "&amp;Aturan!$C$58)&amp;")",IF(O84="Cukup","layar "&amp;Varian!$AG20&amp;" cukup, nyamannya "&amp;IFERROR(INDEX(Aturan!$A$63:$A$66,MATCH(Aturan!$D$58,Aturan!$B$63:$B$66,0)),"peringkat "&amp;Aturan!$D$58),IF(O84="Belum ada data","jenis layar belum diketahui",""))))</f>
        <v/>
      </c>
      <c r="W84" s="33" t="str">
        <f aca="false">IF($A84="","",IF(P84="Kurang","layar "&amp;H84&amp;" Hz, di bawah batas minimal "&amp;Aturan!$C$59&amp;" Hz",IF(P84="Cukup","layar "&amp;H84&amp;" Hz cukup, nyamannya "&amp;Aturan!$D$59&amp;" Hz atau lebih",IF(P84="Belum ada data","refresh rate belum diketahui",""))))</f>
        <v>layar 60 Hz cukup, nyamannya 120 Hz atau lebih</v>
      </c>
      <c r="X84" s="33" t="str">
        <f aca="false">IF($A84="","",IF(K84="Kurang",R84&amp;"; ","")&amp;IF(L84="Kurang",S84&amp;"; ","")&amp;IF(M84="Kurang",T84&amp;"; ","")&amp;IF(N84="Kurang",U84&amp;"; ","")&amp;IF(O84="Kurang",V84&amp;"; ","")&amp;IF(P84="Kurang",W84&amp;"; ","")&amp;IF(K84="Belum ada data",R84&amp;"; ","")&amp;IF(L84="Belum ada data",S84&amp;"; ","")&amp;IF(M84="Belum ada data",T84&amp;"; ","")&amp;IF(N84="Belum ada data",U84&amp;"; ","")&amp;IF(O84="Belum ada data",V84&amp;"; ","")&amp;IF(P84="Belum ada data",W84&amp;"; ","")&amp;IF(K84="Cukup",R84&amp;"; ","")&amp;IF(L84="Cukup",S84&amp;"; ","")&amp;IF(M84="Cukup",T84&amp;"; ","")&amp;IF(N84="Cukup",U84&amp;"; ","")&amp;IF(O84="Cukup",V84&amp;"; ","")&amp;IF(P84="Cukup",W84&amp;"; ",""))</f>
        <v>grafis tingkat 2 dari 5, di bawah batas minimal (tingkat 3); prosesor tingkat 3 dari 5 cukup, nyamannya mulai tingkat 4; RAM 8 GB cukup, nyamannya 16 GB atau lebih (sebagian menempel, bisa dinaikkan lewat slot sampai 16 GB); penyimpanan 512 GB cukup, nyamannya 1000 GB atau lebih (bisa diganti dengan yang lebih besar); layar 60 Hz cukup, nyamannya 120 Hz atau lebih; </v>
      </c>
      <c r="Y84" s="33" t="str">
        <f aca="false">IF($A84="","",IF(K84="Nyaman","prosesor, ","")&amp;IF(L84="Nyaman","grafis, ","")&amp;IF(M84="Nyaman","RAM, ","")&amp;IF(N84="Nyaman","penyimpanan, ","")&amp;IF(O84="Nyaman","layar, ","")&amp;IF(P84="Nyaman","refresh rate, ",""))</f>
        <v/>
      </c>
      <c r="Z84" s="33" t="str">
        <f aca="false">IF($A84="","",IF(Q84="Tidak dinilai","Belum ada kriteria yang dinilai untuk kebutuhan ini.",IF(Q84="Cocok","Semua kriteria yang dinilai sudah nyaman: "&amp;LEFT(Y84,LEN(Y84)-2)&amp;".",UPPER(LEFT(X84,1))&amp;MID(X84,2,LEN(X84)-3)&amp;"."&amp;IF(Y84="",""," Sudah nyaman: "&amp;LEFT(Y84,LEN(Y84)-2)&amp;"."))))</f>
        <v>Grafis tingkat 2 dari 5, di bawah batas minimal (tingkat 3); prosesor tingkat 3 dari 5 cukup, nyamannya mulai tingkat 4; RAM 8 GB cukup, nyamannya 16 GB atau lebih (sebagian menempel, bisa dinaikkan lewat slot sampai 16 GB); penyimpanan 512 GB cukup, nyamannya 1000 GB atau lebih (bisa diganti dengan yang lebih besar); layar 60 Hz cukup, nyamannya 120 Hz atau lebih.</v>
      </c>
      <c r="AA84" s="33"/>
      <c r="AB84" s="33"/>
      <c r="AC84" s="69"/>
    </row>
    <row r="85" customFormat="false" ht="15" hidden="false" customHeight="true" outlineLevel="0" collapsed="false">
      <c r="A85" s="66" t="str">
        <f aca="false">IF(Varian!$A21="","",Varian!$A21)</f>
        <v>hp-laptop-14-ep1-core5-120u-8-512</v>
      </c>
      <c r="B85" s="66" t="str">
        <f aca="false">IF($A85="","",Aturan!$A$21)</f>
        <v>Kuliah dan kantor</v>
      </c>
      <c r="C85" s="67" t="n">
        <f aca="false">IF($A85="","",IFERROR(IF(ISNUMBER(INDEX(CPU!$J$4:$J$64,MATCH(Varian!$J21,CPU!$A$4:$A$64,0))),INDEX(CPU!$J$4:$J$64,MATCH(Varian!$J21,CPU!$A$4:$A$64,0)),""),""))</f>
        <v>3</v>
      </c>
      <c r="D85" s="67" t="n">
        <f aca="false">IF($A85="","",IFERROR(IF(ISNUMBER(INDEX(GPU!$G$4:$G$64,MATCH(Varian!$K21,GPU!$A$4:$A$64,0))),INDEX(GPU!$G$4:$G$64,MATCH(Varian!$K21,GPU!$A$4:$A$64,0)),""),""))</f>
        <v>2</v>
      </c>
      <c r="E85" s="67" t="n">
        <f aca="false">IF($A85="","",IF(ISNUMBER(Varian!$M21),Varian!$M21,""))</f>
        <v>8</v>
      </c>
      <c r="F85" s="67" t="n">
        <f aca="false">IF($A85="","",IF(ISNUMBER(Varian!$V21),Varian!$V21,""))</f>
        <v>512</v>
      </c>
      <c r="G85" s="67" t="str">
        <f aca="false">IF($A85="","",IFERROR(INDEX(Aturan!$B$63:$B$66,MATCH(Varian!$AG21,Aturan!$A$63:$A$66,0)),""))</f>
        <v/>
      </c>
      <c r="H85" s="67" t="str">
        <f aca="false">IF($A85="","",IF(ISNUMBER(Varian!$AI21),Varian!$AI21,""))</f>
        <v/>
      </c>
      <c r="I85" s="66" t="str">
        <f aca="false">IF($A85="","",IF(Varian!$Q21="disolder","menempel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5" s="66" t="str">
        <f aca="false">IF($A85="","",IF(Varian!$Z21="ya","bisa diganti dengan yang lebih besar",IF(Varian!$Z21="tidak","menempel, tidak bisa diganti","belum diketahui apakah bisa diganti")))</f>
        <v>bisa diganti dengan yang lebih besar</v>
      </c>
      <c r="K85" s="68" t="str">
        <f aca="false">IF($A85="","",IF(AND(Aturan!$C$30="",Aturan!$D$30=""),"Tidak dinilai",IF(C85="","Belum ada data",IF(C85&lt;IF(Aturan!$C$30="",0,Aturan!$C$30),"Kurang",IF(C85&gt;=IF(Aturan!$D$30="",Aturan!$C$30,Aturan!$D$30),"Nyaman","Cukup")))))</f>
        <v>Nyaman</v>
      </c>
      <c r="L85" s="68" t="str">
        <f aca="false">IF($A85="","",IF(AND(Aturan!$C$31="",Aturan!$D$31=""),"Tidak dinilai",IF(D85="","Belum ada data",IF(D85&lt;IF(Aturan!$C$31="",0,Aturan!$C$31),"Kurang",IF(D85&gt;=IF(Aturan!$D$31="",Aturan!$C$31,Aturan!$D$31),"Nyaman","Cukup")))))</f>
        <v>Tidak dinilai</v>
      </c>
      <c r="M85" s="68" t="str">
        <f aca="false">IF($A85="","",IF(AND(Aturan!$C$32="",Aturan!$D$32=""),"Tidak dinilai",IF(E85="","Belum ada data",IF(E85&lt;IF(Aturan!$C$32="",0,Aturan!$C$32),"Kurang",IF(E85&gt;=IF(Aturan!$D$32="",Aturan!$C$32,Aturan!$D$32),"Nyaman","Cukup")))))</f>
        <v>Nyaman</v>
      </c>
      <c r="N85" s="68" t="str">
        <f aca="false">IF($A85="","",IF(AND(Aturan!$C$33="",Aturan!$D$33=""),"Tidak dinilai",IF(F85="","Belum ada data",IF(F85&lt;IF(Aturan!$C$33="",0,Aturan!$C$33),"Kurang",IF(F85&gt;=IF(Aturan!$D$33="",Aturan!$C$33,Aturan!$D$33),"Nyaman","Cukup")))))</f>
        <v>Nyaman</v>
      </c>
      <c r="O85" s="68" t="str">
        <f aca="false">IF($A85="","",IF(AND(Aturan!$C$34="",Aturan!$D$34=""),"Tidak dinilai",IF(G85="","Belum ada data",IF(G85&lt;IF(Aturan!$C$34="",0,Aturan!$C$34),"Kurang",IF(G85&gt;=IF(Aturan!$D$34="",Aturan!$C$34,Aturan!$D$34),"Nyaman","Cukup")))))</f>
        <v>Tidak dinilai</v>
      </c>
      <c r="P85" s="68" t="str">
        <f aca="false">IF($A85="","",IF(AND(Aturan!$C$35="",Aturan!$D$35=""),"Tidak dinilai",IF(H85="","Belum ada data",IF(H85&lt;IF(Aturan!$C$35="",0,Aturan!$C$35),"Kurang",IF(H85&gt;=IF(Aturan!$D$35="",Aturan!$C$35,Aturan!$D$35),"Nyaman","Cukup")))))</f>
        <v>Tidak dinilai</v>
      </c>
      <c r="Q85" s="68" t="str">
        <f aca="false">IF($A85="","",IF(COUNTIF(K85:P85,"Tidak dinilai")=6,"Tidak dinilai",IF(COUNTIF(K85:P85,"Kurang")&gt;0,"Kurang cocok",IF(COUNTIF(K85:P85,"Belum ada data")&gt;0,"Data belum lengkap",IF(COUNTIF(K85:P85,"Cukup")&gt;0,"Bisa, dengan catatan","Cocok")))))</f>
        <v>Cocok</v>
      </c>
      <c r="R85" s="66" t="str">
        <f aca="false">IF($A85="","",IF(K85="Kurang","prosesor tingkat "&amp;C85&amp;" dari 5, di bawah batas minimal (tingkat "&amp;Aturan!$C$30&amp;")",IF(K85="Cukup","prosesor tingkat "&amp;C85&amp;" dari 5 cukup, nyamannya mulai tingkat "&amp;Aturan!$D$30,IF(K85="Belum ada data","tingkat prosesor belum diisi",""))))</f>
        <v/>
      </c>
      <c r="S85" s="66" t="str">
        <f aca="false">IF($A85="","",IF(L85="Kurang","grafis tingkat "&amp;D85&amp;" dari 5, di bawah batas minimal (tingkat "&amp;Aturan!$C$31&amp;")",IF(L85="Cukup","grafis tingkat "&amp;D85&amp;" dari 5 cukup, nyamannya mulai tingkat "&amp;Aturan!$D$31,IF(L85="Belum ada data","tingkat grafis belum diisi",""))))</f>
        <v/>
      </c>
      <c r="T85" s="66" t="str">
        <f aca="false">IF($A85="","",IF(M85="Kurang","RAM "&amp;E85&amp;" GB, di bawah batas minimal "&amp;Aturan!$C$32&amp;" GB ("&amp;I85&amp;")",IF(M85="Cukup","RAM "&amp;E85&amp;" GB cukup, nyamannya "&amp;Aturan!$D$32&amp;" GB atau lebih ("&amp;I85&amp;")",IF(M85="Belum ada data","ukuran RAM belum diisi",""))))</f>
        <v/>
      </c>
      <c r="U85" s="66" t="str">
        <f aca="false">IF($A85="","",IF(N85="Kurang","penyimpanan "&amp;F85&amp;" GB, di bawah batas minimal "&amp;Aturan!$C$33&amp;" GB ("&amp;J85&amp;")",IF(N85="Cukup","penyimpanan "&amp;F85&amp;" GB cukup, nyamannya "&amp;Aturan!$D$33&amp;" GB atau lebih ("&amp;J85&amp;")",IF(N85="Belum ada data","ukuran penyimpanan belum diisi",""))))</f>
        <v/>
      </c>
      <c r="V85" s="66" t="str">
        <f aca="false">IF($A85="","",IF(O85="Kurang","layar "&amp;Varian!$AG21&amp;", di bawah batas minimal ("&amp;IFERROR(INDEX(Aturan!$A$63:$A$66,MATCH(Aturan!$C$34,Aturan!$B$63:$B$66,0)),"peringkat "&amp;Aturan!$C$34)&amp;")",IF(O85="Cukup","layar "&amp;Varian!$AG21&amp;" cukup, nyamannya "&amp;IFERROR(INDEX(Aturan!$A$63:$A$66,MATCH(Aturan!$D$34,Aturan!$B$63:$B$66,0)),"peringkat "&amp;Aturan!$D$34),IF(O85="Belum ada data","jenis layar belum diketahui",""))))</f>
        <v/>
      </c>
      <c r="W85" s="66" t="str">
        <f aca="false">IF($A85="","",IF(P85="Kurang","layar "&amp;H85&amp;" Hz, di bawah batas minimal "&amp;Aturan!$C$35&amp;" Hz",IF(P85="Cukup","layar "&amp;H85&amp;" Hz cukup, nyamannya "&amp;Aturan!$D$35&amp;" Hz atau lebih",IF(P85="Belum ada data","refresh rate belum diketahui",""))))</f>
        <v/>
      </c>
      <c r="X85" s="66" t="str">
        <f aca="false">IF($A85="","",IF(K85="Kurang",R85&amp;"; ","")&amp;IF(L85="Kurang",S85&amp;"; ","")&amp;IF(M85="Kurang",T85&amp;"; ","")&amp;IF(N85="Kurang",U85&amp;"; ","")&amp;IF(O85="Kurang",V85&amp;"; ","")&amp;IF(P85="Kurang",W85&amp;"; ","")&amp;IF(K85="Belum ada data",R85&amp;"; ","")&amp;IF(L85="Belum ada data",S85&amp;"; ","")&amp;IF(M85="Belum ada data",T85&amp;"; ","")&amp;IF(N85="Belum ada data",U85&amp;"; ","")&amp;IF(O85="Belum ada data",V85&amp;"; ","")&amp;IF(P85="Belum ada data",W85&amp;"; ","")&amp;IF(K85="Cukup",R85&amp;"; ","")&amp;IF(L85="Cukup",S85&amp;"; ","")&amp;IF(M85="Cukup",T85&amp;"; ","")&amp;IF(N85="Cukup",U85&amp;"; ","")&amp;IF(O85="Cukup",V85&amp;"; ","")&amp;IF(P85="Cukup",W85&amp;"; ",""))</f>
        <v/>
      </c>
      <c r="Y85" s="66" t="str">
        <f aca="false">IF($A85="","",IF(K85="Nyaman","prosesor, ","")&amp;IF(L85="Nyaman","grafis, ","")&amp;IF(M85="Nyaman","RAM, ","")&amp;IF(N85="Nyaman","penyimpanan, ","")&amp;IF(O85="Nyaman","layar, ","")&amp;IF(P85="Nyaman","refresh rate, ",""))</f>
        <v>prosesor, RAM, penyimpanan, </v>
      </c>
      <c r="Z85" s="66" t="str">
        <f aca="false">IF($A85="","",IF(Q85="Tidak dinilai","Belum ada kriteria yang dinilai untuk kebutuhan ini.",IF(Q85="Cocok","Semua kriteria yang dinilai sudah nyaman: "&amp;LEFT(Y85,LEN(Y85)-2)&amp;".",UPPER(LEFT(X85,1))&amp;MID(X85,2,LEN(X85)-3)&amp;"."&amp;IF(Y85="",""," Sudah nyaman: "&amp;LEFT(Y85,LEN(Y85)-2)&amp;"."))))</f>
        <v>Semua kriteria yang dinilai sudah nyaman: prosesor, RAM, penyimpanan.</v>
      </c>
      <c r="AA85" s="71" t="str">
        <f aca="false">IF($A85="","",IF(Varian!$AR21="Windows 10","• "&amp;Aturan!$E$71&amp;CHAR(10),"")&amp;IF(Varian!$BB21="tidak","• "&amp;Aturan!$E$72&amp;CHAR(10),"")&amp;IF(OR(Varian!$AD21="belum terverifikasi",Varian!$AD21="tidak diketahui"),"• "&amp;Aturan!$E$73&amp;CHAR(10),"")&amp;IF(Varian!$AH21="1366x768","• "&amp;Aturan!$E$74&amp;CHAR(10),"")&amp;IF(Varian!$AG21="TN","• "&amp;Aturan!$E$75&amp;CHAR(10),"")&amp;IF(AND(Varian!$Q21="disolder",ISNUMBER(Varian!$M21),Varian!$M21&lt;=8),"• "&amp;Aturan!$E$76&amp;CHAR(10),""))</f>
        <v>• Info RAM dan penyimpanan (bisa diganti atau tidak) belum terverifikasi. Periksa lagi sebelum membeli.
</v>
      </c>
      <c r="AB85" s="66" t="str">
        <f aca="false">IF($A85="","",IF(AA85="","",LEFT(AA85,LEN(AA85)-1)))</f>
        <v>• Info RAM dan penyimpanan (bisa diganti atau tidak) belum terverifikasi. Periksa lagi sebelum membeli.</v>
      </c>
      <c r="AC85" s="67" t="n">
        <f aca="false">IF($A85="","",IF(AA85="",0,LEN(AA85)-LEN(SUBSTITUTE(AA85,CHAR(10),""))))</f>
        <v>1</v>
      </c>
    </row>
    <row r="86" customFormat="false" ht="15" hidden="false" customHeight="true" outlineLevel="0" collapsed="false">
      <c r="A86" s="33" t="str">
        <f aca="false">IF(Varian!$A21="","",Varian!$A21)</f>
        <v>hp-laptop-14-ep1-core5-120u-8-512</v>
      </c>
      <c r="B86" s="33" t="str">
        <f aca="false">IF($A86="","",Aturan!$A$22)</f>
        <v>Desain grafis</v>
      </c>
      <c r="C86" s="69" t="n">
        <f aca="false">IF($A86="","",IFERROR(IF(ISNUMBER(INDEX(CPU!$J$4:$J$64,MATCH(Varian!$J21,CPU!$A$4:$A$64,0))),INDEX(CPU!$J$4:$J$64,MATCH(Varian!$J21,CPU!$A$4:$A$64,0)),""),""))</f>
        <v>3</v>
      </c>
      <c r="D86" s="69" t="n">
        <f aca="false">IF($A86="","",IFERROR(IF(ISNUMBER(INDEX(GPU!$G$4:$G$64,MATCH(Varian!$K21,GPU!$A$4:$A$64,0))),INDEX(GPU!$G$4:$G$64,MATCH(Varian!$K21,GPU!$A$4:$A$64,0)),""),""))</f>
        <v>2</v>
      </c>
      <c r="E86" s="69" t="n">
        <f aca="false">IF($A86="","",IF(ISNUMBER(Varian!$M21),Varian!$M21,""))</f>
        <v>8</v>
      </c>
      <c r="F86" s="69" t="n">
        <f aca="false">IF($A86="","",IF(ISNUMBER(Varian!$V21),Varian!$V21,""))</f>
        <v>512</v>
      </c>
      <c r="G86" s="69" t="str">
        <f aca="false">IF($A86="","",IFERROR(INDEX(Aturan!$B$63:$B$66,MATCH(Varian!$AG21,Aturan!$A$63:$A$66,0)),""))</f>
        <v/>
      </c>
      <c r="H86" s="69" t="str">
        <f aca="false">IF($A86="","",IF(ISNUMBER(Varian!$AI21),Varian!$AI21,""))</f>
        <v/>
      </c>
      <c r="I86" s="33" t="str">
        <f aca="false">IF($A86="","",IF(Varian!$Q21="disolder","menempel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6" s="33" t="str">
        <f aca="false">IF($A86="","",IF(Varian!$Z21="ya","bisa diganti dengan yang lebih besar",IF(Varian!$Z21="tidak","menempel, tidak bisa diganti","belum diketahui apakah bisa diganti")))</f>
        <v>bisa diganti dengan yang lebih besar</v>
      </c>
      <c r="K86" s="70" t="str">
        <f aca="false">IF($A86="","",IF(AND(Aturan!$C$36="",Aturan!$D$36=""),"Tidak dinilai",IF(C86="","Belum ada data",IF(C86&lt;IF(Aturan!$C$36="",0,Aturan!$C$36),"Kurang",IF(C86&gt;=IF(Aturan!$D$36="",Aturan!$C$36,Aturan!$D$36),"Nyaman","Cukup")))))</f>
        <v>Nyaman</v>
      </c>
      <c r="L86" s="70" t="str">
        <f aca="false">IF($A86="","",IF(AND(Aturan!$C$37="",Aturan!$D$37=""),"Tidak dinilai",IF(D86="","Belum ada data",IF(D86&lt;IF(Aturan!$C$37="",0,Aturan!$C$37),"Kurang",IF(D86&gt;=IF(Aturan!$D$37="",Aturan!$C$37,Aturan!$D$37),"Nyaman","Cukup")))))</f>
        <v>Nyaman</v>
      </c>
      <c r="M86" s="70" t="str">
        <f aca="false">IF($A86="","",IF(AND(Aturan!$C$38="",Aturan!$D$38=""),"Tidak dinilai",IF(E86="","Belum ada data",IF(E86&lt;IF(Aturan!$C$38="",0,Aturan!$C$38),"Kurang",IF(E86&gt;=IF(Aturan!$D$38="",Aturan!$C$38,Aturan!$D$38),"Nyaman","Cukup")))))</f>
        <v>Cukup</v>
      </c>
      <c r="N86" s="70" t="str">
        <f aca="false">IF($A86="","",IF(AND(Aturan!$C$39="",Aturan!$D$39=""),"Tidak dinilai",IF(F86="","Belum ada data",IF(F86&lt;IF(Aturan!$C$39="",0,Aturan!$C$39),"Kurang",IF(F86&gt;=IF(Aturan!$D$39="",Aturan!$C$39,Aturan!$D$39),"Nyaman","Cukup")))))</f>
        <v>Nyaman</v>
      </c>
      <c r="O86" s="70" t="str">
        <f aca="false">IF($A86="","",IF(AND(Aturan!$C$40="",Aturan!$D$40=""),"Tidak dinilai",IF(G86="","Belum ada data",IF(G86&lt;IF(Aturan!$C$40="",0,Aturan!$C$40),"Kurang",IF(G86&gt;=IF(Aturan!$D$40="",Aturan!$C$40,Aturan!$D$40),"Nyaman","Cukup")))))</f>
        <v>Belum ada data</v>
      </c>
      <c r="P86" s="70" t="str">
        <f aca="false">IF($A86="","",IF(AND(Aturan!$C$41="",Aturan!$D$41=""),"Tidak dinilai",IF(H86="","Belum ada data",IF(H86&lt;IF(Aturan!$C$41="",0,Aturan!$C$41),"Kurang",IF(H86&gt;=IF(Aturan!$D$41="",Aturan!$C$41,Aturan!$D$41),"Nyaman","Cukup")))))</f>
        <v>Tidak dinilai</v>
      </c>
      <c r="Q86" s="70" t="str">
        <f aca="false">IF($A86="","",IF(COUNTIF(K86:P86,"Tidak dinilai")=6,"Tidak dinilai",IF(COUNTIF(K86:P86,"Kurang")&gt;0,"Kurang cocok",IF(COUNTIF(K86:P86,"Belum ada data")&gt;0,"Data belum lengkap",IF(COUNTIF(K86:P86,"Cukup")&gt;0,"Bisa, dengan catatan","Cocok")))))</f>
        <v>Data belum lengkap</v>
      </c>
      <c r="R86" s="33" t="str">
        <f aca="false">IF($A86="","",IF(K86="Kurang","prosesor tingkat "&amp;C86&amp;" dari 5, di bawah batas minimal (tingkat "&amp;Aturan!$C$36&amp;")",IF(K86="Cukup","prosesor tingkat "&amp;C86&amp;" dari 5 cukup, nyamannya mulai tingkat "&amp;Aturan!$D$36,IF(K86="Belum ada data","tingkat prosesor belum diisi",""))))</f>
        <v/>
      </c>
      <c r="S86" s="33" t="str">
        <f aca="false">IF($A86="","",IF(L86="Kurang","grafis tingkat "&amp;D86&amp;" dari 5, di bawah batas minimal (tingkat "&amp;Aturan!$C$37&amp;")",IF(L86="Cukup","grafis tingkat "&amp;D86&amp;" dari 5 cukup, nyamannya mulai tingkat "&amp;Aturan!$D$37,IF(L86="Belum ada data","tingkat grafis belum diisi",""))))</f>
        <v/>
      </c>
      <c r="T86" s="33" t="str">
        <f aca="false">IF($A86="","",IF(M86="Kurang","RAM "&amp;E86&amp;" GB, di bawah batas minimal "&amp;Aturan!$C$38&amp;" GB ("&amp;I86&amp;")",IF(M86="Cukup","RAM "&amp;E86&amp;" GB cukup, nyamannya "&amp;Aturan!$D$38&amp;" GB atau lebih ("&amp;I86&amp;")",IF(M86="Belum ada data","ukuran RAM belum diisi",""))))</f>
        <v>RAM 8 GB cukup, nyamannya 16 GB atau lebih (bisa dinaikkan lewat slot sampai 16 GB)</v>
      </c>
      <c r="U86" s="33" t="str">
        <f aca="false">IF($A86="","",IF(N86="Kurang","penyimpanan "&amp;F86&amp;" GB, di bawah batas minimal "&amp;Aturan!$C$39&amp;" GB ("&amp;J86&amp;")",IF(N86="Cukup","penyimpanan "&amp;F86&amp;" GB cukup, nyamannya "&amp;Aturan!$D$39&amp;" GB atau lebih ("&amp;J86&amp;")",IF(N86="Belum ada data","ukuran penyimpanan belum diisi",""))))</f>
        <v/>
      </c>
      <c r="V86" s="33" t="str">
        <f aca="false">IF($A86="","",IF(O86="Kurang","layar "&amp;Varian!$AG21&amp;", di bawah batas minimal ("&amp;IFERROR(INDEX(Aturan!$A$63:$A$66,MATCH(Aturan!$C$40,Aturan!$B$63:$B$66,0)),"peringkat "&amp;Aturan!$C$40)&amp;")",IF(O86="Cukup","layar "&amp;Varian!$AG21&amp;" cukup, nyamannya "&amp;IFERROR(INDEX(Aturan!$A$63:$A$66,MATCH(Aturan!$D$40,Aturan!$B$63:$B$66,0)),"peringkat "&amp;Aturan!$D$40),IF(O86="Belum ada data","jenis layar belum diketahui",""))))</f>
        <v>jenis layar belum diketahui</v>
      </c>
      <c r="W86" s="33" t="str">
        <f aca="false">IF($A86="","",IF(P86="Kurang","layar "&amp;H86&amp;" Hz, di bawah batas minimal "&amp;Aturan!$C$41&amp;" Hz",IF(P86="Cukup","layar "&amp;H86&amp;" Hz cukup, nyamannya "&amp;Aturan!$D$41&amp;" Hz atau lebih",IF(P86="Belum ada data","refresh rate belum diketahui",""))))</f>
        <v/>
      </c>
      <c r="X86" s="33" t="str">
        <f aca="false">IF($A86="","",IF(K86="Kurang",R86&amp;"; ","")&amp;IF(L86="Kurang",S86&amp;"; ","")&amp;IF(M86="Kurang",T86&amp;"; ","")&amp;IF(N86="Kurang",U86&amp;"; ","")&amp;IF(O86="Kurang",V86&amp;"; ","")&amp;IF(P86="Kurang",W86&amp;"; ","")&amp;IF(K86="Belum ada data",R86&amp;"; ","")&amp;IF(L86="Belum ada data",S86&amp;"; ","")&amp;IF(M86="Belum ada data",T86&amp;"; ","")&amp;IF(N86="Belum ada data",U86&amp;"; ","")&amp;IF(O86="Belum ada data",V86&amp;"; ","")&amp;IF(P86="Belum ada data",W86&amp;"; ","")&amp;IF(K86="Cukup",R86&amp;"; ","")&amp;IF(L86="Cukup",S86&amp;"; ","")&amp;IF(M86="Cukup",T86&amp;"; ","")&amp;IF(N86="Cukup",U86&amp;"; ","")&amp;IF(O86="Cukup",V86&amp;"; ","")&amp;IF(P86="Cukup",W86&amp;"; ",""))</f>
        <v>jenis layar belum diketahui; RAM 8 GB cukup, nyamannya 16 GB atau lebih (bisa dinaikkan lewat slot sampai 16 GB); </v>
      </c>
      <c r="Y86" s="33" t="str">
        <f aca="false">IF($A86="","",IF(K86="Nyaman","prosesor, ","")&amp;IF(L86="Nyaman","grafis, ","")&amp;IF(M86="Nyaman","RAM, ","")&amp;IF(N86="Nyaman","penyimpanan, ","")&amp;IF(O86="Nyaman","layar, ","")&amp;IF(P86="Nyaman","refresh rate, ",""))</f>
        <v>prosesor, grafis, penyimpanan, </v>
      </c>
      <c r="Z86" s="33" t="str">
        <f aca="false">IF($A86="","",IF(Q86="Tidak dinilai","Belum ada kriteria yang dinilai untuk kebutuhan ini.",IF(Q86="Cocok","Semua kriteria yang dinilai sudah nyaman: "&amp;LEFT(Y86,LEN(Y86)-2)&amp;".",UPPER(LEFT(X86,1))&amp;MID(X86,2,LEN(X86)-3)&amp;"."&amp;IF(Y86="",""," Sudah nyaman: "&amp;LEFT(Y86,LEN(Y86)-2)&amp;"."))))</f>
        <v>Jenis layar belum diketahui; RAM 8 GB cukup, nyamannya 16 GB atau lebih (bisa dinaikkan lewat slot sampai 16 GB). Sudah nyaman: prosesor, grafis, penyimpanan.</v>
      </c>
      <c r="AA86" s="33"/>
      <c r="AB86" s="33"/>
      <c r="AC86" s="69"/>
    </row>
    <row r="87" customFormat="false" ht="15" hidden="false" customHeight="true" outlineLevel="0" collapsed="false">
      <c r="A87" s="33" t="str">
        <f aca="false">IF(Varian!$A21="","",Varian!$A21)</f>
        <v>hp-laptop-14-ep1-core5-120u-8-512</v>
      </c>
      <c r="B87" s="33" t="str">
        <f aca="false">IF($A87="","",Aturan!$A$23)</f>
        <v>Pemrograman</v>
      </c>
      <c r="C87" s="69" t="n">
        <f aca="false">IF($A87="","",IFERROR(IF(ISNUMBER(INDEX(CPU!$J$4:$J$64,MATCH(Varian!$J21,CPU!$A$4:$A$64,0))),INDEX(CPU!$J$4:$J$64,MATCH(Varian!$J21,CPU!$A$4:$A$64,0)),""),""))</f>
        <v>3</v>
      </c>
      <c r="D87" s="69" t="n">
        <f aca="false">IF($A87="","",IFERROR(IF(ISNUMBER(INDEX(GPU!$G$4:$G$64,MATCH(Varian!$K21,GPU!$A$4:$A$64,0))),INDEX(GPU!$G$4:$G$64,MATCH(Varian!$K21,GPU!$A$4:$A$64,0)),""),""))</f>
        <v>2</v>
      </c>
      <c r="E87" s="69" t="n">
        <f aca="false">IF($A87="","",IF(ISNUMBER(Varian!$M21),Varian!$M21,""))</f>
        <v>8</v>
      </c>
      <c r="F87" s="69" t="n">
        <f aca="false">IF($A87="","",IF(ISNUMBER(Varian!$V21),Varian!$V21,""))</f>
        <v>512</v>
      </c>
      <c r="G87" s="69" t="str">
        <f aca="false">IF($A87="","",IFERROR(INDEX(Aturan!$B$63:$B$66,MATCH(Varian!$AG21,Aturan!$A$63:$A$66,0)),""))</f>
        <v/>
      </c>
      <c r="H87" s="69" t="str">
        <f aca="false">IF($A87="","",IF(ISNUMBER(Varian!$AI21),Varian!$AI21,""))</f>
        <v/>
      </c>
      <c r="I87" s="33" t="str">
        <f aca="false">IF($A87="","",IF(Varian!$Q21="disolder","menempel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7" s="33" t="str">
        <f aca="false">IF($A87="","",IF(Varian!$Z21="ya","bisa diganti dengan yang lebih besar",IF(Varian!$Z21="tidak","menempel, tidak bisa diganti","belum diketahui apakah bisa diganti")))</f>
        <v>bisa diganti dengan yang lebih besar</v>
      </c>
      <c r="K87" s="70" t="str">
        <f aca="false">IF($A87="","",IF(AND(Aturan!$C$42="",Aturan!$D$42=""),"Tidak dinilai",IF(C87="","Belum ada data",IF(C87&lt;IF(Aturan!$C$42="",0,Aturan!$C$42),"Kurang",IF(C87&gt;=IF(Aturan!$D$42="",Aturan!$C$42,Aturan!$D$42),"Nyaman","Cukup")))))</f>
        <v>Nyaman</v>
      </c>
      <c r="L87" s="70" t="str">
        <f aca="false">IF($A87="","",IF(AND(Aturan!$C$43="",Aturan!$D$43=""),"Tidak dinilai",IF(D87="","Belum ada data",IF(D87&lt;IF(Aturan!$C$43="",0,Aturan!$C$43),"Kurang",IF(D87&gt;=IF(Aturan!$D$43="",Aturan!$C$43,Aturan!$D$43),"Nyaman","Cukup")))))</f>
        <v>Tidak dinilai</v>
      </c>
      <c r="M87" s="70" t="str">
        <f aca="false">IF($A87="","",IF(AND(Aturan!$C$44="",Aturan!$D$44=""),"Tidak dinilai",IF(E87="","Belum ada data",IF(E87&lt;IF(Aturan!$C$44="",0,Aturan!$C$44),"Kurang",IF(E87&gt;=IF(Aturan!$D$44="",Aturan!$C$44,Aturan!$D$44),"Nyaman","Cukup")))))</f>
        <v>Cukup</v>
      </c>
      <c r="N87" s="70" t="str">
        <f aca="false">IF($A87="","",IF(AND(Aturan!$C$45="",Aturan!$D$45=""),"Tidak dinilai",IF(F87="","Belum ada data",IF(F87&lt;IF(Aturan!$C$45="",0,Aturan!$C$45),"Kurang",IF(F87&gt;=IF(Aturan!$D$45="",Aturan!$C$45,Aturan!$D$45),"Nyaman","Cukup")))))</f>
        <v>Nyaman</v>
      </c>
      <c r="O87" s="70" t="str">
        <f aca="false">IF($A87="","",IF(AND(Aturan!$C$46="",Aturan!$D$46=""),"Tidak dinilai",IF(G87="","Belum ada data",IF(G87&lt;IF(Aturan!$C$46="",0,Aturan!$C$46),"Kurang",IF(G87&gt;=IF(Aturan!$D$46="",Aturan!$C$46,Aturan!$D$46),"Nyaman","Cukup")))))</f>
        <v>Tidak dinilai</v>
      </c>
      <c r="P87" s="70" t="str">
        <f aca="false">IF($A87="","",IF(AND(Aturan!$C$47="",Aturan!$D$47=""),"Tidak dinilai",IF(H87="","Belum ada data",IF(H87&lt;IF(Aturan!$C$47="",0,Aturan!$C$47),"Kurang",IF(H87&gt;=IF(Aturan!$D$47="",Aturan!$C$47,Aturan!$D$47),"Nyaman","Cukup")))))</f>
        <v>Tidak dinilai</v>
      </c>
      <c r="Q87" s="70" t="str">
        <f aca="false">IF($A87="","",IF(COUNTIF(K87:P87,"Tidak dinilai")=6,"Tidak dinilai",IF(COUNTIF(K87:P87,"Kurang")&gt;0,"Kurang cocok",IF(COUNTIF(K87:P87,"Belum ada data")&gt;0,"Data belum lengkap",IF(COUNTIF(K87:P87,"Cukup")&gt;0,"Bisa, dengan catatan","Cocok")))))</f>
        <v>Bisa, dengan catatan</v>
      </c>
      <c r="R87" s="33" t="str">
        <f aca="false">IF($A87="","",IF(K87="Kurang","prosesor tingkat "&amp;C87&amp;" dari 5, di bawah batas minimal (tingkat "&amp;Aturan!$C$42&amp;")",IF(K87="Cukup","prosesor tingkat "&amp;C87&amp;" dari 5 cukup, nyamannya mulai tingkat "&amp;Aturan!$D$42,IF(K87="Belum ada data","tingkat prosesor belum diisi",""))))</f>
        <v/>
      </c>
      <c r="S87" s="33" t="str">
        <f aca="false">IF($A87="","",IF(L87="Kurang","grafis tingkat "&amp;D87&amp;" dari 5, di bawah batas minimal (tingkat "&amp;Aturan!$C$43&amp;")",IF(L87="Cukup","grafis tingkat "&amp;D87&amp;" dari 5 cukup, nyamannya mulai tingkat "&amp;Aturan!$D$43,IF(L87="Belum ada data","tingkat grafis belum diisi",""))))</f>
        <v/>
      </c>
      <c r="T87" s="33" t="str">
        <f aca="false">IF($A87="","",IF(M87="Kurang","RAM "&amp;E87&amp;" GB, di bawah batas minimal "&amp;Aturan!$C$44&amp;" GB ("&amp;I87&amp;")",IF(M87="Cukup","RAM "&amp;E87&amp;" GB cukup, nyamannya "&amp;Aturan!$D$44&amp;" GB atau lebih ("&amp;I87&amp;")",IF(M87="Belum ada data","ukuran RAM belum diisi",""))))</f>
        <v>RAM 8 GB cukup, nyamannya 16 GB atau lebih (bisa dinaikkan lewat slot sampai 16 GB)</v>
      </c>
      <c r="U87" s="33" t="str">
        <f aca="false">IF($A87="","",IF(N87="Kurang","penyimpanan "&amp;F87&amp;" GB, di bawah batas minimal "&amp;Aturan!$C$45&amp;" GB ("&amp;J87&amp;")",IF(N87="Cukup","penyimpanan "&amp;F87&amp;" GB cukup, nyamannya "&amp;Aturan!$D$45&amp;" GB atau lebih ("&amp;J87&amp;")",IF(N87="Belum ada data","ukuran penyimpanan belum diisi",""))))</f>
        <v/>
      </c>
      <c r="V87" s="33" t="str">
        <f aca="false">IF($A87="","",IF(O87="Kurang","layar "&amp;Varian!$AG21&amp;", di bawah batas minimal ("&amp;IFERROR(INDEX(Aturan!$A$63:$A$66,MATCH(Aturan!$C$46,Aturan!$B$63:$B$66,0)),"peringkat "&amp;Aturan!$C$46)&amp;")",IF(O87="Cukup","layar "&amp;Varian!$AG21&amp;" cukup, nyamannya "&amp;IFERROR(INDEX(Aturan!$A$63:$A$66,MATCH(Aturan!$D$46,Aturan!$B$63:$B$66,0)),"peringkat "&amp;Aturan!$D$46),IF(O87="Belum ada data","jenis layar belum diketahui",""))))</f>
        <v/>
      </c>
      <c r="W87" s="33" t="str">
        <f aca="false">IF($A87="","",IF(P87="Kurang","layar "&amp;H87&amp;" Hz, di bawah batas minimal "&amp;Aturan!$C$47&amp;" Hz",IF(P87="Cukup","layar "&amp;H87&amp;" Hz cukup, nyamannya "&amp;Aturan!$D$47&amp;" Hz atau lebih",IF(P87="Belum ada data","refresh rate belum diketahui",""))))</f>
        <v/>
      </c>
      <c r="X87" s="33" t="str">
        <f aca="false">IF($A87="","",IF(K87="Kurang",R87&amp;"; ","")&amp;IF(L87="Kurang",S87&amp;"; ","")&amp;IF(M87="Kurang",T87&amp;"; ","")&amp;IF(N87="Kurang",U87&amp;"; ","")&amp;IF(O87="Kurang",V87&amp;"; ","")&amp;IF(P87="Kurang",W87&amp;"; ","")&amp;IF(K87="Belum ada data",R87&amp;"; ","")&amp;IF(L87="Belum ada data",S87&amp;"; ","")&amp;IF(M87="Belum ada data",T87&amp;"; ","")&amp;IF(N87="Belum ada data",U87&amp;"; ","")&amp;IF(O87="Belum ada data",V87&amp;"; ","")&amp;IF(P87="Belum ada data",W87&amp;"; ","")&amp;IF(K87="Cukup",R87&amp;"; ","")&amp;IF(L87="Cukup",S87&amp;"; ","")&amp;IF(M87="Cukup",T87&amp;"; ","")&amp;IF(N87="Cukup",U87&amp;"; ","")&amp;IF(O87="Cukup",V87&amp;"; ","")&amp;IF(P87="Cukup",W87&amp;"; ",""))</f>
        <v>RAM 8 GB cukup, nyamannya 16 GB atau lebih (bisa dinaikkan lewat slot sampai 16 GB); </v>
      </c>
      <c r="Y87" s="33" t="str">
        <f aca="false">IF($A87="","",IF(K87="Nyaman","prosesor, ","")&amp;IF(L87="Nyaman","grafis, ","")&amp;IF(M87="Nyaman","RAM, ","")&amp;IF(N87="Nyaman","penyimpanan, ","")&amp;IF(O87="Nyaman","layar, ","")&amp;IF(P87="Nyaman","refresh rate, ",""))</f>
        <v>prosesor, penyimpanan, </v>
      </c>
      <c r="Z87" s="33" t="str">
        <f aca="false">IF($A87="","",IF(Q87="Tidak dinilai","Belum ada kriteria yang dinilai untuk kebutuhan ini.",IF(Q87="Cocok","Semua kriteria yang dinilai sudah nyaman: "&amp;LEFT(Y87,LEN(Y87)-2)&amp;".",UPPER(LEFT(X87,1))&amp;MID(X87,2,LEN(X87)-3)&amp;"."&amp;IF(Y87="",""," Sudah nyaman: "&amp;LEFT(Y87,LEN(Y87)-2)&amp;"."))))</f>
        <v>RAM 8 GB cukup, nyamannya 16 GB atau lebih (bisa dinaikkan lewat slot sampai 16 GB). Sudah nyaman: prosesor, penyimpanan.</v>
      </c>
      <c r="AA87" s="33"/>
      <c r="AB87" s="33"/>
      <c r="AC87" s="69"/>
    </row>
    <row r="88" customFormat="false" ht="15" hidden="false" customHeight="true" outlineLevel="0" collapsed="false">
      <c r="A88" s="33" t="str">
        <f aca="false">IF(Varian!$A21="","",Varian!$A21)</f>
        <v>hp-laptop-14-ep1-core5-120u-8-512</v>
      </c>
      <c r="B88" s="33" t="str">
        <f aca="false">IF($A88="","",Aturan!$A$24)</f>
        <v>Game ringan</v>
      </c>
      <c r="C88" s="69" t="n">
        <f aca="false">IF($A88="","",IFERROR(IF(ISNUMBER(INDEX(CPU!$J$4:$J$64,MATCH(Varian!$J21,CPU!$A$4:$A$64,0))),INDEX(CPU!$J$4:$J$64,MATCH(Varian!$J21,CPU!$A$4:$A$64,0)),""),""))</f>
        <v>3</v>
      </c>
      <c r="D88" s="69" t="n">
        <f aca="false">IF($A88="","",IFERROR(IF(ISNUMBER(INDEX(GPU!$G$4:$G$64,MATCH(Varian!$K21,GPU!$A$4:$A$64,0))),INDEX(GPU!$G$4:$G$64,MATCH(Varian!$K21,GPU!$A$4:$A$64,0)),""),""))</f>
        <v>2</v>
      </c>
      <c r="E88" s="69" t="n">
        <f aca="false">IF($A88="","",IF(ISNUMBER(Varian!$M21),Varian!$M21,""))</f>
        <v>8</v>
      </c>
      <c r="F88" s="69" t="n">
        <f aca="false">IF($A88="","",IF(ISNUMBER(Varian!$V21),Varian!$V21,""))</f>
        <v>512</v>
      </c>
      <c r="G88" s="69" t="str">
        <f aca="false">IF($A88="","",IFERROR(INDEX(Aturan!$B$63:$B$66,MATCH(Varian!$AG21,Aturan!$A$63:$A$66,0)),""))</f>
        <v/>
      </c>
      <c r="H88" s="69" t="str">
        <f aca="false">IF($A88="","",IF(ISNUMBER(Varian!$AI21),Varian!$AI21,""))</f>
        <v/>
      </c>
      <c r="I88" s="33" t="str">
        <f aca="false">IF($A88="","",IF(Varian!$Q21="disolder","menempel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8" s="33" t="str">
        <f aca="false">IF($A88="","",IF(Varian!$Z21="ya","bisa diganti dengan yang lebih besar",IF(Varian!$Z21="tidak","menempel, tidak bisa diganti","belum diketahui apakah bisa diganti")))</f>
        <v>bisa diganti dengan yang lebih besar</v>
      </c>
      <c r="K88" s="70" t="str">
        <f aca="false">IF($A88="","",IF(AND(Aturan!$C$48="",Aturan!$D$48=""),"Tidak dinilai",IF(C88="","Belum ada data",IF(C88&lt;IF(Aturan!$C$48="",0,Aturan!$C$48),"Kurang",IF(C88&gt;=IF(Aturan!$D$48="",Aturan!$C$48,Aturan!$D$48),"Nyaman","Cukup")))))</f>
        <v>Nyaman</v>
      </c>
      <c r="L88" s="70" t="str">
        <f aca="false">IF($A88="","",IF(AND(Aturan!$C$49="",Aturan!$D$49=""),"Tidak dinilai",IF(D88="","Belum ada data",IF(D88&lt;IF(Aturan!$C$49="",0,Aturan!$C$49),"Kurang",IF(D88&gt;=IF(Aturan!$D$49="",Aturan!$C$49,Aturan!$D$49),"Nyaman","Cukup")))))</f>
        <v>Nyaman</v>
      </c>
      <c r="M88" s="70" t="str">
        <f aca="false">IF($A88="","",IF(AND(Aturan!$C$50="",Aturan!$D$50=""),"Tidak dinilai",IF(E88="","Belum ada data",IF(E88&lt;IF(Aturan!$C$50="",0,Aturan!$C$50),"Kurang",IF(E88&gt;=IF(Aturan!$D$50="",Aturan!$C$50,Aturan!$D$50),"Nyaman","Cukup")))))</f>
        <v>Nyaman</v>
      </c>
      <c r="N88" s="70" t="str">
        <f aca="false">IF($A88="","",IF(AND(Aturan!$C$51="",Aturan!$D$51=""),"Tidak dinilai",IF(F88="","Belum ada data",IF(F88&lt;IF(Aturan!$C$51="",0,Aturan!$C$51),"Kurang",IF(F88&gt;=IF(Aturan!$D$51="",Aturan!$C$51,Aturan!$D$51),"Nyaman","Cukup")))))</f>
        <v>Nyaman</v>
      </c>
      <c r="O88" s="70" t="str">
        <f aca="false">IF($A88="","",IF(AND(Aturan!$C$52="",Aturan!$D$52=""),"Tidak dinilai",IF(G88="","Belum ada data",IF(G88&lt;IF(Aturan!$C$52="",0,Aturan!$C$52),"Kurang",IF(G88&gt;=IF(Aturan!$D$52="",Aturan!$C$52,Aturan!$D$52),"Nyaman","Cukup")))))</f>
        <v>Tidak dinilai</v>
      </c>
      <c r="P88" s="70" t="str">
        <f aca="false">IF($A88="","",IF(AND(Aturan!$C$53="",Aturan!$D$53=""),"Tidak dinilai",IF(H88="","Belum ada data",IF(H88&lt;IF(Aturan!$C$53="",0,Aturan!$C$53),"Kurang",IF(H88&gt;=IF(Aturan!$D$53="",Aturan!$C$53,Aturan!$D$53),"Nyaman","Cukup")))))</f>
        <v>Tidak dinilai</v>
      </c>
      <c r="Q88" s="70" t="str">
        <f aca="false">IF($A88="","",IF(COUNTIF(K88:P88,"Tidak dinilai")=6,"Tidak dinilai",IF(COUNTIF(K88:P88,"Kurang")&gt;0,"Kurang cocok",IF(COUNTIF(K88:P88,"Belum ada data")&gt;0,"Data belum lengkap",IF(COUNTIF(K88:P88,"Cukup")&gt;0,"Bisa, dengan catatan","Cocok")))))</f>
        <v>Cocok</v>
      </c>
      <c r="R88" s="33" t="str">
        <f aca="false">IF($A88="","",IF(K88="Kurang","prosesor tingkat "&amp;C88&amp;" dari 5, di bawah batas minimal (tingkat "&amp;Aturan!$C$48&amp;")",IF(K88="Cukup","prosesor tingkat "&amp;C88&amp;" dari 5 cukup, nyamannya mulai tingkat "&amp;Aturan!$D$48,IF(K88="Belum ada data","tingkat prosesor belum diisi",""))))</f>
        <v/>
      </c>
      <c r="S88" s="33" t="str">
        <f aca="false">IF($A88="","",IF(L88="Kurang","grafis tingkat "&amp;D88&amp;" dari 5, di bawah batas minimal (tingkat "&amp;Aturan!$C$49&amp;")",IF(L88="Cukup","grafis tingkat "&amp;D88&amp;" dari 5 cukup, nyamannya mulai tingkat "&amp;Aturan!$D$49,IF(L88="Belum ada data","tingkat grafis belum diisi",""))))</f>
        <v/>
      </c>
      <c r="T88" s="33" t="str">
        <f aca="false">IF($A88="","",IF(M88="Kurang","RAM "&amp;E88&amp;" GB, di bawah batas minimal "&amp;Aturan!$C$50&amp;" GB ("&amp;I88&amp;")",IF(M88="Cukup","RAM "&amp;E88&amp;" GB cukup, nyamannya "&amp;Aturan!$D$50&amp;" GB atau lebih ("&amp;I88&amp;")",IF(M88="Belum ada data","ukuran RAM belum diisi",""))))</f>
        <v/>
      </c>
      <c r="U88" s="33" t="str">
        <f aca="false">IF($A88="","",IF(N88="Kurang","penyimpanan "&amp;F88&amp;" GB, di bawah batas minimal "&amp;Aturan!$C$51&amp;" GB ("&amp;J88&amp;")",IF(N88="Cukup","penyimpanan "&amp;F88&amp;" GB cukup, nyamannya "&amp;Aturan!$D$51&amp;" GB atau lebih ("&amp;J88&amp;")",IF(N88="Belum ada data","ukuran penyimpanan belum diisi",""))))</f>
        <v/>
      </c>
      <c r="V88" s="33" t="str">
        <f aca="false">IF($A88="","",IF(O88="Kurang","layar "&amp;Varian!$AG21&amp;", di bawah batas minimal ("&amp;IFERROR(INDEX(Aturan!$A$63:$A$66,MATCH(Aturan!$C$52,Aturan!$B$63:$B$66,0)),"peringkat "&amp;Aturan!$C$52)&amp;")",IF(O88="Cukup","layar "&amp;Varian!$AG21&amp;" cukup, nyamannya "&amp;IFERROR(INDEX(Aturan!$A$63:$A$66,MATCH(Aturan!$D$52,Aturan!$B$63:$B$66,0)),"peringkat "&amp;Aturan!$D$52),IF(O88="Belum ada data","jenis layar belum diketahui",""))))</f>
        <v/>
      </c>
      <c r="W88" s="33" t="str">
        <f aca="false">IF($A88="","",IF(P88="Kurang","layar "&amp;H88&amp;" Hz, di bawah batas minimal "&amp;Aturan!$C$53&amp;" Hz",IF(P88="Cukup","layar "&amp;H88&amp;" Hz cukup, nyamannya "&amp;Aturan!$D$53&amp;" Hz atau lebih",IF(P88="Belum ada data","refresh rate belum diketahui",""))))</f>
        <v/>
      </c>
      <c r="X88" s="33" t="str">
        <f aca="false">IF($A88="","",IF(K88="Kurang",R88&amp;"; ","")&amp;IF(L88="Kurang",S88&amp;"; ","")&amp;IF(M88="Kurang",T88&amp;"; ","")&amp;IF(N88="Kurang",U88&amp;"; ","")&amp;IF(O88="Kurang",V88&amp;"; ","")&amp;IF(P88="Kurang",W88&amp;"; ","")&amp;IF(K88="Belum ada data",R88&amp;"; ","")&amp;IF(L88="Belum ada data",S88&amp;"; ","")&amp;IF(M88="Belum ada data",T88&amp;"; ","")&amp;IF(N88="Belum ada data",U88&amp;"; ","")&amp;IF(O88="Belum ada data",V88&amp;"; ","")&amp;IF(P88="Belum ada data",W88&amp;"; ","")&amp;IF(K88="Cukup",R88&amp;"; ","")&amp;IF(L88="Cukup",S88&amp;"; ","")&amp;IF(M88="Cukup",T88&amp;"; ","")&amp;IF(N88="Cukup",U88&amp;"; ","")&amp;IF(O88="Cukup",V88&amp;"; ","")&amp;IF(P88="Cukup",W88&amp;"; ",""))</f>
        <v/>
      </c>
      <c r="Y88" s="33" t="str">
        <f aca="false">IF($A88="","",IF(K88="Nyaman","prosesor, ","")&amp;IF(L88="Nyaman","grafis, ","")&amp;IF(M88="Nyaman","RAM, ","")&amp;IF(N88="Nyaman","penyimpanan, ","")&amp;IF(O88="Nyaman","layar, ","")&amp;IF(P88="Nyaman","refresh rate, ",""))</f>
        <v>prosesor, grafis, RAM, penyimpanan, </v>
      </c>
      <c r="Z88" s="33" t="str">
        <f aca="false">IF($A88="","",IF(Q88="Tidak dinilai","Belum ada kriteria yang dinilai untuk kebutuhan ini.",IF(Q88="Cocok","Semua kriteria yang dinilai sudah nyaman: "&amp;LEFT(Y88,LEN(Y88)-2)&amp;".",UPPER(LEFT(X88,1))&amp;MID(X88,2,LEN(X88)-3)&amp;"."&amp;IF(Y88="",""," Sudah nyaman: "&amp;LEFT(Y88,LEN(Y88)-2)&amp;"."))))</f>
        <v>Semua kriteria yang dinilai sudah nyaman: prosesor, grafis, RAM, penyimpanan.</v>
      </c>
      <c r="AA88" s="33"/>
      <c r="AB88" s="33"/>
      <c r="AC88" s="69"/>
    </row>
    <row r="89" customFormat="false" ht="15" hidden="false" customHeight="true" outlineLevel="0" collapsed="false">
      <c r="A89" s="33" t="str">
        <f aca="false">IF(Varian!$A21="","",Varian!$A21)</f>
        <v>hp-laptop-14-ep1-core5-120u-8-512</v>
      </c>
      <c r="B89" s="33" t="str">
        <f aca="false">IF($A89="","",Aturan!$A$25)</f>
        <v>Game berat</v>
      </c>
      <c r="C89" s="69" t="n">
        <f aca="false">IF($A89="","",IFERROR(IF(ISNUMBER(INDEX(CPU!$J$4:$J$64,MATCH(Varian!$J21,CPU!$A$4:$A$64,0))),INDEX(CPU!$J$4:$J$64,MATCH(Varian!$J21,CPU!$A$4:$A$64,0)),""),""))</f>
        <v>3</v>
      </c>
      <c r="D89" s="69" t="n">
        <f aca="false">IF($A89="","",IFERROR(IF(ISNUMBER(INDEX(GPU!$G$4:$G$64,MATCH(Varian!$K21,GPU!$A$4:$A$64,0))),INDEX(GPU!$G$4:$G$64,MATCH(Varian!$K21,GPU!$A$4:$A$64,0)),""),""))</f>
        <v>2</v>
      </c>
      <c r="E89" s="69" t="n">
        <f aca="false">IF($A89="","",IF(ISNUMBER(Varian!$M21),Varian!$M21,""))</f>
        <v>8</v>
      </c>
      <c r="F89" s="69" t="n">
        <f aca="false">IF($A89="","",IF(ISNUMBER(Varian!$V21),Varian!$V21,""))</f>
        <v>512</v>
      </c>
      <c r="G89" s="69" t="str">
        <f aca="false">IF($A89="","",IFERROR(INDEX(Aturan!$B$63:$B$66,MATCH(Varian!$AG21,Aturan!$A$63:$A$66,0)),""))</f>
        <v/>
      </c>
      <c r="H89" s="69" t="str">
        <f aca="false">IF($A89="","",IF(ISNUMBER(Varian!$AI21),Varian!$AI21,""))</f>
        <v/>
      </c>
      <c r="I89" s="33" t="str">
        <f aca="false">IF($A89="","",IF(Varian!$Q21="disolder","menempel di papan utama, tidak bisa ditambah",IF(OR(Varian!$Q21="slot",Varian!$Q21="setengah_disolder"),IF(Varian!$Q21="setengah_disolder","sebagian menempel, ","")&amp;IF(ISNUMBER(Varian!$U21),IF(AND(ISNUMBER(Varian!$M21),Varian!$U21&gt;Varian!$M21),"bisa dinaikkan lewat slot sampai "&amp;Varian!$U21&amp;" GB","sudah di batas maksimal "&amp;Varian!$U21&amp;" GB"),"ada slot, batas maksimalnya belum diketahui"),"belum diketahui apakah bisa ditambah")))</f>
        <v>bisa dinaikkan lewat slot sampai 16 GB</v>
      </c>
      <c r="J89" s="33" t="str">
        <f aca="false">IF($A89="","",IF(Varian!$Z21="ya","bisa diganti dengan yang lebih besar",IF(Varian!$Z21="tidak","menempel, tidak bisa diganti","belum diketahui apakah bisa diganti")))</f>
        <v>bisa diganti dengan yang lebih besar</v>
      </c>
      <c r="K89" s="70" t="str">
        <f aca="false">IF($A89="","",IF(AND(Aturan!$C$54="",Aturan!$D$54=""),"Tidak dinilai",IF(C89="","Belum ada data",IF(C89&lt;IF(Aturan!$C$54="",0,Aturan!$C$54),"Kurang",IF(C89&gt;=IF(Aturan!$D$54="",Aturan!$C$54,Aturan!$D$54),"Nyaman","Cukup")))))</f>
        <v>Cukup</v>
      </c>
      <c r="L89" s="70" t="str">
        <f aca="false">IF($A89="","",IF(AND(Aturan!$C$55="",Aturan!$D$55=""),"Tidak dinilai",IF(D89="","Belum ada data",IF(D89&lt;IF(Aturan!$C$55="",0,Aturan!$C$55),"Kurang",IF(D89&gt;=IF(Aturan!$D$55="",Aturan!$C$55,Aturan!$D$55),"Nyaman","Cukup")))))</f>
        <v>Kurang</v>
      </c>
      <c r="M89" s="70" t="str">
        <f aca="false">IF($A89="","",IF(AND(Aturan!$C$56="",Aturan!$D$56=""),"Tidak dinilai",IF(E89="","Belum ada data",IF(E89&lt;IF(Aturan!$C$56="",0,Aturan!$C$56),"Kurang",IF(E89&gt;=IF(Aturan!$D$56="",Aturan!$C$56,Aturan!$D$56),"Nyaman","Cukup")))))</f>
        <v>Cukup</v>
      </c>
      <c r="N89" s="70" t="str">
        <f aca="false">IF($A89="","",IF(AND(Aturan!$C$57="",Aturan!$D$57=""),"Tidak dinilai",IF(F89="","Belum ada data",IF(F89&lt;IF(Aturan!$C$57="",0,Aturan!$C$57),"Kurang",IF(F89&gt;=IF(Aturan!$D$57="",Aturan!$C$57,Aturan!$D$57),"Nyaman","Cukup")))))</f>
        <v>Cukup</v>
      </c>
      <c r="O89" s="70" t="str">
        <f aca="false">IF($A89="","",IF(AND(Aturan!$C$58="",Aturan!$D$58=""),"Tidak dinilai",IF(G89="","Belum ada data",IF(G89&lt;IF(Aturan!$C$58="",0,Aturan!$C$58),"Kurang",IF(G89&gt;=IF(Aturan!$D$58="",Aturan!$C$58,Aturan!$D$58),"Nyaman","Cukup")))))</f>
        <v>Tidak dinilai</v>
      </c>
      <c r="P89" s="70" t="str">
        <f aca="false">IF($A89="","",IF(AND(Aturan!$C$59="",Aturan!$D$59=""),"Tidak dinilai",IF(H89="","Belum ada data",IF(H89&lt;IF(Aturan!$C$59="",0,Aturan!$C$59),"Kurang",IF(H89&gt;=IF(Aturan!$D$59="",Aturan!$C$59,Aturan!$D$59),"Nyaman","Cukup")))))</f>
        <v>Belum ada data</v>
      </c>
      <c r="Q89" s="70" t="str">
        <f aca="false">IF($A89="","",IF(COUNTIF(K89:P89,"Tidak dinilai")=6,"Tidak dinilai",IF(COUNTIF(K89:P89,"Kurang")&gt;0,"Kurang cocok",IF(COUNTIF(K89:P89,"Belum ada data")&gt;0,"Data belum lengkap",IF(COUNTIF(K89:P89,"Cukup")&gt;0,"Bisa, dengan catatan","Cocok")))))</f>
        <v>Kurang cocok</v>
      </c>
      <c r="R89" s="33" t="str">
        <f aca="false">IF($A89="","",IF(K89="Kurang","prosesor tingkat "&amp;C89&amp;" dari 5, di bawah batas minimal (tingkat "&amp;Aturan!$C$54&amp;")",IF(K89="Cukup","prosesor tingkat "&amp;C89&amp;" dari 5 cukup, nyamannya mulai tingkat "&amp;Aturan!$D$54,IF(K89="Belum ada data","tingkat prosesor belum diisi",""))))</f>
        <v>prosesor tingkat 3 dari 5 cukup, nyamannya mulai tingkat 4</v>
      </c>
      <c r="S89" s="33" t="str">
        <f aca="false">IF($A89="","",IF(L89="Kurang","grafis tingkat "&amp;D89&amp;" dari 5, di bawah batas minimal (tingkat "&amp;Aturan!$C$55&amp;")",IF(L89="Cukup","grafis tingkat "&amp;D89&amp;" dari 5 cukup, nyamannya mulai tingkat "&amp;Aturan!$D$55,IF(L89="Belum ada data","tingkat grafis belum diisi",""))))</f>
        <v>grafis tingkat 2 dari 5, di bawah batas minimal (tingkat 3)</v>
      </c>
      <c r="T89" s="33" t="str">
        <f aca="false">IF($A89="","",IF(M89="Kurang","RAM "&amp;E89&amp;" GB, di bawah batas minimal "&amp;Aturan!$C$56&amp;" GB ("&amp;I89&amp;")",IF(M89="Cukup","RAM "&amp;E89&amp;" GB cukup, nyamannya "&amp;Aturan!$D$56&amp;" GB atau lebih ("&amp;I89&amp;")",IF(M89="Belum ada data","ukuran RAM belum diisi",""))))</f>
        <v>RAM 8 GB cukup, nyamannya 16 GB atau lebih (bisa dinaikkan lewat slot sampai 16 GB)</v>
      </c>
      <c r="U89" s="33" t="str">
        <f aca="false">IF($A89="","",IF(N89="Kurang","penyimpanan "&amp;F89&amp;" GB, di bawah batas minimal "&amp;Aturan!$C$57&amp;" GB ("&amp;J89&amp;")",IF(N89="Cukup","penyimpanan "&amp;F89&amp;" GB cukup, nyamannya "&amp;Aturan!$D$57&amp;" GB atau lebih ("&amp;J89&amp;")",IF(N89="Belum ada data","ukuran penyimpanan belum diisi",""))))</f>
        <v>penyimpanan 512 GB cukup, nyamannya 1000 GB atau lebih (bisa diganti dengan yang lebih besar)</v>
      </c>
      <c r="V89" s="33" t="str">
        <f aca="false">IF($A89="","",IF(O89="Kurang","layar "&amp;Varian!$AG21&amp;", di bawah batas minimal ("&amp;IFERROR(INDEX(Aturan!$A$63:$A$66,MATCH(Aturan!$C$58,Aturan!$B$63:$B$66,0)),"peringkat "&amp;Aturan!$C$58)&amp;")",IF(O89="Cukup","layar "&amp;Varian!$AG21&amp;" cukup, nyamannya "&amp;IFERROR(INDEX(Aturan!$A$63:$A$66,MATCH(Aturan!$D$58,Aturan!$B$63:$B$66,0)),"peringkat "&amp;Aturan!$D$58),IF(O89="Belum ada data","jenis layar belum diketahui",""))))</f>
        <v/>
      </c>
      <c r="W89" s="33" t="str">
        <f aca="false">IF($A89="","",IF(P89="Kurang","layar "&amp;H89&amp;" Hz, di bawah batas minimal "&amp;Aturan!$C$59&amp;" Hz",IF(P89="Cukup","layar "&amp;H89&amp;" Hz cukup, nyamannya "&amp;Aturan!$D$59&amp;" Hz atau lebih",IF(P89="Belum ada data","refresh rate belum diketahui",""))))</f>
        <v>refresh rate belum diketahui</v>
      </c>
      <c r="X89" s="33" t="str">
        <f aca="false">IF($A89="","",IF(K89="Kurang",R89&amp;"; ","")&amp;IF(L89="Kurang",S89&amp;"; ","")&amp;IF(M89="Kurang",T89&amp;"; ","")&amp;IF(N89="Kurang",U89&amp;"; ","")&amp;IF(O89="Kurang",V89&amp;"; ","")&amp;IF(P89="Kurang",W89&amp;"; ","")&amp;IF(K89="Belum ada data",R89&amp;"; ","")&amp;IF(L89="Belum ada data",S89&amp;"; ","")&amp;IF(M89="Belum ada data",T89&amp;"; ","")&amp;IF(N89="Belum ada data",U89&amp;"; ","")&amp;IF(O89="Belum ada data",V89&amp;"; ","")&amp;IF(P89="Belum ada data",W89&amp;"; ","")&amp;IF(K89="Cukup",R89&amp;"; ","")&amp;IF(L89="Cukup",S89&amp;"; ","")&amp;IF(M89="Cukup",T89&amp;"; ","")&amp;IF(N89="Cukup",U89&amp;"; ","")&amp;IF(O89="Cukup",V89&amp;"; ","")&amp;IF(P89="Cukup",W89&amp;"; ",""))</f>
        <v>grafis tingkat 2 dari 5, di bawah batas minimal (tingkat 3); refresh rate belum diketahui; prosesor tingkat 3 dari 5 cukup, nyamannya mulai tingkat 4; RAM 8 GB cukup, nyamannya 16 GB atau lebih (bisa dinaikkan lewat slot sampai 16 GB); penyimpanan 512 GB cukup, nyamannya 1000 GB atau lebih (bisa diganti dengan yang lebih besar); </v>
      </c>
      <c r="Y89" s="33" t="str">
        <f aca="false">IF($A89="","",IF(K89="Nyaman","prosesor, ","")&amp;IF(L89="Nyaman","grafis, ","")&amp;IF(M89="Nyaman","RAM, ","")&amp;IF(N89="Nyaman","penyimpanan, ","")&amp;IF(O89="Nyaman","layar, ","")&amp;IF(P89="Nyaman","refresh rate, ",""))</f>
        <v/>
      </c>
      <c r="Z89" s="33" t="str">
        <f aca="false">IF($A89="","",IF(Q89="Tidak dinilai","Belum ada kriteria yang dinilai untuk kebutuhan ini.",IF(Q89="Cocok","Semua kriteria yang dinilai sudah nyaman: "&amp;LEFT(Y89,LEN(Y89)-2)&amp;".",UPPER(LEFT(X89,1))&amp;MID(X89,2,LEN(X89)-3)&amp;"."&amp;IF(Y89="",""," Sudah nyaman: "&amp;LEFT(Y89,LEN(Y89)-2)&amp;"."))))</f>
        <v>Grafis tingkat 2 dari 5, di bawah batas minimal (tingkat 3); refresh rate belum diketahui; prosesor tingkat 3 dari 5 cukup, nyamannya mulai tingkat 4; RAM 8 GB cukup, nyamannya 16 GB atau lebih (bisa dinaikkan lewat slot sampai 16 GB); penyimpanan 512 GB cukup, nyamannya 1000 GB atau lebih (bisa diganti dengan yang lebih besar).</v>
      </c>
      <c r="AA89" s="33"/>
      <c r="AB89" s="33"/>
      <c r="AC89" s="69"/>
    </row>
    <row r="90" customFormat="false" ht="15" hidden="false" customHeight="true" outlineLevel="0" collapsed="false">
      <c r="A90" s="66" t="str">
        <f aca="false">IF(Varian!$A22="","",Varian!$A22)</f>
        <v>hp-laptop-14-ep1-core5-120u-16-512</v>
      </c>
      <c r="B90" s="66" t="str">
        <f aca="false">IF($A90="","",Aturan!$A$21)</f>
        <v>Kuliah dan kantor</v>
      </c>
      <c r="C90" s="67" t="n">
        <f aca="false">IF($A90="","",IFERROR(IF(ISNUMBER(INDEX(CPU!$J$4:$J$64,MATCH(Varian!$J22,CPU!$A$4:$A$64,0))),INDEX(CPU!$J$4:$J$64,MATCH(Varian!$J22,CPU!$A$4:$A$64,0)),""),""))</f>
        <v>3</v>
      </c>
      <c r="D90" s="67" t="n">
        <f aca="false">IF($A90="","",IFERROR(IF(ISNUMBER(INDEX(GPU!$G$4:$G$64,MATCH(Varian!$K22,GPU!$A$4:$A$64,0))),INDEX(GPU!$G$4:$G$64,MATCH(Varian!$K22,GPU!$A$4:$A$64,0)),""),""))</f>
        <v>2</v>
      </c>
      <c r="E90" s="67" t="n">
        <f aca="false">IF($A90="","",IF(ISNUMBER(Varian!$M22),Varian!$M22,""))</f>
        <v>16</v>
      </c>
      <c r="F90" s="67" t="n">
        <f aca="false">IF($A90="","",IF(ISNUMBER(Varian!$V22),Varian!$V22,""))</f>
        <v>512</v>
      </c>
      <c r="G90" s="67" t="str">
        <f aca="false">IF($A90="","",IFERROR(INDEX(Aturan!$B$63:$B$66,MATCH(Varian!$AG22,Aturan!$A$63:$A$66,0)),""))</f>
        <v/>
      </c>
      <c r="H90" s="67" t="str">
        <f aca="false">IF($A90="","",IF(ISNUMBER(Varian!$AI22),Varian!$AI22,""))</f>
        <v/>
      </c>
      <c r="I90" s="66" t="str">
        <f aca="false">IF($A90="","",IF(Varian!$Q22="disolder","menempel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0" s="66" t="str">
        <f aca="false">IF($A90="","",IF(Varian!$Z22="ya","bisa diganti dengan yang lebih besar",IF(Varian!$Z22="tidak","menempel, tidak bisa diganti","belum diketahui apakah bisa diganti")))</f>
        <v>bisa diganti dengan yang lebih besar</v>
      </c>
      <c r="K90" s="68" t="str">
        <f aca="false">IF($A90="","",IF(AND(Aturan!$C$30="",Aturan!$D$30=""),"Tidak dinilai",IF(C90="","Belum ada data",IF(C90&lt;IF(Aturan!$C$30="",0,Aturan!$C$30),"Kurang",IF(C90&gt;=IF(Aturan!$D$30="",Aturan!$C$30,Aturan!$D$30),"Nyaman","Cukup")))))</f>
        <v>Nyaman</v>
      </c>
      <c r="L90" s="68" t="str">
        <f aca="false">IF($A90="","",IF(AND(Aturan!$C$31="",Aturan!$D$31=""),"Tidak dinilai",IF(D90="","Belum ada data",IF(D90&lt;IF(Aturan!$C$31="",0,Aturan!$C$31),"Kurang",IF(D90&gt;=IF(Aturan!$D$31="",Aturan!$C$31,Aturan!$D$31),"Nyaman","Cukup")))))</f>
        <v>Tidak dinilai</v>
      </c>
      <c r="M90" s="68" t="str">
        <f aca="false">IF($A90="","",IF(AND(Aturan!$C$32="",Aturan!$D$32=""),"Tidak dinilai",IF(E90="","Belum ada data",IF(E90&lt;IF(Aturan!$C$32="",0,Aturan!$C$32),"Kurang",IF(E90&gt;=IF(Aturan!$D$32="",Aturan!$C$32,Aturan!$D$32),"Nyaman","Cukup")))))</f>
        <v>Nyaman</v>
      </c>
      <c r="N90" s="68" t="str">
        <f aca="false">IF($A90="","",IF(AND(Aturan!$C$33="",Aturan!$D$33=""),"Tidak dinilai",IF(F90="","Belum ada data",IF(F90&lt;IF(Aturan!$C$33="",0,Aturan!$C$33),"Kurang",IF(F90&gt;=IF(Aturan!$D$33="",Aturan!$C$33,Aturan!$D$33),"Nyaman","Cukup")))))</f>
        <v>Nyaman</v>
      </c>
      <c r="O90" s="68" t="str">
        <f aca="false">IF($A90="","",IF(AND(Aturan!$C$34="",Aturan!$D$34=""),"Tidak dinilai",IF(G90="","Belum ada data",IF(G90&lt;IF(Aturan!$C$34="",0,Aturan!$C$34),"Kurang",IF(G90&gt;=IF(Aturan!$D$34="",Aturan!$C$34,Aturan!$D$34),"Nyaman","Cukup")))))</f>
        <v>Tidak dinilai</v>
      </c>
      <c r="P90" s="68" t="str">
        <f aca="false">IF($A90="","",IF(AND(Aturan!$C$35="",Aturan!$D$35=""),"Tidak dinilai",IF(H90="","Belum ada data",IF(H90&lt;IF(Aturan!$C$35="",0,Aturan!$C$35),"Kurang",IF(H90&gt;=IF(Aturan!$D$35="",Aturan!$C$35,Aturan!$D$35),"Nyaman","Cukup")))))</f>
        <v>Tidak dinilai</v>
      </c>
      <c r="Q90" s="68" t="str">
        <f aca="false">IF($A90="","",IF(COUNTIF(K90:P90,"Tidak dinilai")=6,"Tidak dinilai",IF(COUNTIF(K90:P90,"Kurang")&gt;0,"Kurang cocok",IF(COUNTIF(K90:P90,"Belum ada data")&gt;0,"Data belum lengkap",IF(COUNTIF(K90:P90,"Cukup")&gt;0,"Bisa, dengan catatan","Cocok")))))</f>
        <v>Cocok</v>
      </c>
      <c r="R90" s="66" t="str">
        <f aca="false">IF($A90="","",IF(K90="Kurang","prosesor tingkat "&amp;C90&amp;" dari 5, di bawah batas minimal (tingkat "&amp;Aturan!$C$30&amp;")",IF(K90="Cukup","prosesor tingkat "&amp;C90&amp;" dari 5 cukup, nyamannya mulai tingkat "&amp;Aturan!$D$30,IF(K90="Belum ada data","tingkat prosesor belum diisi",""))))</f>
        <v/>
      </c>
      <c r="S90" s="66" t="str">
        <f aca="false">IF($A90="","",IF(L90="Kurang","grafis tingkat "&amp;D90&amp;" dari 5, di bawah batas minimal (tingkat "&amp;Aturan!$C$31&amp;")",IF(L90="Cukup","grafis tingkat "&amp;D90&amp;" dari 5 cukup, nyamannya mulai tingkat "&amp;Aturan!$D$31,IF(L90="Belum ada data","tingkat grafis belum diisi",""))))</f>
        <v/>
      </c>
      <c r="T90" s="66" t="str">
        <f aca="false">IF($A90="","",IF(M90="Kurang","RAM "&amp;E90&amp;" GB, di bawah batas minimal "&amp;Aturan!$C$32&amp;" GB ("&amp;I90&amp;")",IF(M90="Cukup","RAM "&amp;E90&amp;" GB cukup, nyamannya "&amp;Aturan!$D$32&amp;" GB atau lebih ("&amp;I90&amp;")",IF(M90="Belum ada data","ukuran RAM belum diisi",""))))</f>
        <v/>
      </c>
      <c r="U90" s="66" t="str">
        <f aca="false">IF($A90="","",IF(N90="Kurang","penyimpanan "&amp;F90&amp;" GB, di bawah batas minimal "&amp;Aturan!$C$33&amp;" GB ("&amp;J90&amp;")",IF(N90="Cukup","penyimpanan "&amp;F90&amp;" GB cukup, nyamannya "&amp;Aturan!$D$33&amp;" GB atau lebih ("&amp;J90&amp;")",IF(N90="Belum ada data","ukuran penyimpanan belum diisi",""))))</f>
        <v/>
      </c>
      <c r="V90" s="66" t="str">
        <f aca="false">IF($A90="","",IF(O90="Kurang","layar "&amp;Varian!$AG22&amp;", di bawah batas minimal ("&amp;IFERROR(INDEX(Aturan!$A$63:$A$66,MATCH(Aturan!$C$34,Aturan!$B$63:$B$66,0)),"peringkat "&amp;Aturan!$C$34)&amp;")",IF(O90="Cukup","layar "&amp;Varian!$AG22&amp;" cukup, nyamannya "&amp;IFERROR(INDEX(Aturan!$A$63:$A$66,MATCH(Aturan!$D$34,Aturan!$B$63:$B$66,0)),"peringkat "&amp;Aturan!$D$34),IF(O90="Belum ada data","jenis layar belum diketahui",""))))</f>
        <v/>
      </c>
      <c r="W90" s="66" t="str">
        <f aca="false">IF($A90="","",IF(P90="Kurang","layar "&amp;H90&amp;" Hz, di bawah batas minimal "&amp;Aturan!$C$35&amp;" Hz",IF(P90="Cukup","layar "&amp;H90&amp;" Hz cukup, nyamannya "&amp;Aturan!$D$35&amp;" Hz atau lebih",IF(P90="Belum ada data","refresh rate belum diketahui",""))))</f>
        <v/>
      </c>
      <c r="X90" s="66" t="str">
        <f aca="false">IF($A90="","",IF(K90="Kurang",R90&amp;"; ","")&amp;IF(L90="Kurang",S90&amp;"; ","")&amp;IF(M90="Kurang",T90&amp;"; ","")&amp;IF(N90="Kurang",U90&amp;"; ","")&amp;IF(O90="Kurang",V90&amp;"; ","")&amp;IF(P90="Kurang",W90&amp;"; ","")&amp;IF(K90="Belum ada data",R90&amp;"; ","")&amp;IF(L90="Belum ada data",S90&amp;"; ","")&amp;IF(M90="Belum ada data",T90&amp;"; ","")&amp;IF(N90="Belum ada data",U90&amp;"; ","")&amp;IF(O90="Belum ada data",V90&amp;"; ","")&amp;IF(P90="Belum ada data",W90&amp;"; ","")&amp;IF(K90="Cukup",R90&amp;"; ","")&amp;IF(L90="Cukup",S90&amp;"; ","")&amp;IF(M90="Cukup",T90&amp;"; ","")&amp;IF(N90="Cukup",U90&amp;"; ","")&amp;IF(O90="Cukup",V90&amp;"; ","")&amp;IF(P90="Cukup",W90&amp;"; ",""))</f>
        <v/>
      </c>
      <c r="Y90" s="66" t="str">
        <f aca="false">IF($A90="","",IF(K90="Nyaman","prosesor, ","")&amp;IF(L90="Nyaman","grafis, ","")&amp;IF(M90="Nyaman","RAM, ","")&amp;IF(N90="Nyaman","penyimpanan, ","")&amp;IF(O90="Nyaman","layar, ","")&amp;IF(P90="Nyaman","refresh rate, ",""))</f>
        <v>prosesor, RAM, penyimpanan, </v>
      </c>
      <c r="Z90" s="66" t="str">
        <f aca="false">IF($A90="","",IF(Q90="Tidak dinilai","Belum ada kriteria yang dinilai untuk kebutuhan ini.",IF(Q90="Cocok","Semua kriteria yang dinilai sudah nyaman: "&amp;LEFT(Y90,LEN(Y90)-2)&amp;".",UPPER(LEFT(X90,1))&amp;MID(X90,2,LEN(X90)-3)&amp;"."&amp;IF(Y90="",""," Sudah nyaman: "&amp;LEFT(Y90,LEN(Y90)-2)&amp;"."))))</f>
        <v>Semua kriteria yang dinilai sudah nyaman: prosesor, RAM, penyimpanan.</v>
      </c>
      <c r="AA90" s="71" t="str">
        <f aca="false">IF($A90="","",IF(Varian!$AR22="Windows 10","• "&amp;Aturan!$E$71&amp;CHAR(10),"")&amp;IF(Varian!$BB22="tidak","• "&amp;Aturan!$E$72&amp;CHAR(10),"")&amp;IF(OR(Varian!$AD22="belum terverifikasi",Varian!$AD22="tidak diketahui"),"• "&amp;Aturan!$E$73&amp;CHAR(10),"")&amp;IF(Varian!$AH22="1366x768","• "&amp;Aturan!$E$74&amp;CHAR(10),"")&amp;IF(Varian!$AG22="TN","• "&amp;Aturan!$E$75&amp;CHAR(10),"")&amp;IF(AND(Varian!$Q22="disolder",ISNUMBER(Varian!$M22),Varian!$M22&lt;=8),"• "&amp;Aturan!$E$76&amp;CHAR(10),""))</f>
        <v>• Info RAM dan penyimpanan (bisa diganti atau tidak) belum terverifikasi. Periksa lagi sebelum membeli.
</v>
      </c>
      <c r="AB90" s="66" t="str">
        <f aca="false">IF($A90="","",IF(AA90="","",LEFT(AA90,LEN(AA90)-1)))</f>
        <v>• Info RAM dan penyimpanan (bisa diganti atau tidak) belum terverifikasi. Periksa lagi sebelum membeli.</v>
      </c>
      <c r="AC90" s="67" t="n">
        <f aca="false">IF($A90="","",IF(AA90="",0,LEN(AA90)-LEN(SUBSTITUTE(AA90,CHAR(10),""))))</f>
        <v>1</v>
      </c>
    </row>
    <row r="91" customFormat="false" ht="15" hidden="false" customHeight="true" outlineLevel="0" collapsed="false">
      <c r="A91" s="33" t="str">
        <f aca="false">IF(Varian!$A22="","",Varian!$A22)</f>
        <v>hp-laptop-14-ep1-core5-120u-16-512</v>
      </c>
      <c r="B91" s="33" t="str">
        <f aca="false">IF($A91="","",Aturan!$A$22)</f>
        <v>Desain grafis</v>
      </c>
      <c r="C91" s="69" t="n">
        <f aca="false">IF($A91="","",IFERROR(IF(ISNUMBER(INDEX(CPU!$J$4:$J$64,MATCH(Varian!$J22,CPU!$A$4:$A$64,0))),INDEX(CPU!$J$4:$J$64,MATCH(Varian!$J22,CPU!$A$4:$A$64,0)),""),""))</f>
        <v>3</v>
      </c>
      <c r="D91" s="69" t="n">
        <f aca="false">IF($A91="","",IFERROR(IF(ISNUMBER(INDEX(GPU!$G$4:$G$64,MATCH(Varian!$K22,GPU!$A$4:$A$64,0))),INDEX(GPU!$G$4:$G$64,MATCH(Varian!$K22,GPU!$A$4:$A$64,0)),""),""))</f>
        <v>2</v>
      </c>
      <c r="E91" s="69" t="n">
        <f aca="false">IF($A91="","",IF(ISNUMBER(Varian!$M22),Varian!$M22,""))</f>
        <v>16</v>
      </c>
      <c r="F91" s="69" t="n">
        <f aca="false">IF($A91="","",IF(ISNUMBER(Varian!$V22),Varian!$V22,""))</f>
        <v>512</v>
      </c>
      <c r="G91" s="69" t="str">
        <f aca="false">IF($A91="","",IFERROR(INDEX(Aturan!$B$63:$B$66,MATCH(Varian!$AG22,Aturan!$A$63:$A$66,0)),""))</f>
        <v/>
      </c>
      <c r="H91" s="69" t="str">
        <f aca="false">IF($A91="","",IF(ISNUMBER(Varian!$AI22),Varian!$AI22,""))</f>
        <v/>
      </c>
      <c r="I91" s="33" t="str">
        <f aca="false">IF($A91="","",IF(Varian!$Q22="disolder","menempel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1" s="33" t="str">
        <f aca="false">IF($A91="","",IF(Varian!$Z22="ya","bisa diganti dengan yang lebih besar",IF(Varian!$Z22="tidak","menempel, tidak bisa diganti","belum diketahui apakah bisa diganti")))</f>
        <v>bisa diganti dengan yang lebih besar</v>
      </c>
      <c r="K91" s="70" t="str">
        <f aca="false">IF($A91="","",IF(AND(Aturan!$C$36="",Aturan!$D$36=""),"Tidak dinilai",IF(C91="","Belum ada data",IF(C91&lt;IF(Aturan!$C$36="",0,Aturan!$C$36),"Kurang",IF(C91&gt;=IF(Aturan!$D$36="",Aturan!$C$36,Aturan!$D$36),"Nyaman","Cukup")))))</f>
        <v>Nyaman</v>
      </c>
      <c r="L91" s="70" t="str">
        <f aca="false">IF($A91="","",IF(AND(Aturan!$C$37="",Aturan!$D$37=""),"Tidak dinilai",IF(D91="","Belum ada data",IF(D91&lt;IF(Aturan!$C$37="",0,Aturan!$C$37),"Kurang",IF(D91&gt;=IF(Aturan!$D$37="",Aturan!$C$37,Aturan!$D$37),"Nyaman","Cukup")))))</f>
        <v>Nyaman</v>
      </c>
      <c r="M91" s="70" t="str">
        <f aca="false">IF($A91="","",IF(AND(Aturan!$C$38="",Aturan!$D$38=""),"Tidak dinilai",IF(E91="","Belum ada data",IF(E91&lt;IF(Aturan!$C$38="",0,Aturan!$C$38),"Kurang",IF(E91&gt;=IF(Aturan!$D$38="",Aturan!$C$38,Aturan!$D$38),"Nyaman","Cukup")))))</f>
        <v>Nyaman</v>
      </c>
      <c r="N91" s="70" t="str">
        <f aca="false">IF($A91="","",IF(AND(Aturan!$C$39="",Aturan!$D$39=""),"Tidak dinilai",IF(F91="","Belum ada data",IF(F91&lt;IF(Aturan!$C$39="",0,Aturan!$C$39),"Kurang",IF(F91&gt;=IF(Aturan!$D$39="",Aturan!$C$39,Aturan!$D$39),"Nyaman","Cukup")))))</f>
        <v>Nyaman</v>
      </c>
      <c r="O91" s="70" t="str">
        <f aca="false">IF($A91="","",IF(AND(Aturan!$C$40="",Aturan!$D$40=""),"Tidak dinilai",IF(G91="","Belum ada data",IF(G91&lt;IF(Aturan!$C$40="",0,Aturan!$C$40),"Kurang",IF(G91&gt;=IF(Aturan!$D$40="",Aturan!$C$40,Aturan!$D$40),"Nyaman","Cukup")))))</f>
        <v>Belum ada data</v>
      </c>
      <c r="P91" s="70" t="str">
        <f aca="false">IF($A91="","",IF(AND(Aturan!$C$41="",Aturan!$D$41=""),"Tidak dinilai",IF(H91="","Belum ada data",IF(H91&lt;IF(Aturan!$C$41="",0,Aturan!$C$41),"Kurang",IF(H91&gt;=IF(Aturan!$D$41="",Aturan!$C$41,Aturan!$D$41),"Nyaman","Cukup")))))</f>
        <v>Tidak dinilai</v>
      </c>
      <c r="Q91" s="70" t="str">
        <f aca="false">IF($A91="","",IF(COUNTIF(K91:P91,"Tidak dinilai")=6,"Tidak dinilai",IF(COUNTIF(K91:P91,"Kurang")&gt;0,"Kurang cocok",IF(COUNTIF(K91:P91,"Belum ada data")&gt;0,"Data belum lengkap",IF(COUNTIF(K91:P91,"Cukup")&gt;0,"Bisa, dengan catatan","Cocok")))))</f>
        <v>Data belum lengkap</v>
      </c>
      <c r="R91" s="33" t="str">
        <f aca="false">IF($A91="","",IF(K91="Kurang","prosesor tingkat "&amp;C91&amp;" dari 5, di bawah batas minimal (tingkat "&amp;Aturan!$C$36&amp;")",IF(K91="Cukup","prosesor tingkat "&amp;C91&amp;" dari 5 cukup, nyamannya mulai tingkat "&amp;Aturan!$D$36,IF(K91="Belum ada data","tingkat prosesor belum diisi",""))))</f>
        <v/>
      </c>
      <c r="S91" s="33" t="str">
        <f aca="false">IF($A91="","",IF(L91="Kurang","grafis tingkat "&amp;D91&amp;" dari 5, di bawah batas minimal (tingkat "&amp;Aturan!$C$37&amp;")",IF(L91="Cukup","grafis tingkat "&amp;D91&amp;" dari 5 cukup, nyamannya mulai tingkat "&amp;Aturan!$D$37,IF(L91="Belum ada data","tingkat grafis belum diisi",""))))</f>
        <v/>
      </c>
      <c r="T91" s="33" t="str">
        <f aca="false">IF($A91="","",IF(M91="Kurang","RAM "&amp;E91&amp;" GB, di bawah batas minimal "&amp;Aturan!$C$38&amp;" GB ("&amp;I91&amp;")",IF(M91="Cukup","RAM "&amp;E91&amp;" GB cukup, nyamannya "&amp;Aturan!$D$38&amp;" GB atau lebih ("&amp;I91&amp;")",IF(M91="Belum ada data","ukuran RAM belum diisi",""))))</f>
        <v/>
      </c>
      <c r="U91" s="33" t="str">
        <f aca="false">IF($A91="","",IF(N91="Kurang","penyimpanan "&amp;F91&amp;" GB, di bawah batas minimal "&amp;Aturan!$C$39&amp;" GB ("&amp;J91&amp;")",IF(N91="Cukup","penyimpanan "&amp;F91&amp;" GB cukup, nyamannya "&amp;Aturan!$D$39&amp;" GB atau lebih ("&amp;J91&amp;")",IF(N91="Belum ada data","ukuran penyimpanan belum diisi",""))))</f>
        <v/>
      </c>
      <c r="V91" s="33" t="str">
        <f aca="false">IF($A91="","",IF(O91="Kurang","layar "&amp;Varian!$AG22&amp;", di bawah batas minimal ("&amp;IFERROR(INDEX(Aturan!$A$63:$A$66,MATCH(Aturan!$C$40,Aturan!$B$63:$B$66,0)),"peringkat "&amp;Aturan!$C$40)&amp;")",IF(O91="Cukup","layar "&amp;Varian!$AG22&amp;" cukup, nyamannya "&amp;IFERROR(INDEX(Aturan!$A$63:$A$66,MATCH(Aturan!$D$40,Aturan!$B$63:$B$66,0)),"peringkat "&amp;Aturan!$D$40),IF(O91="Belum ada data","jenis layar belum diketahui",""))))</f>
        <v>jenis layar belum diketahui</v>
      </c>
      <c r="W91" s="33" t="str">
        <f aca="false">IF($A91="","",IF(P91="Kurang","layar "&amp;H91&amp;" Hz, di bawah batas minimal "&amp;Aturan!$C$41&amp;" Hz",IF(P91="Cukup","layar "&amp;H91&amp;" Hz cukup, nyamannya "&amp;Aturan!$D$41&amp;" Hz atau lebih",IF(P91="Belum ada data","refresh rate belum diketahui",""))))</f>
        <v/>
      </c>
      <c r="X91" s="33" t="str">
        <f aca="false">IF($A91="","",IF(K91="Kurang",R91&amp;"; ","")&amp;IF(L91="Kurang",S91&amp;"; ","")&amp;IF(M91="Kurang",T91&amp;"; ","")&amp;IF(N91="Kurang",U91&amp;"; ","")&amp;IF(O91="Kurang",V91&amp;"; ","")&amp;IF(P91="Kurang",W91&amp;"; ","")&amp;IF(K91="Belum ada data",R91&amp;"; ","")&amp;IF(L91="Belum ada data",S91&amp;"; ","")&amp;IF(M91="Belum ada data",T91&amp;"; ","")&amp;IF(N91="Belum ada data",U91&amp;"; ","")&amp;IF(O91="Belum ada data",V91&amp;"; ","")&amp;IF(P91="Belum ada data",W91&amp;"; ","")&amp;IF(K91="Cukup",R91&amp;"; ","")&amp;IF(L91="Cukup",S91&amp;"; ","")&amp;IF(M91="Cukup",T91&amp;"; ","")&amp;IF(N91="Cukup",U91&amp;"; ","")&amp;IF(O91="Cukup",V91&amp;"; ","")&amp;IF(P91="Cukup",W91&amp;"; ",""))</f>
        <v>jenis layar belum diketahui; </v>
      </c>
      <c r="Y91" s="33" t="str">
        <f aca="false">IF($A91="","",IF(K91="Nyaman","prosesor, ","")&amp;IF(L91="Nyaman","grafis, ","")&amp;IF(M91="Nyaman","RAM, ","")&amp;IF(N91="Nyaman","penyimpanan, ","")&amp;IF(O91="Nyaman","layar, ","")&amp;IF(P91="Nyaman","refresh rate, ",""))</f>
        <v>prosesor, grafis, RAM, penyimpanan, </v>
      </c>
      <c r="Z91" s="33" t="str">
        <f aca="false">IF($A91="","",IF(Q91="Tidak dinilai","Belum ada kriteria yang dinilai untuk kebutuhan ini.",IF(Q91="Cocok","Semua kriteria yang dinilai sudah nyaman: "&amp;LEFT(Y91,LEN(Y91)-2)&amp;".",UPPER(LEFT(X91,1))&amp;MID(X91,2,LEN(X91)-3)&amp;"."&amp;IF(Y91="",""," Sudah nyaman: "&amp;LEFT(Y91,LEN(Y91)-2)&amp;"."))))</f>
        <v>Jenis layar belum diketahui. Sudah nyaman: prosesor, grafis, RAM, penyimpanan.</v>
      </c>
      <c r="AA91" s="33"/>
      <c r="AB91" s="33"/>
      <c r="AC91" s="69"/>
    </row>
    <row r="92" customFormat="false" ht="15" hidden="false" customHeight="true" outlineLevel="0" collapsed="false">
      <c r="A92" s="33" t="str">
        <f aca="false">IF(Varian!$A22="","",Varian!$A22)</f>
        <v>hp-laptop-14-ep1-core5-120u-16-512</v>
      </c>
      <c r="B92" s="33" t="str">
        <f aca="false">IF($A92="","",Aturan!$A$23)</f>
        <v>Pemrograman</v>
      </c>
      <c r="C92" s="69" t="n">
        <f aca="false">IF($A92="","",IFERROR(IF(ISNUMBER(INDEX(CPU!$J$4:$J$64,MATCH(Varian!$J22,CPU!$A$4:$A$64,0))),INDEX(CPU!$J$4:$J$64,MATCH(Varian!$J22,CPU!$A$4:$A$64,0)),""),""))</f>
        <v>3</v>
      </c>
      <c r="D92" s="69" t="n">
        <f aca="false">IF($A92="","",IFERROR(IF(ISNUMBER(INDEX(GPU!$G$4:$G$64,MATCH(Varian!$K22,GPU!$A$4:$A$64,0))),INDEX(GPU!$G$4:$G$64,MATCH(Varian!$K22,GPU!$A$4:$A$64,0)),""),""))</f>
        <v>2</v>
      </c>
      <c r="E92" s="69" t="n">
        <f aca="false">IF($A92="","",IF(ISNUMBER(Varian!$M22),Varian!$M22,""))</f>
        <v>16</v>
      </c>
      <c r="F92" s="69" t="n">
        <f aca="false">IF($A92="","",IF(ISNUMBER(Varian!$V22),Varian!$V22,""))</f>
        <v>512</v>
      </c>
      <c r="G92" s="69" t="str">
        <f aca="false">IF($A92="","",IFERROR(INDEX(Aturan!$B$63:$B$66,MATCH(Varian!$AG22,Aturan!$A$63:$A$66,0)),""))</f>
        <v/>
      </c>
      <c r="H92" s="69" t="str">
        <f aca="false">IF($A92="","",IF(ISNUMBER(Varian!$AI22),Varian!$AI22,""))</f>
        <v/>
      </c>
      <c r="I92" s="33" t="str">
        <f aca="false">IF($A92="","",IF(Varian!$Q22="disolder","menempel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2" s="33" t="str">
        <f aca="false">IF($A92="","",IF(Varian!$Z22="ya","bisa diganti dengan yang lebih besar",IF(Varian!$Z22="tidak","menempel, tidak bisa diganti","belum diketahui apakah bisa diganti")))</f>
        <v>bisa diganti dengan yang lebih besar</v>
      </c>
      <c r="K92" s="70" t="str">
        <f aca="false">IF($A92="","",IF(AND(Aturan!$C$42="",Aturan!$D$42=""),"Tidak dinilai",IF(C92="","Belum ada data",IF(C92&lt;IF(Aturan!$C$42="",0,Aturan!$C$42),"Kurang",IF(C92&gt;=IF(Aturan!$D$42="",Aturan!$C$42,Aturan!$D$42),"Nyaman","Cukup")))))</f>
        <v>Nyaman</v>
      </c>
      <c r="L92" s="70" t="str">
        <f aca="false">IF($A92="","",IF(AND(Aturan!$C$43="",Aturan!$D$43=""),"Tidak dinilai",IF(D92="","Belum ada data",IF(D92&lt;IF(Aturan!$C$43="",0,Aturan!$C$43),"Kurang",IF(D92&gt;=IF(Aturan!$D$43="",Aturan!$C$43,Aturan!$D$43),"Nyaman","Cukup")))))</f>
        <v>Tidak dinilai</v>
      </c>
      <c r="M92" s="70" t="str">
        <f aca="false">IF($A92="","",IF(AND(Aturan!$C$44="",Aturan!$D$44=""),"Tidak dinilai",IF(E92="","Belum ada data",IF(E92&lt;IF(Aturan!$C$44="",0,Aturan!$C$44),"Kurang",IF(E92&gt;=IF(Aturan!$D$44="",Aturan!$C$44,Aturan!$D$44),"Nyaman","Cukup")))))</f>
        <v>Nyaman</v>
      </c>
      <c r="N92" s="70" t="str">
        <f aca="false">IF($A92="","",IF(AND(Aturan!$C$45="",Aturan!$D$45=""),"Tidak dinilai",IF(F92="","Belum ada data",IF(F92&lt;IF(Aturan!$C$45="",0,Aturan!$C$45),"Kurang",IF(F92&gt;=IF(Aturan!$D$45="",Aturan!$C$45,Aturan!$D$45),"Nyaman","Cukup")))))</f>
        <v>Nyaman</v>
      </c>
      <c r="O92" s="70" t="str">
        <f aca="false">IF($A92="","",IF(AND(Aturan!$C$46="",Aturan!$D$46=""),"Tidak dinilai",IF(G92="","Belum ada data",IF(G92&lt;IF(Aturan!$C$46="",0,Aturan!$C$46),"Kurang",IF(G92&gt;=IF(Aturan!$D$46="",Aturan!$C$46,Aturan!$D$46),"Nyaman","Cukup")))))</f>
        <v>Tidak dinilai</v>
      </c>
      <c r="P92" s="70" t="str">
        <f aca="false">IF($A92="","",IF(AND(Aturan!$C$47="",Aturan!$D$47=""),"Tidak dinilai",IF(H92="","Belum ada data",IF(H92&lt;IF(Aturan!$C$47="",0,Aturan!$C$47),"Kurang",IF(H92&gt;=IF(Aturan!$D$47="",Aturan!$C$47,Aturan!$D$47),"Nyaman","Cukup")))))</f>
        <v>Tidak dinilai</v>
      </c>
      <c r="Q92" s="70" t="str">
        <f aca="false">IF($A92="","",IF(COUNTIF(K92:P92,"Tidak dinilai")=6,"Tidak dinilai",IF(COUNTIF(K92:P92,"Kurang")&gt;0,"Kurang cocok",IF(COUNTIF(K92:P92,"Belum ada data")&gt;0,"Data belum lengkap",IF(COUNTIF(K92:P92,"Cukup")&gt;0,"Bisa, dengan catatan","Cocok")))))</f>
        <v>Cocok</v>
      </c>
      <c r="R92" s="33" t="str">
        <f aca="false">IF($A92="","",IF(K92="Kurang","prosesor tingkat "&amp;C92&amp;" dari 5, di bawah batas minimal (tingkat "&amp;Aturan!$C$42&amp;")",IF(K92="Cukup","prosesor tingkat "&amp;C92&amp;" dari 5 cukup, nyamannya mulai tingkat "&amp;Aturan!$D$42,IF(K92="Belum ada data","tingkat prosesor belum diisi",""))))</f>
        <v/>
      </c>
      <c r="S92" s="33" t="str">
        <f aca="false">IF($A92="","",IF(L92="Kurang","grafis tingkat "&amp;D92&amp;" dari 5, di bawah batas minimal (tingkat "&amp;Aturan!$C$43&amp;")",IF(L92="Cukup","grafis tingkat "&amp;D92&amp;" dari 5 cukup, nyamannya mulai tingkat "&amp;Aturan!$D$43,IF(L92="Belum ada data","tingkat grafis belum diisi",""))))</f>
        <v/>
      </c>
      <c r="T92" s="33" t="str">
        <f aca="false">IF($A92="","",IF(M92="Kurang","RAM "&amp;E92&amp;" GB, di bawah batas minimal "&amp;Aturan!$C$44&amp;" GB ("&amp;I92&amp;")",IF(M92="Cukup","RAM "&amp;E92&amp;" GB cukup, nyamannya "&amp;Aturan!$D$44&amp;" GB atau lebih ("&amp;I92&amp;")",IF(M92="Belum ada data","ukuran RAM belum diisi",""))))</f>
        <v/>
      </c>
      <c r="U92" s="33" t="str">
        <f aca="false">IF($A92="","",IF(N92="Kurang","penyimpanan "&amp;F92&amp;" GB, di bawah batas minimal "&amp;Aturan!$C$45&amp;" GB ("&amp;J92&amp;")",IF(N92="Cukup","penyimpanan "&amp;F92&amp;" GB cukup, nyamannya "&amp;Aturan!$D$45&amp;" GB atau lebih ("&amp;J92&amp;")",IF(N92="Belum ada data","ukuran penyimpanan belum diisi",""))))</f>
        <v/>
      </c>
      <c r="V92" s="33" t="str">
        <f aca="false">IF($A92="","",IF(O92="Kurang","layar "&amp;Varian!$AG22&amp;", di bawah batas minimal ("&amp;IFERROR(INDEX(Aturan!$A$63:$A$66,MATCH(Aturan!$C$46,Aturan!$B$63:$B$66,0)),"peringkat "&amp;Aturan!$C$46)&amp;")",IF(O92="Cukup","layar "&amp;Varian!$AG22&amp;" cukup, nyamannya "&amp;IFERROR(INDEX(Aturan!$A$63:$A$66,MATCH(Aturan!$D$46,Aturan!$B$63:$B$66,0)),"peringkat "&amp;Aturan!$D$46),IF(O92="Belum ada data","jenis layar belum diketahui",""))))</f>
        <v/>
      </c>
      <c r="W92" s="33" t="str">
        <f aca="false">IF($A92="","",IF(P92="Kurang","layar "&amp;H92&amp;" Hz, di bawah batas minimal "&amp;Aturan!$C$47&amp;" Hz",IF(P92="Cukup","layar "&amp;H92&amp;" Hz cukup, nyamannya "&amp;Aturan!$D$47&amp;" Hz atau lebih",IF(P92="Belum ada data","refresh rate belum diketahui",""))))</f>
        <v/>
      </c>
      <c r="X92" s="33" t="str">
        <f aca="false">IF($A92="","",IF(K92="Kurang",R92&amp;"; ","")&amp;IF(L92="Kurang",S92&amp;"; ","")&amp;IF(M92="Kurang",T92&amp;"; ","")&amp;IF(N92="Kurang",U92&amp;"; ","")&amp;IF(O92="Kurang",V92&amp;"; ","")&amp;IF(P92="Kurang",W92&amp;"; ","")&amp;IF(K92="Belum ada data",R92&amp;"; ","")&amp;IF(L92="Belum ada data",S92&amp;"; ","")&amp;IF(M92="Belum ada data",T92&amp;"; ","")&amp;IF(N92="Belum ada data",U92&amp;"; ","")&amp;IF(O92="Belum ada data",V92&amp;"; ","")&amp;IF(P92="Belum ada data",W92&amp;"; ","")&amp;IF(K92="Cukup",R92&amp;"; ","")&amp;IF(L92="Cukup",S92&amp;"; ","")&amp;IF(M92="Cukup",T92&amp;"; ","")&amp;IF(N92="Cukup",U92&amp;"; ","")&amp;IF(O92="Cukup",V92&amp;"; ","")&amp;IF(P92="Cukup",W92&amp;"; ",""))</f>
        <v/>
      </c>
      <c r="Y92" s="33" t="str">
        <f aca="false">IF($A92="","",IF(K92="Nyaman","prosesor, ","")&amp;IF(L92="Nyaman","grafis, ","")&amp;IF(M92="Nyaman","RAM, ","")&amp;IF(N92="Nyaman","penyimpanan, ","")&amp;IF(O92="Nyaman","layar, ","")&amp;IF(P92="Nyaman","refresh rate, ",""))</f>
        <v>prosesor, RAM, penyimpanan, </v>
      </c>
      <c r="Z92" s="33" t="str">
        <f aca="false">IF($A92="","",IF(Q92="Tidak dinilai","Belum ada kriteria yang dinilai untuk kebutuhan ini.",IF(Q92="Cocok","Semua kriteria yang dinilai sudah nyaman: "&amp;LEFT(Y92,LEN(Y92)-2)&amp;".",UPPER(LEFT(X92,1))&amp;MID(X92,2,LEN(X92)-3)&amp;"."&amp;IF(Y92="",""," Sudah nyaman: "&amp;LEFT(Y92,LEN(Y92)-2)&amp;"."))))</f>
        <v>Semua kriteria yang dinilai sudah nyaman: prosesor, RAM, penyimpanan.</v>
      </c>
      <c r="AA92" s="33"/>
      <c r="AB92" s="33"/>
      <c r="AC92" s="69"/>
    </row>
    <row r="93" customFormat="false" ht="15" hidden="false" customHeight="true" outlineLevel="0" collapsed="false">
      <c r="A93" s="33" t="str">
        <f aca="false">IF(Varian!$A22="","",Varian!$A22)</f>
        <v>hp-laptop-14-ep1-core5-120u-16-512</v>
      </c>
      <c r="B93" s="33" t="str">
        <f aca="false">IF($A93="","",Aturan!$A$24)</f>
        <v>Game ringan</v>
      </c>
      <c r="C93" s="69" t="n">
        <f aca="false">IF($A93="","",IFERROR(IF(ISNUMBER(INDEX(CPU!$J$4:$J$64,MATCH(Varian!$J22,CPU!$A$4:$A$64,0))),INDEX(CPU!$J$4:$J$64,MATCH(Varian!$J22,CPU!$A$4:$A$64,0)),""),""))</f>
        <v>3</v>
      </c>
      <c r="D93" s="69" t="n">
        <f aca="false">IF($A93="","",IFERROR(IF(ISNUMBER(INDEX(GPU!$G$4:$G$64,MATCH(Varian!$K22,GPU!$A$4:$A$64,0))),INDEX(GPU!$G$4:$G$64,MATCH(Varian!$K22,GPU!$A$4:$A$64,0)),""),""))</f>
        <v>2</v>
      </c>
      <c r="E93" s="69" t="n">
        <f aca="false">IF($A93="","",IF(ISNUMBER(Varian!$M22),Varian!$M22,""))</f>
        <v>16</v>
      </c>
      <c r="F93" s="69" t="n">
        <f aca="false">IF($A93="","",IF(ISNUMBER(Varian!$V22),Varian!$V22,""))</f>
        <v>512</v>
      </c>
      <c r="G93" s="69" t="str">
        <f aca="false">IF($A93="","",IFERROR(INDEX(Aturan!$B$63:$B$66,MATCH(Varian!$AG22,Aturan!$A$63:$A$66,0)),""))</f>
        <v/>
      </c>
      <c r="H93" s="69" t="str">
        <f aca="false">IF($A93="","",IF(ISNUMBER(Varian!$AI22),Varian!$AI22,""))</f>
        <v/>
      </c>
      <c r="I93" s="33" t="str">
        <f aca="false">IF($A93="","",IF(Varian!$Q22="disolder","menempel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3" s="33" t="str">
        <f aca="false">IF($A93="","",IF(Varian!$Z22="ya","bisa diganti dengan yang lebih besar",IF(Varian!$Z22="tidak","menempel, tidak bisa diganti","belum diketahui apakah bisa diganti")))</f>
        <v>bisa diganti dengan yang lebih besar</v>
      </c>
      <c r="K93" s="70" t="str">
        <f aca="false">IF($A93="","",IF(AND(Aturan!$C$48="",Aturan!$D$48=""),"Tidak dinilai",IF(C93="","Belum ada data",IF(C93&lt;IF(Aturan!$C$48="",0,Aturan!$C$48),"Kurang",IF(C93&gt;=IF(Aturan!$D$48="",Aturan!$C$48,Aturan!$D$48),"Nyaman","Cukup")))))</f>
        <v>Nyaman</v>
      </c>
      <c r="L93" s="70" t="str">
        <f aca="false">IF($A93="","",IF(AND(Aturan!$C$49="",Aturan!$D$49=""),"Tidak dinilai",IF(D93="","Belum ada data",IF(D93&lt;IF(Aturan!$C$49="",0,Aturan!$C$49),"Kurang",IF(D93&gt;=IF(Aturan!$D$49="",Aturan!$C$49,Aturan!$D$49),"Nyaman","Cukup")))))</f>
        <v>Nyaman</v>
      </c>
      <c r="M93" s="70" t="str">
        <f aca="false">IF($A93="","",IF(AND(Aturan!$C$50="",Aturan!$D$50=""),"Tidak dinilai",IF(E93="","Belum ada data",IF(E93&lt;IF(Aturan!$C$50="",0,Aturan!$C$50),"Kurang",IF(E93&gt;=IF(Aturan!$D$50="",Aturan!$C$50,Aturan!$D$50),"Nyaman","Cukup")))))</f>
        <v>Nyaman</v>
      </c>
      <c r="N93" s="70" t="str">
        <f aca="false">IF($A93="","",IF(AND(Aturan!$C$51="",Aturan!$D$51=""),"Tidak dinilai",IF(F93="","Belum ada data",IF(F93&lt;IF(Aturan!$C$51="",0,Aturan!$C$51),"Kurang",IF(F93&gt;=IF(Aturan!$D$51="",Aturan!$C$51,Aturan!$D$51),"Nyaman","Cukup")))))</f>
        <v>Nyaman</v>
      </c>
      <c r="O93" s="70" t="str">
        <f aca="false">IF($A93="","",IF(AND(Aturan!$C$52="",Aturan!$D$52=""),"Tidak dinilai",IF(G93="","Belum ada data",IF(G93&lt;IF(Aturan!$C$52="",0,Aturan!$C$52),"Kurang",IF(G93&gt;=IF(Aturan!$D$52="",Aturan!$C$52,Aturan!$D$52),"Nyaman","Cukup")))))</f>
        <v>Tidak dinilai</v>
      </c>
      <c r="P93" s="70" t="str">
        <f aca="false">IF($A93="","",IF(AND(Aturan!$C$53="",Aturan!$D$53=""),"Tidak dinilai",IF(H93="","Belum ada data",IF(H93&lt;IF(Aturan!$C$53="",0,Aturan!$C$53),"Kurang",IF(H93&gt;=IF(Aturan!$D$53="",Aturan!$C$53,Aturan!$D$53),"Nyaman","Cukup")))))</f>
        <v>Tidak dinilai</v>
      </c>
      <c r="Q93" s="70" t="str">
        <f aca="false">IF($A93="","",IF(COUNTIF(K93:P93,"Tidak dinilai")=6,"Tidak dinilai",IF(COUNTIF(K93:P93,"Kurang")&gt;0,"Kurang cocok",IF(COUNTIF(K93:P93,"Belum ada data")&gt;0,"Data belum lengkap",IF(COUNTIF(K93:P93,"Cukup")&gt;0,"Bisa, dengan catatan","Cocok")))))</f>
        <v>Cocok</v>
      </c>
      <c r="R93" s="33" t="str">
        <f aca="false">IF($A93="","",IF(K93="Kurang","prosesor tingkat "&amp;C93&amp;" dari 5, di bawah batas minimal (tingkat "&amp;Aturan!$C$48&amp;")",IF(K93="Cukup","prosesor tingkat "&amp;C93&amp;" dari 5 cukup, nyamannya mulai tingkat "&amp;Aturan!$D$48,IF(K93="Belum ada data","tingkat prosesor belum diisi",""))))</f>
        <v/>
      </c>
      <c r="S93" s="33" t="str">
        <f aca="false">IF($A93="","",IF(L93="Kurang","grafis tingkat "&amp;D93&amp;" dari 5, di bawah batas minimal (tingkat "&amp;Aturan!$C$49&amp;")",IF(L93="Cukup","grafis tingkat "&amp;D93&amp;" dari 5 cukup, nyamannya mulai tingkat "&amp;Aturan!$D$49,IF(L93="Belum ada data","tingkat grafis belum diisi",""))))</f>
        <v/>
      </c>
      <c r="T93" s="33" t="str">
        <f aca="false">IF($A93="","",IF(M93="Kurang","RAM "&amp;E93&amp;" GB, di bawah batas minimal "&amp;Aturan!$C$50&amp;" GB ("&amp;I93&amp;")",IF(M93="Cukup","RAM "&amp;E93&amp;" GB cukup, nyamannya "&amp;Aturan!$D$50&amp;" GB atau lebih ("&amp;I93&amp;")",IF(M93="Belum ada data","ukuran RAM belum diisi",""))))</f>
        <v/>
      </c>
      <c r="U93" s="33" t="str">
        <f aca="false">IF($A93="","",IF(N93="Kurang","penyimpanan "&amp;F93&amp;" GB, di bawah batas minimal "&amp;Aturan!$C$51&amp;" GB ("&amp;J93&amp;")",IF(N93="Cukup","penyimpanan "&amp;F93&amp;" GB cukup, nyamannya "&amp;Aturan!$D$51&amp;" GB atau lebih ("&amp;J93&amp;")",IF(N93="Belum ada data","ukuran penyimpanan belum diisi",""))))</f>
        <v/>
      </c>
      <c r="V93" s="33" t="str">
        <f aca="false">IF($A93="","",IF(O93="Kurang","layar "&amp;Varian!$AG22&amp;", di bawah batas minimal ("&amp;IFERROR(INDEX(Aturan!$A$63:$A$66,MATCH(Aturan!$C$52,Aturan!$B$63:$B$66,0)),"peringkat "&amp;Aturan!$C$52)&amp;")",IF(O93="Cukup","layar "&amp;Varian!$AG22&amp;" cukup, nyamannya "&amp;IFERROR(INDEX(Aturan!$A$63:$A$66,MATCH(Aturan!$D$52,Aturan!$B$63:$B$66,0)),"peringkat "&amp;Aturan!$D$52),IF(O93="Belum ada data","jenis layar belum diketahui",""))))</f>
        <v/>
      </c>
      <c r="W93" s="33" t="str">
        <f aca="false">IF($A93="","",IF(P93="Kurang","layar "&amp;H93&amp;" Hz, di bawah batas minimal "&amp;Aturan!$C$53&amp;" Hz",IF(P93="Cukup","layar "&amp;H93&amp;" Hz cukup, nyamannya "&amp;Aturan!$D$53&amp;" Hz atau lebih",IF(P93="Belum ada data","refresh rate belum diketahui",""))))</f>
        <v/>
      </c>
      <c r="X93" s="33" t="str">
        <f aca="false">IF($A93="","",IF(K93="Kurang",R93&amp;"; ","")&amp;IF(L93="Kurang",S93&amp;"; ","")&amp;IF(M93="Kurang",T93&amp;"; ","")&amp;IF(N93="Kurang",U93&amp;"; ","")&amp;IF(O93="Kurang",V93&amp;"; ","")&amp;IF(P93="Kurang",W93&amp;"; ","")&amp;IF(K93="Belum ada data",R93&amp;"; ","")&amp;IF(L93="Belum ada data",S93&amp;"; ","")&amp;IF(M93="Belum ada data",T93&amp;"; ","")&amp;IF(N93="Belum ada data",U93&amp;"; ","")&amp;IF(O93="Belum ada data",V93&amp;"; ","")&amp;IF(P93="Belum ada data",W93&amp;"; ","")&amp;IF(K93="Cukup",R93&amp;"; ","")&amp;IF(L93="Cukup",S93&amp;"; ","")&amp;IF(M93="Cukup",T93&amp;"; ","")&amp;IF(N93="Cukup",U93&amp;"; ","")&amp;IF(O93="Cukup",V93&amp;"; ","")&amp;IF(P93="Cukup",W93&amp;"; ",""))</f>
        <v/>
      </c>
      <c r="Y93" s="33" t="str">
        <f aca="false">IF($A93="","",IF(K93="Nyaman","prosesor, ","")&amp;IF(L93="Nyaman","grafis, ","")&amp;IF(M93="Nyaman","RAM, ","")&amp;IF(N93="Nyaman","penyimpanan, ","")&amp;IF(O93="Nyaman","layar, ","")&amp;IF(P93="Nyaman","refresh rate, ",""))</f>
        <v>prosesor, grafis, RAM, penyimpanan, </v>
      </c>
      <c r="Z93" s="33" t="str">
        <f aca="false">IF($A93="","",IF(Q93="Tidak dinilai","Belum ada kriteria yang dinilai untuk kebutuhan ini.",IF(Q93="Cocok","Semua kriteria yang dinilai sudah nyaman: "&amp;LEFT(Y93,LEN(Y93)-2)&amp;".",UPPER(LEFT(X93,1))&amp;MID(X93,2,LEN(X93)-3)&amp;"."&amp;IF(Y93="",""," Sudah nyaman: "&amp;LEFT(Y93,LEN(Y93)-2)&amp;"."))))</f>
        <v>Semua kriteria yang dinilai sudah nyaman: prosesor, grafis, RAM, penyimpanan.</v>
      </c>
      <c r="AA93" s="33"/>
      <c r="AB93" s="33"/>
      <c r="AC93" s="69"/>
    </row>
    <row r="94" customFormat="false" ht="15" hidden="false" customHeight="true" outlineLevel="0" collapsed="false">
      <c r="A94" s="33" t="str">
        <f aca="false">IF(Varian!$A22="","",Varian!$A22)</f>
        <v>hp-laptop-14-ep1-core5-120u-16-512</v>
      </c>
      <c r="B94" s="33" t="str">
        <f aca="false">IF($A94="","",Aturan!$A$25)</f>
        <v>Game berat</v>
      </c>
      <c r="C94" s="69" t="n">
        <f aca="false">IF($A94="","",IFERROR(IF(ISNUMBER(INDEX(CPU!$J$4:$J$64,MATCH(Varian!$J22,CPU!$A$4:$A$64,0))),INDEX(CPU!$J$4:$J$64,MATCH(Varian!$J22,CPU!$A$4:$A$64,0)),""),""))</f>
        <v>3</v>
      </c>
      <c r="D94" s="69" t="n">
        <f aca="false">IF($A94="","",IFERROR(IF(ISNUMBER(INDEX(GPU!$G$4:$G$64,MATCH(Varian!$K22,GPU!$A$4:$A$64,0))),INDEX(GPU!$G$4:$G$64,MATCH(Varian!$K22,GPU!$A$4:$A$64,0)),""),""))</f>
        <v>2</v>
      </c>
      <c r="E94" s="69" t="n">
        <f aca="false">IF($A94="","",IF(ISNUMBER(Varian!$M22),Varian!$M22,""))</f>
        <v>16</v>
      </c>
      <c r="F94" s="69" t="n">
        <f aca="false">IF($A94="","",IF(ISNUMBER(Varian!$V22),Varian!$V22,""))</f>
        <v>512</v>
      </c>
      <c r="G94" s="69" t="str">
        <f aca="false">IF($A94="","",IFERROR(INDEX(Aturan!$B$63:$B$66,MATCH(Varian!$AG22,Aturan!$A$63:$A$66,0)),""))</f>
        <v/>
      </c>
      <c r="H94" s="69" t="str">
        <f aca="false">IF($A94="","",IF(ISNUMBER(Varian!$AI22),Varian!$AI22,""))</f>
        <v/>
      </c>
      <c r="I94" s="33" t="str">
        <f aca="false">IF($A94="","",IF(Varian!$Q22="disolder","menempel di papan utama, tidak bisa ditambah",IF(OR(Varian!$Q22="slot",Varian!$Q22="setengah_disolder"),IF(Varian!$Q22="setengah_disolder","sebagian menempel, ","")&amp;IF(ISNUMBER(Varian!$U22),IF(AND(ISNUMBER(Varian!$M22),Varian!$U22&gt;Varian!$M22),"bisa dinaikkan lewat slot sampai "&amp;Varian!$U22&amp;" GB","sudah di batas maksimal "&amp;Varian!$U22&amp;" GB"),"ada slot, batas maksimalnya belum diketahui"),"belum diketahui apakah bisa ditambah")))</f>
        <v>sudah di batas maksimal 16 GB</v>
      </c>
      <c r="J94" s="33" t="str">
        <f aca="false">IF($A94="","",IF(Varian!$Z22="ya","bisa diganti dengan yang lebih besar",IF(Varian!$Z22="tidak","menempel, tidak bisa diganti","belum diketahui apakah bisa diganti")))</f>
        <v>bisa diganti dengan yang lebih besar</v>
      </c>
      <c r="K94" s="70" t="str">
        <f aca="false">IF($A94="","",IF(AND(Aturan!$C$54="",Aturan!$D$54=""),"Tidak dinilai",IF(C94="","Belum ada data",IF(C94&lt;IF(Aturan!$C$54="",0,Aturan!$C$54),"Kurang",IF(C94&gt;=IF(Aturan!$D$54="",Aturan!$C$54,Aturan!$D$54),"Nyaman","Cukup")))))</f>
        <v>Cukup</v>
      </c>
      <c r="L94" s="70" t="str">
        <f aca="false">IF($A94="","",IF(AND(Aturan!$C$55="",Aturan!$D$55=""),"Tidak dinilai",IF(D94="","Belum ada data",IF(D94&lt;IF(Aturan!$C$55="",0,Aturan!$C$55),"Kurang",IF(D94&gt;=IF(Aturan!$D$55="",Aturan!$C$55,Aturan!$D$55),"Nyaman","Cukup")))))</f>
        <v>Kurang</v>
      </c>
      <c r="M94" s="70" t="str">
        <f aca="false">IF($A94="","",IF(AND(Aturan!$C$56="",Aturan!$D$56=""),"Tidak dinilai",IF(E94="","Belum ada data",IF(E94&lt;IF(Aturan!$C$56="",0,Aturan!$C$56),"Kurang",IF(E94&gt;=IF(Aturan!$D$56="",Aturan!$C$56,Aturan!$D$56),"Nyaman","Cukup")))))</f>
        <v>Nyaman</v>
      </c>
      <c r="N94" s="70" t="str">
        <f aca="false">IF($A94="","",IF(AND(Aturan!$C$57="",Aturan!$D$57=""),"Tidak dinilai",IF(F94="","Belum ada data",IF(F94&lt;IF(Aturan!$C$57="",0,Aturan!$C$57),"Kurang",IF(F94&gt;=IF(Aturan!$D$57="",Aturan!$C$57,Aturan!$D$57),"Nyaman","Cukup")))))</f>
        <v>Cukup</v>
      </c>
      <c r="O94" s="70" t="str">
        <f aca="false">IF($A94="","",IF(AND(Aturan!$C$58="",Aturan!$D$58=""),"Tidak dinilai",IF(G94="","Belum ada data",IF(G94&lt;IF(Aturan!$C$58="",0,Aturan!$C$58),"Kurang",IF(G94&gt;=IF(Aturan!$D$58="",Aturan!$C$58,Aturan!$D$58),"Nyaman","Cukup")))))</f>
        <v>Tidak dinilai</v>
      </c>
      <c r="P94" s="70" t="str">
        <f aca="false">IF($A94="","",IF(AND(Aturan!$C$59="",Aturan!$D$59=""),"Tidak dinilai",IF(H94="","Belum ada data",IF(H94&lt;IF(Aturan!$C$59="",0,Aturan!$C$59),"Kurang",IF(H94&gt;=IF(Aturan!$D$59="",Aturan!$C$59,Aturan!$D$59),"Nyaman","Cukup")))))</f>
        <v>Belum ada data</v>
      </c>
      <c r="Q94" s="70" t="str">
        <f aca="false">IF($A94="","",IF(COUNTIF(K94:P94,"Tidak dinilai")=6,"Tidak dinilai",IF(COUNTIF(K94:P94,"Kurang")&gt;0,"Kurang cocok",IF(COUNTIF(K94:P94,"Belum ada data")&gt;0,"Data belum lengkap",IF(COUNTIF(K94:P94,"Cukup")&gt;0,"Bisa, dengan catatan","Cocok")))))</f>
        <v>Kurang cocok</v>
      </c>
      <c r="R94" s="33" t="str">
        <f aca="false">IF($A94="","",IF(K94="Kurang","prosesor tingkat "&amp;C94&amp;" dari 5, di bawah batas minimal (tingkat "&amp;Aturan!$C$54&amp;")",IF(K94="Cukup","prosesor tingkat "&amp;C94&amp;" dari 5 cukup, nyamannya mulai tingkat "&amp;Aturan!$D$54,IF(K94="Belum ada data","tingkat prosesor belum diisi",""))))</f>
        <v>prosesor tingkat 3 dari 5 cukup, nyamannya mulai tingkat 4</v>
      </c>
      <c r="S94" s="33" t="str">
        <f aca="false">IF($A94="","",IF(L94="Kurang","grafis tingkat "&amp;D94&amp;" dari 5, di bawah batas minimal (tingkat "&amp;Aturan!$C$55&amp;")",IF(L94="Cukup","grafis tingkat "&amp;D94&amp;" dari 5 cukup, nyamannya mulai tingkat "&amp;Aturan!$D$55,IF(L94="Belum ada data","tingkat grafis belum diisi",""))))</f>
        <v>grafis tingkat 2 dari 5, di bawah batas minimal (tingkat 3)</v>
      </c>
      <c r="T94" s="33" t="str">
        <f aca="false">IF($A94="","",IF(M94="Kurang","RAM "&amp;E94&amp;" GB, di bawah batas minimal "&amp;Aturan!$C$56&amp;" GB ("&amp;I94&amp;")",IF(M94="Cukup","RAM "&amp;E94&amp;" GB cukup, nyamannya "&amp;Aturan!$D$56&amp;" GB atau lebih ("&amp;I94&amp;")",IF(M94="Belum ada data","ukuran RAM belum diisi",""))))</f>
        <v/>
      </c>
      <c r="U94" s="33" t="str">
        <f aca="false">IF($A94="","",IF(N94="Kurang","penyimpanan "&amp;F94&amp;" GB, di bawah batas minimal "&amp;Aturan!$C$57&amp;" GB ("&amp;J94&amp;")",IF(N94="Cukup","penyimpanan "&amp;F94&amp;" GB cukup, nyamannya "&amp;Aturan!$D$57&amp;" GB atau lebih ("&amp;J94&amp;")",IF(N94="Belum ada data","ukuran penyimpanan belum diisi",""))))</f>
        <v>penyimpanan 512 GB cukup, nyamannya 1000 GB atau lebih (bisa diganti dengan yang lebih besar)</v>
      </c>
      <c r="V94" s="33" t="str">
        <f aca="false">IF($A94="","",IF(O94="Kurang","layar "&amp;Varian!$AG22&amp;", di bawah batas minimal ("&amp;IFERROR(INDEX(Aturan!$A$63:$A$66,MATCH(Aturan!$C$58,Aturan!$B$63:$B$66,0)),"peringkat "&amp;Aturan!$C$58)&amp;")",IF(O94="Cukup","layar "&amp;Varian!$AG22&amp;" cukup, nyamannya "&amp;IFERROR(INDEX(Aturan!$A$63:$A$66,MATCH(Aturan!$D$58,Aturan!$B$63:$B$66,0)),"peringkat "&amp;Aturan!$D$58),IF(O94="Belum ada data","jenis layar belum diketahui",""))))</f>
        <v/>
      </c>
      <c r="W94" s="33" t="str">
        <f aca="false">IF($A94="","",IF(P94="Kurang","layar "&amp;H94&amp;" Hz, di bawah batas minimal "&amp;Aturan!$C$59&amp;" Hz",IF(P94="Cukup","layar "&amp;H94&amp;" Hz cukup, nyamannya "&amp;Aturan!$D$59&amp;" Hz atau lebih",IF(P94="Belum ada data","refresh rate belum diketahui",""))))</f>
        <v>refresh rate belum diketahui</v>
      </c>
      <c r="X94" s="33" t="str">
        <f aca="false">IF($A94="","",IF(K94="Kurang",R94&amp;"; ","")&amp;IF(L94="Kurang",S94&amp;"; ","")&amp;IF(M94="Kurang",T94&amp;"; ","")&amp;IF(N94="Kurang",U94&amp;"; ","")&amp;IF(O94="Kurang",V94&amp;"; ","")&amp;IF(P94="Kurang",W94&amp;"; ","")&amp;IF(K94="Belum ada data",R94&amp;"; ","")&amp;IF(L94="Belum ada data",S94&amp;"; ","")&amp;IF(M94="Belum ada data",T94&amp;"; ","")&amp;IF(N94="Belum ada data",U94&amp;"; ","")&amp;IF(O94="Belum ada data",V94&amp;"; ","")&amp;IF(P94="Belum ada data",W94&amp;"; ","")&amp;IF(K94="Cukup",R94&amp;"; ","")&amp;IF(L94="Cukup",S94&amp;"; ","")&amp;IF(M94="Cukup",T94&amp;"; ","")&amp;IF(N94="Cukup",U94&amp;"; ","")&amp;IF(O94="Cukup",V94&amp;"; ","")&amp;IF(P94="Cukup",W94&amp;"; ",""))</f>
        <v>grafis tingkat 2 dari 5, di bawah batas minimal (tingkat 3); refresh rate belum diketahui; prosesor tingkat 3 dari 5 cukup, nyamannya mulai tingkat 4; penyimpanan 512 GB cukup, nyamannya 1000 GB atau lebih (bisa diganti dengan yang lebih besar); </v>
      </c>
      <c r="Y94" s="33" t="str">
        <f aca="false">IF($A94="","",IF(K94="Nyaman","prosesor, ","")&amp;IF(L94="Nyaman","grafis, ","")&amp;IF(M94="Nyaman","RAM, ","")&amp;IF(N94="Nyaman","penyimpanan, ","")&amp;IF(O94="Nyaman","layar, ","")&amp;IF(P94="Nyaman","refresh rate, ",""))</f>
        <v>RAM, </v>
      </c>
      <c r="Z94" s="33" t="str">
        <f aca="false">IF($A94="","",IF(Q94="Tidak dinilai","Belum ada kriteria yang dinilai untuk kebutuhan ini.",IF(Q94="Cocok","Semua kriteria yang dinilai sudah nyaman: "&amp;LEFT(Y94,LEN(Y94)-2)&amp;".",UPPER(LEFT(X94,1))&amp;MID(X94,2,LEN(X94)-3)&amp;"."&amp;IF(Y94="",""," Sudah nyaman: "&amp;LEFT(Y94,LEN(Y94)-2)&amp;"."))))</f>
        <v>Grafis tingkat 2 dari 5, di bawah batas minimal (tingkat 3); refresh rate belum diketahui; prosesor tingkat 3 dari 5 cukup, nyamannya mulai tingkat 4; penyimpanan 512 GB cukup, nyamannya 1000 GB atau lebih (bisa diganti dengan yang lebih besar). Sudah nyaman: RAM.</v>
      </c>
      <c r="AA94" s="33"/>
      <c r="AB94" s="33"/>
      <c r="AC94" s="69"/>
    </row>
    <row r="95" customFormat="false" ht="15" hidden="false" customHeight="true" outlineLevel="0" collapsed="false">
      <c r="A95" s="66" t="str">
        <f aca="false">IF(Varian!$A23="","",Varian!$A23)</f>
        <v>lenovo-ideapad-slim-5-14irh10r-core5-210h-16-512</v>
      </c>
      <c r="B95" s="66" t="str">
        <f aca="false">IF($A95="","",Aturan!$A$21)</f>
        <v>Kuliah dan kantor</v>
      </c>
      <c r="C95" s="67" t="n">
        <f aca="false">IF($A95="","",IFERROR(IF(ISNUMBER(INDEX(CPU!$J$4:$J$64,MATCH(Varian!$J23,CPU!$A$4:$A$64,0))),INDEX(CPU!$J$4:$J$64,MATCH(Varian!$J23,CPU!$A$4:$A$64,0)),""),""))</f>
        <v>3</v>
      </c>
      <c r="D95" s="67" t="n">
        <f aca="false">IF($A95="","",IFERROR(IF(ISNUMBER(INDEX(GPU!$G$4:$G$64,MATCH(Varian!$K23,GPU!$A$4:$A$64,0))),INDEX(GPU!$G$4:$G$64,MATCH(Varian!$K23,GPU!$A$4:$A$64,0)),""),""))</f>
        <v>2</v>
      </c>
      <c r="E95" s="67" t="n">
        <f aca="false">IF($A95="","",IF(ISNUMBER(Varian!$M23),Varian!$M23,""))</f>
        <v>16</v>
      </c>
      <c r="F95" s="67" t="n">
        <f aca="false">IF($A95="","",IF(ISNUMBER(Varian!$V23),Varian!$V23,""))</f>
        <v>512</v>
      </c>
      <c r="G95" s="67" t="n">
        <f aca="false">IF($A95="","",IFERROR(INDEX(Aturan!$B$63:$B$66,MATCH(Varian!$AG23,Aturan!$A$63:$A$66,0)),""))</f>
        <v>4</v>
      </c>
      <c r="H95" s="67" t="n">
        <f aca="false">IF($A95="","",IF(ISNUMBER(Varian!$AI23),Varian!$AI23,""))</f>
        <v>60</v>
      </c>
      <c r="I95" s="66" t="str">
        <f aca="false">IF($A95="","",IF(Varian!$Q23="disolder","menempel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5" s="66" t="str">
        <f aca="false">IF($A95="","",IF(Varian!$Z23="ya","bisa diganti dengan yang lebih besar",IF(Varian!$Z23="tidak","menempel, tidak bisa diganti","belum diketahui apakah bisa diganti")))</f>
        <v>bisa diganti dengan yang lebih besar</v>
      </c>
      <c r="K95" s="68" t="str">
        <f aca="false">IF($A95="","",IF(AND(Aturan!$C$30="",Aturan!$D$30=""),"Tidak dinilai",IF(C95="","Belum ada data",IF(C95&lt;IF(Aturan!$C$30="",0,Aturan!$C$30),"Kurang",IF(C95&gt;=IF(Aturan!$D$30="",Aturan!$C$30,Aturan!$D$30),"Nyaman","Cukup")))))</f>
        <v>Nyaman</v>
      </c>
      <c r="L95" s="68" t="str">
        <f aca="false">IF($A95="","",IF(AND(Aturan!$C$31="",Aturan!$D$31=""),"Tidak dinilai",IF(D95="","Belum ada data",IF(D95&lt;IF(Aturan!$C$31="",0,Aturan!$C$31),"Kurang",IF(D95&gt;=IF(Aturan!$D$31="",Aturan!$C$31,Aturan!$D$31),"Nyaman","Cukup")))))</f>
        <v>Tidak dinilai</v>
      </c>
      <c r="M95" s="68" t="str">
        <f aca="false">IF($A95="","",IF(AND(Aturan!$C$32="",Aturan!$D$32=""),"Tidak dinilai",IF(E95="","Belum ada data",IF(E95&lt;IF(Aturan!$C$32="",0,Aturan!$C$32),"Kurang",IF(E95&gt;=IF(Aturan!$D$32="",Aturan!$C$32,Aturan!$D$32),"Nyaman","Cukup")))))</f>
        <v>Nyaman</v>
      </c>
      <c r="N95" s="68" t="str">
        <f aca="false">IF($A95="","",IF(AND(Aturan!$C$33="",Aturan!$D$33=""),"Tidak dinilai",IF(F95="","Belum ada data",IF(F95&lt;IF(Aturan!$C$33="",0,Aturan!$C$33),"Kurang",IF(F95&gt;=IF(Aturan!$D$33="",Aturan!$C$33,Aturan!$D$33),"Nyaman","Cukup")))))</f>
        <v>Nyaman</v>
      </c>
      <c r="O95" s="68" t="str">
        <f aca="false">IF($A95="","",IF(AND(Aturan!$C$34="",Aturan!$D$34=""),"Tidak dinilai",IF(G95="","Belum ada data",IF(G95&lt;IF(Aturan!$C$34="",0,Aturan!$C$34),"Kurang",IF(G95&gt;=IF(Aturan!$D$34="",Aturan!$C$34,Aturan!$D$34),"Nyaman","Cukup")))))</f>
        <v>Tidak dinilai</v>
      </c>
      <c r="P95" s="68" t="str">
        <f aca="false">IF($A95="","",IF(AND(Aturan!$C$35="",Aturan!$D$35=""),"Tidak dinilai",IF(H95="","Belum ada data",IF(H95&lt;IF(Aturan!$C$35="",0,Aturan!$C$35),"Kurang",IF(H95&gt;=IF(Aturan!$D$35="",Aturan!$C$35,Aturan!$D$35),"Nyaman","Cukup")))))</f>
        <v>Tidak dinilai</v>
      </c>
      <c r="Q95" s="68" t="str">
        <f aca="false">IF($A95="","",IF(COUNTIF(K95:P95,"Tidak dinilai")=6,"Tidak dinilai",IF(COUNTIF(K95:P95,"Kurang")&gt;0,"Kurang cocok",IF(COUNTIF(K95:P95,"Belum ada data")&gt;0,"Data belum lengkap",IF(COUNTIF(K95:P95,"Cukup")&gt;0,"Bisa, dengan catatan","Cocok")))))</f>
        <v>Cocok</v>
      </c>
      <c r="R95" s="66" t="str">
        <f aca="false">IF($A95="","",IF(K95="Kurang","prosesor tingkat "&amp;C95&amp;" dari 5, di bawah batas minimal (tingkat "&amp;Aturan!$C$30&amp;")",IF(K95="Cukup","prosesor tingkat "&amp;C95&amp;" dari 5 cukup, nyamannya mulai tingkat "&amp;Aturan!$D$30,IF(K95="Belum ada data","tingkat prosesor belum diisi",""))))</f>
        <v/>
      </c>
      <c r="S95" s="66" t="str">
        <f aca="false">IF($A95="","",IF(L95="Kurang","grafis tingkat "&amp;D95&amp;" dari 5, di bawah batas minimal (tingkat "&amp;Aturan!$C$31&amp;")",IF(L95="Cukup","grafis tingkat "&amp;D95&amp;" dari 5 cukup, nyamannya mulai tingkat "&amp;Aturan!$D$31,IF(L95="Belum ada data","tingkat grafis belum diisi",""))))</f>
        <v/>
      </c>
      <c r="T95" s="66" t="str">
        <f aca="false">IF($A95="","",IF(M95="Kurang","RAM "&amp;E95&amp;" GB, di bawah batas minimal "&amp;Aturan!$C$32&amp;" GB ("&amp;I95&amp;")",IF(M95="Cukup","RAM "&amp;E95&amp;" GB cukup, nyamannya "&amp;Aturan!$D$32&amp;" GB atau lebih ("&amp;I95&amp;")",IF(M95="Belum ada data","ukuran RAM belum diisi",""))))</f>
        <v/>
      </c>
      <c r="U95" s="66" t="str">
        <f aca="false">IF($A95="","",IF(N95="Kurang","penyimpanan "&amp;F95&amp;" GB, di bawah batas minimal "&amp;Aturan!$C$33&amp;" GB ("&amp;J95&amp;")",IF(N95="Cukup","penyimpanan "&amp;F95&amp;" GB cukup, nyamannya "&amp;Aturan!$D$33&amp;" GB atau lebih ("&amp;J95&amp;")",IF(N95="Belum ada data","ukuran penyimpanan belum diisi",""))))</f>
        <v/>
      </c>
      <c r="V95" s="66" t="str">
        <f aca="false">IF($A95="","",IF(O95="Kurang","layar "&amp;Varian!$AG23&amp;", di bawah batas minimal ("&amp;IFERROR(INDEX(Aturan!$A$63:$A$66,MATCH(Aturan!$C$34,Aturan!$B$63:$B$66,0)),"peringkat "&amp;Aturan!$C$34)&amp;")",IF(O95="Cukup","layar "&amp;Varian!$AG23&amp;" cukup, nyamannya "&amp;IFERROR(INDEX(Aturan!$A$63:$A$66,MATCH(Aturan!$D$34,Aturan!$B$63:$B$66,0)),"peringkat "&amp;Aturan!$D$34),IF(O95="Belum ada data","jenis layar belum diketahui",""))))</f>
        <v/>
      </c>
      <c r="W95" s="66" t="str">
        <f aca="false">IF($A95="","",IF(P95="Kurang","layar "&amp;H95&amp;" Hz, di bawah batas minimal "&amp;Aturan!$C$35&amp;" Hz",IF(P95="Cukup","layar "&amp;H95&amp;" Hz cukup, nyamannya "&amp;Aturan!$D$35&amp;" Hz atau lebih",IF(P95="Belum ada data","refresh rate belum diketahui",""))))</f>
        <v/>
      </c>
      <c r="X95" s="66" t="str">
        <f aca="false">IF($A95="","",IF(K95="Kurang",R95&amp;"; ","")&amp;IF(L95="Kurang",S95&amp;"; ","")&amp;IF(M95="Kurang",T95&amp;"; ","")&amp;IF(N95="Kurang",U95&amp;"; ","")&amp;IF(O95="Kurang",V95&amp;"; ","")&amp;IF(P95="Kurang",W95&amp;"; ","")&amp;IF(K95="Belum ada data",R95&amp;"; ","")&amp;IF(L95="Belum ada data",S95&amp;"; ","")&amp;IF(M95="Belum ada data",T95&amp;"; ","")&amp;IF(N95="Belum ada data",U95&amp;"; ","")&amp;IF(O95="Belum ada data",V95&amp;"; ","")&amp;IF(P95="Belum ada data",W95&amp;"; ","")&amp;IF(K95="Cukup",R95&amp;"; ","")&amp;IF(L95="Cukup",S95&amp;"; ","")&amp;IF(M95="Cukup",T95&amp;"; ","")&amp;IF(N95="Cukup",U95&amp;"; ","")&amp;IF(O95="Cukup",V95&amp;"; ","")&amp;IF(P95="Cukup",W95&amp;"; ",""))</f>
        <v/>
      </c>
      <c r="Y95" s="66" t="str">
        <f aca="false">IF($A95="","",IF(K95="Nyaman","prosesor, ","")&amp;IF(L95="Nyaman","grafis, ","")&amp;IF(M95="Nyaman","RAM, ","")&amp;IF(N95="Nyaman","penyimpanan, ","")&amp;IF(O95="Nyaman","layar, ","")&amp;IF(P95="Nyaman","refresh rate, ",""))</f>
        <v>prosesor, RAM, penyimpanan, </v>
      </c>
      <c r="Z95" s="66" t="str">
        <f aca="false">IF($A95="","",IF(Q95="Tidak dinilai","Belum ada kriteria yang dinilai untuk kebutuhan ini.",IF(Q95="Cocok","Semua kriteria yang dinilai sudah nyaman: "&amp;LEFT(Y95,LEN(Y95)-2)&amp;".",UPPER(LEFT(X95,1))&amp;MID(X95,2,LEN(X95)-3)&amp;"."&amp;IF(Y95="",""," Sudah nyaman: "&amp;LEFT(Y95,LEN(Y95)-2)&amp;"."))))</f>
        <v>Semua kriteria yang dinilai sudah nyaman: prosesor, RAM, penyimpanan.</v>
      </c>
      <c r="AA95" s="66" t="str">
        <f aca="false">IF($A95="","",IF(Varian!$AR23="Windows 10","• "&amp;Aturan!$E$71&amp;CHAR(10),"")&amp;IF(Varian!$BB23="tidak","• "&amp;Aturan!$E$72&amp;CHAR(10),"")&amp;IF(OR(Varian!$AD23="belum terverifikasi",Varian!$AD23="tidak diketahui"),"• "&amp;Aturan!$E$73&amp;CHAR(10),"")&amp;IF(Varian!$AH23="1366x768","• "&amp;Aturan!$E$74&amp;CHAR(10),"")&amp;IF(Varian!$AG23="TN","• "&amp;Aturan!$E$75&amp;CHAR(10),"")&amp;IF(AND(Varian!$Q23="disolder",ISNUMBER(Varian!$M23),Varian!$M23&lt;=8),"• "&amp;Aturan!$E$76&amp;CHAR(10),""))</f>
        <v/>
      </c>
      <c r="AB95" s="66" t="str">
        <f aca="false">IF($A95="","",IF(AA95="","",LEFT(AA95,LEN(AA95)-1)))</f>
        <v/>
      </c>
      <c r="AC95" s="67" t="n">
        <f aca="false">IF($A95="","",IF(AA95="",0,LEN(AA95)-LEN(SUBSTITUTE(AA95,CHAR(10),""))))</f>
        <v>0</v>
      </c>
    </row>
    <row r="96" customFormat="false" ht="15" hidden="false" customHeight="true" outlineLevel="0" collapsed="false">
      <c r="A96" s="33" t="str">
        <f aca="false">IF(Varian!$A23="","",Varian!$A23)</f>
        <v>lenovo-ideapad-slim-5-14irh10r-core5-210h-16-512</v>
      </c>
      <c r="B96" s="33" t="str">
        <f aca="false">IF($A96="","",Aturan!$A$22)</f>
        <v>Desain grafis</v>
      </c>
      <c r="C96" s="69" t="n">
        <f aca="false">IF($A96="","",IFERROR(IF(ISNUMBER(INDEX(CPU!$J$4:$J$64,MATCH(Varian!$J23,CPU!$A$4:$A$64,0))),INDEX(CPU!$J$4:$J$64,MATCH(Varian!$J23,CPU!$A$4:$A$64,0)),""),""))</f>
        <v>3</v>
      </c>
      <c r="D96" s="69" t="n">
        <f aca="false">IF($A96="","",IFERROR(IF(ISNUMBER(INDEX(GPU!$G$4:$G$64,MATCH(Varian!$K23,GPU!$A$4:$A$64,0))),INDEX(GPU!$G$4:$G$64,MATCH(Varian!$K23,GPU!$A$4:$A$64,0)),""),""))</f>
        <v>2</v>
      </c>
      <c r="E96" s="69" t="n">
        <f aca="false">IF($A96="","",IF(ISNUMBER(Varian!$M23),Varian!$M23,""))</f>
        <v>16</v>
      </c>
      <c r="F96" s="69" t="n">
        <f aca="false">IF($A96="","",IF(ISNUMBER(Varian!$V23),Varian!$V23,""))</f>
        <v>512</v>
      </c>
      <c r="G96" s="69" t="n">
        <f aca="false">IF($A96="","",IFERROR(INDEX(Aturan!$B$63:$B$66,MATCH(Varian!$AG23,Aturan!$A$63:$A$66,0)),""))</f>
        <v>4</v>
      </c>
      <c r="H96" s="69" t="n">
        <f aca="false">IF($A96="","",IF(ISNUMBER(Varian!$AI23),Varian!$AI23,""))</f>
        <v>60</v>
      </c>
      <c r="I96" s="33" t="str">
        <f aca="false">IF($A96="","",IF(Varian!$Q23="disolder","menempel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6" s="33" t="str">
        <f aca="false">IF($A96="","",IF(Varian!$Z23="ya","bisa diganti dengan yang lebih besar",IF(Varian!$Z23="tidak","menempel, tidak bisa diganti","belum diketahui apakah bisa diganti")))</f>
        <v>bisa diganti dengan yang lebih besar</v>
      </c>
      <c r="K96" s="70" t="str">
        <f aca="false">IF($A96="","",IF(AND(Aturan!$C$36="",Aturan!$D$36=""),"Tidak dinilai",IF(C96="","Belum ada data",IF(C96&lt;IF(Aturan!$C$36="",0,Aturan!$C$36),"Kurang",IF(C96&gt;=IF(Aturan!$D$36="",Aturan!$C$36,Aturan!$D$36),"Nyaman","Cukup")))))</f>
        <v>Nyaman</v>
      </c>
      <c r="L96" s="70" t="str">
        <f aca="false">IF($A96="","",IF(AND(Aturan!$C$37="",Aturan!$D$37=""),"Tidak dinilai",IF(D96="","Belum ada data",IF(D96&lt;IF(Aturan!$C$37="",0,Aturan!$C$37),"Kurang",IF(D96&gt;=IF(Aturan!$D$37="",Aturan!$C$37,Aturan!$D$37),"Nyaman","Cukup")))))</f>
        <v>Nyaman</v>
      </c>
      <c r="M96" s="70" t="str">
        <f aca="false">IF($A96="","",IF(AND(Aturan!$C$38="",Aturan!$D$38=""),"Tidak dinilai",IF(E96="","Belum ada data",IF(E96&lt;IF(Aturan!$C$38="",0,Aturan!$C$38),"Kurang",IF(E96&gt;=IF(Aturan!$D$38="",Aturan!$C$38,Aturan!$D$38),"Nyaman","Cukup")))))</f>
        <v>Nyaman</v>
      </c>
      <c r="N96" s="70" t="str">
        <f aca="false">IF($A96="","",IF(AND(Aturan!$C$39="",Aturan!$D$39=""),"Tidak dinilai",IF(F96="","Belum ada data",IF(F96&lt;IF(Aturan!$C$39="",0,Aturan!$C$39),"Kurang",IF(F96&gt;=IF(Aturan!$D$39="",Aturan!$C$39,Aturan!$D$39),"Nyaman","Cukup")))))</f>
        <v>Nyaman</v>
      </c>
      <c r="O96" s="70" t="str">
        <f aca="false">IF($A96="","",IF(AND(Aturan!$C$40="",Aturan!$D$40=""),"Tidak dinilai",IF(G96="","Belum ada data",IF(G96&lt;IF(Aturan!$C$40="",0,Aturan!$C$40),"Kurang",IF(G96&gt;=IF(Aturan!$D$40="",Aturan!$C$40,Aturan!$D$40),"Nyaman","Cukup")))))</f>
        <v>Nyaman</v>
      </c>
      <c r="P96" s="70" t="str">
        <f aca="false">IF($A96="","",IF(AND(Aturan!$C$41="",Aturan!$D$41=""),"Tidak dinilai",IF(H96="","Belum ada data",IF(H96&lt;IF(Aturan!$C$41="",0,Aturan!$C$41),"Kurang",IF(H96&gt;=IF(Aturan!$D$41="",Aturan!$C$41,Aturan!$D$41),"Nyaman","Cukup")))))</f>
        <v>Tidak dinilai</v>
      </c>
      <c r="Q96" s="70" t="str">
        <f aca="false">IF($A96="","",IF(COUNTIF(K96:P96,"Tidak dinilai")=6,"Tidak dinilai",IF(COUNTIF(K96:P96,"Kurang")&gt;0,"Kurang cocok",IF(COUNTIF(K96:P96,"Belum ada data")&gt;0,"Data belum lengkap",IF(COUNTIF(K96:P96,"Cukup")&gt;0,"Bisa, dengan catatan","Cocok")))))</f>
        <v>Cocok</v>
      </c>
      <c r="R96" s="33" t="str">
        <f aca="false">IF($A96="","",IF(K96="Kurang","prosesor tingkat "&amp;C96&amp;" dari 5, di bawah batas minimal (tingkat "&amp;Aturan!$C$36&amp;")",IF(K96="Cukup","prosesor tingkat "&amp;C96&amp;" dari 5 cukup, nyamannya mulai tingkat "&amp;Aturan!$D$36,IF(K96="Belum ada data","tingkat prosesor belum diisi",""))))</f>
        <v/>
      </c>
      <c r="S96" s="33" t="str">
        <f aca="false">IF($A96="","",IF(L96="Kurang","grafis tingkat "&amp;D96&amp;" dari 5, di bawah batas minimal (tingkat "&amp;Aturan!$C$37&amp;")",IF(L96="Cukup","grafis tingkat "&amp;D96&amp;" dari 5 cukup, nyamannya mulai tingkat "&amp;Aturan!$D$37,IF(L96="Belum ada data","tingkat grafis belum diisi",""))))</f>
        <v/>
      </c>
      <c r="T96" s="33" t="str">
        <f aca="false">IF($A96="","",IF(M96="Kurang","RAM "&amp;E96&amp;" GB, di bawah batas minimal "&amp;Aturan!$C$38&amp;" GB ("&amp;I96&amp;")",IF(M96="Cukup","RAM "&amp;E96&amp;" GB cukup, nyamannya "&amp;Aturan!$D$38&amp;" GB atau lebih ("&amp;I96&amp;")",IF(M96="Belum ada data","ukuran RAM belum diisi",""))))</f>
        <v/>
      </c>
      <c r="U96" s="33" t="str">
        <f aca="false">IF($A96="","",IF(N96="Kurang","penyimpanan "&amp;F96&amp;" GB, di bawah batas minimal "&amp;Aturan!$C$39&amp;" GB ("&amp;J96&amp;")",IF(N96="Cukup","penyimpanan "&amp;F96&amp;" GB cukup, nyamannya "&amp;Aturan!$D$39&amp;" GB atau lebih ("&amp;J96&amp;")",IF(N96="Belum ada data","ukuran penyimpanan belum diisi",""))))</f>
        <v/>
      </c>
      <c r="V96" s="33" t="str">
        <f aca="false">IF($A96="","",IF(O96="Kurang","layar "&amp;Varian!$AG23&amp;", di bawah batas minimal ("&amp;IFERROR(INDEX(Aturan!$A$63:$A$66,MATCH(Aturan!$C$40,Aturan!$B$63:$B$66,0)),"peringkat "&amp;Aturan!$C$40)&amp;")",IF(O96="Cukup","layar "&amp;Varian!$AG23&amp;" cukup, nyamannya "&amp;IFERROR(INDEX(Aturan!$A$63:$A$66,MATCH(Aturan!$D$40,Aturan!$B$63:$B$66,0)),"peringkat "&amp;Aturan!$D$40),IF(O96="Belum ada data","jenis layar belum diketahui",""))))</f>
        <v/>
      </c>
      <c r="W96" s="33" t="str">
        <f aca="false">IF($A96="","",IF(P96="Kurang","layar "&amp;H96&amp;" Hz, di bawah batas minimal "&amp;Aturan!$C$41&amp;" Hz",IF(P96="Cukup","layar "&amp;H96&amp;" Hz cukup, nyamannya "&amp;Aturan!$D$41&amp;" Hz atau lebih",IF(P96="Belum ada data","refresh rate belum diketahui",""))))</f>
        <v/>
      </c>
      <c r="X96" s="33" t="str">
        <f aca="false">IF($A96="","",IF(K96="Kurang",R96&amp;"; ","")&amp;IF(L96="Kurang",S96&amp;"; ","")&amp;IF(M96="Kurang",T96&amp;"; ","")&amp;IF(N96="Kurang",U96&amp;"; ","")&amp;IF(O96="Kurang",V96&amp;"; ","")&amp;IF(P96="Kurang",W96&amp;"; ","")&amp;IF(K96="Belum ada data",R96&amp;"; ","")&amp;IF(L96="Belum ada data",S96&amp;"; ","")&amp;IF(M96="Belum ada data",T96&amp;"; ","")&amp;IF(N96="Belum ada data",U96&amp;"; ","")&amp;IF(O96="Belum ada data",V96&amp;"; ","")&amp;IF(P96="Belum ada data",W96&amp;"; ","")&amp;IF(K96="Cukup",R96&amp;"; ","")&amp;IF(L96="Cukup",S96&amp;"; ","")&amp;IF(M96="Cukup",T96&amp;"; ","")&amp;IF(N96="Cukup",U96&amp;"; ","")&amp;IF(O96="Cukup",V96&amp;"; ","")&amp;IF(P96="Cukup",W96&amp;"; ",""))</f>
        <v/>
      </c>
      <c r="Y96" s="33" t="str">
        <f aca="false">IF($A96="","",IF(K96="Nyaman","prosesor, ","")&amp;IF(L96="Nyaman","grafis, ","")&amp;IF(M96="Nyaman","RAM, ","")&amp;IF(N96="Nyaman","penyimpanan, ","")&amp;IF(O96="Nyaman","layar, ","")&amp;IF(P96="Nyaman","refresh rate, ",""))</f>
        <v>prosesor, grafis, RAM, penyimpanan, layar, </v>
      </c>
      <c r="Z96" s="33" t="str">
        <f aca="false">IF($A96="","",IF(Q96="Tidak dinilai","Belum ada kriteria yang dinilai untuk kebutuhan ini.",IF(Q96="Cocok","Semua kriteria yang dinilai sudah nyaman: "&amp;LEFT(Y96,LEN(Y96)-2)&amp;".",UPPER(LEFT(X96,1))&amp;MID(X96,2,LEN(X96)-3)&amp;"."&amp;IF(Y96="",""," Sudah nyaman: "&amp;LEFT(Y96,LEN(Y96)-2)&amp;"."))))</f>
        <v>Semua kriteria yang dinilai sudah nyaman: prosesor, grafis, RAM, penyimpanan, layar.</v>
      </c>
      <c r="AA96" s="33"/>
      <c r="AB96" s="33"/>
      <c r="AC96" s="69"/>
    </row>
    <row r="97" customFormat="false" ht="15" hidden="false" customHeight="true" outlineLevel="0" collapsed="false">
      <c r="A97" s="33" t="str">
        <f aca="false">IF(Varian!$A23="","",Varian!$A23)</f>
        <v>lenovo-ideapad-slim-5-14irh10r-core5-210h-16-512</v>
      </c>
      <c r="B97" s="33" t="str">
        <f aca="false">IF($A97="","",Aturan!$A$23)</f>
        <v>Pemrograman</v>
      </c>
      <c r="C97" s="69" t="n">
        <f aca="false">IF($A97="","",IFERROR(IF(ISNUMBER(INDEX(CPU!$J$4:$J$64,MATCH(Varian!$J23,CPU!$A$4:$A$64,0))),INDEX(CPU!$J$4:$J$64,MATCH(Varian!$J23,CPU!$A$4:$A$64,0)),""),""))</f>
        <v>3</v>
      </c>
      <c r="D97" s="69" t="n">
        <f aca="false">IF($A97="","",IFERROR(IF(ISNUMBER(INDEX(GPU!$G$4:$G$64,MATCH(Varian!$K23,GPU!$A$4:$A$64,0))),INDEX(GPU!$G$4:$G$64,MATCH(Varian!$K23,GPU!$A$4:$A$64,0)),""),""))</f>
        <v>2</v>
      </c>
      <c r="E97" s="69" t="n">
        <f aca="false">IF($A97="","",IF(ISNUMBER(Varian!$M23),Varian!$M23,""))</f>
        <v>16</v>
      </c>
      <c r="F97" s="69" t="n">
        <f aca="false">IF($A97="","",IF(ISNUMBER(Varian!$V23),Varian!$V23,""))</f>
        <v>512</v>
      </c>
      <c r="G97" s="69" t="n">
        <f aca="false">IF($A97="","",IFERROR(INDEX(Aturan!$B$63:$B$66,MATCH(Varian!$AG23,Aturan!$A$63:$A$66,0)),""))</f>
        <v>4</v>
      </c>
      <c r="H97" s="69" t="n">
        <f aca="false">IF($A97="","",IF(ISNUMBER(Varian!$AI23),Varian!$AI23,""))</f>
        <v>60</v>
      </c>
      <c r="I97" s="33" t="str">
        <f aca="false">IF($A97="","",IF(Varian!$Q23="disolder","menempel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7" s="33" t="str">
        <f aca="false">IF($A97="","",IF(Varian!$Z23="ya","bisa diganti dengan yang lebih besar",IF(Varian!$Z23="tidak","menempel, tidak bisa diganti","belum diketahui apakah bisa diganti")))</f>
        <v>bisa diganti dengan yang lebih besar</v>
      </c>
      <c r="K97" s="70" t="str">
        <f aca="false">IF($A97="","",IF(AND(Aturan!$C$42="",Aturan!$D$42=""),"Tidak dinilai",IF(C97="","Belum ada data",IF(C97&lt;IF(Aturan!$C$42="",0,Aturan!$C$42),"Kurang",IF(C97&gt;=IF(Aturan!$D$42="",Aturan!$C$42,Aturan!$D$42),"Nyaman","Cukup")))))</f>
        <v>Nyaman</v>
      </c>
      <c r="L97" s="70" t="str">
        <f aca="false">IF($A97="","",IF(AND(Aturan!$C$43="",Aturan!$D$43=""),"Tidak dinilai",IF(D97="","Belum ada data",IF(D97&lt;IF(Aturan!$C$43="",0,Aturan!$C$43),"Kurang",IF(D97&gt;=IF(Aturan!$D$43="",Aturan!$C$43,Aturan!$D$43),"Nyaman","Cukup")))))</f>
        <v>Tidak dinilai</v>
      </c>
      <c r="M97" s="70" t="str">
        <f aca="false">IF($A97="","",IF(AND(Aturan!$C$44="",Aturan!$D$44=""),"Tidak dinilai",IF(E97="","Belum ada data",IF(E97&lt;IF(Aturan!$C$44="",0,Aturan!$C$44),"Kurang",IF(E97&gt;=IF(Aturan!$D$44="",Aturan!$C$44,Aturan!$D$44),"Nyaman","Cukup")))))</f>
        <v>Nyaman</v>
      </c>
      <c r="N97" s="70" t="str">
        <f aca="false">IF($A97="","",IF(AND(Aturan!$C$45="",Aturan!$D$45=""),"Tidak dinilai",IF(F97="","Belum ada data",IF(F97&lt;IF(Aturan!$C$45="",0,Aturan!$C$45),"Kurang",IF(F97&gt;=IF(Aturan!$D$45="",Aturan!$C$45,Aturan!$D$45),"Nyaman","Cukup")))))</f>
        <v>Nyaman</v>
      </c>
      <c r="O97" s="70" t="str">
        <f aca="false">IF($A97="","",IF(AND(Aturan!$C$46="",Aturan!$D$46=""),"Tidak dinilai",IF(G97="","Belum ada data",IF(G97&lt;IF(Aturan!$C$46="",0,Aturan!$C$46),"Kurang",IF(G97&gt;=IF(Aturan!$D$46="",Aturan!$C$46,Aturan!$D$46),"Nyaman","Cukup")))))</f>
        <v>Tidak dinilai</v>
      </c>
      <c r="P97" s="70" t="str">
        <f aca="false">IF($A97="","",IF(AND(Aturan!$C$47="",Aturan!$D$47=""),"Tidak dinilai",IF(H97="","Belum ada data",IF(H97&lt;IF(Aturan!$C$47="",0,Aturan!$C$47),"Kurang",IF(H97&gt;=IF(Aturan!$D$47="",Aturan!$C$47,Aturan!$D$47),"Nyaman","Cukup")))))</f>
        <v>Tidak dinilai</v>
      </c>
      <c r="Q97" s="70" t="str">
        <f aca="false">IF($A97="","",IF(COUNTIF(K97:P97,"Tidak dinilai")=6,"Tidak dinilai",IF(COUNTIF(K97:P97,"Kurang")&gt;0,"Kurang cocok",IF(COUNTIF(K97:P97,"Belum ada data")&gt;0,"Data belum lengkap",IF(COUNTIF(K97:P97,"Cukup")&gt;0,"Bisa, dengan catatan","Cocok")))))</f>
        <v>Cocok</v>
      </c>
      <c r="R97" s="33" t="str">
        <f aca="false">IF($A97="","",IF(K97="Kurang","prosesor tingkat "&amp;C97&amp;" dari 5, di bawah batas minimal (tingkat "&amp;Aturan!$C$42&amp;")",IF(K97="Cukup","prosesor tingkat "&amp;C97&amp;" dari 5 cukup, nyamannya mulai tingkat "&amp;Aturan!$D$42,IF(K97="Belum ada data","tingkat prosesor belum diisi",""))))</f>
        <v/>
      </c>
      <c r="S97" s="33" t="str">
        <f aca="false">IF($A97="","",IF(L97="Kurang","grafis tingkat "&amp;D97&amp;" dari 5, di bawah batas minimal (tingkat "&amp;Aturan!$C$43&amp;")",IF(L97="Cukup","grafis tingkat "&amp;D97&amp;" dari 5 cukup, nyamannya mulai tingkat "&amp;Aturan!$D$43,IF(L97="Belum ada data","tingkat grafis belum diisi",""))))</f>
        <v/>
      </c>
      <c r="T97" s="33" t="str">
        <f aca="false">IF($A97="","",IF(M97="Kurang","RAM "&amp;E97&amp;" GB, di bawah batas minimal "&amp;Aturan!$C$44&amp;" GB ("&amp;I97&amp;")",IF(M97="Cukup","RAM "&amp;E97&amp;" GB cukup, nyamannya "&amp;Aturan!$D$44&amp;" GB atau lebih ("&amp;I97&amp;")",IF(M97="Belum ada data","ukuran RAM belum diisi",""))))</f>
        <v/>
      </c>
      <c r="U97" s="33" t="str">
        <f aca="false">IF($A97="","",IF(N97="Kurang","penyimpanan "&amp;F97&amp;" GB, di bawah batas minimal "&amp;Aturan!$C$45&amp;" GB ("&amp;J97&amp;")",IF(N97="Cukup","penyimpanan "&amp;F97&amp;" GB cukup, nyamannya "&amp;Aturan!$D$45&amp;" GB atau lebih ("&amp;J97&amp;")",IF(N97="Belum ada data","ukuran penyimpanan belum diisi",""))))</f>
        <v/>
      </c>
      <c r="V97" s="33" t="str">
        <f aca="false">IF($A97="","",IF(O97="Kurang","layar "&amp;Varian!$AG23&amp;", di bawah batas minimal ("&amp;IFERROR(INDEX(Aturan!$A$63:$A$66,MATCH(Aturan!$C$46,Aturan!$B$63:$B$66,0)),"peringkat "&amp;Aturan!$C$46)&amp;")",IF(O97="Cukup","layar "&amp;Varian!$AG23&amp;" cukup, nyamannya "&amp;IFERROR(INDEX(Aturan!$A$63:$A$66,MATCH(Aturan!$D$46,Aturan!$B$63:$B$66,0)),"peringkat "&amp;Aturan!$D$46),IF(O97="Belum ada data","jenis layar belum diketahui",""))))</f>
        <v/>
      </c>
      <c r="W97" s="33" t="str">
        <f aca="false">IF($A97="","",IF(P97="Kurang","layar "&amp;H97&amp;" Hz, di bawah batas minimal "&amp;Aturan!$C$47&amp;" Hz",IF(P97="Cukup","layar "&amp;H97&amp;" Hz cukup, nyamannya "&amp;Aturan!$D$47&amp;" Hz atau lebih",IF(P97="Belum ada data","refresh rate belum diketahui",""))))</f>
        <v/>
      </c>
      <c r="X97" s="33" t="str">
        <f aca="false">IF($A97="","",IF(K97="Kurang",R97&amp;"; ","")&amp;IF(L97="Kurang",S97&amp;"; ","")&amp;IF(M97="Kurang",T97&amp;"; ","")&amp;IF(N97="Kurang",U97&amp;"; ","")&amp;IF(O97="Kurang",V97&amp;"; ","")&amp;IF(P97="Kurang",W97&amp;"; ","")&amp;IF(K97="Belum ada data",R97&amp;"; ","")&amp;IF(L97="Belum ada data",S97&amp;"; ","")&amp;IF(M97="Belum ada data",T97&amp;"; ","")&amp;IF(N97="Belum ada data",U97&amp;"; ","")&amp;IF(O97="Belum ada data",V97&amp;"; ","")&amp;IF(P97="Belum ada data",W97&amp;"; ","")&amp;IF(K97="Cukup",R97&amp;"; ","")&amp;IF(L97="Cukup",S97&amp;"; ","")&amp;IF(M97="Cukup",T97&amp;"; ","")&amp;IF(N97="Cukup",U97&amp;"; ","")&amp;IF(O97="Cukup",V97&amp;"; ","")&amp;IF(P97="Cukup",W97&amp;"; ",""))</f>
        <v/>
      </c>
      <c r="Y97" s="33" t="str">
        <f aca="false">IF($A97="","",IF(K97="Nyaman","prosesor, ","")&amp;IF(L97="Nyaman","grafis, ","")&amp;IF(M97="Nyaman","RAM, ","")&amp;IF(N97="Nyaman","penyimpanan, ","")&amp;IF(O97="Nyaman","layar, ","")&amp;IF(P97="Nyaman","refresh rate, ",""))</f>
        <v>prosesor, RAM, penyimpanan, </v>
      </c>
      <c r="Z97" s="33" t="str">
        <f aca="false">IF($A97="","",IF(Q97="Tidak dinilai","Belum ada kriteria yang dinilai untuk kebutuhan ini.",IF(Q97="Cocok","Semua kriteria yang dinilai sudah nyaman: "&amp;LEFT(Y97,LEN(Y97)-2)&amp;".",UPPER(LEFT(X97,1))&amp;MID(X97,2,LEN(X97)-3)&amp;"."&amp;IF(Y97="",""," Sudah nyaman: "&amp;LEFT(Y97,LEN(Y97)-2)&amp;"."))))</f>
        <v>Semua kriteria yang dinilai sudah nyaman: prosesor, RAM, penyimpanan.</v>
      </c>
      <c r="AA97" s="33"/>
      <c r="AB97" s="33"/>
      <c r="AC97" s="69"/>
    </row>
    <row r="98" customFormat="false" ht="15" hidden="false" customHeight="true" outlineLevel="0" collapsed="false">
      <c r="A98" s="33" t="str">
        <f aca="false">IF(Varian!$A23="","",Varian!$A23)</f>
        <v>lenovo-ideapad-slim-5-14irh10r-core5-210h-16-512</v>
      </c>
      <c r="B98" s="33" t="str">
        <f aca="false">IF($A98="","",Aturan!$A$24)</f>
        <v>Game ringan</v>
      </c>
      <c r="C98" s="69" t="n">
        <f aca="false">IF($A98="","",IFERROR(IF(ISNUMBER(INDEX(CPU!$J$4:$J$64,MATCH(Varian!$J23,CPU!$A$4:$A$64,0))),INDEX(CPU!$J$4:$J$64,MATCH(Varian!$J23,CPU!$A$4:$A$64,0)),""),""))</f>
        <v>3</v>
      </c>
      <c r="D98" s="69" t="n">
        <f aca="false">IF($A98="","",IFERROR(IF(ISNUMBER(INDEX(GPU!$G$4:$G$64,MATCH(Varian!$K23,GPU!$A$4:$A$64,0))),INDEX(GPU!$G$4:$G$64,MATCH(Varian!$K23,GPU!$A$4:$A$64,0)),""),""))</f>
        <v>2</v>
      </c>
      <c r="E98" s="69" t="n">
        <f aca="false">IF($A98="","",IF(ISNUMBER(Varian!$M23),Varian!$M23,""))</f>
        <v>16</v>
      </c>
      <c r="F98" s="69" t="n">
        <f aca="false">IF($A98="","",IF(ISNUMBER(Varian!$V23),Varian!$V23,""))</f>
        <v>512</v>
      </c>
      <c r="G98" s="69" t="n">
        <f aca="false">IF($A98="","",IFERROR(INDEX(Aturan!$B$63:$B$66,MATCH(Varian!$AG23,Aturan!$A$63:$A$66,0)),""))</f>
        <v>4</v>
      </c>
      <c r="H98" s="69" t="n">
        <f aca="false">IF($A98="","",IF(ISNUMBER(Varian!$AI23),Varian!$AI23,""))</f>
        <v>60</v>
      </c>
      <c r="I98" s="33" t="str">
        <f aca="false">IF($A98="","",IF(Varian!$Q23="disolder","menempel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8" s="33" t="str">
        <f aca="false">IF($A98="","",IF(Varian!$Z23="ya","bisa diganti dengan yang lebih besar",IF(Varian!$Z23="tidak","menempel, tidak bisa diganti","belum diketahui apakah bisa diganti")))</f>
        <v>bisa diganti dengan yang lebih besar</v>
      </c>
      <c r="K98" s="70" t="str">
        <f aca="false">IF($A98="","",IF(AND(Aturan!$C$48="",Aturan!$D$48=""),"Tidak dinilai",IF(C98="","Belum ada data",IF(C98&lt;IF(Aturan!$C$48="",0,Aturan!$C$48),"Kurang",IF(C98&gt;=IF(Aturan!$D$48="",Aturan!$C$48,Aturan!$D$48),"Nyaman","Cukup")))))</f>
        <v>Nyaman</v>
      </c>
      <c r="L98" s="70" t="str">
        <f aca="false">IF($A98="","",IF(AND(Aturan!$C$49="",Aturan!$D$49=""),"Tidak dinilai",IF(D98="","Belum ada data",IF(D98&lt;IF(Aturan!$C$49="",0,Aturan!$C$49),"Kurang",IF(D98&gt;=IF(Aturan!$D$49="",Aturan!$C$49,Aturan!$D$49),"Nyaman","Cukup")))))</f>
        <v>Nyaman</v>
      </c>
      <c r="M98" s="70" t="str">
        <f aca="false">IF($A98="","",IF(AND(Aturan!$C$50="",Aturan!$D$50=""),"Tidak dinilai",IF(E98="","Belum ada data",IF(E98&lt;IF(Aturan!$C$50="",0,Aturan!$C$50),"Kurang",IF(E98&gt;=IF(Aturan!$D$50="",Aturan!$C$50,Aturan!$D$50),"Nyaman","Cukup")))))</f>
        <v>Nyaman</v>
      </c>
      <c r="N98" s="70" t="str">
        <f aca="false">IF($A98="","",IF(AND(Aturan!$C$51="",Aturan!$D$51=""),"Tidak dinilai",IF(F98="","Belum ada data",IF(F98&lt;IF(Aturan!$C$51="",0,Aturan!$C$51),"Kurang",IF(F98&gt;=IF(Aturan!$D$51="",Aturan!$C$51,Aturan!$D$51),"Nyaman","Cukup")))))</f>
        <v>Nyaman</v>
      </c>
      <c r="O98" s="70" t="str">
        <f aca="false">IF($A98="","",IF(AND(Aturan!$C$52="",Aturan!$D$52=""),"Tidak dinilai",IF(G98="","Belum ada data",IF(G98&lt;IF(Aturan!$C$52="",0,Aturan!$C$52),"Kurang",IF(G98&gt;=IF(Aturan!$D$52="",Aturan!$C$52,Aturan!$D$52),"Nyaman","Cukup")))))</f>
        <v>Tidak dinilai</v>
      </c>
      <c r="P98" s="70" t="str">
        <f aca="false">IF($A98="","",IF(AND(Aturan!$C$53="",Aturan!$D$53=""),"Tidak dinilai",IF(H98="","Belum ada data",IF(H98&lt;IF(Aturan!$C$53="",0,Aturan!$C$53),"Kurang",IF(H98&gt;=IF(Aturan!$D$53="",Aturan!$C$53,Aturan!$D$53),"Nyaman","Cukup")))))</f>
        <v>Tidak dinilai</v>
      </c>
      <c r="Q98" s="70" t="str">
        <f aca="false">IF($A98="","",IF(COUNTIF(K98:P98,"Tidak dinilai")=6,"Tidak dinilai",IF(COUNTIF(K98:P98,"Kurang")&gt;0,"Kurang cocok",IF(COUNTIF(K98:P98,"Belum ada data")&gt;0,"Data belum lengkap",IF(COUNTIF(K98:P98,"Cukup")&gt;0,"Bisa, dengan catatan","Cocok")))))</f>
        <v>Cocok</v>
      </c>
      <c r="R98" s="33" t="str">
        <f aca="false">IF($A98="","",IF(K98="Kurang","prosesor tingkat "&amp;C98&amp;" dari 5, di bawah batas minimal (tingkat "&amp;Aturan!$C$48&amp;")",IF(K98="Cukup","prosesor tingkat "&amp;C98&amp;" dari 5 cukup, nyamannya mulai tingkat "&amp;Aturan!$D$48,IF(K98="Belum ada data","tingkat prosesor belum diisi",""))))</f>
        <v/>
      </c>
      <c r="S98" s="33" t="str">
        <f aca="false">IF($A98="","",IF(L98="Kurang","grafis tingkat "&amp;D98&amp;" dari 5, di bawah batas minimal (tingkat "&amp;Aturan!$C$49&amp;")",IF(L98="Cukup","grafis tingkat "&amp;D98&amp;" dari 5 cukup, nyamannya mulai tingkat "&amp;Aturan!$D$49,IF(L98="Belum ada data","tingkat grafis belum diisi",""))))</f>
        <v/>
      </c>
      <c r="T98" s="33" t="str">
        <f aca="false">IF($A98="","",IF(M98="Kurang","RAM "&amp;E98&amp;" GB, di bawah batas minimal "&amp;Aturan!$C$50&amp;" GB ("&amp;I98&amp;")",IF(M98="Cukup","RAM "&amp;E98&amp;" GB cukup, nyamannya "&amp;Aturan!$D$50&amp;" GB atau lebih ("&amp;I98&amp;")",IF(M98="Belum ada data","ukuran RAM belum diisi",""))))</f>
        <v/>
      </c>
      <c r="U98" s="33" t="str">
        <f aca="false">IF($A98="","",IF(N98="Kurang","penyimpanan "&amp;F98&amp;" GB, di bawah batas minimal "&amp;Aturan!$C$51&amp;" GB ("&amp;J98&amp;")",IF(N98="Cukup","penyimpanan "&amp;F98&amp;" GB cukup, nyamannya "&amp;Aturan!$D$51&amp;" GB atau lebih ("&amp;J98&amp;")",IF(N98="Belum ada data","ukuran penyimpanan belum diisi",""))))</f>
        <v/>
      </c>
      <c r="V98" s="33" t="str">
        <f aca="false">IF($A98="","",IF(O98="Kurang","layar "&amp;Varian!$AG23&amp;", di bawah batas minimal ("&amp;IFERROR(INDEX(Aturan!$A$63:$A$66,MATCH(Aturan!$C$52,Aturan!$B$63:$B$66,0)),"peringkat "&amp;Aturan!$C$52)&amp;")",IF(O98="Cukup","layar "&amp;Varian!$AG23&amp;" cukup, nyamannya "&amp;IFERROR(INDEX(Aturan!$A$63:$A$66,MATCH(Aturan!$D$52,Aturan!$B$63:$B$66,0)),"peringkat "&amp;Aturan!$D$52),IF(O98="Belum ada data","jenis layar belum diketahui",""))))</f>
        <v/>
      </c>
      <c r="W98" s="33" t="str">
        <f aca="false">IF($A98="","",IF(P98="Kurang","layar "&amp;H98&amp;" Hz, di bawah batas minimal "&amp;Aturan!$C$53&amp;" Hz",IF(P98="Cukup","layar "&amp;H98&amp;" Hz cukup, nyamannya "&amp;Aturan!$D$53&amp;" Hz atau lebih",IF(P98="Belum ada data","refresh rate belum diketahui",""))))</f>
        <v/>
      </c>
      <c r="X98" s="33" t="str">
        <f aca="false">IF($A98="","",IF(K98="Kurang",R98&amp;"; ","")&amp;IF(L98="Kurang",S98&amp;"; ","")&amp;IF(M98="Kurang",T98&amp;"; ","")&amp;IF(N98="Kurang",U98&amp;"; ","")&amp;IF(O98="Kurang",V98&amp;"; ","")&amp;IF(P98="Kurang",W98&amp;"; ","")&amp;IF(K98="Belum ada data",R98&amp;"; ","")&amp;IF(L98="Belum ada data",S98&amp;"; ","")&amp;IF(M98="Belum ada data",T98&amp;"; ","")&amp;IF(N98="Belum ada data",U98&amp;"; ","")&amp;IF(O98="Belum ada data",V98&amp;"; ","")&amp;IF(P98="Belum ada data",W98&amp;"; ","")&amp;IF(K98="Cukup",R98&amp;"; ","")&amp;IF(L98="Cukup",S98&amp;"; ","")&amp;IF(M98="Cukup",T98&amp;"; ","")&amp;IF(N98="Cukup",U98&amp;"; ","")&amp;IF(O98="Cukup",V98&amp;"; ","")&amp;IF(P98="Cukup",W98&amp;"; ",""))</f>
        <v/>
      </c>
      <c r="Y98" s="33" t="str">
        <f aca="false">IF($A98="","",IF(K98="Nyaman","prosesor, ","")&amp;IF(L98="Nyaman","grafis, ","")&amp;IF(M98="Nyaman","RAM, ","")&amp;IF(N98="Nyaman","penyimpanan, ","")&amp;IF(O98="Nyaman","layar, ","")&amp;IF(P98="Nyaman","refresh rate, ",""))</f>
        <v>prosesor, grafis, RAM, penyimpanan, </v>
      </c>
      <c r="Z98" s="33" t="str">
        <f aca="false">IF($A98="","",IF(Q98="Tidak dinilai","Belum ada kriteria yang dinilai untuk kebutuhan ini.",IF(Q98="Cocok","Semua kriteria yang dinilai sudah nyaman: "&amp;LEFT(Y98,LEN(Y98)-2)&amp;".",UPPER(LEFT(X98,1))&amp;MID(X98,2,LEN(X98)-3)&amp;"."&amp;IF(Y98="",""," Sudah nyaman: "&amp;LEFT(Y98,LEN(Y98)-2)&amp;"."))))</f>
        <v>Semua kriteria yang dinilai sudah nyaman: prosesor, grafis, RAM, penyimpanan.</v>
      </c>
      <c r="AA98" s="33"/>
      <c r="AB98" s="33"/>
      <c r="AC98" s="69"/>
    </row>
    <row r="99" customFormat="false" ht="15" hidden="false" customHeight="true" outlineLevel="0" collapsed="false">
      <c r="A99" s="33" t="str">
        <f aca="false">IF(Varian!$A23="","",Varian!$A23)</f>
        <v>lenovo-ideapad-slim-5-14irh10r-core5-210h-16-512</v>
      </c>
      <c r="B99" s="33" t="str">
        <f aca="false">IF($A99="","",Aturan!$A$25)</f>
        <v>Game berat</v>
      </c>
      <c r="C99" s="69" t="n">
        <f aca="false">IF($A99="","",IFERROR(IF(ISNUMBER(INDEX(CPU!$J$4:$J$64,MATCH(Varian!$J23,CPU!$A$4:$A$64,0))),INDEX(CPU!$J$4:$J$64,MATCH(Varian!$J23,CPU!$A$4:$A$64,0)),""),""))</f>
        <v>3</v>
      </c>
      <c r="D99" s="69" t="n">
        <f aca="false">IF($A99="","",IFERROR(IF(ISNUMBER(INDEX(GPU!$G$4:$G$64,MATCH(Varian!$K23,GPU!$A$4:$A$64,0))),INDEX(GPU!$G$4:$G$64,MATCH(Varian!$K23,GPU!$A$4:$A$64,0)),""),""))</f>
        <v>2</v>
      </c>
      <c r="E99" s="69" t="n">
        <f aca="false">IF($A99="","",IF(ISNUMBER(Varian!$M23),Varian!$M23,""))</f>
        <v>16</v>
      </c>
      <c r="F99" s="69" t="n">
        <f aca="false">IF($A99="","",IF(ISNUMBER(Varian!$V23),Varian!$V23,""))</f>
        <v>512</v>
      </c>
      <c r="G99" s="69" t="n">
        <f aca="false">IF($A99="","",IFERROR(INDEX(Aturan!$B$63:$B$66,MATCH(Varian!$AG23,Aturan!$A$63:$A$66,0)),""))</f>
        <v>4</v>
      </c>
      <c r="H99" s="69" t="n">
        <f aca="false">IF($A99="","",IF(ISNUMBER(Varian!$AI23),Varian!$AI23,""))</f>
        <v>60</v>
      </c>
      <c r="I99" s="33" t="str">
        <f aca="false">IF($A99="","",IF(Varian!$Q23="disolder","menempel di papan utama, tidak bisa ditambah",IF(OR(Varian!$Q23="slot",Varian!$Q23="setengah_disolder"),IF(Varian!$Q23="setengah_disolder","sebagian menempel, ","")&amp;IF(ISNUMBER(Varian!$U23),IF(AND(ISNUMBER(Varian!$M23),Varian!$U23&gt;Varian!$M23),"bisa dinaikkan lewat slot sampai "&amp;Varian!$U23&amp;" GB","sudah di batas maksimal "&amp;Varian!$U23&amp;" GB"),"ada slot, batas maksimalnya belum diketahui"),"belum diketahui apakah bisa ditambah")))</f>
        <v>bisa dinaikkan lewat slot sampai 32 GB</v>
      </c>
      <c r="J99" s="33" t="str">
        <f aca="false">IF($A99="","",IF(Varian!$Z23="ya","bisa diganti dengan yang lebih besar",IF(Varian!$Z23="tidak","menempel, tidak bisa diganti","belum diketahui apakah bisa diganti")))</f>
        <v>bisa diganti dengan yang lebih besar</v>
      </c>
      <c r="K99" s="70" t="str">
        <f aca="false">IF($A99="","",IF(AND(Aturan!$C$54="",Aturan!$D$54=""),"Tidak dinilai",IF(C99="","Belum ada data",IF(C99&lt;IF(Aturan!$C$54="",0,Aturan!$C$54),"Kurang",IF(C99&gt;=IF(Aturan!$D$54="",Aturan!$C$54,Aturan!$D$54),"Nyaman","Cukup")))))</f>
        <v>Cukup</v>
      </c>
      <c r="L99" s="70" t="str">
        <f aca="false">IF($A99="","",IF(AND(Aturan!$C$55="",Aturan!$D$55=""),"Tidak dinilai",IF(D99="","Belum ada data",IF(D99&lt;IF(Aturan!$C$55="",0,Aturan!$C$55),"Kurang",IF(D99&gt;=IF(Aturan!$D$55="",Aturan!$C$55,Aturan!$D$55),"Nyaman","Cukup")))))</f>
        <v>Kurang</v>
      </c>
      <c r="M99" s="70" t="str">
        <f aca="false">IF($A99="","",IF(AND(Aturan!$C$56="",Aturan!$D$56=""),"Tidak dinilai",IF(E99="","Belum ada data",IF(E99&lt;IF(Aturan!$C$56="",0,Aturan!$C$56),"Kurang",IF(E99&gt;=IF(Aturan!$D$56="",Aturan!$C$56,Aturan!$D$56),"Nyaman","Cukup")))))</f>
        <v>Nyaman</v>
      </c>
      <c r="N99" s="70" t="str">
        <f aca="false">IF($A99="","",IF(AND(Aturan!$C$57="",Aturan!$D$57=""),"Tidak dinilai",IF(F99="","Belum ada data",IF(F99&lt;IF(Aturan!$C$57="",0,Aturan!$C$57),"Kurang",IF(F99&gt;=IF(Aturan!$D$57="",Aturan!$C$57,Aturan!$D$57),"Nyaman","Cukup")))))</f>
        <v>Cukup</v>
      </c>
      <c r="O99" s="70" t="str">
        <f aca="false">IF($A99="","",IF(AND(Aturan!$C$58="",Aturan!$D$58=""),"Tidak dinilai",IF(G99="","Belum ada data",IF(G99&lt;IF(Aturan!$C$58="",0,Aturan!$C$58),"Kurang",IF(G99&gt;=IF(Aturan!$D$58="",Aturan!$C$58,Aturan!$D$58),"Nyaman","Cukup")))))</f>
        <v>Tidak dinilai</v>
      </c>
      <c r="P99" s="70" t="str">
        <f aca="false">IF($A99="","",IF(AND(Aturan!$C$59="",Aturan!$D$59=""),"Tidak dinilai",IF(H99="","Belum ada data",IF(H99&lt;IF(Aturan!$C$59="",0,Aturan!$C$59),"Kurang",IF(H99&gt;=IF(Aturan!$D$59="",Aturan!$C$59,Aturan!$D$59),"Nyaman","Cukup")))))</f>
        <v>Cukup</v>
      </c>
      <c r="Q99" s="70" t="str">
        <f aca="false">IF($A99="","",IF(COUNTIF(K99:P99,"Tidak dinilai")=6,"Tidak dinilai",IF(COUNTIF(K99:P99,"Kurang")&gt;0,"Kurang cocok",IF(COUNTIF(K99:P99,"Belum ada data")&gt;0,"Data belum lengkap",IF(COUNTIF(K99:P99,"Cukup")&gt;0,"Bisa, dengan catatan","Cocok")))))</f>
        <v>Kurang cocok</v>
      </c>
      <c r="R99" s="33" t="str">
        <f aca="false">IF($A99="","",IF(K99="Kurang","prosesor tingkat "&amp;C99&amp;" dari 5, di bawah batas minimal (tingkat "&amp;Aturan!$C$54&amp;")",IF(K99="Cukup","prosesor tingkat "&amp;C99&amp;" dari 5 cukup, nyamannya mulai tingkat "&amp;Aturan!$D$54,IF(K99="Belum ada data","tingkat prosesor belum diisi",""))))</f>
        <v>prosesor tingkat 3 dari 5 cukup, nyamannya mulai tingkat 4</v>
      </c>
      <c r="S99" s="33" t="str">
        <f aca="false">IF($A99="","",IF(L99="Kurang","grafis tingkat "&amp;D99&amp;" dari 5, di bawah batas minimal (tingkat "&amp;Aturan!$C$55&amp;")",IF(L99="Cukup","grafis tingkat "&amp;D99&amp;" dari 5 cukup, nyamannya mulai tingkat "&amp;Aturan!$D$55,IF(L99="Belum ada data","tingkat grafis belum diisi",""))))</f>
        <v>grafis tingkat 2 dari 5, di bawah batas minimal (tingkat 3)</v>
      </c>
      <c r="T99" s="33" t="str">
        <f aca="false">IF($A99="","",IF(M99="Kurang","RAM "&amp;E99&amp;" GB, di bawah batas minimal "&amp;Aturan!$C$56&amp;" GB ("&amp;I99&amp;")",IF(M99="Cukup","RAM "&amp;E99&amp;" GB cukup, nyamannya "&amp;Aturan!$D$56&amp;" GB atau lebih ("&amp;I99&amp;")",IF(M99="Belum ada data","ukuran RAM belum diisi",""))))</f>
        <v/>
      </c>
      <c r="U99" s="33" t="str">
        <f aca="false">IF($A99="","",IF(N99="Kurang","penyimpanan "&amp;F99&amp;" GB, di bawah batas minimal "&amp;Aturan!$C$57&amp;" GB ("&amp;J99&amp;")",IF(N99="Cukup","penyimpanan "&amp;F99&amp;" GB cukup, nyamannya "&amp;Aturan!$D$57&amp;" GB atau lebih ("&amp;J99&amp;")",IF(N99="Belum ada data","ukuran penyimpanan belum diisi",""))))</f>
        <v>penyimpanan 512 GB cukup, nyamannya 1000 GB atau lebih (bisa diganti dengan yang lebih besar)</v>
      </c>
      <c r="V99" s="33" t="str">
        <f aca="false">IF($A99="","",IF(O99="Kurang","layar "&amp;Varian!$AG23&amp;", di bawah batas minimal ("&amp;IFERROR(INDEX(Aturan!$A$63:$A$66,MATCH(Aturan!$C$58,Aturan!$B$63:$B$66,0)),"peringkat "&amp;Aturan!$C$58)&amp;")",IF(O99="Cukup","layar "&amp;Varian!$AG23&amp;" cukup, nyamannya "&amp;IFERROR(INDEX(Aturan!$A$63:$A$66,MATCH(Aturan!$D$58,Aturan!$B$63:$B$66,0)),"peringkat "&amp;Aturan!$D$58),IF(O99="Belum ada data","jenis layar belum diketahui",""))))</f>
        <v/>
      </c>
      <c r="W99" s="33" t="str">
        <f aca="false">IF($A99="","",IF(P99="Kurang","layar "&amp;H99&amp;" Hz, di bawah batas minimal "&amp;Aturan!$C$59&amp;" Hz",IF(P99="Cukup","layar "&amp;H99&amp;" Hz cukup, nyamannya "&amp;Aturan!$D$59&amp;" Hz atau lebih",IF(P99="Belum ada data","refresh rate belum diketahui",""))))</f>
        <v>layar 60 Hz cukup, nyamannya 120 Hz atau lebih</v>
      </c>
      <c r="X99" s="33" t="str">
        <f aca="false">IF($A99="","",IF(K99="Kurang",R99&amp;"; ","")&amp;IF(L99="Kurang",S99&amp;"; ","")&amp;IF(M99="Kurang",T99&amp;"; ","")&amp;IF(N99="Kurang",U99&amp;"; ","")&amp;IF(O99="Kurang",V99&amp;"; ","")&amp;IF(P99="Kurang",W99&amp;"; ","")&amp;IF(K99="Belum ada data",R99&amp;"; ","")&amp;IF(L99="Belum ada data",S99&amp;"; ","")&amp;IF(M99="Belum ada data",T99&amp;"; ","")&amp;IF(N99="Belum ada data",U99&amp;"; ","")&amp;IF(O99="Belum ada data",V99&amp;"; ","")&amp;IF(P99="Belum ada data",W99&amp;"; ","")&amp;IF(K99="Cukup",R99&amp;"; ","")&amp;IF(L99="Cukup",S99&amp;"; ","")&amp;IF(M99="Cukup",T99&amp;"; ","")&amp;IF(N99="Cukup",U99&amp;"; ","")&amp;IF(O99="Cukup",V99&amp;"; ","")&amp;IF(P99="Cukup",W99&amp;"; ",""))</f>
        <v>grafis tingkat 2 dari 5, di bawah batas minimal (tingkat 3); prosesor tingkat 3 dari 5 cukup, nyamannya mulai tingkat 4; penyimpanan 512 GB cukup, nyamannya 1000 GB atau lebih (bisa diganti dengan yang lebih besar); layar 60 Hz cukup, nyamannya 120 Hz atau lebih; </v>
      </c>
      <c r="Y99" s="33" t="str">
        <f aca="false">IF($A99="","",IF(K99="Nyaman","prosesor, ","")&amp;IF(L99="Nyaman","grafis, ","")&amp;IF(M99="Nyaman","RAM, ","")&amp;IF(N99="Nyaman","penyimpanan, ","")&amp;IF(O99="Nyaman","layar, ","")&amp;IF(P99="Nyaman","refresh rate, ",""))</f>
        <v>RAM, </v>
      </c>
      <c r="Z99" s="33" t="str">
        <f aca="false">IF($A99="","",IF(Q99="Tidak dinilai","Belum ada kriteria yang dinilai untuk kebutuhan ini.",IF(Q99="Cocok","Semua kriteria yang dinilai sudah nyaman: "&amp;LEFT(Y99,LEN(Y99)-2)&amp;".",UPPER(LEFT(X99,1))&amp;MID(X99,2,LEN(X99)-3)&amp;"."&amp;IF(Y99="",""," Sudah nyaman: "&amp;LEFT(Y99,LEN(Y99)-2)&amp;"."))))</f>
        <v>Grafis tingkat 2 dari 5, di bawah batas minimal (tingkat 3); prosesor tingkat 3 dari 5 cukup, nyamannya mulai tingkat 4; penyimpanan 512 GB cukup, nyamannya 1000 GB atau lebih (bisa diganti dengan yang lebih besar); layar 60 Hz cukup, nyamannya 120 Hz atau lebih. Sudah nyaman: RAM.</v>
      </c>
      <c r="AA99" s="33"/>
      <c r="AB99" s="33"/>
      <c r="AC99" s="69"/>
    </row>
    <row r="100" customFormat="false" ht="15" hidden="false" customHeight="true" outlineLevel="0" collapsed="false">
      <c r="A100" s="66" t="str">
        <f aca="false">IF(Varian!$A24="","",Varian!$A24)</f>
        <v>lenovo-thinkbook-14-g9-ipl-u7-355-16-1tb</v>
      </c>
      <c r="B100" s="66" t="str">
        <f aca="false">IF($A100="","",Aturan!$A$21)</f>
        <v>Kuliah dan kantor</v>
      </c>
      <c r="C100" s="67" t="n">
        <f aca="false">IF($A100="","",IFERROR(IF(ISNUMBER(INDEX(CPU!$J$4:$J$64,MATCH(Varian!$J24,CPU!$A$4:$A$64,0))),INDEX(CPU!$J$4:$J$64,MATCH(Varian!$J24,CPU!$A$4:$A$64,0)),""),""))</f>
        <v>3</v>
      </c>
      <c r="D100" s="67" t="n">
        <f aca="false">IF($A100="","",IFERROR(IF(ISNUMBER(INDEX(GPU!$G$4:$G$64,MATCH(Varian!$K24,GPU!$A$4:$A$64,0))),INDEX(GPU!$G$4:$G$64,MATCH(Varian!$K24,GPU!$A$4:$A$64,0)),""),""))</f>
        <v>2</v>
      </c>
      <c r="E100" s="67" t="n">
        <f aca="false">IF($A100="","",IF(ISNUMBER(Varian!$M24),Varian!$M24,""))</f>
        <v>16</v>
      </c>
      <c r="F100" s="67" t="n">
        <f aca="false">IF($A100="","",IF(ISNUMBER(Varian!$V24),Varian!$V24,""))</f>
        <v>1024</v>
      </c>
      <c r="G100" s="67" t="n">
        <f aca="false">IF($A100="","",IFERROR(INDEX(Aturan!$B$63:$B$66,MATCH(Varian!$AG24,Aturan!$A$63:$A$66,0)),""))</f>
        <v>3</v>
      </c>
      <c r="H100" s="67" t="n">
        <f aca="false">IF($A100="","",IF(ISNUMBER(Varian!$AI24),Varian!$AI24,""))</f>
        <v>60</v>
      </c>
      <c r="I100" s="66" t="str">
        <f aca="false">IF($A100="","",IF(Varian!$Q24="disolder","menempel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0" s="66" t="str">
        <f aca="false">IF($A100="","",IF(Varian!$Z24="ya","bisa diganti dengan yang lebih besar",IF(Varian!$Z24="tidak","menempel, tidak bisa diganti","belum diketahui apakah bisa diganti")))</f>
        <v>bisa diganti dengan yang lebih besar</v>
      </c>
      <c r="K100" s="68" t="str">
        <f aca="false">IF($A100="","",IF(AND(Aturan!$C$30="",Aturan!$D$30=""),"Tidak dinilai",IF(C100="","Belum ada data",IF(C100&lt;IF(Aturan!$C$30="",0,Aturan!$C$30),"Kurang",IF(C100&gt;=IF(Aturan!$D$30="",Aturan!$C$30,Aturan!$D$30),"Nyaman","Cukup")))))</f>
        <v>Nyaman</v>
      </c>
      <c r="L100" s="68" t="str">
        <f aca="false">IF($A100="","",IF(AND(Aturan!$C$31="",Aturan!$D$31=""),"Tidak dinilai",IF(D100="","Belum ada data",IF(D100&lt;IF(Aturan!$C$31="",0,Aturan!$C$31),"Kurang",IF(D100&gt;=IF(Aturan!$D$31="",Aturan!$C$31,Aturan!$D$31),"Nyaman","Cukup")))))</f>
        <v>Tidak dinilai</v>
      </c>
      <c r="M100" s="68" t="str">
        <f aca="false">IF($A100="","",IF(AND(Aturan!$C$32="",Aturan!$D$32=""),"Tidak dinilai",IF(E100="","Belum ada data",IF(E100&lt;IF(Aturan!$C$32="",0,Aturan!$C$32),"Kurang",IF(E100&gt;=IF(Aturan!$D$32="",Aturan!$C$32,Aturan!$D$32),"Nyaman","Cukup")))))</f>
        <v>Nyaman</v>
      </c>
      <c r="N100" s="68" t="str">
        <f aca="false">IF($A100="","",IF(AND(Aturan!$C$33="",Aturan!$D$33=""),"Tidak dinilai",IF(F100="","Belum ada data",IF(F100&lt;IF(Aturan!$C$33="",0,Aturan!$C$33),"Kurang",IF(F100&gt;=IF(Aturan!$D$33="",Aturan!$C$33,Aturan!$D$33),"Nyaman","Cukup")))))</f>
        <v>Nyaman</v>
      </c>
      <c r="O100" s="68" t="str">
        <f aca="false">IF($A100="","",IF(AND(Aturan!$C$34="",Aturan!$D$34=""),"Tidak dinilai",IF(G100="","Belum ada data",IF(G100&lt;IF(Aturan!$C$34="",0,Aturan!$C$34),"Kurang",IF(G100&gt;=IF(Aturan!$D$34="",Aturan!$C$34,Aturan!$D$34),"Nyaman","Cukup")))))</f>
        <v>Tidak dinilai</v>
      </c>
      <c r="P100" s="68" t="str">
        <f aca="false">IF($A100="","",IF(AND(Aturan!$C$35="",Aturan!$D$35=""),"Tidak dinilai",IF(H100="","Belum ada data",IF(H100&lt;IF(Aturan!$C$35="",0,Aturan!$C$35),"Kurang",IF(H100&gt;=IF(Aturan!$D$35="",Aturan!$C$35,Aturan!$D$35),"Nyaman","Cukup")))))</f>
        <v>Tidak dinilai</v>
      </c>
      <c r="Q100" s="68" t="str">
        <f aca="false">IF($A100="","",IF(COUNTIF(K100:P100,"Tidak dinilai")=6,"Tidak dinilai",IF(COUNTIF(K100:P100,"Kurang")&gt;0,"Kurang cocok",IF(COUNTIF(K100:P100,"Belum ada data")&gt;0,"Data belum lengkap",IF(COUNTIF(K100:P100,"Cukup")&gt;0,"Bisa, dengan catatan","Cocok")))))</f>
        <v>Cocok</v>
      </c>
      <c r="R100" s="66" t="str">
        <f aca="false">IF($A100="","",IF(K100="Kurang","prosesor tingkat "&amp;C100&amp;" dari 5, di bawah batas minimal (tingkat "&amp;Aturan!$C$30&amp;")",IF(K100="Cukup","prosesor tingkat "&amp;C100&amp;" dari 5 cukup, nyamannya mulai tingkat "&amp;Aturan!$D$30,IF(K100="Belum ada data","tingkat prosesor belum diisi",""))))</f>
        <v/>
      </c>
      <c r="S100" s="66" t="str">
        <f aca="false">IF($A100="","",IF(L100="Kurang","grafis tingkat "&amp;D100&amp;" dari 5, di bawah batas minimal (tingkat "&amp;Aturan!$C$31&amp;")",IF(L100="Cukup","grafis tingkat "&amp;D100&amp;" dari 5 cukup, nyamannya mulai tingkat "&amp;Aturan!$D$31,IF(L100="Belum ada data","tingkat grafis belum diisi",""))))</f>
        <v/>
      </c>
      <c r="T100" s="66" t="str">
        <f aca="false">IF($A100="","",IF(M100="Kurang","RAM "&amp;E100&amp;" GB, di bawah batas minimal "&amp;Aturan!$C$32&amp;" GB ("&amp;I100&amp;")",IF(M100="Cukup","RAM "&amp;E100&amp;" GB cukup, nyamannya "&amp;Aturan!$D$32&amp;" GB atau lebih ("&amp;I100&amp;")",IF(M100="Belum ada data","ukuran RAM belum diisi",""))))</f>
        <v/>
      </c>
      <c r="U100" s="66" t="str">
        <f aca="false">IF($A100="","",IF(N100="Kurang","penyimpanan "&amp;F100&amp;" GB, di bawah batas minimal "&amp;Aturan!$C$33&amp;" GB ("&amp;J100&amp;")",IF(N100="Cukup","penyimpanan "&amp;F100&amp;" GB cukup, nyamannya "&amp;Aturan!$D$33&amp;" GB atau lebih ("&amp;J100&amp;")",IF(N100="Belum ada data","ukuran penyimpanan belum diisi",""))))</f>
        <v/>
      </c>
      <c r="V100" s="66" t="str">
        <f aca="false">IF($A100="","",IF(O100="Kurang","layar "&amp;Varian!$AG24&amp;", di bawah batas minimal ("&amp;IFERROR(INDEX(Aturan!$A$63:$A$66,MATCH(Aturan!$C$34,Aturan!$B$63:$B$66,0)),"peringkat "&amp;Aturan!$C$34)&amp;")",IF(O100="Cukup","layar "&amp;Varian!$AG24&amp;" cukup, nyamannya "&amp;IFERROR(INDEX(Aturan!$A$63:$A$66,MATCH(Aturan!$D$34,Aturan!$B$63:$B$66,0)),"peringkat "&amp;Aturan!$D$34),IF(O100="Belum ada data","jenis layar belum diketahui",""))))</f>
        <v/>
      </c>
      <c r="W100" s="66" t="str">
        <f aca="false">IF($A100="","",IF(P100="Kurang","layar "&amp;H100&amp;" Hz, di bawah batas minimal "&amp;Aturan!$C$35&amp;" Hz",IF(P100="Cukup","layar "&amp;H100&amp;" Hz cukup, nyamannya "&amp;Aturan!$D$35&amp;" Hz atau lebih",IF(P100="Belum ada data","refresh rate belum diketahui",""))))</f>
        <v/>
      </c>
      <c r="X100" s="66" t="str">
        <f aca="false">IF($A100="","",IF(K100="Kurang",R100&amp;"; ","")&amp;IF(L100="Kurang",S100&amp;"; ","")&amp;IF(M100="Kurang",T100&amp;"; ","")&amp;IF(N100="Kurang",U100&amp;"; ","")&amp;IF(O100="Kurang",V100&amp;"; ","")&amp;IF(P100="Kurang",W100&amp;"; ","")&amp;IF(K100="Belum ada data",R100&amp;"; ","")&amp;IF(L100="Belum ada data",S100&amp;"; ","")&amp;IF(M100="Belum ada data",T100&amp;"; ","")&amp;IF(N100="Belum ada data",U100&amp;"; ","")&amp;IF(O100="Belum ada data",V100&amp;"; ","")&amp;IF(P100="Belum ada data",W100&amp;"; ","")&amp;IF(K100="Cukup",R100&amp;"; ","")&amp;IF(L100="Cukup",S100&amp;"; ","")&amp;IF(M100="Cukup",T100&amp;"; ","")&amp;IF(N100="Cukup",U100&amp;"; ","")&amp;IF(O100="Cukup",V100&amp;"; ","")&amp;IF(P100="Cukup",W100&amp;"; ",""))</f>
        <v/>
      </c>
      <c r="Y100" s="66" t="str">
        <f aca="false">IF($A100="","",IF(K100="Nyaman","prosesor, ","")&amp;IF(L100="Nyaman","grafis, ","")&amp;IF(M100="Nyaman","RAM, ","")&amp;IF(N100="Nyaman","penyimpanan, ","")&amp;IF(O100="Nyaman","layar, ","")&amp;IF(P100="Nyaman","refresh rate, ",""))</f>
        <v>prosesor, RAM, penyimpanan, </v>
      </c>
      <c r="Z100" s="66" t="str">
        <f aca="false">IF($A100="","",IF(Q100="Tidak dinilai","Belum ada kriteria yang dinilai untuk kebutuhan ini.",IF(Q100="Cocok","Semua kriteria yang dinilai sudah nyaman: "&amp;LEFT(Y100,LEN(Y100)-2)&amp;".",UPPER(LEFT(X100,1))&amp;MID(X100,2,LEN(X100)-3)&amp;"."&amp;IF(Y100="",""," Sudah nyaman: "&amp;LEFT(Y100,LEN(Y100)-2)&amp;"."))))</f>
        <v>Semua kriteria yang dinilai sudah nyaman: prosesor, RAM, penyimpanan.</v>
      </c>
      <c r="AA100" s="66" t="str">
        <f aca="false">IF($A100="","",IF(Varian!$AR24="Windows 10","• "&amp;Aturan!$E$71&amp;CHAR(10),"")&amp;IF(Varian!$BB24="tidak","• "&amp;Aturan!$E$72&amp;CHAR(10),"")&amp;IF(OR(Varian!$AD24="belum terverifikasi",Varian!$AD24="tidak diketahui"),"• "&amp;Aturan!$E$73&amp;CHAR(10),"")&amp;IF(Varian!$AH24="1366x768","• "&amp;Aturan!$E$74&amp;CHAR(10),"")&amp;IF(Varian!$AG24="TN","• "&amp;Aturan!$E$75&amp;CHAR(10),"")&amp;IF(AND(Varian!$Q24="disolder",ISNUMBER(Varian!$M24),Varian!$M24&lt;=8),"• "&amp;Aturan!$E$76&amp;CHAR(10),""))</f>
        <v/>
      </c>
      <c r="AB100" s="66" t="str">
        <f aca="false">IF($A100="","",IF(AA100="","",LEFT(AA100,LEN(AA100)-1)))</f>
        <v/>
      </c>
      <c r="AC100" s="67" t="n">
        <f aca="false">IF($A100="","",IF(AA100="",0,LEN(AA100)-LEN(SUBSTITUTE(AA100,CHAR(10),""))))</f>
        <v>0</v>
      </c>
    </row>
    <row r="101" customFormat="false" ht="15" hidden="false" customHeight="true" outlineLevel="0" collapsed="false">
      <c r="A101" s="33" t="str">
        <f aca="false">IF(Varian!$A24="","",Varian!$A24)</f>
        <v>lenovo-thinkbook-14-g9-ipl-u7-355-16-1tb</v>
      </c>
      <c r="B101" s="33" t="str">
        <f aca="false">IF($A101="","",Aturan!$A$22)</f>
        <v>Desain grafis</v>
      </c>
      <c r="C101" s="69" t="n">
        <f aca="false">IF($A101="","",IFERROR(IF(ISNUMBER(INDEX(CPU!$J$4:$J$64,MATCH(Varian!$J24,CPU!$A$4:$A$64,0))),INDEX(CPU!$J$4:$J$64,MATCH(Varian!$J24,CPU!$A$4:$A$64,0)),""),""))</f>
        <v>3</v>
      </c>
      <c r="D101" s="69" t="n">
        <f aca="false">IF($A101="","",IFERROR(IF(ISNUMBER(INDEX(GPU!$G$4:$G$64,MATCH(Varian!$K24,GPU!$A$4:$A$64,0))),INDEX(GPU!$G$4:$G$64,MATCH(Varian!$K24,GPU!$A$4:$A$64,0)),""),""))</f>
        <v>2</v>
      </c>
      <c r="E101" s="69" t="n">
        <f aca="false">IF($A101="","",IF(ISNUMBER(Varian!$M24),Varian!$M24,""))</f>
        <v>16</v>
      </c>
      <c r="F101" s="69" t="n">
        <f aca="false">IF($A101="","",IF(ISNUMBER(Varian!$V24),Varian!$V24,""))</f>
        <v>1024</v>
      </c>
      <c r="G101" s="69" t="n">
        <f aca="false">IF($A101="","",IFERROR(INDEX(Aturan!$B$63:$B$66,MATCH(Varian!$AG24,Aturan!$A$63:$A$66,0)),""))</f>
        <v>3</v>
      </c>
      <c r="H101" s="69" t="n">
        <f aca="false">IF($A101="","",IF(ISNUMBER(Varian!$AI24),Varian!$AI24,""))</f>
        <v>60</v>
      </c>
      <c r="I101" s="33" t="str">
        <f aca="false">IF($A101="","",IF(Varian!$Q24="disolder","menempel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1" s="33" t="str">
        <f aca="false">IF($A101="","",IF(Varian!$Z24="ya","bisa diganti dengan yang lebih besar",IF(Varian!$Z24="tidak","menempel, tidak bisa diganti","belum diketahui apakah bisa diganti")))</f>
        <v>bisa diganti dengan yang lebih besar</v>
      </c>
      <c r="K101" s="70" t="str">
        <f aca="false">IF($A101="","",IF(AND(Aturan!$C$36="",Aturan!$D$36=""),"Tidak dinilai",IF(C101="","Belum ada data",IF(C101&lt;IF(Aturan!$C$36="",0,Aturan!$C$36),"Kurang",IF(C101&gt;=IF(Aturan!$D$36="",Aturan!$C$36,Aturan!$D$36),"Nyaman","Cukup")))))</f>
        <v>Nyaman</v>
      </c>
      <c r="L101" s="70" t="str">
        <f aca="false">IF($A101="","",IF(AND(Aturan!$C$37="",Aturan!$D$37=""),"Tidak dinilai",IF(D101="","Belum ada data",IF(D101&lt;IF(Aturan!$C$37="",0,Aturan!$C$37),"Kurang",IF(D101&gt;=IF(Aturan!$D$37="",Aturan!$C$37,Aturan!$D$37),"Nyaman","Cukup")))))</f>
        <v>Nyaman</v>
      </c>
      <c r="M101" s="70" t="str">
        <f aca="false">IF($A101="","",IF(AND(Aturan!$C$38="",Aturan!$D$38=""),"Tidak dinilai",IF(E101="","Belum ada data",IF(E101&lt;IF(Aturan!$C$38="",0,Aturan!$C$38),"Kurang",IF(E101&gt;=IF(Aturan!$D$38="",Aturan!$C$38,Aturan!$D$38),"Nyaman","Cukup")))))</f>
        <v>Nyaman</v>
      </c>
      <c r="N101" s="70" t="str">
        <f aca="false">IF($A101="","",IF(AND(Aturan!$C$39="",Aturan!$D$39=""),"Tidak dinilai",IF(F101="","Belum ada data",IF(F101&lt;IF(Aturan!$C$39="",0,Aturan!$C$39),"Kurang",IF(F101&gt;=IF(Aturan!$D$39="",Aturan!$C$39,Aturan!$D$39),"Nyaman","Cukup")))))</f>
        <v>Nyaman</v>
      </c>
      <c r="O101" s="70" t="str">
        <f aca="false">IF($A101="","",IF(AND(Aturan!$C$40="",Aturan!$D$40=""),"Tidak dinilai",IF(G101="","Belum ada data",IF(G101&lt;IF(Aturan!$C$40="",0,Aturan!$C$40),"Kurang",IF(G101&gt;=IF(Aturan!$D$40="",Aturan!$C$40,Aturan!$D$40),"Nyaman","Cukup")))))</f>
        <v>Cukup</v>
      </c>
      <c r="P101" s="70" t="str">
        <f aca="false">IF($A101="","",IF(AND(Aturan!$C$41="",Aturan!$D$41=""),"Tidak dinilai",IF(H101="","Belum ada data",IF(H101&lt;IF(Aturan!$C$41="",0,Aturan!$C$41),"Kurang",IF(H101&gt;=IF(Aturan!$D$41="",Aturan!$C$41,Aturan!$D$41),"Nyaman","Cukup")))))</f>
        <v>Tidak dinilai</v>
      </c>
      <c r="Q101" s="70" t="str">
        <f aca="false">IF($A101="","",IF(COUNTIF(K101:P101,"Tidak dinilai")=6,"Tidak dinilai",IF(COUNTIF(K101:P101,"Kurang")&gt;0,"Kurang cocok",IF(COUNTIF(K101:P101,"Belum ada data")&gt;0,"Data belum lengkap",IF(COUNTIF(K101:P101,"Cukup")&gt;0,"Bisa, dengan catatan","Cocok")))))</f>
        <v>Bisa, dengan catatan</v>
      </c>
      <c r="R101" s="33" t="str">
        <f aca="false">IF($A101="","",IF(K101="Kurang","prosesor tingkat "&amp;C101&amp;" dari 5, di bawah batas minimal (tingkat "&amp;Aturan!$C$36&amp;")",IF(K101="Cukup","prosesor tingkat "&amp;C101&amp;" dari 5 cukup, nyamannya mulai tingkat "&amp;Aturan!$D$36,IF(K101="Belum ada data","tingkat prosesor belum diisi",""))))</f>
        <v/>
      </c>
      <c r="S101" s="33" t="str">
        <f aca="false">IF($A101="","",IF(L101="Kurang","grafis tingkat "&amp;D101&amp;" dari 5, di bawah batas minimal (tingkat "&amp;Aturan!$C$37&amp;")",IF(L101="Cukup","grafis tingkat "&amp;D101&amp;" dari 5 cukup, nyamannya mulai tingkat "&amp;Aturan!$D$37,IF(L101="Belum ada data","tingkat grafis belum diisi",""))))</f>
        <v/>
      </c>
      <c r="T101" s="33" t="str">
        <f aca="false">IF($A101="","",IF(M101="Kurang","RAM "&amp;E101&amp;" GB, di bawah batas minimal "&amp;Aturan!$C$38&amp;" GB ("&amp;I101&amp;")",IF(M101="Cukup","RAM "&amp;E101&amp;" GB cukup, nyamannya "&amp;Aturan!$D$38&amp;" GB atau lebih ("&amp;I101&amp;")",IF(M101="Belum ada data","ukuran RAM belum diisi",""))))</f>
        <v/>
      </c>
      <c r="U101" s="33" t="str">
        <f aca="false">IF($A101="","",IF(N101="Kurang","penyimpanan "&amp;F101&amp;" GB, di bawah batas minimal "&amp;Aturan!$C$39&amp;" GB ("&amp;J101&amp;")",IF(N101="Cukup","penyimpanan "&amp;F101&amp;" GB cukup, nyamannya "&amp;Aturan!$D$39&amp;" GB atau lebih ("&amp;J101&amp;")",IF(N101="Belum ada data","ukuran penyimpanan belum diisi",""))))</f>
        <v/>
      </c>
      <c r="V101" s="33" t="str">
        <f aca="false">IF($A101="","",IF(O101="Kurang","layar "&amp;Varian!$AG24&amp;", di bawah batas minimal ("&amp;IFERROR(INDEX(Aturan!$A$63:$A$66,MATCH(Aturan!$C$40,Aturan!$B$63:$B$66,0)),"peringkat "&amp;Aturan!$C$40)&amp;")",IF(O101="Cukup","layar "&amp;Varian!$AG24&amp;" cukup, nyamannya "&amp;IFERROR(INDEX(Aturan!$A$63:$A$66,MATCH(Aturan!$D$40,Aturan!$B$63:$B$66,0)),"peringkat "&amp;Aturan!$D$40),IF(O101="Belum ada data","jenis layar belum diketahui",""))))</f>
        <v>layar IPS cukup, nyamannya OLED</v>
      </c>
      <c r="W101" s="33" t="str">
        <f aca="false">IF($A101="","",IF(P101="Kurang","layar "&amp;H101&amp;" Hz, di bawah batas minimal "&amp;Aturan!$C$41&amp;" Hz",IF(P101="Cukup","layar "&amp;H101&amp;" Hz cukup, nyamannya "&amp;Aturan!$D$41&amp;" Hz atau lebih",IF(P101="Belum ada data","refresh rate belum diketahui",""))))</f>
        <v/>
      </c>
      <c r="X101" s="33" t="str">
        <f aca="false">IF($A101="","",IF(K101="Kurang",R101&amp;"; ","")&amp;IF(L101="Kurang",S101&amp;"; ","")&amp;IF(M101="Kurang",T101&amp;"; ","")&amp;IF(N101="Kurang",U101&amp;"; ","")&amp;IF(O101="Kurang",V101&amp;"; ","")&amp;IF(P101="Kurang",W101&amp;"; ","")&amp;IF(K101="Belum ada data",R101&amp;"; ","")&amp;IF(L101="Belum ada data",S101&amp;"; ","")&amp;IF(M101="Belum ada data",T101&amp;"; ","")&amp;IF(N101="Belum ada data",U101&amp;"; ","")&amp;IF(O101="Belum ada data",V101&amp;"; ","")&amp;IF(P101="Belum ada data",W101&amp;"; ","")&amp;IF(K101="Cukup",R101&amp;"; ","")&amp;IF(L101="Cukup",S101&amp;"; ","")&amp;IF(M101="Cukup",T101&amp;"; ","")&amp;IF(N101="Cukup",U101&amp;"; ","")&amp;IF(O101="Cukup",V101&amp;"; ","")&amp;IF(P101="Cukup",W101&amp;"; ",""))</f>
        <v>layar IPS cukup, nyamannya OLED; </v>
      </c>
      <c r="Y101" s="33" t="str">
        <f aca="false">IF($A101="","",IF(K101="Nyaman","prosesor, ","")&amp;IF(L101="Nyaman","grafis, ","")&amp;IF(M101="Nyaman","RAM, ","")&amp;IF(N101="Nyaman","penyimpanan, ","")&amp;IF(O101="Nyaman","layar, ","")&amp;IF(P101="Nyaman","refresh rate, ",""))</f>
        <v>prosesor, grafis, RAM, penyimpanan, </v>
      </c>
      <c r="Z101" s="33" t="str">
        <f aca="false">IF($A101="","",IF(Q101="Tidak dinilai","Belum ada kriteria yang dinilai untuk kebutuhan ini.",IF(Q101="Cocok","Semua kriteria yang dinilai sudah nyaman: "&amp;LEFT(Y101,LEN(Y101)-2)&amp;".",UPPER(LEFT(X101,1))&amp;MID(X101,2,LEN(X101)-3)&amp;"."&amp;IF(Y101="",""," Sudah nyaman: "&amp;LEFT(Y101,LEN(Y101)-2)&amp;"."))))</f>
        <v>Layar IPS cukup, nyamannya OLED. Sudah nyaman: prosesor, grafis, RAM, penyimpanan.</v>
      </c>
      <c r="AA101" s="33"/>
      <c r="AB101" s="33"/>
      <c r="AC101" s="69"/>
    </row>
    <row r="102" customFormat="false" ht="15" hidden="false" customHeight="true" outlineLevel="0" collapsed="false">
      <c r="A102" s="33" t="str">
        <f aca="false">IF(Varian!$A24="","",Varian!$A24)</f>
        <v>lenovo-thinkbook-14-g9-ipl-u7-355-16-1tb</v>
      </c>
      <c r="B102" s="33" t="str">
        <f aca="false">IF($A102="","",Aturan!$A$23)</f>
        <v>Pemrograman</v>
      </c>
      <c r="C102" s="69" t="n">
        <f aca="false">IF($A102="","",IFERROR(IF(ISNUMBER(INDEX(CPU!$J$4:$J$64,MATCH(Varian!$J24,CPU!$A$4:$A$64,0))),INDEX(CPU!$J$4:$J$64,MATCH(Varian!$J24,CPU!$A$4:$A$64,0)),""),""))</f>
        <v>3</v>
      </c>
      <c r="D102" s="69" t="n">
        <f aca="false">IF($A102="","",IFERROR(IF(ISNUMBER(INDEX(GPU!$G$4:$G$64,MATCH(Varian!$K24,GPU!$A$4:$A$64,0))),INDEX(GPU!$G$4:$G$64,MATCH(Varian!$K24,GPU!$A$4:$A$64,0)),""),""))</f>
        <v>2</v>
      </c>
      <c r="E102" s="69" t="n">
        <f aca="false">IF($A102="","",IF(ISNUMBER(Varian!$M24),Varian!$M24,""))</f>
        <v>16</v>
      </c>
      <c r="F102" s="69" t="n">
        <f aca="false">IF($A102="","",IF(ISNUMBER(Varian!$V24),Varian!$V24,""))</f>
        <v>1024</v>
      </c>
      <c r="G102" s="69" t="n">
        <f aca="false">IF($A102="","",IFERROR(INDEX(Aturan!$B$63:$B$66,MATCH(Varian!$AG24,Aturan!$A$63:$A$66,0)),""))</f>
        <v>3</v>
      </c>
      <c r="H102" s="69" t="n">
        <f aca="false">IF($A102="","",IF(ISNUMBER(Varian!$AI24),Varian!$AI24,""))</f>
        <v>60</v>
      </c>
      <c r="I102" s="33" t="str">
        <f aca="false">IF($A102="","",IF(Varian!$Q24="disolder","menempel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2" s="33" t="str">
        <f aca="false">IF($A102="","",IF(Varian!$Z24="ya","bisa diganti dengan yang lebih besar",IF(Varian!$Z24="tidak","menempel, tidak bisa diganti","belum diketahui apakah bisa diganti")))</f>
        <v>bisa diganti dengan yang lebih besar</v>
      </c>
      <c r="K102" s="70" t="str">
        <f aca="false">IF($A102="","",IF(AND(Aturan!$C$42="",Aturan!$D$42=""),"Tidak dinilai",IF(C102="","Belum ada data",IF(C102&lt;IF(Aturan!$C$42="",0,Aturan!$C$42),"Kurang",IF(C102&gt;=IF(Aturan!$D$42="",Aturan!$C$42,Aturan!$D$42),"Nyaman","Cukup")))))</f>
        <v>Nyaman</v>
      </c>
      <c r="L102" s="70" t="str">
        <f aca="false">IF($A102="","",IF(AND(Aturan!$C$43="",Aturan!$D$43=""),"Tidak dinilai",IF(D102="","Belum ada data",IF(D102&lt;IF(Aturan!$C$43="",0,Aturan!$C$43),"Kurang",IF(D102&gt;=IF(Aturan!$D$43="",Aturan!$C$43,Aturan!$D$43),"Nyaman","Cukup")))))</f>
        <v>Tidak dinilai</v>
      </c>
      <c r="M102" s="70" t="str">
        <f aca="false">IF($A102="","",IF(AND(Aturan!$C$44="",Aturan!$D$44=""),"Tidak dinilai",IF(E102="","Belum ada data",IF(E102&lt;IF(Aturan!$C$44="",0,Aturan!$C$44),"Kurang",IF(E102&gt;=IF(Aturan!$D$44="",Aturan!$C$44,Aturan!$D$44),"Nyaman","Cukup")))))</f>
        <v>Nyaman</v>
      </c>
      <c r="N102" s="70" t="str">
        <f aca="false">IF($A102="","",IF(AND(Aturan!$C$45="",Aturan!$D$45=""),"Tidak dinilai",IF(F102="","Belum ada data",IF(F102&lt;IF(Aturan!$C$45="",0,Aturan!$C$45),"Kurang",IF(F102&gt;=IF(Aturan!$D$45="",Aturan!$C$45,Aturan!$D$45),"Nyaman","Cukup")))))</f>
        <v>Nyaman</v>
      </c>
      <c r="O102" s="70" t="str">
        <f aca="false">IF($A102="","",IF(AND(Aturan!$C$46="",Aturan!$D$46=""),"Tidak dinilai",IF(G102="","Belum ada data",IF(G102&lt;IF(Aturan!$C$46="",0,Aturan!$C$46),"Kurang",IF(G102&gt;=IF(Aturan!$D$46="",Aturan!$C$46,Aturan!$D$46),"Nyaman","Cukup")))))</f>
        <v>Tidak dinilai</v>
      </c>
      <c r="P102" s="70" t="str">
        <f aca="false">IF($A102="","",IF(AND(Aturan!$C$47="",Aturan!$D$47=""),"Tidak dinilai",IF(H102="","Belum ada data",IF(H102&lt;IF(Aturan!$C$47="",0,Aturan!$C$47),"Kurang",IF(H102&gt;=IF(Aturan!$D$47="",Aturan!$C$47,Aturan!$D$47),"Nyaman","Cukup")))))</f>
        <v>Tidak dinilai</v>
      </c>
      <c r="Q102" s="70" t="str">
        <f aca="false">IF($A102="","",IF(COUNTIF(K102:P102,"Tidak dinilai")=6,"Tidak dinilai",IF(COUNTIF(K102:P102,"Kurang")&gt;0,"Kurang cocok",IF(COUNTIF(K102:P102,"Belum ada data")&gt;0,"Data belum lengkap",IF(COUNTIF(K102:P102,"Cukup")&gt;0,"Bisa, dengan catatan","Cocok")))))</f>
        <v>Cocok</v>
      </c>
      <c r="R102" s="33" t="str">
        <f aca="false">IF($A102="","",IF(K102="Kurang","prosesor tingkat "&amp;C102&amp;" dari 5, di bawah batas minimal (tingkat "&amp;Aturan!$C$42&amp;")",IF(K102="Cukup","prosesor tingkat "&amp;C102&amp;" dari 5 cukup, nyamannya mulai tingkat "&amp;Aturan!$D$42,IF(K102="Belum ada data","tingkat prosesor belum diisi",""))))</f>
        <v/>
      </c>
      <c r="S102" s="33" t="str">
        <f aca="false">IF($A102="","",IF(L102="Kurang","grafis tingkat "&amp;D102&amp;" dari 5, di bawah batas minimal (tingkat "&amp;Aturan!$C$43&amp;")",IF(L102="Cukup","grafis tingkat "&amp;D102&amp;" dari 5 cukup, nyamannya mulai tingkat "&amp;Aturan!$D$43,IF(L102="Belum ada data","tingkat grafis belum diisi",""))))</f>
        <v/>
      </c>
      <c r="T102" s="33" t="str">
        <f aca="false">IF($A102="","",IF(M102="Kurang","RAM "&amp;E102&amp;" GB, di bawah batas minimal "&amp;Aturan!$C$44&amp;" GB ("&amp;I102&amp;")",IF(M102="Cukup","RAM "&amp;E102&amp;" GB cukup, nyamannya "&amp;Aturan!$D$44&amp;" GB atau lebih ("&amp;I102&amp;")",IF(M102="Belum ada data","ukuran RAM belum diisi",""))))</f>
        <v/>
      </c>
      <c r="U102" s="33" t="str">
        <f aca="false">IF($A102="","",IF(N102="Kurang","penyimpanan "&amp;F102&amp;" GB, di bawah batas minimal "&amp;Aturan!$C$45&amp;" GB ("&amp;J102&amp;")",IF(N102="Cukup","penyimpanan "&amp;F102&amp;" GB cukup, nyamannya "&amp;Aturan!$D$45&amp;" GB atau lebih ("&amp;J102&amp;")",IF(N102="Belum ada data","ukuran penyimpanan belum diisi",""))))</f>
        <v/>
      </c>
      <c r="V102" s="33" t="str">
        <f aca="false">IF($A102="","",IF(O102="Kurang","layar "&amp;Varian!$AG24&amp;", di bawah batas minimal ("&amp;IFERROR(INDEX(Aturan!$A$63:$A$66,MATCH(Aturan!$C$46,Aturan!$B$63:$B$66,0)),"peringkat "&amp;Aturan!$C$46)&amp;")",IF(O102="Cukup","layar "&amp;Varian!$AG24&amp;" cukup, nyamannya "&amp;IFERROR(INDEX(Aturan!$A$63:$A$66,MATCH(Aturan!$D$46,Aturan!$B$63:$B$66,0)),"peringkat "&amp;Aturan!$D$46),IF(O102="Belum ada data","jenis layar belum diketahui",""))))</f>
        <v/>
      </c>
      <c r="W102" s="33" t="str">
        <f aca="false">IF($A102="","",IF(P102="Kurang","layar "&amp;H102&amp;" Hz, di bawah batas minimal "&amp;Aturan!$C$47&amp;" Hz",IF(P102="Cukup","layar "&amp;H102&amp;" Hz cukup, nyamannya "&amp;Aturan!$D$47&amp;" Hz atau lebih",IF(P102="Belum ada data","refresh rate belum diketahui",""))))</f>
        <v/>
      </c>
      <c r="X102" s="33" t="str">
        <f aca="false">IF($A102="","",IF(K102="Kurang",R102&amp;"; ","")&amp;IF(L102="Kurang",S102&amp;"; ","")&amp;IF(M102="Kurang",T102&amp;"; ","")&amp;IF(N102="Kurang",U102&amp;"; ","")&amp;IF(O102="Kurang",V102&amp;"; ","")&amp;IF(P102="Kurang",W102&amp;"; ","")&amp;IF(K102="Belum ada data",R102&amp;"; ","")&amp;IF(L102="Belum ada data",S102&amp;"; ","")&amp;IF(M102="Belum ada data",T102&amp;"; ","")&amp;IF(N102="Belum ada data",U102&amp;"; ","")&amp;IF(O102="Belum ada data",V102&amp;"; ","")&amp;IF(P102="Belum ada data",W102&amp;"; ","")&amp;IF(K102="Cukup",R102&amp;"; ","")&amp;IF(L102="Cukup",S102&amp;"; ","")&amp;IF(M102="Cukup",T102&amp;"; ","")&amp;IF(N102="Cukup",U102&amp;"; ","")&amp;IF(O102="Cukup",V102&amp;"; ","")&amp;IF(P102="Cukup",W102&amp;"; ",""))</f>
        <v/>
      </c>
      <c r="Y102" s="33" t="str">
        <f aca="false">IF($A102="","",IF(K102="Nyaman","prosesor, ","")&amp;IF(L102="Nyaman","grafis, ","")&amp;IF(M102="Nyaman","RAM, ","")&amp;IF(N102="Nyaman","penyimpanan, ","")&amp;IF(O102="Nyaman","layar, ","")&amp;IF(P102="Nyaman","refresh rate, ",""))</f>
        <v>prosesor, RAM, penyimpanan, </v>
      </c>
      <c r="Z102" s="33" t="str">
        <f aca="false">IF($A102="","",IF(Q102="Tidak dinilai","Belum ada kriteria yang dinilai untuk kebutuhan ini.",IF(Q102="Cocok","Semua kriteria yang dinilai sudah nyaman: "&amp;LEFT(Y102,LEN(Y102)-2)&amp;".",UPPER(LEFT(X102,1))&amp;MID(X102,2,LEN(X102)-3)&amp;"."&amp;IF(Y102="",""," Sudah nyaman: "&amp;LEFT(Y102,LEN(Y102)-2)&amp;"."))))</f>
        <v>Semua kriteria yang dinilai sudah nyaman: prosesor, RAM, penyimpanan.</v>
      </c>
      <c r="AA102" s="33"/>
      <c r="AB102" s="33"/>
      <c r="AC102" s="69"/>
    </row>
    <row r="103" customFormat="false" ht="15" hidden="false" customHeight="true" outlineLevel="0" collapsed="false">
      <c r="A103" s="33" t="str">
        <f aca="false">IF(Varian!$A24="","",Varian!$A24)</f>
        <v>lenovo-thinkbook-14-g9-ipl-u7-355-16-1tb</v>
      </c>
      <c r="B103" s="33" t="str">
        <f aca="false">IF($A103="","",Aturan!$A$24)</f>
        <v>Game ringan</v>
      </c>
      <c r="C103" s="69" t="n">
        <f aca="false">IF($A103="","",IFERROR(IF(ISNUMBER(INDEX(CPU!$J$4:$J$64,MATCH(Varian!$J24,CPU!$A$4:$A$64,0))),INDEX(CPU!$J$4:$J$64,MATCH(Varian!$J24,CPU!$A$4:$A$64,0)),""),""))</f>
        <v>3</v>
      </c>
      <c r="D103" s="69" t="n">
        <f aca="false">IF($A103="","",IFERROR(IF(ISNUMBER(INDEX(GPU!$G$4:$G$64,MATCH(Varian!$K24,GPU!$A$4:$A$64,0))),INDEX(GPU!$G$4:$G$64,MATCH(Varian!$K24,GPU!$A$4:$A$64,0)),""),""))</f>
        <v>2</v>
      </c>
      <c r="E103" s="69" t="n">
        <f aca="false">IF($A103="","",IF(ISNUMBER(Varian!$M24),Varian!$M24,""))</f>
        <v>16</v>
      </c>
      <c r="F103" s="69" t="n">
        <f aca="false">IF($A103="","",IF(ISNUMBER(Varian!$V24),Varian!$V24,""))</f>
        <v>1024</v>
      </c>
      <c r="G103" s="69" t="n">
        <f aca="false">IF($A103="","",IFERROR(INDEX(Aturan!$B$63:$B$66,MATCH(Varian!$AG24,Aturan!$A$63:$A$66,0)),""))</f>
        <v>3</v>
      </c>
      <c r="H103" s="69" t="n">
        <f aca="false">IF($A103="","",IF(ISNUMBER(Varian!$AI24),Varian!$AI24,""))</f>
        <v>60</v>
      </c>
      <c r="I103" s="33" t="str">
        <f aca="false">IF($A103="","",IF(Varian!$Q24="disolder","menempel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3" s="33" t="str">
        <f aca="false">IF($A103="","",IF(Varian!$Z24="ya","bisa diganti dengan yang lebih besar",IF(Varian!$Z24="tidak","menempel, tidak bisa diganti","belum diketahui apakah bisa diganti")))</f>
        <v>bisa diganti dengan yang lebih besar</v>
      </c>
      <c r="K103" s="70" t="str">
        <f aca="false">IF($A103="","",IF(AND(Aturan!$C$48="",Aturan!$D$48=""),"Tidak dinilai",IF(C103="","Belum ada data",IF(C103&lt;IF(Aturan!$C$48="",0,Aturan!$C$48),"Kurang",IF(C103&gt;=IF(Aturan!$D$48="",Aturan!$C$48,Aturan!$D$48),"Nyaman","Cukup")))))</f>
        <v>Nyaman</v>
      </c>
      <c r="L103" s="70" t="str">
        <f aca="false">IF($A103="","",IF(AND(Aturan!$C$49="",Aturan!$D$49=""),"Tidak dinilai",IF(D103="","Belum ada data",IF(D103&lt;IF(Aturan!$C$49="",0,Aturan!$C$49),"Kurang",IF(D103&gt;=IF(Aturan!$D$49="",Aturan!$C$49,Aturan!$D$49),"Nyaman","Cukup")))))</f>
        <v>Nyaman</v>
      </c>
      <c r="M103" s="70" t="str">
        <f aca="false">IF($A103="","",IF(AND(Aturan!$C$50="",Aturan!$D$50=""),"Tidak dinilai",IF(E103="","Belum ada data",IF(E103&lt;IF(Aturan!$C$50="",0,Aturan!$C$50),"Kurang",IF(E103&gt;=IF(Aturan!$D$50="",Aturan!$C$50,Aturan!$D$50),"Nyaman","Cukup")))))</f>
        <v>Nyaman</v>
      </c>
      <c r="N103" s="70" t="str">
        <f aca="false">IF($A103="","",IF(AND(Aturan!$C$51="",Aturan!$D$51=""),"Tidak dinilai",IF(F103="","Belum ada data",IF(F103&lt;IF(Aturan!$C$51="",0,Aturan!$C$51),"Kurang",IF(F103&gt;=IF(Aturan!$D$51="",Aturan!$C$51,Aturan!$D$51),"Nyaman","Cukup")))))</f>
        <v>Nyaman</v>
      </c>
      <c r="O103" s="70" t="str">
        <f aca="false">IF($A103="","",IF(AND(Aturan!$C$52="",Aturan!$D$52=""),"Tidak dinilai",IF(G103="","Belum ada data",IF(G103&lt;IF(Aturan!$C$52="",0,Aturan!$C$52),"Kurang",IF(G103&gt;=IF(Aturan!$D$52="",Aturan!$C$52,Aturan!$D$52),"Nyaman","Cukup")))))</f>
        <v>Tidak dinilai</v>
      </c>
      <c r="P103" s="70" t="str">
        <f aca="false">IF($A103="","",IF(AND(Aturan!$C$53="",Aturan!$D$53=""),"Tidak dinilai",IF(H103="","Belum ada data",IF(H103&lt;IF(Aturan!$C$53="",0,Aturan!$C$53),"Kurang",IF(H103&gt;=IF(Aturan!$D$53="",Aturan!$C$53,Aturan!$D$53),"Nyaman","Cukup")))))</f>
        <v>Tidak dinilai</v>
      </c>
      <c r="Q103" s="70" t="str">
        <f aca="false">IF($A103="","",IF(COUNTIF(K103:P103,"Tidak dinilai")=6,"Tidak dinilai",IF(COUNTIF(K103:P103,"Kurang")&gt;0,"Kurang cocok",IF(COUNTIF(K103:P103,"Belum ada data")&gt;0,"Data belum lengkap",IF(COUNTIF(K103:P103,"Cukup")&gt;0,"Bisa, dengan catatan","Cocok")))))</f>
        <v>Cocok</v>
      </c>
      <c r="R103" s="33" t="str">
        <f aca="false">IF($A103="","",IF(K103="Kurang","prosesor tingkat "&amp;C103&amp;" dari 5, di bawah batas minimal (tingkat "&amp;Aturan!$C$48&amp;")",IF(K103="Cukup","prosesor tingkat "&amp;C103&amp;" dari 5 cukup, nyamannya mulai tingkat "&amp;Aturan!$D$48,IF(K103="Belum ada data","tingkat prosesor belum diisi",""))))</f>
        <v/>
      </c>
      <c r="S103" s="33" t="str">
        <f aca="false">IF($A103="","",IF(L103="Kurang","grafis tingkat "&amp;D103&amp;" dari 5, di bawah batas minimal (tingkat "&amp;Aturan!$C$49&amp;")",IF(L103="Cukup","grafis tingkat "&amp;D103&amp;" dari 5 cukup, nyamannya mulai tingkat "&amp;Aturan!$D$49,IF(L103="Belum ada data","tingkat grafis belum diisi",""))))</f>
        <v/>
      </c>
      <c r="T103" s="33" t="str">
        <f aca="false">IF($A103="","",IF(M103="Kurang","RAM "&amp;E103&amp;" GB, di bawah batas minimal "&amp;Aturan!$C$50&amp;" GB ("&amp;I103&amp;")",IF(M103="Cukup","RAM "&amp;E103&amp;" GB cukup, nyamannya "&amp;Aturan!$D$50&amp;" GB atau lebih ("&amp;I103&amp;")",IF(M103="Belum ada data","ukuran RAM belum diisi",""))))</f>
        <v/>
      </c>
      <c r="U103" s="33" t="str">
        <f aca="false">IF($A103="","",IF(N103="Kurang","penyimpanan "&amp;F103&amp;" GB, di bawah batas minimal "&amp;Aturan!$C$51&amp;" GB ("&amp;J103&amp;")",IF(N103="Cukup","penyimpanan "&amp;F103&amp;" GB cukup, nyamannya "&amp;Aturan!$D$51&amp;" GB atau lebih ("&amp;J103&amp;")",IF(N103="Belum ada data","ukuran penyimpanan belum diisi",""))))</f>
        <v/>
      </c>
      <c r="V103" s="33" t="str">
        <f aca="false">IF($A103="","",IF(O103="Kurang","layar "&amp;Varian!$AG24&amp;", di bawah batas minimal ("&amp;IFERROR(INDEX(Aturan!$A$63:$A$66,MATCH(Aturan!$C$52,Aturan!$B$63:$B$66,0)),"peringkat "&amp;Aturan!$C$52)&amp;")",IF(O103="Cukup","layar "&amp;Varian!$AG24&amp;" cukup, nyamannya "&amp;IFERROR(INDEX(Aturan!$A$63:$A$66,MATCH(Aturan!$D$52,Aturan!$B$63:$B$66,0)),"peringkat "&amp;Aturan!$D$52),IF(O103="Belum ada data","jenis layar belum diketahui",""))))</f>
        <v/>
      </c>
      <c r="W103" s="33" t="str">
        <f aca="false">IF($A103="","",IF(P103="Kurang","layar "&amp;H103&amp;" Hz, di bawah batas minimal "&amp;Aturan!$C$53&amp;" Hz",IF(P103="Cukup","layar "&amp;H103&amp;" Hz cukup, nyamannya "&amp;Aturan!$D$53&amp;" Hz atau lebih",IF(P103="Belum ada data","refresh rate belum diketahui",""))))</f>
        <v/>
      </c>
      <c r="X103" s="33" t="str">
        <f aca="false">IF($A103="","",IF(K103="Kurang",R103&amp;"; ","")&amp;IF(L103="Kurang",S103&amp;"; ","")&amp;IF(M103="Kurang",T103&amp;"; ","")&amp;IF(N103="Kurang",U103&amp;"; ","")&amp;IF(O103="Kurang",V103&amp;"; ","")&amp;IF(P103="Kurang",W103&amp;"; ","")&amp;IF(K103="Belum ada data",R103&amp;"; ","")&amp;IF(L103="Belum ada data",S103&amp;"; ","")&amp;IF(M103="Belum ada data",T103&amp;"; ","")&amp;IF(N103="Belum ada data",U103&amp;"; ","")&amp;IF(O103="Belum ada data",V103&amp;"; ","")&amp;IF(P103="Belum ada data",W103&amp;"; ","")&amp;IF(K103="Cukup",R103&amp;"; ","")&amp;IF(L103="Cukup",S103&amp;"; ","")&amp;IF(M103="Cukup",T103&amp;"; ","")&amp;IF(N103="Cukup",U103&amp;"; ","")&amp;IF(O103="Cukup",V103&amp;"; ","")&amp;IF(P103="Cukup",W103&amp;"; ",""))</f>
        <v/>
      </c>
      <c r="Y103" s="33" t="str">
        <f aca="false">IF($A103="","",IF(K103="Nyaman","prosesor, ","")&amp;IF(L103="Nyaman","grafis, ","")&amp;IF(M103="Nyaman","RAM, ","")&amp;IF(N103="Nyaman","penyimpanan, ","")&amp;IF(O103="Nyaman","layar, ","")&amp;IF(P103="Nyaman","refresh rate, ",""))</f>
        <v>prosesor, grafis, RAM, penyimpanan, </v>
      </c>
      <c r="Z103" s="33" t="str">
        <f aca="false">IF($A103="","",IF(Q103="Tidak dinilai","Belum ada kriteria yang dinilai untuk kebutuhan ini.",IF(Q103="Cocok","Semua kriteria yang dinilai sudah nyaman: "&amp;LEFT(Y103,LEN(Y103)-2)&amp;".",UPPER(LEFT(X103,1))&amp;MID(X103,2,LEN(X103)-3)&amp;"."&amp;IF(Y103="",""," Sudah nyaman: "&amp;LEFT(Y103,LEN(Y103)-2)&amp;"."))))</f>
        <v>Semua kriteria yang dinilai sudah nyaman: prosesor, grafis, RAM, penyimpanan.</v>
      </c>
      <c r="AA103" s="33"/>
      <c r="AB103" s="33"/>
      <c r="AC103" s="69"/>
    </row>
    <row r="104" customFormat="false" ht="15" hidden="false" customHeight="true" outlineLevel="0" collapsed="false">
      <c r="A104" s="33" t="str">
        <f aca="false">IF(Varian!$A24="","",Varian!$A24)</f>
        <v>lenovo-thinkbook-14-g9-ipl-u7-355-16-1tb</v>
      </c>
      <c r="B104" s="33" t="str">
        <f aca="false">IF($A104="","",Aturan!$A$25)</f>
        <v>Game berat</v>
      </c>
      <c r="C104" s="69" t="n">
        <f aca="false">IF($A104="","",IFERROR(IF(ISNUMBER(INDEX(CPU!$J$4:$J$64,MATCH(Varian!$J24,CPU!$A$4:$A$64,0))),INDEX(CPU!$J$4:$J$64,MATCH(Varian!$J24,CPU!$A$4:$A$64,0)),""),""))</f>
        <v>3</v>
      </c>
      <c r="D104" s="69" t="n">
        <f aca="false">IF($A104="","",IFERROR(IF(ISNUMBER(INDEX(GPU!$G$4:$G$64,MATCH(Varian!$K24,GPU!$A$4:$A$64,0))),INDEX(GPU!$G$4:$G$64,MATCH(Varian!$K24,GPU!$A$4:$A$64,0)),""),""))</f>
        <v>2</v>
      </c>
      <c r="E104" s="69" t="n">
        <f aca="false">IF($A104="","",IF(ISNUMBER(Varian!$M24),Varian!$M24,""))</f>
        <v>16</v>
      </c>
      <c r="F104" s="69" t="n">
        <f aca="false">IF($A104="","",IF(ISNUMBER(Varian!$V24),Varian!$V24,""))</f>
        <v>1024</v>
      </c>
      <c r="G104" s="69" t="n">
        <f aca="false">IF($A104="","",IFERROR(INDEX(Aturan!$B$63:$B$66,MATCH(Varian!$AG24,Aturan!$A$63:$A$66,0)),""))</f>
        <v>3</v>
      </c>
      <c r="H104" s="69" t="n">
        <f aca="false">IF($A104="","",IF(ISNUMBER(Varian!$AI24),Varian!$AI24,""))</f>
        <v>60</v>
      </c>
      <c r="I104" s="33" t="str">
        <f aca="false">IF($A104="","",IF(Varian!$Q24="disolder","menempel di papan utama, tidak bisa ditambah",IF(OR(Varian!$Q24="slot",Varian!$Q24="setengah_disolder"),IF(Varian!$Q24="setengah_disolder","sebagian menempel, ","")&amp;IF(ISNUMBER(Varian!$U24),IF(AND(ISNUMBER(Varian!$M24),Varian!$U24&gt;Varian!$M24),"bisa dinaikkan lewat slot sampai "&amp;Varian!$U24&amp;" GB","sudah di batas maksimal "&amp;Varian!$U24&amp;" GB"),"ada slot, batas maksimalnya belum diketahui"),"belum diketahui apakah bisa ditambah")))</f>
        <v>bisa dinaikkan lewat slot sampai 64 GB</v>
      </c>
      <c r="J104" s="33" t="str">
        <f aca="false">IF($A104="","",IF(Varian!$Z24="ya","bisa diganti dengan yang lebih besar",IF(Varian!$Z24="tidak","menempel, tidak bisa diganti","belum diketahui apakah bisa diganti")))</f>
        <v>bisa diganti dengan yang lebih besar</v>
      </c>
      <c r="K104" s="70" t="str">
        <f aca="false">IF($A104="","",IF(AND(Aturan!$C$54="",Aturan!$D$54=""),"Tidak dinilai",IF(C104="","Belum ada data",IF(C104&lt;IF(Aturan!$C$54="",0,Aturan!$C$54),"Kurang",IF(C104&gt;=IF(Aturan!$D$54="",Aturan!$C$54,Aturan!$D$54),"Nyaman","Cukup")))))</f>
        <v>Cukup</v>
      </c>
      <c r="L104" s="70" t="str">
        <f aca="false">IF($A104="","",IF(AND(Aturan!$C$55="",Aturan!$D$55=""),"Tidak dinilai",IF(D104="","Belum ada data",IF(D104&lt;IF(Aturan!$C$55="",0,Aturan!$C$55),"Kurang",IF(D104&gt;=IF(Aturan!$D$55="",Aturan!$C$55,Aturan!$D$55),"Nyaman","Cukup")))))</f>
        <v>Kurang</v>
      </c>
      <c r="M104" s="70" t="str">
        <f aca="false">IF($A104="","",IF(AND(Aturan!$C$56="",Aturan!$D$56=""),"Tidak dinilai",IF(E104="","Belum ada data",IF(E104&lt;IF(Aturan!$C$56="",0,Aturan!$C$56),"Kurang",IF(E104&gt;=IF(Aturan!$D$56="",Aturan!$C$56,Aturan!$D$56),"Nyaman","Cukup")))))</f>
        <v>Nyaman</v>
      </c>
      <c r="N104" s="70" t="str">
        <f aca="false">IF($A104="","",IF(AND(Aturan!$C$57="",Aturan!$D$57=""),"Tidak dinilai",IF(F104="","Belum ada data",IF(F104&lt;IF(Aturan!$C$57="",0,Aturan!$C$57),"Kurang",IF(F104&gt;=IF(Aturan!$D$57="",Aturan!$C$57,Aturan!$D$57),"Nyaman","Cukup")))))</f>
        <v>Nyaman</v>
      </c>
      <c r="O104" s="70" t="str">
        <f aca="false">IF($A104="","",IF(AND(Aturan!$C$58="",Aturan!$D$58=""),"Tidak dinilai",IF(G104="","Belum ada data",IF(G104&lt;IF(Aturan!$C$58="",0,Aturan!$C$58),"Kurang",IF(G104&gt;=IF(Aturan!$D$58="",Aturan!$C$58,Aturan!$D$58),"Nyaman","Cukup")))))</f>
        <v>Tidak dinilai</v>
      </c>
      <c r="P104" s="70" t="str">
        <f aca="false">IF($A104="","",IF(AND(Aturan!$C$59="",Aturan!$D$59=""),"Tidak dinilai",IF(H104="","Belum ada data",IF(H104&lt;IF(Aturan!$C$59="",0,Aturan!$C$59),"Kurang",IF(H104&gt;=IF(Aturan!$D$59="",Aturan!$C$59,Aturan!$D$59),"Nyaman","Cukup")))))</f>
        <v>Cukup</v>
      </c>
      <c r="Q104" s="70" t="str">
        <f aca="false">IF($A104="","",IF(COUNTIF(K104:P104,"Tidak dinilai")=6,"Tidak dinilai",IF(COUNTIF(K104:P104,"Kurang")&gt;0,"Kurang cocok",IF(COUNTIF(K104:P104,"Belum ada data")&gt;0,"Data belum lengkap",IF(COUNTIF(K104:P104,"Cukup")&gt;0,"Bisa, dengan catatan","Cocok")))))</f>
        <v>Kurang cocok</v>
      </c>
      <c r="R104" s="33" t="str">
        <f aca="false">IF($A104="","",IF(K104="Kurang","prosesor tingkat "&amp;C104&amp;" dari 5, di bawah batas minimal (tingkat "&amp;Aturan!$C$54&amp;")",IF(K104="Cukup","prosesor tingkat "&amp;C104&amp;" dari 5 cukup, nyamannya mulai tingkat "&amp;Aturan!$D$54,IF(K104="Belum ada data","tingkat prosesor belum diisi",""))))</f>
        <v>prosesor tingkat 3 dari 5 cukup, nyamannya mulai tingkat 4</v>
      </c>
      <c r="S104" s="33" t="str">
        <f aca="false">IF($A104="","",IF(L104="Kurang","grafis tingkat "&amp;D104&amp;" dari 5, di bawah batas minimal (tingkat "&amp;Aturan!$C$55&amp;")",IF(L104="Cukup","grafis tingkat "&amp;D104&amp;" dari 5 cukup, nyamannya mulai tingkat "&amp;Aturan!$D$55,IF(L104="Belum ada data","tingkat grafis belum diisi",""))))</f>
        <v>grafis tingkat 2 dari 5, di bawah batas minimal (tingkat 3)</v>
      </c>
      <c r="T104" s="33" t="str">
        <f aca="false">IF($A104="","",IF(M104="Kurang","RAM "&amp;E104&amp;" GB, di bawah batas minimal "&amp;Aturan!$C$56&amp;" GB ("&amp;I104&amp;")",IF(M104="Cukup","RAM "&amp;E104&amp;" GB cukup, nyamannya "&amp;Aturan!$D$56&amp;" GB atau lebih ("&amp;I104&amp;")",IF(M104="Belum ada data","ukuran RAM belum diisi",""))))</f>
        <v/>
      </c>
      <c r="U104" s="33" t="str">
        <f aca="false">IF($A104="","",IF(N104="Kurang","penyimpanan "&amp;F104&amp;" GB, di bawah batas minimal "&amp;Aturan!$C$57&amp;" GB ("&amp;J104&amp;")",IF(N104="Cukup","penyimpanan "&amp;F104&amp;" GB cukup, nyamannya "&amp;Aturan!$D$57&amp;" GB atau lebih ("&amp;J104&amp;")",IF(N104="Belum ada data","ukuran penyimpanan belum diisi",""))))</f>
        <v/>
      </c>
      <c r="V104" s="33" t="str">
        <f aca="false">IF($A104="","",IF(O104="Kurang","layar "&amp;Varian!$AG24&amp;", di bawah batas minimal ("&amp;IFERROR(INDEX(Aturan!$A$63:$A$66,MATCH(Aturan!$C$58,Aturan!$B$63:$B$66,0)),"peringkat "&amp;Aturan!$C$58)&amp;")",IF(O104="Cukup","layar "&amp;Varian!$AG24&amp;" cukup, nyamannya "&amp;IFERROR(INDEX(Aturan!$A$63:$A$66,MATCH(Aturan!$D$58,Aturan!$B$63:$B$66,0)),"peringkat "&amp;Aturan!$D$58),IF(O104="Belum ada data","jenis layar belum diketahui",""))))</f>
        <v/>
      </c>
      <c r="W104" s="33" t="str">
        <f aca="false">IF($A104="","",IF(P104="Kurang","layar "&amp;H104&amp;" Hz, di bawah batas minimal "&amp;Aturan!$C$59&amp;" Hz",IF(P104="Cukup","layar "&amp;H104&amp;" Hz cukup, nyamannya "&amp;Aturan!$D$59&amp;" Hz atau lebih",IF(P104="Belum ada data","refresh rate belum diketahui",""))))</f>
        <v>layar 60 Hz cukup, nyamannya 120 Hz atau lebih</v>
      </c>
      <c r="X104" s="33" t="str">
        <f aca="false">IF($A104="","",IF(K104="Kurang",R104&amp;"; ","")&amp;IF(L104="Kurang",S104&amp;"; ","")&amp;IF(M104="Kurang",T104&amp;"; ","")&amp;IF(N104="Kurang",U104&amp;"; ","")&amp;IF(O104="Kurang",V104&amp;"; ","")&amp;IF(P104="Kurang",W104&amp;"; ","")&amp;IF(K104="Belum ada data",R104&amp;"; ","")&amp;IF(L104="Belum ada data",S104&amp;"; ","")&amp;IF(M104="Belum ada data",T104&amp;"; ","")&amp;IF(N104="Belum ada data",U104&amp;"; ","")&amp;IF(O104="Belum ada data",V104&amp;"; ","")&amp;IF(P104="Belum ada data",W104&amp;"; ","")&amp;IF(K104="Cukup",R104&amp;"; ","")&amp;IF(L104="Cukup",S104&amp;"; ","")&amp;IF(M104="Cukup",T104&amp;"; ","")&amp;IF(N104="Cukup",U104&amp;"; ","")&amp;IF(O104="Cukup",V104&amp;"; ","")&amp;IF(P104="Cukup",W104&amp;"; ",""))</f>
        <v>grafis tingkat 2 dari 5, di bawah batas minimal (tingkat 3); prosesor tingkat 3 dari 5 cukup, nyamannya mulai tingkat 4; layar 60 Hz cukup, nyamannya 120 Hz atau lebih; </v>
      </c>
      <c r="Y104" s="33" t="str">
        <f aca="false">IF($A104="","",IF(K104="Nyaman","prosesor, ","")&amp;IF(L104="Nyaman","grafis, ","")&amp;IF(M104="Nyaman","RAM, ","")&amp;IF(N104="Nyaman","penyimpanan, ","")&amp;IF(O104="Nyaman","layar, ","")&amp;IF(P104="Nyaman","refresh rate, ",""))</f>
        <v>RAM, penyimpanan, </v>
      </c>
      <c r="Z104" s="33" t="str">
        <f aca="false">IF($A104="","",IF(Q104="Tidak dinilai","Belum ada kriteria yang dinilai untuk kebutuhan ini.",IF(Q104="Cocok","Semua kriteria yang dinilai sudah nyaman: "&amp;LEFT(Y104,LEN(Y104)-2)&amp;".",UPPER(LEFT(X104,1))&amp;MID(X104,2,LEN(X104)-3)&amp;"."&amp;IF(Y104="",""," Sudah nyaman: "&amp;LEFT(Y104,LEN(Y104)-2)&amp;"."))))</f>
        <v>Grafis tingkat 2 dari 5, di bawah batas minimal (tingkat 3); prosesor tingkat 3 dari 5 cukup, nyamannya mulai tingkat 4; layar 60 Hz cukup, nyamannya 120 Hz atau lebih. Sudah nyaman: RAM, penyimpanan.</v>
      </c>
      <c r="AA104" s="33"/>
      <c r="AB104" s="33"/>
      <c r="AC104" s="69"/>
    </row>
    <row r="105" customFormat="false" ht="15" hidden="false" customHeight="true" outlineLevel="0" collapsed="false">
      <c r="A105" s="66" t="str">
        <f aca="false">IF(Varian!$A25="","",Varian!$A25)</f>
        <v>acer-swift-go-14-ai-sfg14-64-r5ai340-32-512</v>
      </c>
      <c r="B105" s="66" t="str">
        <f aca="false">IF($A105="","",Aturan!$A$21)</f>
        <v>Kuliah dan kantor</v>
      </c>
      <c r="C105" s="67" t="n">
        <f aca="false">IF($A105="","",IFERROR(IF(ISNUMBER(INDEX(CPU!$J$4:$J$64,MATCH(Varian!$J25,CPU!$A$4:$A$64,0))),INDEX(CPU!$J$4:$J$64,MATCH(Varian!$J25,CPU!$A$4:$A$64,0)),""),""))</f>
        <v>3</v>
      </c>
      <c r="D105" s="67" t="n">
        <f aca="false">IF($A105="","",IFERROR(IF(ISNUMBER(INDEX(GPU!$G$4:$G$64,MATCH(Varian!$K25,GPU!$A$4:$A$64,0))),INDEX(GPU!$G$4:$G$64,MATCH(Varian!$K25,GPU!$A$4:$A$64,0)),""),""))</f>
        <v>2</v>
      </c>
      <c r="E105" s="67" t="n">
        <f aca="false">IF($A105="","",IF(ISNUMBER(Varian!$M25),Varian!$M25,""))</f>
        <v>32</v>
      </c>
      <c r="F105" s="67" t="n">
        <f aca="false">IF($A105="","",IF(ISNUMBER(Varian!$V25),Varian!$V25,""))</f>
        <v>512</v>
      </c>
      <c r="G105" s="67" t="n">
        <f aca="false">IF($A105="","",IFERROR(INDEX(Aturan!$B$63:$B$66,MATCH(Varian!$AG25,Aturan!$A$63:$A$66,0)),""))</f>
        <v>4</v>
      </c>
      <c r="H105" s="67" t="n">
        <f aca="false">IF($A105="","",IF(ISNUMBER(Varian!$AI25),Varian!$AI25,""))</f>
        <v>90</v>
      </c>
      <c r="I105" s="66" t="str">
        <f aca="false">IF($A105="","",IF(Varian!$Q25="disolder","menempel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5" s="66" t="str">
        <f aca="false">IF($A105="","",IF(Varian!$Z25="ya","bisa diganti dengan yang lebih besar",IF(Varian!$Z25="tidak","menempel, tidak bisa diganti","belum diketahui apakah bisa diganti")))</f>
        <v>bisa diganti dengan yang lebih besar</v>
      </c>
      <c r="K105" s="68" t="str">
        <f aca="false">IF($A105="","",IF(AND(Aturan!$C$30="",Aturan!$D$30=""),"Tidak dinilai",IF(C105="","Belum ada data",IF(C105&lt;IF(Aturan!$C$30="",0,Aturan!$C$30),"Kurang",IF(C105&gt;=IF(Aturan!$D$30="",Aturan!$C$30,Aturan!$D$30),"Nyaman","Cukup")))))</f>
        <v>Nyaman</v>
      </c>
      <c r="L105" s="68" t="str">
        <f aca="false">IF($A105="","",IF(AND(Aturan!$C$31="",Aturan!$D$31=""),"Tidak dinilai",IF(D105="","Belum ada data",IF(D105&lt;IF(Aturan!$C$31="",0,Aturan!$C$31),"Kurang",IF(D105&gt;=IF(Aturan!$D$31="",Aturan!$C$31,Aturan!$D$31),"Nyaman","Cukup")))))</f>
        <v>Tidak dinilai</v>
      </c>
      <c r="M105" s="68" t="str">
        <f aca="false">IF($A105="","",IF(AND(Aturan!$C$32="",Aturan!$D$32=""),"Tidak dinilai",IF(E105="","Belum ada data",IF(E105&lt;IF(Aturan!$C$32="",0,Aturan!$C$32),"Kurang",IF(E105&gt;=IF(Aturan!$D$32="",Aturan!$C$32,Aturan!$D$32),"Nyaman","Cukup")))))</f>
        <v>Nyaman</v>
      </c>
      <c r="N105" s="68" t="str">
        <f aca="false">IF($A105="","",IF(AND(Aturan!$C$33="",Aturan!$D$33=""),"Tidak dinilai",IF(F105="","Belum ada data",IF(F105&lt;IF(Aturan!$C$33="",0,Aturan!$C$33),"Kurang",IF(F105&gt;=IF(Aturan!$D$33="",Aturan!$C$33,Aturan!$D$33),"Nyaman","Cukup")))))</f>
        <v>Nyaman</v>
      </c>
      <c r="O105" s="68" t="str">
        <f aca="false">IF($A105="","",IF(AND(Aturan!$C$34="",Aturan!$D$34=""),"Tidak dinilai",IF(G105="","Belum ada data",IF(G105&lt;IF(Aturan!$C$34="",0,Aturan!$C$34),"Kurang",IF(G105&gt;=IF(Aturan!$D$34="",Aturan!$C$34,Aturan!$D$34),"Nyaman","Cukup")))))</f>
        <v>Tidak dinilai</v>
      </c>
      <c r="P105" s="68" t="str">
        <f aca="false">IF($A105="","",IF(AND(Aturan!$C$35="",Aturan!$D$35=""),"Tidak dinilai",IF(H105="","Belum ada data",IF(H105&lt;IF(Aturan!$C$35="",0,Aturan!$C$35),"Kurang",IF(H105&gt;=IF(Aturan!$D$35="",Aturan!$C$35,Aturan!$D$35),"Nyaman","Cukup")))))</f>
        <v>Tidak dinilai</v>
      </c>
      <c r="Q105" s="68" t="str">
        <f aca="false">IF($A105="","",IF(COUNTIF(K105:P105,"Tidak dinilai")=6,"Tidak dinilai",IF(COUNTIF(K105:P105,"Kurang")&gt;0,"Kurang cocok",IF(COUNTIF(K105:P105,"Belum ada data")&gt;0,"Data belum lengkap",IF(COUNTIF(K105:P105,"Cukup")&gt;0,"Bisa, dengan catatan","Cocok")))))</f>
        <v>Cocok</v>
      </c>
      <c r="R105" s="66" t="str">
        <f aca="false">IF($A105="","",IF(K105="Kurang","prosesor tingkat "&amp;C105&amp;" dari 5, di bawah batas minimal (tingkat "&amp;Aturan!$C$30&amp;")",IF(K105="Cukup","prosesor tingkat "&amp;C105&amp;" dari 5 cukup, nyamannya mulai tingkat "&amp;Aturan!$D$30,IF(K105="Belum ada data","tingkat prosesor belum diisi",""))))</f>
        <v/>
      </c>
      <c r="S105" s="66" t="str">
        <f aca="false">IF($A105="","",IF(L105="Kurang","grafis tingkat "&amp;D105&amp;" dari 5, di bawah batas minimal (tingkat "&amp;Aturan!$C$31&amp;")",IF(L105="Cukup","grafis tingkat "&amp;D105&amp;" dari 5 cukup, nyamannya mulai tingkat "&amp;Aturan!$D$31,IF(L105="Belum ada data","tingkat grafis belum diisi",""))))</f>
        <v/>
      </c>
      <c r="T105" s="66" t="str">
        <f aca="false">IF($A105="","",IF(M105="Kurang","RAM "&amp;E105&amp;" GB, di bawah batas minimal "&amp;Aturan!$C$32&amp;" GB ("&amp;I105&amp;")",IF(M105="Cukup","RAM "&amp;E105&amp;" GB cukup, nyamannya "&amp;Aturan!$D$32&amp;" GB atau lebih ("&amp;I105&amp;")",IF(M105="Belum ada data","ukuran RAM belum diisi",""))))</f>
        <v/>
      </c>
      <c r="U105" s="66" t="str">
        <f aca="false">IF($A105="","",IF(N105="Kurang","penyimpanan "&amp;F105&amp;" GB, di bawah batas minimal "&amp;Aturan!$C$33&amp;" GB ("&amp;J105&amp;")",IF(N105="Cukup","penyimpanan "&amp;F105&amp;" GB cukup, nyamannya "&amp;Aturan!$D$33&amp;" GB atau lebih ("&amp;J105&amp;")",IF(N105="Belum ada data","ukuran penyimpanan belum diisi",""))))</f>
        <v/>
      </c>
      <c r="V105" s="66" t="str">
        <f aca="false">IF($A105="","",IF(O105="Kurang","layar "&amp;Varian!$AG25&amp;", di bawah batas minimal ("&amp;IFERROR(INDEX(Aturan!$A$63:$A$66,MATCH(Aturan!$C$34,Aturan!$B$63:$B$66,0)),"peringkat "&amp;Aturan!$C$34)&amp;")",IF(O105="Cukup","layar "&amp;Varian!$AG25&amp;" cukup, nyamannya "&amp;IFERROR(INDEX(Aturan!$A$63:$A$66,MATCH(Aturan!$D$34,Aturan!$B$63:$B$66,0)),"peringkat "&amp;Aturan!$D$34),IF(O105="Belum ada data","jenis layar belum diketahui",""))))</f>
        <v/>
      </c>
      <c r="W105" s="66" t="str">
        <f aca="false">IF($A105="","",IF(P105="Kurang","layar "&amp;H105&amp;" Hz, di bawah batas minimal "&amp;Aturan!$C$35&amp;" Hz",IF(P105="Cukup","layar "&amp;H105&amp;" Hz cukup, nyamannya "&amp;Aturan!$D$35&amp;" Hz atau lebih",IF(P105="Belum ada data","refresh rate belum diketahui",""))))</f>
        <v/>
      </c>
      <c r="X105" s="66" t="str">
        <f aca="false">IF($A105="","",IF(K105="Kurang",R105&amp;"; ","")&amp;IF(L105="Kurang",S105&amp;"; ","")&amp;IF(M105="Kurang",T105&amp;"; ","")&amp;IF(N105="Kurang",U105&amp;"; ","")&amp;IF(O105="Kurang",V105&amp;"; ","")&amp;IF(P105="Kurang",W105&amp;"; ","")&amp;IF(K105="Belum ada data",R105&amp;"; ","")&amp;IF(L105="Belum ada data",S105&amp;"; ","")&amp;IF(M105="Belum ada data",T105&amp;"; ","")&amp;IF(N105="Belum ada data",U105&amp;"; ","")&amp;IF(O105="Belum ada data",V105&amp;"; ","")&amp;IF(P105="Belum ada data",W105&amp;"; ","")&amp;IF(K105="Cukup",R105&amp;"; ","")&amp;IF(L105="Cukup",S105&amp;"; ","")&amp;IF(M105="Cukup",T105&amp;"; ","")&amp;IF(N105="Cukup",U105&amp;"; ","")&amp;IF(O105="Cukup",V105&amp;"; ","")&amp;IF(P105="Cukup",W105&amp;"; ",""))</f>
        <v/>
      </c>
      <c r="Y105" s="66" t="str">
        <f aca="false">IF($A105="","",IF(K105="Nyaman","prosesor, ","")&amp;IF(L105="Nyaman","grafis, ","")&amp;IF(M105="Nyaman","RAM, ","")&amp;IF(N105="Nyaman","penyimpanan, ","")&amp;IF(O105="Nyaman","layar, ","")&amp;IF(P105="Nyaman","refresh rate, ",""))</f>
        <v>prosesor, RAM, penyimpanan, </v>
      </c>
      <c r="Z105" s="66" t="str">
        <f aca="false">IF($A105="","",IF(Q105="Tidak dinilai","Belum ada kriteria yang dinilai untuk kebutuhan ini.",IF(Q105="Cocok","Semua kriteria yang dinilai sudah nyaman: "&amp;LEFT(Y105,LEN(Y105)-2)&amp;".",UPPER(LEFT(X105,1))&amp;MID(X105,2,LEN(X105)-3)&amp;"."&amp;IF(Y105="",""," Sudah nyaman: "&amp;LEFT(Y105,LEN(Y105)-2)&amp;"."))))</f>
        <v>Semua kriteria yang dinilai sudah nyaman: prosesor, RAM, penyimpanan.</v>
      </c>
      <c r="AA105" s="71" t="str">
        <f aca="false">IF($A105="","",IF(Varian!$AR25="Windows 10","• "&amp;Aturan!$E$71&amp;CHAR(10),"")&amp;IF(Varian!$BB25="tidak","• "&amp;Aturan!$E$72&amp;CHAR(10),"")&amp;IF(OR(Varian!$AD25="belum terverifikasi",Varian!$AD25="tidak diketahui"),"• "&amp;Aturan!$E$73&amp;CHAR(10),"")&amp;IF(Varian!$AH25="1366x768","• "&amp;Aturan!$E$74&amp;CHAR(10),"")&amp;IF(Varian!$AG25="TN","• "&amp;Aturan!$E$75&amp;CHAR(10),"")&amp;IF(AND(Varian!$Q25="disolder",ISNUMBER(Varian!$M25),Varian!$M25&lt;=8),"• "&amp;Aturan!$E$76&amp;CHAR(10),""))</f>
        <v>• Info RAM dan penyimpanan (bisa diganti atau tidak) belum terverifikasi. Periksa lagi sebelum membeli.
</v>
      </c>
      <c r="AB105" s="66" t="str">
        <f aca="false">IF($A105="","",IF(AA105="","",LEFT(AA105,LEN(AA105)-1)))</f>
        <v>• Info RAM dan penyimpanan (bisa diganti atau tidak) belum terverifikasi. Periksa lagi sebelum membeli.</v>
      </c>
      <c r="AC105" s="67" t="n">
        <f aca="false">IF($A105="","",IF(AA105="",0,LEN(AA105)-LEN(SUBSTITUTE(AA105,CHAR(10),""))))</f>
        <v>1</v>
      </c>
    </row>
    <row r="106" customFormat="false" ht="15" hidden="false" customHeight="true" outlineLevel="0" collapsed="false">
      <c r="A106" s="33" t="str">
        <f aca="false">IF(Varian!$A25="","",Varian!$A25)</f>
        <v>acer-swift-go-14-ai-sfg14-64-r5ai340-32-512</v>
      </c>
      <c r="B106" s="33" t="str">
        <f aca="false">IF($A106="","",Aturan!$A$22)</f>
        <v>Desain grafis</v>
      </c>
      <c r="C106" s="69" t="n">
        <f aca="false">IF($A106="","",IFERROR(IF(ISNUMBER(INDEX(CPU!$J$4:$J$64,MATCH(Varian!$J25,CPU!$A$4:$A$64,0))),INDEX(CPU!$J$4:$J$64,MATCH(Varian!$J25,CPU!$A$4:$A$64,0)),""),""))</f>
        <v>3</v>
      </c>
      <c r="D106" s="69" t="n">
        <f aca="false">IF($A106="","",IFERROR(IF(ISNUMBER(INDEX(GPU!$G$4:$G$64,MATCH(Varian!$K25,GPU!$A$4:$A$64,0))),INDEX(GPU!$G$4:$G$64,MATCH(Varian!$K25,GPU!$A$4:$A$64,0)),""),""))</f>
        <v>2</v>
      </c>
      <c r="E106" s="69" t="n">
        <f aca="false">IF($A106="","",IF(ISNUMBER(Varian!$M25),Varian!$M25,""))</f>
        <v>32</v>
      </c>
      <c r="F106" s="69" t="n">
        <f aca="false">IF($A106="","",IF(ISNUMBER(Varian!$V25),Varian!$V25,""))</f>
        <v>512</v>
      </c>
      <c r="G106" s="69" t="n">
        <f aca="false">IF($A106="","",IFERROR(INDEX(Aturan!$B$63:$B$66,MATCH(Varian!$AG25,Aturan!$A$63:$A$66,0)),""))</f>
        <v>4</v>
      </c>
      <c r="H106" s="69" t="n">
        <f aca="false">IF($A106="","",IF(ISNUMBER(Varian!$AI25),Varian!$AI25,""))</f>
        <v>90</v>
      </c>
      <c r="I106" s="33" t="str">
        <f aca="false">IF($A106="","",IF(Varian!$Q25="disolder","menempel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6" s="33" t="str">
        <f aca="false">IF($A106="","",IF(Varian!$Z25="ya","bisa diganti dengan yang lebih besar",IF(Varian!$Z25="tidak","menempel, tidak bisa diganti","belum diketahui apakah bisa diganti")))</f>
        <v>bisa diganti dengan yang lebih besar</v>
      </c>
      <c r="K106" s="70" t="str">
        <f aca="false">IF($A106="","",IF(AND(Aturan!$C$36="",Aturan!$D$36=""),"Tidak dinilai",IF(C106="","Belum ada data",IF(C106&lt;IF(Aturan!$C$36="",0,Aturan!$C$36),"Kurang",IF(C106&gt;=IF(Aturan!$D$36="",Aturan!$C$36,Aturan!$D$36),"Nyaman","Cukup")))))</f>
        <v>Nyaman</v>
      </c>
      <c r="L106" s="70" t="str">
        <f aca="false">IF($A106="","",IF(AND(Aturan!$C$37="",Aturan!$D$37=""),"Tidak dinilai",IF(D106="","Belum ada data",IF(D106&lt;IF(Aturan!$C$37="",0,Aturan!$C$37),"Kurang",IF(D106&gt;=IF(Aturan!$D$37="",Aturan!$C$37,Aturan!$D$37),"Nyaman","Cukup")))))</f>
        <v>Nyaman</v>
      </c>
      <c r="M106" s="70" t="str">
        <f aca="false">IF($A106="","",IF(AND(Aturan!$C$38="",Aturan!$D$38=""),"Tidak dinilai",IF(E106="","Belum ada data",IF(E106&lt;IF(Aturan!$C$38="",0,Aturan!$C$38),"Kurang",IF(E106&gt;=IF(Aturan!$D$38="",Aturan!$C$38,Aturan!$D$38),"Nyaman","Cukup")))))</f>
        <v>Nyaman</v>
      </c>
      <c r="N106" s="70" t="str">
        <f aca="false">IF($A106="","",IF(AND(Aturan!$C$39="",Aturan!$D$39=""),"Tidak dinilai",IF(F106="","Belum ada data",IF(F106&lt;IF(Aturan!$C$39="",0,Aturan!$C$39),"Kurang",IF(F106&gt;=IF(Aturan!$D$39="",Aturan!$C$39,Aturan!$D$39),"Nyaman","Cukup")))))</f>
        <v>Nyaman</v>
      </c>
      <c r="O106" s="70" t="str">
        <f aca="false">IF($A106="","",IF(AND(Aturan!$C$40="",Aturan!$D$40=""),"Tidak dinilai",IF(G106="","Belum ada data",IF(G106&lt;IF(Aturan!$C$40="",0,Aturan!$C$40),"Kurang",IF(G106&gt;=IF(Aturan!$D$40="",Aturan!$C$40,Aturan!$D$40),"Nyaman","Cukup")))))</f>
        <v>Nyaman</v>
      </c>
      <c r="P106" s="70" t="str">
        <f aca="false">IF($A106="","",IF(AND(Aturan!$C$41="",Aturan!$D$41=""),"Tidak dinilai",IF(H106="","Belum ada data",IF(H106&lt;IF(Aturan!$C$41="",0,Aturan!$C$41),"Kurang",IF(H106&gt;=IF(Aturan!$D$41="",Aturan!$C$41,Aturan!$D$41),"Nyaman","Cukup")))))</f>
        <v>Tidak dinilai</v>
      </c>
      <c r="Q106" s="70" t="str">
        <f aca="false">IF($A106="","",IF(COUNTIF(K106:P106,"Tidak dinilai")=6,"Tidak dinilai",IF(COUNTIF(K106:P106,"Kurang")&gt;0,"Kurang cocok",IF(COUNTIF(K106:P106,"Belum ada data")&gt;0,"Data belum lengkap",IF(COUNTIF(K106:P106,"Cukup")&gt;0,"Bisa, dengan catatan","Cocok")))))</f>
        <v>Cocok</v>
      </c>
      <c r="R106" s="33" t="str">
        <f aca="false">IF($A106="","",IF(K106="Kurang","prosesor tingkat "&amp;C106&amp;" dari 5, di bawah batas minimal (tingkat "&amp;Aturan!$C$36&amp;")",IF(K106="Cukup","prosesor tingkat "&amp;C106&amp;" dari 5 cukup, nyamannya mulai tingkat "&amp;Aturan!$D$36,IF(K106="Belum ada data","tingkat prosesor belum diisi",""))))</f>
        <v/>
      </c>
      <c r="S106" s="33" t="str">
        <f aca="false">IF($A106="","",IF(L106="Kurang","grafis tingkat "&amp;D106&amp;" dari 5, di bawah batas minimal (tingkat "&amp;Aturan!$C$37&amp;")",IF(L106="Cukup","grafis tingkat "&amp;D106&amp;" dari 5 cukup, nyamannya mulai tingkat "&amp;Aturan!$D$37,IF(L106="Belum ada data","tingkat grafis belum diisi",""))))</f>
        <v/>
      </c>
      <c r="T106" s="33" t="str">
        <f aca="false">IF($A106="","",IF(M106="Kurang","RAM "&amp;E106&amp;" GB, di bawah batas minimal "&amp;Aturan!$C$38&amp;" GB ("&amp;I106&amp;")",IF(M106="Cukup","RAM "&amp;E106&amp;" GB cukup, nyamannya "&amp;Aturan!$D$38&amp;" GB atau lebih ("&amp;I106&amp;")",IF(M106="Belum ada data","ukuran RAM belum diisi",""))))</f>
        <v/>
      </c>
      <c r="U106" s="33" t="str">
        <f aca="false">IF($A106="","",IF(N106="Kurang","penyimpanan "&amp;F106&amp;" GB, di bawah batas minimal "&amp;Aturan!$C$39&amp;" GB ("&amp;J106&amp;")",IF(N106="Cukup","penyimpanan "&amp;F106&amp;" GB cukup, nyamannya "&amp;Aturan!$D$39&amp;" GB atau lebih ("&amp;J106&amp;")",IF(N106="Belum ada data","ukuran penyimpanan belum diisi",""))))</f>
        <v/>
      </c>
      <c r="V106" s="33" t="str">
        <f aca="false">IF($A106="","",IF(O106="Kurang","layar "&amp;Varian!$AG25&amp;", di bawah batas minimal ("&amp;IFERROR(INDEX(Aturan!$A$63:$A$66,MATCH(Aturan!$C$40,Aturan!$B$63:$B$66,0)),"peringkat "&amp;Aturan!$C$40)&amp;")",IF(O106="Cukup","layar "&amp;Varian!$AG25&amp;" cukup, nyamannya "&amp;IFERROR(INDEX(Aturan!$A$63:$A$66,MATCH(Aturan!$D$40,Aturan!$B$63:$B$66,0)),"peringkat "&amp;Aturan!$D$40),IF(O106="Belum ada data","jenis layar belum diketahui",""))))</f>
        <v/>
      </c>
      <c r="W106" s="33" t="str">
        <f aca="false">IF($A106="","",IF(P106="Kurang","layar "&amp;H106&amp;" Hz, di bawah batas minimal "&amp;Aturan!$C$41&amp;" Hz",IF(P106="Cukup","layar "&amp;H106&amp;" Hz cukup, nyamannya "&amp;Aturan!$D$41&amp;" Hz atau lebih",IF(P106="Belum ada data","refresh rate belum diketahui",""))))</f>
        <v/>
      </c>
      <c r="X106" s="33" t="str">
        <f aca="false">IF($A106="","",IF(K106="Kurang",R106&amp;"; ","")&amp;IF(L106="Kurang",S106&amp;"; ","")&amp;IF(M106="Kurang",T106&amp;"; ","")&amp;IF(N106="Kurang",U106&amp;"; ","")&amp;IF(O106="Kurang",V106&amp;"; ","")&amp;IF(P106="Kurang",W106&amp;"; ","")&amp;IF(K106="Belum ada data",R106&amp;"; ","")&amp;IF(L106="Belum ada data",S106&amp;"; ","")&amp;IF(M106="Belum ada data",T106&amp;"; ","")&amp;IF(N106="Belum ada data",U106&amp;"; ","")&amp;IF(O106="Belum ada data",V106&amp;"; ","")&amp;IF(P106="Belum ada data",W106&amp;"; ","")&amp;IF(K106="Cukup",R106&amp;"; ","")&amp;IF(L106="Cukup",S106&amp;"; ","")&amp;IF(M106="Cukup",T106&amp;"; ","")&amp;IF(N106="Cukup",U106&amp;"; ","")&amp;IF(O106="Cukup",V106&amp;"; ","")&amp;IF(P106="Cukup",W106&amp;"; ",""))</f>
        <v/>
      </c>
      <c r="Y106" s="33" t="str">
        <f aca="false">IF($A106="","",IF(K106="Nyaman","prosesor, ","")&amp;IF(L106="Nyaman","grafis, ","")&amp;IF(M106="Nyaman","RAM, ","")&amp;IF(N106="Nyaman","penyimpanan, ","")&amp;IF(O106="Nyaman","layar, ","")&amp;IF(P106="Nyaman","refresh rate, ",""))</f>
        <v>prosesor, grafis, RAM, penyimpanan, layar, </v>
      </c>
      <c r="Z106" s="33" t="str">
        <f aca="false">IF($A106="","",IF(Q106="Tidak dinilai","Belum ada kriteria yang dinilai untuk kebutuhan ini.",IF(Q106="Cocok","Semua kriteria yang dinilai sudah nyaman: "&amp;LEFT(Y106,LEN(Y106)-2)&amp;".",UPPER(LEFT(X106,1))&amp;MID(X106,2,LEN(X106)-3)&amp;"."&amp;IF(Y106="",""," Sudah nyaman: "&amp;LEFT(Y106,LEN(Y106)-2)&amp;"."))))</f>
        <v>Semua kriteria yang dinilai sudah nyaman: prosesor, grafis, RAM, penyimpanan, layar.</v>
      </c>
      <c r="AA106" s="33"/>
      <c r="AB106" s="33"/>
      <c r="AC106" s="69"/>
    </row>
    <row r="107" customFormat="false" ht="15" hidden="false" customHeight="true" outlineLevel="0" collapsed="false">
      <c r="A107" s="33" t="str">
        <f aca="false">IF(Varian!$A25="","",Varian!$A25)</f>
        <v>acer-swift-go-14-ai-sfg14-64-r5ai340-32-512</v>
      </c>
      <c r="B107" s="33" t="str">
        <f aca="false">IF($A107="","",Aturan!$A$23)</f>
        <v>Pemrograman</v>
      </c>
      <c r="C107" s="69" t="n">
        <f aca="false">IF($A107="","",IFERROR(IF(ISNUMBER(INDEX(CPU!$J$4:$J$64,MATCH(Varian!$J25,CPU!$A$4:$A$64,0))),INDEX(CPU!$J$4:$J$64,MATCH(Varian!$J25,CPU!$A$4:$A$64,0)),""),""))</f>
        <v>3</v>
      </c>
      <c r="D107" s="69" t="n">
        <f aca="false">IF($A107="","",IFERROR(IF(ISNUMBER(INDEX(GPU!$G$4:$G$64,MATCH(Varian!$K25,GPU!$A$4:$A$64,0))),INDEX(GPU!$G$4:$G$64,MATCH(Varian!$K25,GPU!$A$4:$A$64,0)),""),""))</f>
        <v>2</v>
      </c>
      <c r="E107" s="69" t="n">
        <f aca="false">IF($A107="","",IF(ISNUMBER(Varian!$M25),Varian!$M25,""))</f>
        <v>32</v>
      </c>
      <c r="F107" s="69" t="n">
        <f aca="false">IF($A107="","",IF(ISNUMBER(Varian!$V25),Varian!$V25,""))</f>
        <v>512</v>
      </c>
      <c r="G107" s="69" t="n">
        <f aca="false">IF($A107="","",IFERROR(INDEX(Aturan!$B$63:$B$66,MATCH(Varian!$AG25,Aturan!$A$63:$A$66,0)),""))</f>
        <v>4</v>
      </c>
      <c r="H107" s="69" t="n">
        <f aca="false">IF($A107="","",IF(ISNUMBER(Varian!$AI25),Varian!$AI25,""))</f>
        <v>90</v>
      </c>
      <c r="I107" s="33" t="str">
        <f aca="false">IF($A107="","",IF(Varian!$Q25="disolder","menempel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7" s="33" t="str">
        <f aca="false">IF($A107="","",IF(Varian!$Z25="ya","bisa diganti dengan yang lebih besar",IF(Varian!$Z25="tidak","menempel, tidak bisa diganti","belum diketahui apakah bisa diganti")))</f>
        <v>bisa diganti dengan yang lebih besar</v>
      </c>
      <c r="K107" s="70" t="str">
        <f aca="false">IF($A107="","",IF(AND(Aturan!$C$42="",Aturan!$D$42=""),"Tidak dinilai",IF(C107="","Belum ada data",IF(C107&lt;IF(Aturan!$C$42="",0,Aturan!$C$42),"Kurang",IF(C107&gt;=IF(Aturan!$D$42="",Aturan!$C$42,Aturan!$D$42),"Nyaman","Cukup")))))</f>
        <v>Nyaman</v>
      </c>
      <c r="L107" s="70" t="str">
        <f aca="false">IF($A107="","",IF(AND(Aturan!$C$43="",Aturan!$D$43=""),"Tidak dinilai",IF(D107="","Belum ada data",IF(D107&lt;IF(Aturan!$C$43="",0,Aturan!$C$43),"Kurang",IF(D107&gt;=IF(Aturan!$D$43="",Aturan!$C$43,Aturan!$D$43),"Nyaman","Cukup")))))</f>
        <v>Tidak dinilai</v>
      </c>
      <c r="M107" s="70" t="str">
        <f aca="false">IF($A107="","",IF(AND(Aturan!$C$44="",Aturan!$D$44=""),"Tidak dinilai",IF(E107="","Belum ada data",IF(E107&lt;IF(Aturan!$C$44="",0,Aturan!$C$44),"Kurang",IF(E107&gt;=IF(Aturan!$D$44="",Aturan!$C$44,Aturan!$D$44),"Nyaman","Cukup")))))</f>
        <v>Nyaman</v>
      </c>
      <c r="N107" s="70" t="str">
        <f aca="false">IF($A107="","",IF(AND(Aturan!$C$45="",Aturan!$D$45=""),"Tidak dinilai",IF(F107="","Belum ada data",IF(F107&lt;IF(Aturan!$C$45="",0,Aturan!$C$45),"Kurang",IF(F107&gt;=IF(Aturan!$D$45="",Aturan!$C$45,Aturan!$D$45),"Nyaman","Cukup")))))</f>
        <v>Nyaman</v>
      </c>
      <c r="O107" s="70" t="str">
        <f aca="false">IF($A107="","",IF(AND(Aturan!$C$46="",Aturan!$D$46=""),"Tidak dinilai",IF(G107="","Belum ada data",IF(G107&lt;IF(Aturan!$C$46="",0,Aturan!$C$46),"Kurang",IF(G107&gt;=IF(Aturan!$D$46="",Aturan!$C$46,Aturan!$D$46),"Nyaman","Cukup")))))</f>
        <v>Tidak dinilai</v>
      </c>
      <c r="P107" s="70" t="str">
        <f aca="false">IF($A107="","",IF(AND(Aturan!$C$47="",Aturan!$D$47=""),"Tidak dinilai",IF(H107="","Belum ada data",IF(H107&lt;IF(Aturan!$C$47="",0,Aturan!$C$47),"Kurang",IF(H107&gt;=IF(Aturan!$D$47="",Aturan!$C$47,Aturan!$D$47),"Nyaman","Cukup")))))</f>
        <v>Tidak dinilai</v>
      </c>
      <c r="Q107" s="70" t="str">
        <f aca="false">IF($A107="","",IF(COUNTIF(K107:P107,"Tidak dinilai")=6,"Tidak dinilai",IF(COUNTIF(K107:P107,"Kurang")&gt;0,"Kurang cocok",IF(COUNTIF(K107:P107,"Belum ada data")&gt;0,"Data belum lengkap",IF(COUNTIF(K107:P107,"Cukup")&gt;0,"Bisa, dengan catatan","Cocok")))))</f>
        <v>Cocok</v>
      </c>
      <c r="R107" s="33" t="str">
        <f aca="false">IF($A107="","",IF(K107="Kurang","prosesor tingkat "&amp;C107&amp;" dari 5, di bawah batas minimal (tingkat "&amp;Aturan!$C$42&amp;")",IF(K107="Cukup","prosesor tingkat "&amp;C107&amp;" dari 5 cukup, nyamannya mulai tingkat "&amp;Aturan!$D$42,IF(K107="Belum ada data","tingkat prosesor belum diisi",""))))</f>
        <v/>
      </c>
      <c r="S107" s="33" t="str">
        <f aca="false">IF($A107="","",IF(L107="Kurang","grafis tingkat "&amp;D107&amp;" dari 5, di bawah batas minimal (tingkat "&amp;Aturan!$C$43&amp;")",IF(L107="Cukup","grafis tingkat "&amp;D107&amp;" dari 5 cukup, nyamannya mulai tingkat "&amp;Aturan!$D$43,IF(L107="Belum ada data","tingkat grafis belum diisi",""))))</f>
        <v/>
      </c>
      <c r="T107" s="33" t="str">
        <f aca="false">IF($A107="","",IF(M107="Kurang","RAM "&amp;E107&amp;" GB, di bawah batas minimal "&amp;Aturan!$C$44&amp;" GB ("&amp;I107&amp;")",IF(M107="Cukup","RAM "&amp;E107&amp;" GB cukup, nyamannya "&amp;Aturan!$D$44&amp;" GB atau lebih ("&amp;I107&amp;")",IF(M107="Belum ada data","ukuran RAM belum diisi",""))))</f>
        <v/>
      </c>
      <c r="U107" s="33" t="str">
        <f aca="false">IF($A107="","",IF(N107="Kurang","penyimpanan "&amp;F107&amp;" GB, di bawah batas minimal "&amp;Aturan!$C$45&amp;" GB ("&amp;J107&amp;")",IF(N107="Cukup","penyimpanan "&amp;F107&amp;" GB cukup, nyamannya "&amp;Aturan!$D$45&amp;" GB atau lebih ("&amp;J107&amp;")",IF(N107="Belum ada data","ukuran penyimpanan belum diisi",""))))</f>
        <v/>
      </c>
      <c r="V107" s="33" t="str">
        <f aca="false">IF($A107="","",IF(O107="Kurang","layar "&amp;Varian!$AG25&amp;", di bawah batas minimal ("&amp;IFERROR(INDEX(Aturan!$A$63:$A$66,MATCH(Aturan!$C$46,Aturan!$B$63:$B$66,0)),"peringkat "&amp;Aturan!$C$46)&amp;")",IF(O107="Cukup","layar "&amp;Varian!$AG25&amp;" cukup, nyamannya "&amp;IFERROR(INDEX(Aturan!$A$63:$A$66,MATCH(Aturan!$D$46,Aturan!$B$63:$B$66,0)),"peringkat "&amp;Aturan!$D$46),IF(O107="Belum ada data","jenis layar belum diketahui",""))))</f>
        <v/>
      </c>
      <c r="W107" s="33" t="str">
        <f aca="false">IF($A107="","",IF(P107="Kurang","layar "&amp;H107&amp;" Hz, di bawah batas minimal "&amp;Aturan!$C$47&amp;" Hz",IF(P107="Cukup","layar "&amp;H107&amp;" Hz cukup, nyamannya "&amp;Aturan!$D$47&amp;" Hz atau lebih",IF(P107="Belum ada data","refresh rate belum diketahui",""))))</f>
        <v/>
      </c>
      <c r="X107" s="33" t="str">
        <f aca="false">IF($A107="","",IF(K107="Kurang",R107&amp;"; ","")&amp;IF(L107="Kurang",S107&amp;"; ","")&amp;IF(M107="Kurang",T107&amp;"; ","")&amp;IF(N107="Kurang",U107&amp;"; ","")&amp;IF(O107="Kurang",V107&amp;"; ","")&amp;IF(P107="Kurang",W107&amp;"; ","")&amp;IF(K107="Belum ada data",R107&amp;"; ","")&amp;IF(L107="Belum ada data",S107&amp;"; ","")&amp;IF(M107="Belum ada data",T107&amp;"; ","")&amp;IF(N107="Belum ada data",U107&amp;"; ","")&amp;IF(O107="Belum ada data",V107&amp;"; ","")&amp;IF(P107="Belum ada data",W107&amp;"; ","")&amp;IF(K107="Cukup",R107&amp;"; ","")&amp;IF(L107="Cukup",S107&amp;"; ","")&amp;IF(M107="Cukup",T107&amp;"; ","")&amp;IF(N107="Cukup",U107&amp;"; ","")&amp;IF(O107="Cukup",V107&amp;"; ","")&amp;IF(P107="Cukup",W107&amp;"; ",""))</f>
        <v/>
      </c>
      <c r="Y107" s="33" t="str">
        <f aca="false">IF($A107="","",IF(K107="Nyaman","prosesor, ","")&amp;IF(L107="Nyaman","grafis, ","")&amp;IF(M107="Nyaman","RAM, ","")&amp;IF(N107="Nyaman","penyimpanan, ","")&amp;IF(O107="Nyaman","layar, ","")&amp;IF(P107="Nyaman","refresh rate, ",""))</f>
        <v>prosesor, RAM, penyimpanan, </v>
      </c>
      <c r="Z107" s="33" t="str">
        <f aca="false">IF($A107="","",IF(Q107="Tidak dinilai","Belum ada kriteria yang dinilai untuk kebutuhan ini.",IF(Q107="Cocok","Semua kriteria yang dinilai sudah nyaman: "&amp;LEFT(Y107,LEN(Y107)-2)&amp;".",UPPER(LEFT(X107,1))&amp;MID(X107,2,LEN(X107)-3)&amp;"."&amp;IF(Y107="",""," Sudah nyaman: "&amp;LEFT(Y107,LEN(Y107)-2)&amp;"."))))</f>
        <v>Semua kriteria yang dinilai sudah nyaman: prosesor, RAM, penyimpanan.</v>
      </c>
      <c r="AA107" s="33"/>
      <c r="AB107" s="33"/>
      <c r="AC107" s="69"/>
    </row>
    <row r="108" customFormat="false" ht="15" hidden="false" customHeight="true" outlineLevel="0" collapsed="false">
      <c r="A108" s="33" t="str">
        <f aca="false">IF(Varian!$A25="","",Varian!$A25)</f>
        <v>acer-swift-go-14-ai-sfg14-64-r5ai340-32-512</v>
      </c>
      <c r="B108" s="33" t="str">
        <f aca="false">IF($A108="","",Aturan!$A$24)</f>
        <v>Game ringan</v>
      </c>
      <c r="C108" s="69" t="n">
        <f aca="false">IF($A108="","",IFERROR(IF(ISNUMBER(INDEX(CPU!$J$4:$J$64,MATCH(Varian!$J25,CPU!$A$4:$A$64,0))),INDEX(CPU!$J$4:$J$64,MATCH(Varian!$J25,CPU!$A$4:$A$64,0)),""),""))</f>
        <v>3</v>
      </c>
      <c r="D108" s="69" t="n">
        <f aca="false">IF($A108="","",IFERROR(IF(ISNUMBER(INDEX(GPU!$G$4:$G$64,MATCH(Varian!$K25,GPU!$A$4:$A$64,0))),INDEX(GPU!$G$4:$G$64,MATCH(Varian!$K25,GPU!$A$4:$A$64,0)),""),""))</f>
        <v>2</v>
      </c>
      <c r="E108" s="69" t="n">
        <f aca="false">IF($A108="","",IF(ISNUMBER(Varian!$M25),Varian!$M25,""))</f>
        <v>32</v>
      </c>
      <c r="F108" s="69" t="n">
        <f aca="false">IF($A108="","",IF(ISNUMBER(Varian!$V25),Varian!$V25,""))</f>
        <v>512</v>
      </c>
      <c r="G108" s="69" t="n">
        <f aca="false">IF($A108="","",IFERROR(INDEX(Aturan!$B$63:$B$66,MATCH(Varian!$AG25,Aturan!$A$63:$A$66,0)),""))</f>
        <v>4</v>
      </c>
      <c r="H108" s="69" t="n">
        <f aca="false">IF($A108="","",IF(ISNUMBER(Varian!$AI25),Varian!$AI25,""))</f>
        <v>90</v>
      </c>
      <c r="I108" s="33" t="str">
        <f aca="false">IF($A108="","",IF(Varian!$Q25="disolder","menempel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8" s="33" t="str">
        <f aca="false">IF($A108="","",IF(Varian!$Z25="ya","bisa diganti dengan yang lebih besar",IF(Varian!$Z25="tidak","menempel, tidak bisa diganti","belum diketahui apakah bisa diganti")))</f>
        <v>bisa diganti dengan yang lebih besar</v>
      </c>
      <c r="K108" s="70" t="str">
        <f aca="false">IF($A108="","",IF(AND(Aturan!$C$48="",Aturan!$D$48=""),"Tidak dinilai",IF(C108="","Belum ada data",IF(C108&lt;IF(Aturan!$C$48="",0,Aturan!$C$48),"Kurang",IF(C108&gt;=IF(Aturan!$D$48="",Aturan!$C$48,Aturan!$D$48),"Nyaman","Cukup")))))</f>
        <v>Nyaman</v>
      </c>
      <c r="L108" s="70" t="str">
        <f aca="false">IF($A108="","",IF(AND(Aturan!$C$49="",Aturan!$D$49=""),"Tidak dinilai",IF(D108="","Belum ada data",IF(D108&lt;IF(Aturan!$C$49="",0,Aturan!$C$49),"Kurang",IF(D108&gt;=IF(Aturan!$D$49="",Aturan!$C$49,Aturan!$D$49),"Nyaman","Cukup")))))</f>
        <v>Nyaman</v>
      </c>
      <c r="M108" s="70" t="str">
        <f aca="false">IF($A108="","",IF(AND(Aturan!$C$50="",Aturan!$D$50=""),"Tidak dinilai",IF(E108="","Belum ada data",IF(E108&lt;IF(Aturan!$C$50="",0,Aturan!$C$50),"Kurang",IF(E108&gt;=IF(Aturan!$D$50="",Aturan!$C$50,Aturan!$D$50),"Nyaman","Cukup")))))</f>
        <v>Nyaman</v>
      </c>
      <c r="N108" s="70" t="str">
        <f aca="false">IF($A108="","",IF(AND(Aturan!$C$51="",Aturan!$D$51=""),"Tidak dinilai",IF(F108="","Belum ada data",IF(F108&lt;IF(Aturan!$C$51="",0,Aturan!$C$51),"Kurang",IF(F108&gt;=IF(Aturan!$D$51="",Aturan!$C$51,Aturan!$D$51),"Nyaman","Cukup")))))</f>
        <v>Nyaman</v>
      </c>
      <c r="O108" s="70" t="str">
        <f aca="false">IF($A108="","",IF(AND(Aturan!$C$52="",Aturan!$D$52=""),"Tidak dinilai",IF(G108="","Belum ada data",IF(G108&lt;IF(Aturan!$C$52="",0,Aturan!$C$52),"Kurang",IF(G108&gt;=IF(Aturan!$D$52="",Aturan!$C$52,Aturan!$D$52),"Nyaman","Cukup")))))</f>
        <v>Tidak dinilai</v>
      </c>
      <c r="P108" s="70" t="str">
        <f aca="false">IF($A108="","",IF(AND(Aturan!$C$53="",Aturan!$D$53=""),"Tidak dinilai",IF(H108="","Belum ada data",IF(H108&lt;IF(Aturan!$C$53="",0,Aturan!$C$53),"Kurang",IF(H108&gt;=IF(Aturan!$D$53="",Aturan!$C$53,Aturan!$D$53),"Nyaman","Cukup")))))</f>
        <v>Tidak dinilai</v>
      </c>
      <c r="Q108" s="70" t="str">
        <f aca="false">IF($A108="","",IF(COUNTIF(K108:P108,"Tidak dinilai")=6,"Tidak dinilai",IF(COUNTIF(K108:P108,"Kurang")&gt;0,"Kurang cocok",IF(COUNTIF(K108:P108,"Belum ada data")&gt;0,"Data belum lengkap",IF(COUNTIF(K108:P108,"Cukup")&gt;0,"Bisa, dengan catatan","Cocok")))))</f>
        <v>Cocok</v>
      </c>
      <c r="R108" s="33" t="str">
        <f aca="false">IF($A108="","",IF(K108="Kurang","prosesor tingkat "&amp;C108&amp;" dari 5, di bawah batas minimal (tingkat "&amp;Aturan!$C$48&amp;")",IF(K108="Cukup","prosesor tingkat "&amp;C108&amp;" dari 5 cukup, nyamannya mulai tingkat "&amp;Aturan!$D$48,IF(K108="Belum ada data","tingkat prosesor belum diisi",""))))</f>
        <v/>
      </c>
      <c r="S108" s="33" t="str">
        <f aca="false">IF($A108="","",IF(L108="Kurang","grafis tingkat "&amp;D108&amp;" dari 5, di bawah batas minimal (tingkat "&amp;Aturan!$C$49&amp;")",IF(L108="Cukup","grafis tingkat "&amp;D108&amp;" dari 5 cukup, nyamannya mulai tingkat "&amp;Aturan!$D$49,IF(L108="Belum ada data","tingkat grafis belum diisi",""))))</f>
        <v/>
      </c>
      <c r="T108" s="33" t="str">
        <f aca="false">IF($A108="","",IF(M108="Kurang","RAM "&amp;E108&amp;" GB, di bawah batas minimal "&amp;Aturan!$C$50&amp;" GB ("&amp;I108&amp;")",IF(M108="Cukup","RAM "&amp;E108&amp;" GB cukup, nyamannya "&amp;Aturan!$D$50&amp;" GB atau lebih ("&amp;I108&amp;")",IF(M108="Belum ada data","ukuran RAM belum diisi",""))))</f>
        <v/>
      </c>
      <c r="U108" s="33" t="str">
        <f aca="false">IF($A108="","",IF(N108="Kurang","penyimpanan "&amp;F108&amp;" GB, di bawah batas minimal "&amp;Aturan!$C$51&amp;" GB ("&amp;J108&amp;")",IF(N108="Cukup","penyimpanan "&amp;F108&amp;" GB cukup, nyamannya "&amp;Aturan!$D$51&amp;" GB atau lebih ("&amp;J108&amp;")",IF(N108="Belum ada data","ukuran penyimpanan belum diisi",""))))</f>
        <v/>
      </c>
      <c r="V108" s="33" t="str">
        <f aca="false">IF($A108="","",IF(O108="Kurang","layar "&amp;Varian!$AG25&amp;", di bawah batas minimal ("&amp;IFERROR(INDEX(Aturan!$A$63:$A$66,MATCH(Aturan!$C$52,Aturan!$B$63:$B$66,0)),"peringkat "&amp;Aturan!$C$52)&amp;")",IF(O108="Cukup","layar "&amp;Varian!$AG25&amp;" cukup, nyamannya "&amp;IFERROR(INDEX(Aturan!$A$63:$A$66,MATCH(Aturan!$D$52,Aturan!$B$63:$B$66,0)),"peringkat "&amp;Aturan!$D$52),IF(O108="Belum ada data","jenis layar belum diketahui",""))))</f>
        <v/>
      </c>
      <c r="W108" s="33" t="str">
        <f aca="false">IF($A108="","",IF(P108="Kurang","layar "&amp;H108&amp;" Hz, di bawah batas minimal "&amp;Aturan!$C$53&amp;" Hz",IF(P108="Cukup","layar "&amp;H108&amp;" Hz cukup, nyamannya "&amp;Aturan!$D$53&amp;" Hz atau lebih",IF(P108="Belum ada data","refresh rate belum diketahui",""))))</f>
        <v/>
      </c>
      <c r="X108" s="33" t="str">
        <f aca="false">IF($A108="","",IF(K108="Kurang",R108&amp;"; ","")&amp;IF(L108="Kurang",S108&amp;"; ","")&amp;IF(M108="Kurang",T108&amp;"; ","")&amp;IF(N108="Kurang",U108&amp;"; ","")&amp;IF(O108="Kurang",V108&amp;"; ","")&amp;IF(P108="Kurang",W108&amp;"; ","")&amp;IF(K108="Belum ada data",R108&amp;"; ","")&amp;IF(L108="Belum ada data",S108&amp;"; ","")&amp;IF(M108="Belum ada data",T108&amp;"; ","")&amp;IF(N108="Belum ada data",U108&amp;"; ","")&amp;IF(O108="Belum ada data",V108&amp;"; ","")&amp;IF(P108="Belum ada data",W108&amp;"; ","")&amp;IF(K108="Cukup",R108&amp;"; ","")&amp;IF(L108="Cukup",S108&amp;"; ","")&amp;IF(M108="Cukup",T108&amp;"; ","")&amp;IF(N108="Cukup",U108&amp;"; ","")&amp;IF(O108="Cukup",V108&amp;"; ","")&amp;IF(P108="Cukup",W108&amp;"; ",""))</f>
        <v/>
      </c>
      <c r="Y108" s="33" t="str">
        <f aca="false">IF($A108="","",IF(K108="Nyaman","prosesor, ","")&amp;IF(L108="Nyaman","grafis, ","")&amp;IF(M108="Nyaman","RAM, ","")&amp;IF(N108="Nyaman","penyimpanan, ","")&amp;IF(O108="Nyaman","layar, ","")&amp;IF(P108="Nyaman","refresh rate, ",""))</f>
        <v>prosesor, grafis, RAM, penyimpanan, </v>
      </c>
      <c r="Z108" s="33" t="str">
        <f aca="false">IF($A108="","",IF(Q108="Tidak dinilai","Belum ada kriteria yang dinilai untuk kebutuhan ini.",IF(Q108="Cocok","Semua kriteria yang dinilai sudah nyaman: "&amp;LEFT(Y108,LEN(Y108)-2)&amp;".",UPPER(LEFT(X108,1))&amp;MID(X108,2,LEN(X108)-3)&amp;"."&amp;IF(Y108="",""," Sudah nyaman: "&amp;LEFT(Y108,LEN(Y108)-2)&amp;"."))))</f>
        <v>Semua kriteria yang dinilai sudah nyaman: prosesor, grafis, RAM, penyimpanan.</v>
      </c>
      <c r="AA108" s="33"/>
      <c r="AB108" s="33"/>
      <c r="AC108" s="69"/>
    </row>
    <row r="109" customFormat="false" ht="15" hidden="false" customHeight="true" outlineLevel="0" collapsed="false">
      <c r="A109" s="33" t="str">
        <f aca="false">IF(Varian!$A25="","",Varian!$A25)</f>
        <v>acer-swift-go-14-ai-sfg14-64-r5ai340-32-512</v>
      </c>
      <c r="B109" s="33" t="str">
        <f aca="false">IF($A109="","",Aturan!$A$25)</f>
        <v>Game berat</v>
      </c>
      <c r="C109" s="69" t="n">
        <f aca="false">IF($A109="","",IFERROR(IF(ISNUMBER(INDEX(CPU!$J$4:$J$64,MATCH(Varian!$J25,CPU!$A$4:$A$64,0))),INDEX(CPU!$J$4:$J$64,MATCH(Varian!$J25,CPU!$A$4:$A$64,0)),""),""))</f>
        <v>3</v>
      </c>
      <c r="D109" s="69" t="n">
        <f aca="false">IF($A109="","",IFERROR(IF(ISNUMBER(INDEX(GPU!$G$4:$G$64,MATCH(Varian!$K25,GPU!$A$4:$A$64,0))),INDEX(GPU!$G$4:$G$64,MATCH(Varian!$K25,GPU!$A$4:$A$64,0)),""),""))</f>
        <v>2</v>
      </c>
      <c r="E109" s="69" t="n">
        <f aca="false">IF($A109="","",IF(ISNUMBER(Varian!$M25),Varian!$M25,""))</f>
        <v>32</v>
      </c>
      <c r="F109" s="69" t="n">
        <f aca="false">IF($A109="","",IF(ISNUMBER(Varian!$V25),Varian!$V25,""))</f>
        <v>512</v>
      </c>
      <c r="G109" s="69" t="n">
        <f aca="false">IF($A109="","",IFERROR(INDEX(Aturan!$B$63:$B$66,MATCH(Varian!$AG25,Aturan!$A$63:$A$66,0)),""))</f>
        <v>4</v>
      </c>
      <c r="H109" s="69" t="n">
        <f aca="false">IF($A109="","",IF(ISNUMBER(Varian!$AI25),Varian!$AI25,""))</f>
        <v>90</v>
      </c>
      <c r="I109" s="33" t="str">
        <f aca="false">IF($A109="","",IF(Varian!$Q25="disolder","menempel di papan utama, tidak bisa ditambah",IF(OR(Varian!$Q25="slot",Varian!$Q25="setengah_disolder"),IF(Varian!$Q25="setengah_disolder","sebagian menempel, ","")&amp;IF(ISNUMBER(Varian!$U25),IF(AND(ISNUMBER(Varian!$M25),Varian!$U25&gt;Varian!$M25),"bisa dinaikkan lewat slot sampai "&amp;Varian!$U25&amp;" GB","sudah di batas maksimal "&amp;Varian!$U25&amp;" GB"),"ada slot, batas maksimalnya belum diketahui"),"belum diketahui apakah bisa ditambah")))</f>
        <v>menempel di papan utama, tidak bisa ditambah</v>
      </c>
      <c r="J109" s="33" t="str">
        <f aca="false">IF($A109="","",IF(Varian!$Z25="ya","bisa diganti dengan yang lebih besar",IF(Varian!$Z25="tidak","menempel, tidak bisa diganti","belum diketahui apakah bisa diganti")))</f>
        <v>bisa diganti dengan yang lebih besar</v>
      </c>
      <c r="K109" s="70" t="str">
        <f aca="false">IF($A109="","",IF(AND(Aturan!$C$54="",Aturan!$D$54=""),"Tidak dinilai",IF(C109="","Belum ada data",IF(C109&lt;IF(Aturan!$C$54="",0,Aturan!$C$54),"Kurang",IF(C109&gt;=IF(Aturan!$D$54="",Aturan!$C$54,Aturan!$D$54),"Nyaman","Cukup")))))</f>
        <v>Cukup</v>
      </c>
      <c r="L109" s="70" t="str">
        <f aca="false">IF($A109="","",IF(AND(Aturan!$C$55="",Aturan!$D$55=""),"Tidak dinilai",IF(D109="","Belum ada data",IF(D109&lt;IF(Aturan!$C$55="",0,Aturan!$C$55),"Kurang",IF(D109&gt;=IF(Aturan!$D$55="",Aturan!$C$55,Aturan!$D$55),"Nyaman","Cukup")))))</f>
        <v>Kurang</v>
      </c>
      <c r="M109" s="70" t="str">
        <f aca="false">IF($A109="","",IF(AND(Aturan!$C$56="",Aturan!$D$56=""),"Tidak dinilai",IF(E109="","Belum ada data",IF(E109&lt;IF(Aturan!$C$56="",0,Aturan!$C$56),"Kurang",IF(E109&gt;=IF(Aturan!$D$56="",Aturan!$C$56,Aturan!$D$56),"Nyaman","Cukup")))))</f>
        <v>Nyaman</v>
      </c>
      <c r="N109" s="70" t="str">
        <f aca="false">IF($A109="","",IF(AND(Aturan!$C$57="",Aturan!$D$57=""),"Tidak dinilai",IF(F109="","Belum ada data",IF(F109&lt;IF(Aturan!$C$57="",0,Aturan!$C$57),"Kurang",IF(F109&gt;=IF(Aturan!$D$57="",Aturan!$C$57,Aturan!$D$57),"Nyaman","Cukup")))))</f>
        <v>Cukup</v>
      </c>
      <c r="O109" s="70" t="str">
        <f aca="false">IF($A109="","",IF(AND(Aturan!$C$58="",Aturan!$D$58=""),"Tidak dinilai",IF(G109="","Belum ada data",IF(G109&lt;IF(Aturan!$C$58="",0,Aturan!$C$58),"Kurang",IF(G109&gt;=IF(Aturan!$D$58="",Aturan!$C$58,Aturan!$D$58),"Nyaman","Cukup")))))</f>
        <v>Tidak dinilai</v>
      </c>
      <c r="P109" s="70" t="str">
        <f aca="false">IF($A109="","",IF(AND(Aturan!$C$59="",Aturan!$D$59=""),"Tidak dinilai",IF(H109="","Belum ada data",IF(H109&lt;IF(Aturan!$C$59="",0,Aturan!$C$59),"Kurang",IF(H109&gt;=IF(Aturan!$D$59="",Aturan!$C$59,Aturan!$D$59),"Nyaman","Cukup")))))</f>
        <v>Cukup</v>
      </c>
      <c r="Q109" s="70" t="str">
        <f aca="false">IF($A109="","",IF(COUNTIF(K109:P109,"Tidak dinilai")=6,"Tidak dinilai",IF(COUNTIF(K109:P109,"Kurang")&gt;0,"Kurang cocok",IF(COUNTIF(K109:P109,"Belum ada data")&gt;0,"Data belum lengkap",IF(COUNTIF(K109:P109,"Cukup")&gt;0,"Bisa, dengan catatan","Cocok")))))</f>
        <v>Kurang cocok</v>
      </c>
      <c r="R109" s="33" t="str">
        <f aca="false">IF($A109="","",IF(K109="Kurang","prosesor tingkat "&amp;C109&amp;" dari 5, di bawah batas minimal (tingkat "&amp;Aturan!$C$54&amp;")",IF(K109="Cukup","prosesor tingkat "&amp;C109&amp;" dari 5 cukup, nyamannya mulai tingkat "&amp;Aturan!$D$54,IF(K109="Belum ada data","tingkat prosesor belum diisi",""))))</f>
        <v>prosesor tingkat 3 dari 5 cukup, nyamannya mulai tingkat 4</v>
      </c>
      <c r="S109" s="33" t="str">
        <f aca="false">IF($A109="","",IF(L109="Kurang","grafis tingkat "&amp;D109&amp;" dari 5, di bawah batas minimal (tingkat "&amp;Aturan!$C$55&amp;")",IF(L109="Cukup","grafis tingkat "&amp;D109&amp;" dari 5 cukup, nyamannya mulai tingkat "&amp;Aturan!$D$55,IF(L109="Belum ada data","tingkat grafis belum diisi",""))))</f>
        <v>grafis tingkat 2 dari 5, di bawah batas minimal (tingkat 3)</v>
      </c>
      <c r="T109" s="33" t="str">
        <f aca="false">IF($A109="","",IF(M109="Kurang","RAM "&amp;E109&amp;" GB, di bawah batas minimal "&amp;Aturan!$C$56&amp;" GB ("&amp;I109&amp;")",IF(M109="Cukup","RAM "&amp;E109&amp;" GB cukup, nyamannya "&amp;Aturan!$D$56&amp;" GB atau lebih ("&amp;I109&amp;")",IF(M109="Belum ada data","ukuran RAM belum diisi",""))))</f>
        <v/>
      </c>
      <c r="U109" s="33" t="str">
        <f aca="false">IF($A109="","",IF(N109="Kurang","penyimpanan "&amp;F109&amp;" GB, di bawah batas minimal "&amp;Aturan!$C$57&amp;" GB ("&amp;J109&amp;")",IF(N109="Cukup","penyimpanan "&amp;F109&amp;" GB cukup, nyamannya "&amp;Aturan!$D$57&amp;" GB atau lebih ("&amp;J109&amp;")",IF(N109="Belum ada data","ukuran penyimpanan belum diisi",""))))</f>
        <v>penyimpanan 512 GB cukup, nyamannya 1000 GB atau lebih (bisa diganti dengan yang lebih besar)</v>
      </c>
      <c r="V109" s="33" t="str">
        <f aca="false">IF($A109="","",IF(O109="Kurang","layar "&amp;Varian!$AG25&amp;", di bawah batas minimal ("&amp;IFERROR(INDEX(Aturan!$A$63:$A$66,MATCH(Aturan!$C$58,Aturan!$B$63:$B$66,0)),"peringkat "&amp;Aturan!$C$58)&amp;")",IF(O109="Cukup","layar "&amp;Varian!$AG25&amp;" cukup, nyamannya "&amp;IFERROR(INDEX(Aturan!$A$63:$A$66,MATCH(Aturan!$D$58,Aturan!$B$63:$B$66,0)),"peringkat "&amp;Aturan!$D$58),IF(O109="Belum ada data","jenis layar belum diketahui",""))))</f>
        <v/>
      </c>
      <c r="W109" s="33" t="str">
        <f aca="false">IF($A109="","",IF(P109="Kurang","layar "&amp;H109&amp;" Hz, di bawah batas minimal "&amp;Aturan!$C$59&amp;" Hz",IF(P109="Cukup","layar "&amp;H109&amp;" Hz cukup, nyamannya "&amp;Aturan!$D$59&amp;" Hz atau lebih",IF(P109="Belum ada data","refresh rate belum diketahui",""))))</f>
        <v>layar 90 Hz cukup, nyamannya 120 Hz atau lebih</v>
      </c>
      <c r="X109" s="33" t="str">
        <f aca="false">IF($A109="","",IF(K109="Kurang",R109&amp;"; ","")&amp;IF(L109="Kurang",S109&amp;"; ","")&amp;IF(M109="Kurang",T109&amp;"; ","")&amp;IF(N109="Kurang",U109&amp;"; ","")&amp;IF(O109="Kurang",V109&amp;"; ","")&amp;IF(P109="Kurang",W109&amp;"; ","")&amp;IF(K109="Belum ada data",R109&amp;"; ","")&amp;IF(L109="Belum ada data",S109&amp;"; ","")&amp;IF(M109="Belum ada data",T109&amp;"; ","")&amp;IF(N109="Belum ada data",U109&amp;"; ","")&amp;IF(O109="Belum ada data",V109&amp;"; ","")&amp;IF(P109="Belum ada data",W109&amp;"; ","")&amp;IF(K109="Cukup",R109&amp;"; ","")&amp;IF(L109="Cukup",S109&amp;"; ","")&amp;IF(M109="Cukup",T109&amp;"; ","")&amp;IF(N109="Cukup",U109&amp;"; ","")&amp;IF(O109="Cukup",V109&amp;"; ","")&amp;IF(P109="Cukup",W109&amp;"; ",""))</f>
        <v>grafis tingkat 2 dari 5, di bawah batas minimal (tingkat 3); prosesor tingkat 3 dari 5 cukup, nyamannya mulai tingkat 4; penyimpanan 512 GB cukup, nyamannya 1000 GB atau lebih (bisa diganti dengan yang lebih besar); layar 90 Hz cukup, nyamannya 120 Hz atau lebih; </v>
      </c>
      <c r="Y109" s="33" t="str">
        <f aca="false">IF($A109="","",IF(K109="Nyaman","prosesor, ","")&amp;IF(L109="Nyaman","grafis, ","")&amp;IF(M109="Nyaman","RAM, ","")&amp;IF(N109="Nyaman","penyimpanan, ","")&amp;IF(O109="Nyaman","layar, ","")&amp;IF(P109="Nyaman","refresh rate, ",""))</f>
        <v>RAM, </v>
      </c>
      <c r="Z109" s="33" t="str">
        <f aca="false">IF($A109="","",IF(Q109="Tidak dinilai","Belum ada kriteria yang dinilai untuk kebutuhan ini.",IF(Q109="Cocok","Semua kriteria yang dinilai sudah nyaman: "&amp;LEFT(Y109,LEN(Y109)-2)&amp;".",UPPER(LEFT(X109,1))&amp;MID(X109,2,LEN(X109)-3)&amp;"."&amp;IF(Y109="",""," Sudah nyaman: "&amp;LEFT(Y109,LEN(Y109)-2)&amp;"."))))</f>
        <v>Grafis tingkat 2 dari 5, di bawah batas minimal (tingkat 3); prosesor tingkat 3 dari 5 cukup, nyamannya mulai tingkat 4; penyimpanan 512 GB cukup, nyamannya 1000 GB atau lebih (bisa diganti dengan yang lebih besar); layar 90 Hz cukup, nyamannya 120 Hz atau lebih. Sudah nyaman: RAM.</v>
      </c>
      <c r="AA109" s="33"/>
      <c r="AB109" s="33"/>
      <c r="AC109" s="69"/>
    </row>
    <row r="110" customFormat="false" ht="15" hidden="false" customHeight="true" outlineLevel="0" collapsed="false">
      <c r="A110" s="66" t="str">
        <f aca="false">IF(Varian!$A26="","",Varian!$A26)</f>
        <v>apple-macbook-air-13-m5-m5-16-512</v>
      </c>
      <c r="B110" s="66" t="str">
        <f aca="false">IF($A110="","",Aturan!$A$21)</f>
        <v>Kuliah dan kantor</v>
      </c>
      <c r="C110" s="67" t="n">
        <f aca="false">IF($A110="","",IFERROR(IF(ISNUMBER(INDEX(CPU!$J$4:$J$64,MATCH(Varian!$J26,CPU!$A$4:$A$64,0))),INDEX(CPU!$J$4:$J$64,MATCH(Varian!$J26,CPU!$A$4:$A$64,0)),""),""))</f>
        <v>4</v>
      </c>
      <c r="D110" s="67" t="n">
        <f aca="false">IF($A110="","",IFERROR(IF(ISNUMBER(INDEX(GPU!$G$4:$G$64,MATCH(Varian!$K26,GPU!$A$4:$A$64,0))),INDEX(GPU!$G$4:$G$64,MATCH(Varian!$K26,GPU!$A$4:$A$64,0)),""),""))</f>
        <v>2</v>
      </c>
      <c r="E110" s="67" t="n">
        <f aca="false">IF($A110="","",IF(ISNUMBER(Varian!$M26),Varian!$M26,""))</f>
        <v>16</v>
      </c>
      <c r="F110" s="67" t="n">
        <f aca="false">IF($A110="","",IF(ISNUMBER(Varian!$V26),Varian!$V26,""))</f>
        <v>512</v>
      </c>
      <c r="G110" s="67" t="n">
        <f aca="false">IF($A110="","",IFERROR(INDEX(Aturan!$B$63:$B$66,MATCH(Varian!$AG26,Aturan!$A$63:$A$66,0)),""))</f>
        <v>3</v>
      </c>
      <c r="H110" s="67" t="n">
        <f aca="false">IF($A110="","",IF(ISNUMBER(Varian!$AI26),Varian!$AI26,""))</f>
        <v>60</v>
      </c>
      <c r="I110" s="66" t="str">
        <f aca="false">IF($A110="","",IF(Varian!$Q26="disolder","menempel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0" s="66" t="str">
        <f aca="false">IF($A110="","",IF(Varian!$Z26="ya","bisa diganti dengan yang lebih besar",IF(Varian!$Z26="tidak","menempel, tidak bisa diganti","belum diketahui apakah bisa diganti")))</f>
        <v>menempel, tidak bisa diganti</v>
      </c>
      <c r="K110" s="68" t="str">
        <f aca="false">IF($A110="","",IF(AND(Aturan!$C$30="",Aturan!$D$30=""),"Tidak dinilai",IF(C110="","Belum ada data",IF(C110&lt;IF(Aturan!$C$30="",0,Aturan!$C$30),"Kurang",IF(C110&gt;=IF(Aturan!$D$30="",Aturan!$C$30,Aturan!$D$30),"Nyaman","Cukup")))))</f>
        <v>Nyaman</v>
      </c>
      <c r="L110" s="68" t="str">
        <f aca="false">IF($A110="","",IF(AND(Aturan!$C$31="",Aturan!$D$31=""),"Tidak dinilai",IF(D110="","Belum ada data",IF(D110&lt;IF(Aturan!$C$31="",0,Aturan!$C$31),"Kurang",IF(D110&gt;=IF(Aturan!$D$31="",Aturan!$C$31,Aturan!$D$31),"Nyaman","Cukup")))))</f>
        <v>Tidak dinilai</v>
      </c>
      <c r="M110" s="68" t="str">
        <f aca="false">IF($A110="","",IF(AND(Aturan!$C$32="",Aturan!$D$32=""),"Tidak dinilai",IF(E110="","Belum ada data",IF(E110&lt;IF(Aturan!$C$32="",0,Aturan!$C$32),"Kurang",IF(E110&gt;=IF(Aturan!$D$32="",Aturan!$C$32,Aturan!$D$32),"Nyaman","Cukup")))))</f>
        <v>Nyaman</v>
      </c>
      <c r="N110" s="68" t="str">
        <f aca="false">IF($A110="","",IF(AND(Aturan!$C$33="",Aturan!$D$33=""),"Tidak dinilai",IF(F110="","Belum ada data",IF(F110&lt;IF(Aturan!$C$33="",0,Aturan!$C$33),"Kurang",IF(F110&gt;=IF(Aturan!$D$33="",Aturan!$C$33,Aturan!$D$33),"Nyaman","Cukup")))))</f>
        <v>Nyaman</v>
      </c>
      <c r="O110" s="68" t="str">
        <f aca="false">IF($A110="","",IF(AND(Aturan!$C$34="",Aturan!$D$34=""),"Tidak dinilai",IF(G110="","Belum ada data",IF(G110&lt;IF(Aturan!$C$34="",0,Aturan!$C$34),"Kurang",IF(G110&gt;=IF(Aturan!$D$34="",Aturan!$C$34,Aturan!$D$34),"Nyaman","Cukup")))))</f>
        <v>Tidak dinilai</v>
      </c>
      <c r="P110" s="68" t="str">
        <f aca="false">IF($A110="","",IF(AND(Aturan!$C$35="",Aturan!$D$35=""),"Tidak dinilai",IF(H110="","Belum ada data",IF(H110&lt;IF(Aturan!$C$35="",0,Aturan!$C$35),"Kurang",IF(H110&gt;=IF(Aturan!$D$35="",Aturan!$C$35,Aturan!$D$35),"Nyaman","Cukup")))))</f>
        <v>Tidak dinilai</v>
      </c>
      <c r="Q110" s="68" t="str">
        <f aca="false">IF($A110="","",IF(COUNTIF(K110:P110,"Tidak dinilai")=6,"Tidak dinilai",IF(COUNTIF(K110:P110,"Kurang")&gt;0,"Kurang cocok",IF(COUNTIF(K110:P110,"Belum ada data")&gt;0,"Data belum lengkap",IF(COUNTIF(K110:P110,"Cukup")&gt;0,"Bisa, dengan catatan","Cocok")))))</f>
        <v>Cocok</v>
      </c>
      <c r="R110" s="66" t="str">
        <f aca="false">IF($A110="","",IF(K110="Kurang","prosesor tingkat "&amp;C110&amp;" dari 5, di bawah batas minimal (tingkat "&amp;Aturan!$C$30&amp;")",IF(K110="Cukup","prosesor tingkat "&amp;C110&amp;" dari 5 cukup, nyamannya mulai tingkat "&amp;Aturan!$D$30,IF(K110="Belum ada data","tingkat prosesor belum diisi",""))))</f>
        <v/>
      </c>
      <c r="S110" s="66" t="str">
        <f aca="false">IF($A110="","",IF(L110="Kurang","grafis tingkat "&amp;D110&amp;" dari 5, di bawah batas minimal (tingkat "&amp;Aturan!$C$31&amp;")",IF(L110="Cukup","grafis tingkat "&amp;D110&amp;" dari 5 cukup, nyamannya mulai tingkat "&amp;Aturan!$D$31,IF(L110="Belum ada data","tingkat grafis belum diisi",""))))</f>
        <v/>
      </c>
      <c r="T110" s="66" t="str">
        <f aca="false">IF($A110="","",IF(M110="Kurang","RAM "&amp;E110&amp;" GB, di bawah batas minimal "&amp;Aturan!$C$32&amp;" GB ("&amp;I110&amp;")",IF(M110="Cukup","RAM "&amp;E110&amp;" GB cukup, nyamannya "&amp;Aturan!$D$32&amp;" GB atau lebih ("&amp;I110&amp;")",IF(M110="Belum ada data","ukuran RAM belum diisi",""))))</f>
        <v/>
      </c>
      <c r="U110" s="66" t="str">
        <f aca="false">IF($A110="","",IF(N110="Kurang","penyimpanan "&amp;F110&amp;" GB, di bawah batas minimal "&amp;Aturan!$C$33&amp;" GB ("&amp;J110&amp;")",IF(N110="Cukup","penyimpanan "&amp;F110&amp;" GB cukup, nyamannya "&amp;Aturan!$D$33&amp;" GB atau lebih ("&amp;J110&amp;")",IF(N110="Belum ada data","ukuran penyimpanan belum diisi",""))))</f>
        <v/>
      </c>
      <c r="V110" s="66" t="str">
        <f aca="false">IF($A110="","",IF(O110="Kurang","layar "&amp;Varian!$AG26&amp;", di bawah batas minimal ("&amp;IFERROR(INDEX(Aturan!$A$63:$A$66,MATCH(Aturan!$C$34,Aturan!$B$63:$B$66,0)),"peringkat "&amp;Aturan!$C$34)&amp;")",IF(O110="Cukup","layar "&amp;Varian!$AG26&amp;" cukup, nyamannya "&amp;IFERROR(INDEX(Aturan!$A$63:$A$66,MATCH(Aturan!$D$34,Aturan!$B$63:$B$66,0)),"peringkat "&amp;Aturan!$D$34),IF(O110="Belum ada data","jenis layar belum diketahui",""))))</f>
        <v/>
      </c>
      <c r="W110" s="66" t="str">
        <f aca="false">IF($A110="","",IF(P110="Kurang","layar "&amp;H110&amp;" Hz, di bawah batas minimal "&amp;Aturan!$C$35&amp;" Hz",IF(P110="Cukup","layar "&amp;H110&amp;" Hz cukup, nyamannya "&amp;Aturan!$D$35&amp;" Hz atau lebih",IF(P110="Belum ada data","refresh rate belum diketahui",""))))</f>
        <v/>
      </c>
      <c r="X110" s="66" t="str">
        <f aca="false">IF($A110="","",IF(K110="Kurang",R110&amp;"; ","")&amp;IF(L110="Kurang",S110&amp;"; ","")&amp;IF(M110="Kurang",T110&amp;"; ","")&amp;IF(N110="Kurang",U110&amp;"; ","")&amp;IF(O110="Kurang",V110&amp;"; ","")&amp;IF(P110="Kurang",W110&amp;"; ","")&amp;IF(K110="Belum ada data",R110&amp;"; ","")&amp;IF(L110="Belum ada data",S110&amp;"; ","")&amp;IF(M110="Belum ada data",T110&amp;"; ","")&amp;IF(N110="Belum ada data",U110&amp;"; ","")&amp;IF(O110="Belum ada data",V110&amp;"; ","")&amp;IF(P110="Belum ada data",W110&amp;"; ","")&amp;IF(K110="Cukup",R110&amp;"; ","")&amp;IF(L110="Cukup",S110&amp;"; ","")&amp;IF(M110="Cukup",T110&amp;"; ","")&amp;IF(N110="Cukup",U110&amp;"; ","")&amp;IF(O110="Cukup",V110&amp;"; ","")&amp;IF(P110="Cukup",W110&amp;"; ",""))</f>
        <v/>
      </c>
      <c r="Y110" s="66" t="str">
        <f aca="false">IF($A110="","",IF(K110="Nyaman","prosesor, ","")&amp;IF(L110="Nyaman","grafis, ","")&amp;IF(M110="Nyaman","RAM, ","")&amp;IF(N110="Nyaman","penyimpanan, ","")&amp;IF(O110="Nyaman","layar, ","")&amp;IF(P110="Nyaman","refresh rate, ",""))</f>
        <v>prosesor, RAM, penyimpanan, </v>
      </c>
      <c r="Z110" s="66" t="str">
        <f aca="false">IF($A110="","",IF(Q110="Tidak dinilai","Belum ada kriteria yang dinilai untuk kebutuhan ini.",IF(Q110="Cocok","Semua kriteria yang dinilai sudah nyaman: "&amp;LEFT(Y110,LEN(Y110)-2)&amp;".",UPPER(LEFT(X110,1))&amp;MID(X110,2,LEN(X110)-3)&amp;"."&amp;IF(Y110="",""," Sudah nyaman: "&amp;LEFT(Y110,LEN(Y110)-2)&amp;"."))))</f>
        <v>Semua kriteria yang dinilai sudah nyaman: prosesor, RAM, penyimpanan.</v>
      </c>
      <c r="AA110" s="71" t="str">
        <f aca="false">IF($A110="","",IF(Varian!$AR26="Windows 10","• "&amp;Aturan!$E$71&amp;CHAR(10),"")&amp;IF(Varian!$BB26="tidak","• "&amp;Aturan!$E$72&amp;CHAR(10),"")&amp;IF(OR(Varian!$AD26="belum terverifikasi",Varian!$AD26="tidak diketahui"),"• "&amp;Aturan!$E$73&amp;CHAR(10),"")&amp;IF(Varian!$AH26="1366x768","• "&amp;Aturan!$E$74&amp;CHAR(10),"")&amp;IF(Varian!$AG26="TN","• "&amp;Aturan!$E$75&amp;CHAR(10),"")&amp;IF(AND(Varian!$Q26="disolder",ISNUMBER(Varian!$M26),Varian!$M26&lt;=8),"• "&amp;Aturan!$E$76&amp;CHAR(10),""))</f>
        <v>• Info RAM dan penyimpanan (bisa diganti atau tidak) belum terverifikasi. Periksa lagi sebelum membeli.
</v>
      </c>
      <c r="AB110" s="66" t="str">
        <f aca="false">IF($A110="","",IF(AA110="","",LEFT(AA110,LEN(AA110)-1)))</f>
        <v>• Info RAM dan penyimpanan (bisa diganti atau tidak) belum terverifikasi. Periksa lagi sebelum membeli.</v>
      </c>
      <c r="AC110" s="67" t="n">
        <f aca="false">IF($A110="","",IF(AA110="",0,LEN(AA110)-LEN(SUBSTITUTE(AA110,CHAR(10),""))))</f>
        <v>1</v>
      </c>
    </row>
    <row r="111" customFormat="false" ht="15" hidden="false" customHeight="true" outlineLevel="0" collapsed="false">
      <c r="A111" s="33" t="str">
        <f aca="false">IF(Varian!$A26="","",Varian!$A26)</f>
        <v>apple-macbook-air-13-m5-m5-16-512</v>
      </c>
      <c r="B111" s="33" t="str">
        <f aca="false">IF($A111="","",Aturan!$A$22)</f>
        <v>Desain grafis</v>
      </c>
      <c r="C111" s="69" t="n">
        <f aca="false">IF($A111="","",IFERROR(IF(ISNUMBER(INDEX(CPU!$J$4:$J$64,MATCH(Varian!$J26,CPU!$A$4:$A$64,0))),INDEX(CPU!$J$4:$J$64,MATCH(Varian!$J26,CPU!$A$4:$A$64,0)),""),""))</f>
        <v>4</v>
      </c>
      <c r="D111" s="69" t="n">
        <f aca="false">IF($A111="","",IFERROR(IF(ISNUMBER(INDEX(GPU!$G$4:$G$64,MATCH(Varian!$K26,GPU!$A$4:$A$64,0))),INDEX(GPU!$G$4:$G$64,MATCH(Varian!$K26,GPU!$A$4:$A$64,0)),""),""))</f>
        <v>2</v>
      </c>
      <c r="E111" s="69" t="n">
        <f aca="false">IF($A111="","",IF(ISNUMBER(Varian!$M26),Varian!$M26,""))</f>
        <v>16</v>
      </c>
      <c r="F111" s="69" t="n">
        <f aca="false">IF($A111="","",IF(ISNUMBER(Varian!$V26),Varian!$V26,""))</f>
        <v>512</v>
      </c>
      <c r="G111" s="69" t="n">
        <f aca="false">IF($A111="","",IFERROR(INDEX(Aturan!$B$63:$B$66,MATCH(Varian!$AG26,Aturan!$A$63:$A$66,0)),""))</f>
        <v>3</v>
      </c>
      <c r="H111" s="69" t="n">
        <f aca="false">IF($A111="","",IF(ISNUMBER(Varian!$AI26),Varian!$AI26,""))</f>
        <v>60</v>
      </c>
      <c r="I111" s="33" t="str">
        <f aca="false">IF($A111="","",IF(Varian!$Q26="disolder","menempel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1" s="33" t="str">
        <f aca="false">IF($A111="","",IF(Varian!$Z26="ya","bisa diganti dengan yang lebih besar",IF(Varian!$Z26="tidak","menempel, tidak bisa diganti","belum diketahui apakah bisa diganti")))</f>
        <v>menempel, tidak bisa diganti</v>
      </c>
      <c r="K111" s="70" t="str">
        <f aca="false">IF($A111="","",IF(AND(Aturan!$C$36="",Aturan!$D$36=""),"Tidak dinilai",IF(C111="","Belum ada data",IF(C111&lt;IF(Aturan!$C$36="",0,Aturan!$C$36),"Kurang",IF(C111&gt;=IF(Aturan!$D$36="",Aturan!$C$36,Aturan!$D$36),"Nyaman","Cukup")))))</f>
        <v>Nyaman</v>
      </c>
      <c r="L111" s="70" t="str">
        <f aca="false">IF($A111="","",IF(AND(Aturan!$C$37="",Aturan!$D$37=""),"Tidak dinilai",IF(D111="","Belum ada data",IF(D111&lt;IF(Aturan!$C$37="",0,Aturan!$C$37),"Kurang",IF(D111&gt;=IF(Aturan!$D$37="",Aturan!$C$37,Aturan!$D$37),"Nyaman","Cukup")))))</f>
        <v>Nyaman</v>
      </c>
      <c r="M111" s="70" t="str">
        <f aca="false">IF($A111="","",IF(AND(Aturan!$C$38="",Aturan!$D$38=""),"Tidak dinilai",IF(E111="","Belum ada data",IF(E111&lt;IF(Aturan!$C$38="",0,Aturan!$C$38),"Kurang",IF(E111&gt;=IF(Aturan!$D$38="",Aturan!$C$38,Aturan!$D$38),"Nyaman","Cukup")))))</f>
        <v>Nyaman</v>
      </c>
      <c r="N111" s="70" t="str">
        <f aca="false">IF($A111="","",IF(AND(Aturan!$C$39="",Aturan!$D$39=""),"Tidak dinilai",IF(F111="","Belum ada data",IF(F111&lt;IF(Aturan!$C$39="",0,Aturan!$C$39),"Kurang",IF(F111&gt;=IF(Aturan!$D$39="",Aturan!$C$39,Aturan!$D$39),"Nyaman","Cukup")))))</f>
        <v>Nyaman</v>
      </c>
      <c r="O111" s="70" t="str">
        <f aca="false">IF($A111="","",IF(AND(Aturan!$C$40="",Aturan!$D$40=""),"Tidak dinilai",IF(G111="","Belum ada data",IF(G111&lt;IF(Aturan!$C$40="",0,Aturan!$C$40),"Kurang",IF(G111&gt;=IF(Aturan!$D$40="",Aturan!$C$40,Aturan!$D$40),"Nyaman","Cukup")))))</f>
        <v>Cukup</v>
      </c>
      <c r="P111" s="70" t="str">
        <f aca="false">IF($A111="","",IF(AND(Aturan!$C$41="",Aturan!$D$41=""),"Tidak dinilai",IF(H111="","Belum ada data",IF(H111&lt;IF(Aturan!$C$41="",0,Aturan!$C$41),"Kurang",IF(H111&gt;=IF(Aturan!$D$41="",Aturan!$C$41,Aturan!$D$41),"Nyaman","Cukup")))))</f>
        <v>Tidak dinilai</v>
      </c>
      <c r="Q111" s="70" t="str">
        <f aca="false">IF($A111="","",IF(COUNTIF(K111:P111,"Tidak dinilai")=6,"Tidak dinilai",IF(COUNTIF(K111:P111,"Kurang")&gt;0,"Kurang cocok",IF(COUNTIF(K111:P111,"Belum ada data")&gt;0,"Data belum lengkap",IF(COUNTIF(K111:P111,"Cukup")&gt;0,"Bisa, dengan catatan","Cocok")))))</f>
        <v>Bisa, dengan catatan</v>
      </c>
      <c r="R111" s="33" t="str">
        <f aca="false">IF($A111="","",IF(K111="Kurang","prosesor tingkat "&amp;C111&amp;" dari 5, di bawah batas minimal (tingkat "&amp;Aturan!$C$36&amp;")",IF(K111="Cukup","prosesor tingkat "&amp;C111&amp;" dari 5 cukup, nyamannya mulai tingkat "&amp;Aturan!$D$36,IF(K111="Belum ada data","tingkat prosesor belum diisi",""))))</f>
        <v/>
      </c>
      <c r="S111" s="33" t="str">
        <f aca="false">IF($A111="","",IF(L111="Kurang","grafis tingkat "&amp;D111&amp;" dari 5, di bawah batas minimal (tingkat "&amp;Aturan!$C$37&amp;")",IF(L111="Cukup","grafis tingkat "&amp;D111&amp;" dari 5 cukup, nyamannya mulai tingkat "&amp;Aturan!$D$37,IF(L111="Belum ada data","tingkat grafis belum diisi",""))))</f>
        <v/>
      </c>
      <c r="T111" s="33" t="str">
        <f aca="false">IF($A111="","",IF(M111="Kurang","RAM "&amp;E111&amp;" GB, di bawah batas minimal "&amp;Aturan!$C$38&amp;" GB ("&amp;I111&amp;")",IF(M111="Cukup","RAM "&amp;E111&amp;" GB cukup, nyamannya "&amp;Aturan!$D$38&amp;" GB atau lebih ("&amp;I111&amp;")",IF(M111="Belum ada data","ukuran RAM belum diisi",""))))</f>
        <v/>
      </c>
      <c r="U111" s="33" t="str">
        <f aca="false">IF($A111="","",IF(N111="Kurang","penyimpanan "&amp;F111&amp;" GB, di bawah batas minimal "&amp;Aturan!$C$39&amp;" GB ("&amp;J111&amp;")",IF(N111="Cukup","penyimpanan "&amp;F111&amp;" GB cukup, nyamannya "&amp;Aturan!$D$39&amp;" GB atau lebih ("&amp;J111&amp;")",IF(N111="Belum ada data","ukuran penyimpanan belum diisi",""))))</f>
        <v/>
      </c>
      <c r="V111" s="33" t="str">
        <f aca="false">IF($A111="","",IF(O111="Kurang","layar "&amp;Varian!$AG26&amp;", di bawah batas minimal ("&amp;IFERROR(INDEX(Aturan!$A$63:$A$66,MATCH(Aturan!$C$40,Aturan!$B$63:$B$66,0)),"peringkat "&amp;Aturan!$C$40)&amp;")",IF(O111="Cukup","layar "&amp;Varian!$AG26&amp;" cukup, nyamannya "&amp;IFERROR(INDEX(Aturan!$A$63:$A$66,MATCH(Aturan!$D$40,Aturan!$B$63:$B$66,0)),"peringkat "&amp;Aturan!$D$40),IF(O111="Belum ada data","jenis layar belum diketahui",""))))</f>
        <v>layar IPS cukup, nyamannya OLED</v>
      </c>
      <c r="W111" s="33" t="str">
        <f aca="false">IF($A111="","",IF(P111="Kurang","layar "&amp;H111&amp;" Hz, di bawah batas minimal "&amp;Aturan!$C$41&amp;" Hz",IF(P111="Cukup","layar "&amp;H111&amp;" Hz cukup, nyamannya "&amp;Aturan!$D$41&amp;" Hz atau lebih",IF(P111="Belum ada data","refresh rate belum diketahui",""))))</f>
        <v/>
      </c>
      <c r="X111" s="33" t="str">
        <f aca="false">IF($A111="","",IF(K111="Kurang",R111&amp;"; ","")&amp;IF(L111="Kurang",S111&amp;"; ","")&amp;IF(M111="Kurang",T111&amp;"; ","")&amp;IF(N111="Kurang",U111&amp;"; ","")&amp;IF(O111="Kurang",V111&amp;"; ","")&amp;IF(P111="Kurang",W111&amp;"; ","")&amp;IF(K111="Belum ada data",R111&amp;"; ","")&amp;IF(L111="Belum ada data",S111&amp;"; ","")&amp;IF(M111="Belum ada data",T111&amp;"; ","")&amp;IF(N111="Belum ada data",U111&amp;"; ","")&amp;IF(O111="Belum ada data",V111&amp;"; ","")&amp;IF(P111="Belum ada data",W111&amp;"; ","")&amp;IF(K111="Cukup",R111&amp;"; ","")&amp;IF(L111="Cukup",S111&amp;"; ","")&amp;IF(M111="Cukup",T111&amp;"; ","")&amp;IF(N111="Cukup",U111&amp;"; ","")&amp;IF(O111="Cukup",V111&amp;"; ","")&amp;IF(P111="Cukup",W111&amp;"; ",""))</f>
        <v>layar IPS cukup, nyamannya OLED; </v>
      </c>
      <c r="Y111" s="33" t="str">
        <f aca="false">IF($A111="","",IF(K111="Nyaman","prosesor, ","")&amp;IF(L111="Nyaman","grafis, ","")&amp;IF(M111="Nyaman","RAM, ","")&amp;IF(N111="Nyaman","penyimpanan, ","")&amp;IF(O111="Nyaman","layar, ","")&amp;IF(P111="Nyaman","refresh rate, ",""))</f>
        <v>prosesor, grafis, RAM, penyimpanan, </v>
      </c>
      <c r="Z111" s="33" t="str">
        <f aca="false">IF($A111="","",IF(Q111="Tidak dinilai","Belum ada kriteria yang dinilai untuk kebutuhan ini.",IF(Q111="Cocok","Semua kriteria yang dinilai sudah nyaman: "&amp;LEFT(Y111,LEN(Y111)-2)&amp;".",UPPER(LEFT(X111,1))&amp;MID(X111,2,LEN(X111)-3)&amp;"."&amp;IF(Y111="",""," Sudah nyaman: "&amp;LEFT(Y111,LEN(Y111)-2)&amp;"."))))</f>
        <v>Layar IPS cukup, nyamannya OLED. Sudah nyaman: prosesor, grafis, RAM, penyimpanan.</v>
      </c>
      <c r="AA111" s="33"/>
      <c r="AB111" s="33"/>
      <c r="AC111" s="69"/>
    </row>
    <row r="112" customFormat="false" ht="15" hidden="false" customHeight="true" outlineLevel="0" collapsed="false">
      <c r="A112" s="33" t="str">
        <f aca="false">IF(Varian!$A26="","",Varian!$A26)</f>
        <v>apple-macbook-air-13-m5-m5-16-512</v>
      </c>
      <c r="B112" s="33" t="str">
        <f aca="false">IF($A112="","",Aturan!$A$23)</f>
        <v>Pemrograman</v>
      </c>
      <c r="C112" s="69" t="n">
        <f aca="false">IF($A112="","",IFERROR(IF(ISNUMBER(INDEX(CPU!$J$4:$J$64,MATCH(Varian!$J26,CPU!$A$4:$A$64,0))),INDEX(CPU!$J$4:$J$64,MATCH(Varian!$J26,CPU!$A$4:$A$64,0)),""),""))</f>
        <v>4</v>
      </c>
      <c r="D112" s="69" t="n">
        <f aca="false">IF($A112="","",IFERROR(IF(ISNUMBER(INDEX(GPU!$G$4:$G$64,MATCH(Varian!$K26,GPU!$A$4:$A$64,0))),INDEX(GPU!$G$4:$G$64,MATCH(Varian!$K26,GPU!$A$4:$A$64,0)),""),""))</f>
        <v>2</v>
      </c>
      <c r="E112" s="69" t="n">
        <f aca="false">IF($A112="","",IF(ISNUMBER(Varian!$M26),Varian!$M26,""))</f>
        <v>16</v>
      </c>
      <c r="F112" s="69" t="n">
        <f aca="false">IF($A112="","",IF(ISNUMBER(Varian!$V26),Varian!$V26,""))</f>
        <v>512</v>
      </c>
      <c r="G112" s="69" t="n">
        <f aca="false">IF($A112="","",IFERROR(INDEX(Aturan!$B$63:$B$66,MATCH(Varian!$AG26,Aturan!$A$63:$A$66,0)),""))</f>
        <v>3</v>
      </c>
      <c r="H112" s="69" t="n">
        <f aca="false">IF($A112="","",IF(ISNUMBER(Varian!$AI26),Varian!$AI26,""))</f>
        <v>60</v>
      </c>
      <c r="I112" s="33" t="str">
        <f aca="false">IF($A112="","",IF(Varian!$Q26="disolder","menempel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2" s="33" t="str">
        <f aca="false">IF($A112="","",IF(Varian!$Z26="ya","bisa diganti dengan yang lebih besar",IF(Varian!$Z26="tidak","menempel, tidak bisa diganti","belum diketahui apakah bisa diganti")))</f>
        <v>menempel, tidak bisa diganti</v>
      </c>
      <c r="K112" s="70" t="str">
        <f aca="false">IF($A112="","",IF(AND(Aturan!$C$42="",Aturan!$D$42=""),"Tidak dinilai",IF(C112="","Belum ada data",IF(C112&lt;IF(Aturan!$C$42="",0,Aturan!$C$42),"Kurang",IF(C112&gt;=IF(Aturan!$D$42="",Aturan!$C$42,Aturan!$D$42),"Nyaman","Cukup")))))</f>
        <v>Nyaman</v>
      </c>
      <c r="L112" s="70" t="str">
        <f aca="false">IF($A112="","",IF(AND(Aturan!$C$43="",Aturan!$D$43=""),"Tidak dinilai",IF(D112="","Belum ada data",IF(D112&lt;IF(Aturan!$C$43="",0,Aturan!$C$43),"Kurang",IF(D112&gt;=IF(Aturan!$D$43="",Aturan!$C$43,Aturan!$D$43),"Nyaman","Cukup")))))</f>
        <v>Tidak dinilai</v>
      </c>
      <c r="M112" s="70" t="str">
        <f aca="false">IF($A112="","",IF(AND(Aturan!$C$44="",Aturan!$D$44=""),"Tidak dinilai",IF(E112="","Belum ada data",IF(E112&lt;IF(Aturan!$C$44="",0,Aturan!$C$44),"Kurang",IF(E112&gt;=IF(Aturan!$D$44="",Aturan!$C$44,Aturan!$D$44),"Nyaman","Cukup")))))</f>
        <v>Nyaman</v>
      </c>
      <c r="N112" s="70" t="str">
        <f aca="false">IF($A112="","",IF(AND(Aturan!$C$45="",Aturan!$D$45=""),"Tidak dinilai",IF(F112="","Belum ada data",IF(F112&lt;IF(Aturan!$C$45="",0,Aturan!$C$45),"Kurang",IF(F112&gt;=IF(Aturan!$D$45="",Aturan!$C$45,Aturan!$D$45),"Nyaman","Cukup")))))</f>
        <v>Nyaman</v>
      </c>
      <c r="O112" s="70" t="str">
        <f aca="false">IF($A112="","",IF(AND(Aturan!$C$46="",Aturan!$D$46=""),"Tidak dinilai",IF(G112="","Belum ada data",IF(G112&lt;IF(Aturan!$C$46="",0,Aturan!$C$46),"Kurang",IF(G112&gt;=IF(Aturan!$D$46="",Aturan!$C$46,Aturan!$D$46),"Nyaman","Cukup")))))</f>
        <v>Tidak dinilai</v>
      </c>
      <c r="P112" s="70" t="str">
        <f aca="false">IF($A112="","",IF(AND(Aturan!$C$47="",Aturan!$D$47=""),"Tidak dinilai",IF(H112="","Belum ada data",IF(H112&lt;IF(Aturan!$C$47="",0,Aturan!$C$47),"Kurang",IF(H112&gt;=IF(Aturan!$D$47="",Aturan!$C$47,Aturan!$D$47),"Nyaman","Cukup")))))</f>
        <v>Tidak dinilai</v>
      </c>
      <c r="Q112" s="70" t="str">
        <f aca="false">IF($A112="","",IF(COUNTIF(K112:P112,"Tidak dinilai")=6,"Tidak dinilai",IF(COUNTIF(K112:P112,"Kurang")&gt;0,"Kurang cocok",IF(COUNTIF(K112:P112,"Belum ada data")&gt;0,"Data belum lengkap",IF(COUNTIF(K112:P112,"Cukup")&gt;0,"Bisa, dengan catatan","Cocok")))))</f>
        <v>Cocok</v>
      </c>
      <c r="R112" s="33" t="str">
        <f aca="false">IF($A112="","",IF(K112="Kurang","prosesor tingkat "&amp;C112&amp;" dari 5, di bawah batas minimal (tingkat "&amp;Aturan!$C$42&amp;")",IF(K112="Cukup","prosesor tingkat "&amp;C112&amp;" dari 5 cukup, nyamannya mulai tingkat "&amp;Aturan!$D$42,IF(K112="Belum ada data","tingkat prosesor belum diisi",""))))</f>
        <v/>
      </c>
      <c r="S112" s="33" t="str">
        <f aca="false">IF($A112="","",IF(L112="Kurang","grafis tingkat "&amp;D112&amp;" dari 5, di bawah batas minimal (tingkat "&amp;Aturan!$C$43&amp;")",IF(L112="Cukup","grafis tingkat "&amp;D112&amp;" dari 5 cukup, nyamannya mulai tingkat "&amp;Aturan!$D$43,IF(L112="Belum ada data","tingkat grafis belum diisi",""))))</f>
        <v/>
      </c>
      <c r="T112" s="33" t="str">
        <f aca="false">IF($A112="","",IF(M112="Kurang","RAM "&amp;E112&amp;" GB, di bawah batas minimal "&amp;Aturan!$C$44&amp;" GB ("&amp;I112&amp;")",IF(M112="Cukup","RAM "&amp;E112&amp;" GB cukup, nyamannya "&amp;Aturan!$D$44&amp;" GB atau lebih ("&amp;I112&amp;")",IF(M112="Belum ada data","ukuran RAM belum diisi",""))))</f>
        <v/>
      </c>
      <c r="U112" s="33" t="str">
        <f aca="false">IF($A112="","",IF(N112="Kurang","penyimpanan "&amp;F112&amp;" GB, di bawah batas minimal "&amp;Aturan!$C$45&amp;" GB ("&amp;J112&amp;")",IF(N112="Cukup","penyimpanan "&amp;F112&amp;" GB cukup, nyamannya "&amp;Aturan!$D$45&amp;" GB atau lebih ("&amp;J112&amp;")",IF(N112="Belum ada data","ukuran penyimpanan belum diisi",""))))</f>
        <v/>
      </c>
      <c r="V112" s="33" t="str">
        <f aca="false">IF($A112="","",IF(O112="Kurang","layar "&amp;Varian!$AG26&amp;", di bawah batas minimal ("&amp;IFERROR(INDEX(Aturan!$A$63:$A$66,MATCH(Aturan!$C$46,Aturan!$B$63:$B$66,0)),"peringkat "&amp;Aturan!$C$46)&amp;")",IF(O112="Cukup","layar "&amp;Varian!$AG26&amp;" cukup, nyamannya "&amp;IFERROR(INDEX(Aturan!$A$63:$A$66,MATCH(Aturan!$D$46,Aturan!$B$63:$B$66,0)),"peringkat "&amp;Aturan!$D$46),IF(O112="Belum ada data","jenis layar belum diketahui",""))))</f>
        <v/>
      </c>
      <c r="W112" s="33" t="str">
        <f aca="false">IF($A112="","",IF(P112="Kurang","layar "&amp;H112&amp;" Hz, di bawah batas minimal "&amp;Aturan!$C$47&amp;" Hz",IF(P112="Cukup","layar "&amp;H112&amp;" Hz cukup, nyamannya "&amp;Aturan!$D$47&amp;" Hz atau lebih",IF(P112="Belum ada data","refresh rate belum diketahui",""))))</f>
        <v/>
      </c>
      <c r="X112" s="33" t="str">
        <f aca="false">IF($A112="","",IF(K112="Kurang",R112&amp;"; ","")&amp;IF(L112="Kurang",S112&amp;"; ","")&amp;IF(M112="Kurang",T112&amp;"; ","")&amp;IF(N112="Kurang",U112&amp;"; ","")&amp;IF(O112="Kurang",V112&amp;"; ","")&amp;IF(P112="Kurang",W112&amp;"; ","")&amp;IF(K112="Belum ada data",R112&amp;"; ","")&amp;IF(L112="Belum ada data",S112&amp;"; ","")&amp;IF(M112="Belum ada data",T112&amp;"; ","")&amp;IF(N112="Belum ada data",U112&amp;"; ","")&amp;IF(O112="Belum ada data",V112&amp;"; ","")&amp;IF(P112="Belum ada data",W112&amp;"; ","")&amp;IF(K112="Cukup",R112&amp;"; ","")&amp;IF(L112="Cukup",S112&amp;"; ","")&amp;IF(M112="Cukup",T112&amp;"; ","")&amp;IF(N112="Cukup",U112&amp;"; ","")&amp;IF(O112="Cukup",V112&amp;"; ","")&amp;IF(P112="Cukup",W112&amp;"; ",""))</f>
        <v/>
      </c>
      <c r="Y112" s="33" t="str">
        <f aca="false">IF($A112="","",IF(K112="Nyaman","prosesor, ","")&amp;IF(L112="Nyaman","grafis, ","")&amp;IF(M112="Nyaman","RAM, ","")&amp;IF(N112="Nyaman","penyimpanan, ","")&amp;IF(O112="Nyaman","layar, ","")&amp;IF(P112="Nyaman","refresh rate, ",""))</f>
        <v>prosesor, RAM, penyimpanan, </v>
      </c>
      <c r="Z112" s="33" t="str">
        <f aca="false">IF($A112="","",IF(Q112="Tidak dinilai","Belum ada kriteria yang dinilai untuk kebutuhan ini.",IF(Q112="Cocok","Semua kriteria yang dinilai sudah nyaman: "&amp;LEFT(Y112,LEN(Y112)-2)&amp;".",UPPER(LEFT(X112,1))&amp;MID(X112,2,LEN(X112)-3)&amp;"."&amp;IF(Y112="",""," Sudah nyaman: "&amp;LEFT(Y112,LEN(Y112)-2)&amp;"."))))</f>
        <v>Semua kriteria yang dinilai sudah nyaman: prosesor, RAM, penyimpanan.</v>
      </c>
      <c r="AA112" s="33"/>
      <c r="AB112" s="33"/>
      <c r="AC112" s="69"/>
    </row>
    <row r="113" customFormat="false" ht="15" hidden="false" customHeight="true" outlineLevel="0" collapsed="false">
      <c r="A113" s="33" t="str">
        <f aca="false">IF(Varian!$A26="","",Varian!$A26)</f>
        <v>apple-macbook-air-13-m5-m5-16-512</v>
      </c>
      <c r="B113" s="33" t="str">
        <f aca="false">IF($A113="","",Aturan!$A$24)</f>
        <v>Game ringan</v>
      </c>
      <c r="C113" s="69" t="n">
        <f aca="false">IF($A113="","",IFERROR(IF(ISNUMBER(INDEX(CPU!$J$4:$J$64,MATCH(Varian!$J26,CPU!$A$4:$A$64,0))),INDEX(CPU!$J$4:$J$64,MATCH(Varian!$J26,CPU!$A$4:$A$64,0)),""),""))</f>
        <v>4</v>
      </c>
      <c r="D113" s="69" t="n">
        <f aca="false">IF($A113="","",IFERROR(IF(ISNUMBER(INDEX(GPU!$G$4:$G$64,MATCH(Varian!$K26,GPU!$A$4:$A$64,0))),INDEX(GPU!$G$4:$G$64,MATCH(Varian!$K26,GPU!$A$4:$A$64,0)),""),""))</f>
        <v>2</v>
      </c>
      <c r="E113" s="69" t="n">
        <f aca="false">IF($A113="","",IF(ISNUMBER(Varian!$M26),Varian!$M26,""))</f>
        <v>16</v>
      </c>
      <c r="F113" s="69" t="n">
        <f aca="false">IF($A113="","",IF(ISNUMBER(Varian!$V26),Varian!$V26,""))</f>
        <v>512</v>
      </c>
      <c r="G113" s="69" t="n">
        <f aca="false">IF($A113="","",IFERROR(INDEX(Aturan!$B$63:$B$66,MATCH(Varian!$AG26,Aturan!$A$63:$A$66,0)),""))</f>
        <v>3</v>
      </c>
      <c r="H113" s="69" t="n">
        <f aca="false">IF($A113="","",IF(ISNUMBER(Varian!$AI26),Varian!$AI26,""))</f>
        <v>60</v>
      </c>
      <c r="I113" s="33" t="str">
        <f aca="false">IF($A113="","",IF(Varian!$Q26="disolder","menempel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3" s="33" t="str">
        <f aca="false">IF($A113="","",IF(Varian!$Z26="ya","bisa diganti dengan yang lebih besar",IF(Varian!$Z26="tidak","menempel, tidak bisa diganti","belum diketahui apakah bisa diganti")))</f>
        <v>menempel, tidak bisa diganti</v>
      </c>
      <c r="K113" s="70" t="str">
        <f aca="false">IF($A113="","",IF(AND(Aturan!$C$48="",Aturan!$D$48=""),"Tidak dinilai",IF(C113="","Belum ada data",IF(C113&lt;IF(Aturan!$C$48="",0,Aturan!$C$48),"Kurang",IF(C113&gt;=IF(Aturan!$D$48="",Aturan!$C$48,Aturan!$D$48),"Nyaman","Cukup")))))</f>
        <v>Nyaman</v>
      </c>
      <c r="L113" s="70" t="str">
        <f aca="false">IF($A113="","",IF(AND(Aturan!$C$49="",Aturan!$D$49=""),"Tidak dinilai",IF(D113="","Belum ada data",IF(D113&lt;IF(Aturan!$C$49="",0,Aturan!$C$49),"Kurang",IF(D113&gt;=IF(Aturan!$D$49="",Aturan!$C$49,Aturan!$D$49),"Nyaman","Cukup")))))</f>
        <v>Nyaman</v>
      </c>
      <c r="M113" s="70" t="str">
        <f aca="false">IF($A113="","",IF(AND(Aturan!$C$50="",Aturan!$D$50=""),"Tidak dinilai",IF(E113="","Belum ada data",IF(E113&lt;IF(Aturan!$C$50="",0,Aturan!$C$50),"Kurang",IF(E113&gt;=IF(Aturan!$D$50="",Aturan!$C$50,Aturan!$D$50),"Nyaman","Cukup")))))</f>
        <v>Nyaman</v>
      </c>
      <c r="N113" s="70" t="str">
        <f aca="false">IF($A113="","",IF(AND(Aturan!$C$51="",Aturan!$D$51=""),"Tidak dinilai",IF(F113="","Belum ada data",IF(F113&lt;IF(Aturan!$C$51="",0,Aturan!$C$51),"Kurang",IF(F113&gt;=IF(Aturan!$D$51="",Aturan!$C$51,Aturan!$D$51),"Nyaman","Cukup")))))</f>
        <v>Nyaman</v>
      </c>
      <c r="O113" s="70" t="str">
        <f aca="false">IF($A113="","",IF(AND(Aturan!$C$52="",Aturan!$D$52=""),"Tidak dinilai",IF(G113="","Belum ada data",IF(G113&lt;IF(Aturan!$C$52="",0,Aturan!$C$52),"Kurang",IF(G113&gt;=IF(Aturan!$D$52="",Aturan!$C$52,Aturan!$D$52),"Nyaman","Cukup")))))</f>
        <v>Tidak dinilai</v>
      </c>
      <c r="P113" s="70" t="str">
        <f aca="false">IF($A113="","",IF(AND(Aturan!$C$53="",Aturan!$D$53=""),"Tidak dinilai",IF(H113="","Belum ada data",IF(H113&lt;IF(Aturan!$C$53="",0,Aturan!$C$53),"Kurang",IF(H113&gt;=IF(Aturan!$D$53="",Aturan!$C$53,Aturan!$D$53),"Nyaman","Cukup")))))</f>
        <v>Tidak dinilai</v>
      </c>
      <c r="Q113" s="70" t="str">
        <f aca="false">IF($A113="","",IF(COUNTIF(K113:P113,"Tidak dinilai")=6,"Tidak dinilai",IF(COUNTIF(K113:P113,"Kurang")&gt;0,"Kurang cocok",IF(COUNTIF(K113:P113,"Belum ada data")&gt;0,"Data belum lengkap",IF(COUNTIF(K113:P113,"Cukup")&gt;0,"Bisa, dengan catatan","Cocok")))))</f>
        <v>Cocok</v>
      </c>
      <c r="R113" s="33" t="str">
        <f aca="false">IF($A113="","",IF(K113="Kurang","prosesor tingkat "&amp;C113&amp;" dari 5, di bawah batas minimal (tingkat "&amp;Aturan!$C$48&amp;")",IF(K113="Cukup","prosesor tingkat "&amp;C113&amp;" dari 5 cukup, nyamannya mulai tingkat "&amp;Aturan!$D$48,IF(K113="Belum ada data","tingkat prosesor belum diisi",""))))</f>
        <v/>
      </c>
      <c r="S113" s="33" t="str">
        <f aca="false">IF($A113="","",IF(L113="Kurang","grafis tingkat "&amp;D113&amp;" dari 5, di bawah batas minimal (tingkat "&amp;Aturan!$C$49&amp;")",IF(L113="Cukup","grafis tingkat "&amp;D113&amp;" dari 5 cukup, nyamannya mulai tingkat "&amp;Aturan!$D$49,IF(L113="Belum ada data","tingkat grafis belum diisi",""))))</f>
        <v/>
      </c>
      <c r="T113" s="33" t="str">
        <f aca="false">IF($A113="","",IF(M113="Kurang","RAM "&amp;E113&amp;" GB, di bawah batas minimal "&amp;Aturan!$C$50&amp;" GB ("&amp;I113&amp;")",IF(M113="Cukup","RAM "&amp;E113&amp;" GB cukup, nyamannya "&amp;Aturan!$D$50&amp;" GB atau lebih ("&amp;I113&amp;")",IF(M113="Belum ada data","ukuran RAM belum diisi",""))))</f>
        <v/>
      </c>
      <c r="U113" s="33" t="str">
        <f aca="false">IF($A113="","",IF(N113="Kurang","penyimpanan "&amp;F113&amp;" GB, di bawah batas minimal "&amp;Aturan!$C$51&amp;" GB ("&amp;J113&amp;")",IF(N113="Cukup","penyimpanan "&amp;F113&amp;" GB cukup, nyamannya "&amp;Aturan!$D$51&amp;" GB atau lebih ("&amp;J113&amp;")",IF(N113="Belum ada data","ukuran penyimpanan belum diisi",""))))</f>
        <v/>
      </c>
      <c r="V113" s="33" t="str">
        <f aca="false">IF($A113="","",IF(O113="Kurang","layar "&amp;Varian!$AG26&amp;", di bawah batas minimal ("&amp;IFERROR(INDEX(Aturan!$A$63:$A$66,MATCH(Aturan!$C$52,Aturan!$B$63:$B$66,0)),"peringkat "&amp;Aturan!$C$52)&amp;")",IF(O113="Cukup","layar "&amp;Varian!$AG26&amp;" cukup, nyamannya "&amp;IFERROR(INDEX(Aturan!$A$63:$A$66,MATCH(Aturan!$D$52,Aturan!$B$63:$B$66,0)),"peringkat "&amp;Aturan!$D$52),IF(O113="Belum ada data","jenis layar belum diketahui",""))))</f>
        <v/>
      </c>
      <c r="W113" s="33" t="str">
        <f aca="false">IF($A113="","",IF(P113="Kurang","layar "&amp;H113&amp;" Hz, di bawah batas minimal "&amp;Aturan!$C$53&amp;" Hz",IF(P113="Cukup","layar "&amp;H113&amp;" Hz cukup, nyamannya "&amp;Aturan!$D$53&amp;" Hz atau lebih",IF(P113="Belum ada data","refresh rate belum diketahui",""))))</f>
        <v/>
      </c>
      <c r="X113" s="33" t="str">
        <f aca="false">IF($A113="","",IF(K113="Kurang",R113&amp;"; ","")&amp;IF(L113="Kurang",S113&amp;"; ","")&amp;IF(M113="Kurang",T113&amp;"; ","")&amp;IF(N113="Kurang",U113&amp;"; ","")&amp;IF(O113="Kurang",V113&amp;"; ","")&amp;IF(P113="Kurang",W113&amp;"; ","")&amp;IF(K113="Belum ada data",R113&amp;"; ","")&amp;IF(L113="Belum ada data",S113&amp;"; ","")&amp;IF(M113="Belum ada data",T113&amp;"; ","")&amp;IF(N113="Belum ada data",U113&amp;"; ","")&amp;IF(O113="Belum ada data",V113&amp;"; ","")&amp;IF(P113="Belum ada data",W113&amp;"; ","")&amp;IF(K113="Cukup",R113&amp;"; ","")&amp;IF(L113="Cukup",S113&amp;"; ","")&amp;IF(M113="Cukup",T113&amp;"; ","")&amp;IF(N113="Cukup",U113&amp;"; ","")&amp;IF(O113="Cukup",V113&amp;"; ","")&amp;IF(P113="Cukup",W113&amp;"; ",""))</f>
        <v/>
      </c>
      <c r="Y113" s="33" t="str">
        <f aca="false">IF($A113="","",IF(K113="Nyaman","prosesor, ","")&amp;IF(L113="Nyaman","grafis, ","")&amp;IF(M113="Nyaman","RAM, ","")&amp;IF(N113="Nyaman","penyimpanan, ","")&amp;IF(O113="Nyaman","layar, ","")&amp;IF(P113="Nyaman","refresh rate, ",""))</f>
        <v>prosesor, grafis, RAM, penyimpanan, </v>
      </c>
      <c r="Z113" s="33" t="str">
        <f aca="false">IF($A113="","",IF(Q113="Tidak dinilai","Belum ada kriteria yang dinilai untuk kebutuhan ini.",IF(Q113="Cocok","Semua kriteria yang dinilai sudah nyaman: "&amp;LEFT(Y113,LEN(Y113)-2)&amp;".",UPPER(LEFT(X113,1))&amp;MID(X113,2,LEN(X113)-3)&amp;"."&amp;IF(Y113="",""," Sudah nyaman: "&amp;LEFT(Y113,LEN(Y113)-2)&amp;"."))))</f>
        <v>Semua kriteria yang dinilai sudah nyaman: prosesor, grafis, RAM, penyimpanan.</v>
      </c>
      <c r="AA113" s="33"/>
      <c r="AB113" s="33"/>
      <c r="AC113" s="69"/>
    </row>
    <row r="114" customFormat="false" ht="15" hidden="false" customHeight="true" outlineLevel="0" collapsed="false">
      <c r="A114" s="33" t="str">
        <f aca="false">IF(Varian!$A26="","",Varian!$A26)</f>
        <v>apple-macbook-air-13-m5-m5-16-512</v>
      </c>
      <c r="B114" s="33" t="str">
        <f aca="false">IF($A114="","",Aturan!$A$25)</f>
        <v>Game berat</v>
      </c>
      <c r="C114" s="69" t="n">
        <f aca="false">IF($A114="","",IFERROR(IF(ISNUMBER(INDEX(CPU!$J$4:$J$64,MATCH(Varian!$J26,CPU!$A$4:$A$64,0))),INDEX(CPU!$J$4:$J$64,MATCH(Varian!$J26,CPU!$A$4:$A$64,0)),""),""))</f>
        <v>4</v>
      </c>
      <c r="D114" s="69" t="n">
        <f aca="false">IF($A114="","",IFERROR(IF(ISNUMBER(INDEX(GPU!$G$4:$G$64,MATCH(Varian!$K26,GPU!$A$4:$A$64,0))),INDEX(GPU!$G$4:$G$64,MATCH(Varian!$K26,GPU!$A$4:$A$64,0)),""),""))</f>
        <v>2</v>
      </c>
      <c r="E114" s="69" t="n">
        <f aca="false">IF($A114="","",IF(ISNUMBER(Varian!$M26),Varian!$M26,""))</f>
        <v>16</v>
      </c>
      <c r="F114" s="69" t="n">
        <f aca="false">IF($A114="","",IF(ISNUMBER(Varian!$V26),Varian!$V26,""))</f>
        <v>512</v>
      </c>
      <c r="G114" s="69" t="n">
        <f aca="false">IF($A114="","",IFERROR(INDEX(Aturan!$B$63:$B$66,MATCH(Varian!$AG26,Aturan!$A$63:$A$66,0)),""))</f>
        <v>3</v>
      </c>
      <c r="H114" s="69" t="n">
        <f aca="false">IF($A114="","",IF(ISNUMBER(Varian!$AI26),Varian!$AI26,""))</f>
        <v>60</v>
      </c>
      <c r="I114" s="33" t="str">
        <f aca="false">IF($A114="","",IF(Varian!$Q26="disolder","menempel di papan utama, tidak bisa ditambah",IF(OR(Varian!$Q26="slot",Varian!$Q26="setengah_disolder"),IF(Varian!$Q26="setengah_disolder","sebagian menempel, ","")&amp;IF(ISNUMBER(Varian!$U26),IF(AND(ISNUMBER(Varian!$M26),Varian!$U26&gt;Varian!$M26),"bisa dinaikkan lewat slot sampai "&amp;Varian!$U26&amp;" GB","sudah di batas maksimal "&amp;Varian!$U26&amp;" GB"),"ada slot, batas maksimalnya belum diketahui"),"belum diketahui apakah bisa ditambah")))</f>
        <v>menempel di papan utama, tidak bisa ditambah</v>
      </c>
      <c r="J114" s="33" t="str">
        <f aca="false">IF($A114="","",IF(Varian!$Z26="ya","bisa diganti dengan yang lebih besar",IF(Varian!$Z26="tidak","menempel, tidak bisa diganti","belum diketahui apakah bisa diganti")))</f>
        <v>menempel, tidak bisa diganti</v>
      </c>
      <c r="K114" s="70" t="str">
        <f aca="false">IF($A114="","",IF(AND(Aturan!$C$54="",Aturan!$D$54=""),"Tidak dinilai",IF(C114="","Belum ada data",IF(C114&lt;IF(Aturan!$C$54="",0,Aturan!$C$54),"Kurang",IF(C114&gt;=IF(Aturan!$D$54="",Aturan!$C$54,Aturan!$D$54),"Nyaman","Cukup")))))</f>
        <v>Nyaman</v>
      </c>
      <c r="L114" s="70" t="str">
        <f aca="false">IF($A114="","",IF(AND(Aturan!$C$55="",Aturan!$D$55=""),"Tidak dinilai",IF(D114="","Belum ada data",IF(D114&lt;IF(Aturan!$C$55="",0,Aturan!$C$55),"Kurang",IF(D114&gt;=IF(Aturan!$D$55="",Aturan!$C$55,Aturan!$D$55),"Nyaman","Cukup")))))</f>
        <v>Kurang</v>
      </c>
      <c r="M114" s="70" t="str">
        <f aca="false">IF($A114="","",IF(AND(Aturan!$C$56="",Aturan!$D$56=""),"Tidak dinilai",IF(E114="","Belum ada data",IF(E114&lt;IF(Aturan!$C$56="",0,Aturan!$C$56),"Kurang",IF(E114&gt;=IF(Aturan!$D$56="",Aturan!$C$56,Aturan!$D$56),"Nyaman","Cukup")))))</f>
        <v>Nyaman</v>
      </c>
      <c r="N114" s="70" t="str">
        <f aca="false">IF($A114="","",IF(AND(Aturan!$C$57="",Aturan!$D$57=""),"Tidak dinilai",IF(F114="","Belum ada data",IF(F114&lt;IF(Aturan!$C$57="",0,Aturan!$C$57),"Kurang",IF(F114&gt;=IF(Aturan!$D$57="",Aturan!$C$57,Aturan!$D$57),"Nyaman","Cukup")))))</f>
        <v>Cukup</v>
      </c>
      <c r="O114" s="70" t="str">
        <f aca="false">IF($A114="","",IF(AND(Aturan!$C$58="",Aturan!$D$58=""),"Tidak dinilai",IF(G114="","Belum ada data",IF(G114&lt;IF(Aturan!$C$58="",0,Aturan!$C$58),"Kurang",IF(G114&gt;=IF(Aturan!$D$58="",Aturan!$C$58,Aturan!$D$58),"Nyaman","Cukup")))))</f>
        <v>Tidak dinilai</v>
      </c>
      <c r="P114" s="70" t="str">
        <f aca="false">IF($A114="","",IF(AND(Aturan!$C$59="",Aturan!$D$59=""),"Tidak dinilai",IF(H114="","Belum ada data",IF(H114&lt;IF(Aturan!$C$59="",0,Aturan!$C$59),"Kurang",IF(H114&gt;=IF(Aturan!$D$59="",Aturan!$C$59,Aturan!$D$59),"Nyaman","Cukup")))))</f>
        <v>Cukup</v>
      </c>
      <c r="Q114" s="70" t="str">
        <f aca="false">IF($A114="","",IF(COUNTIF(K114:P114,"Tidak dinilai")=6,"Tidak dinilai",IF(COUNTIF(K114:P114,"Kurang")&gt;0,"Kurang cocok",IF(COUNTIF(K114:P114,"Belum ada data")&gt;0,"Data belum lengkap",IF(COUNTIF(K114:P114,"Cukup")&gt;0,"Bisa, dengan catatan","Cocok")))))</f>
        <v>Kurang cocok</v>
      </c>
      <c r="R114" s="33" t="str">
        <f aca="false">IF($A114="","",IF(K114="Kurang","prosesor tingkat "&amp;C114&amp;" dari 5, di bawah batas minimal (tingkat "&amp;Aturan!$C$54&amp;")",IF(K114="Cukup","prosesor tingkat "&amp;C114&amp;" dari 5 cukup, nyamannya mulai tingkat "&amp;Aturan!$D$54,IF(K114="Belum ada data","tingkat prosesor belum diisi",""))))</f>
        <v/>
      </c>
      <c r="S114" s="33" t="str">
        <f aca="false">IF($A114="","",IF(L114="Kurang","grafis tingkat "&amp;D114&amp;" dari 5, di bawah batas minimal (tingkat "&amp;Aturan!$C$55&amp;")",IF(L114="Cukup","grafis tingkat "&amp;D114&amp;" dari 5 cukup, nyamannya mulai tingkat "&amp;Aturan!$D$55,IF(L114="Belum ada data","tingkat grafis belum diisi",""))))</f>
        <v>grafis tingkat 2 dari 5, di bawah batas minimal (tingkat 3)</v>
      </c>
      <c r="T114" s="33" t="str">
        <f aca="false">IF($A114="","",IF(M114="Kurang","RAM "&amp;E114&amp;" GB, di bawah batas minimal "&amp;Aturan!$C$56&amp;" GB ("&amp;I114&amp;")",IF(M114="Cukup","RAM "&amp;E114&amp;" GB cukup, nyamannya "&amp;Aturan!$D$56&amp;" GB atau lebih ("&amp;I114&amp;")",IF(M114="Belum ada data","ukuran RAM belum diisi",""))))</f>
        <v/>
      </c>
      <c r="U114" s="33" t="str">
        <f aca="false">IF($A114="","",IF(N114="Kurang","penyimpanan "&amp;F114&amp;" GB, di bawah batas minimal "&amp;Aturan!$C$57&amp;" GB ("&amp;J114&amp;")",IF(N114="Cukup","penyimpanan "&amp;F114&amp;" GB cukup, nyamannya "&amp;Aturan!$D$57&amp;" GB atau lebih ("&amp;J114&amp;")",IF(N114="Belum ada data","ukuran penyimpanan belum diisi",""))))</f>
        <v>penyimpanan 512 GB cukup, nyamannya 1000 GB atau lebih (menempel, tidak bisa diganti)</v>
      </c>
      <c r="V114" s="33" t="str">
        <f aca="false">IF($A114="","",IF(O114="Kurang","layar "&amp;Varian!$AG26&amp;", di bawah batas minimal ("&amp;IFERROR(INDEX(Aturan!$A$63:$A$66,MATCH(Aturan!$C$58,Aturan!$B$63:$B$66,0)),"peringkat "&amp;Aturan!$C$58)&amp;")",IF(O114="Cukup","layar "&amp;Varian!$AG26&amp;" cukup, nyamannya "&amp;IFERROR(INDEX(Aturan!$A$63:$A$66,MATCH(Aturan!$D$58,Aturan!$B$63:$B$66,0)),"peringkat "&amp;Aturan!$D$58),IF(O114="Belum ada data","jenis layar belum diketahui",""))))</f>
        <v/>
      </c>
      <c r="W114" s="33" t="str">
        <f aca="false">IF($A114="","",IF(P114="Kurang","layar "&amp;H114&amp;" Hz, di bawah batas minimal "&amp;Aturan!$C$59&amp;" Hz",IF(P114="Cukup","layar "&amp;H114&amp;" Hz cukup, nyamannya "&amp;Aturan!$D$59&amp;" Hz atau lebih",IF(P114="Belum ada data","refresh rate belum diketahui",""))))</f>
        <v>layar 60 Hz cukup, nyamannya 120 Hz atau lebih</v>
      </c>
      <c r="X114" s="33" t="str">
        <f aca="false">IF($A114="","",IF(K114="Kurang",R114&amp;"; ","")&amp;IF(L114="Kurang",S114&amp;"; ","")&amp;IF(M114="Kurang",T114&amp;"; ","")&amp;IF(N114="Kurang",U114&amp;"; ","")&amp;IF(O114="Kurang",V114&amp;"; ","")&amp;IF(P114="Kurang",W114&amp;"; ","")&amp;IF(K114="Belum ada data",R114&amp;"; ","")&amp;IF(L114="Belum ada data",S114&amp;"; ","")&amp;IF(M114="Belum ada data",T114&amp;"; ","")&amp;IF(N114="Belum ada data",U114&amp;"; ","")&amp;IF(O114="Belum ada data",V114&amp;"; ","")&amp;IF(P114="Belum ada data",W114&amp;"; ","")&amp;IF(K114="Cukup",R114&amp;"; ","")&amp;IF(L114="Cukup",S114&amp;"; ","")&amp;IF(M114="Cukup",T114&amp;"; ","")&amp;IF(N114="Cukup",U114&amp;"; ","")&amp;IF(O114="Cukup",V114&amp;"; ","")&amp;IF(P114="Cukup",W114&amp;"; ",""))</f>
        <v>grafis tingkat 2 dari 5, di bawah batas minimal (tingkat 3); penyimpanan 512 GB cukup, nyamannya 1000 GB atau lebih (menempel, tidak bisa diganti); layar 60 Hz cukup, nyamannya 120 Hz atau lebih; </v>
      </c>
      <c r="Y114" s="33" t="str">
        <f aca="false">IF($A114="","",IF(K114="Nyaman","prosesor, ","")&amp;IF(L114="Nyaman","grafis, ","")&amp;IF(M114="Nyaman","RAM, ","")&amp;IF(N114="Nyaman","penyimpanan, ","")&amp;IF(O114="Nyaman","layar, ","")&amp;IF(P114="Nyaman","refresh rate, ",""))</f>
        <v>prosesor, RAM, </v>
      </c>
      <c r="Z114" s="33" t="str">
        <f aca="false">IF($A114="","",IF(Q114="Tidak dinilai","Belum ada kriteria yang dinilai untuk kebutuhan ini.",IF(Q114="Cocok","Semua kriteria yang dinilai sudah nyaman: "&amp;LEFT(Y114,LEN(Y114)-2)&amp;".",UPPER(LEFT(X114,1))&amp;MID(X114,2,LEN(X114)-3)&amp;"."&amp;IF(Y114="",""," Sudah nyaman: "&amp;LEFT(Y114,LEN(Y114)-2)&amp;"."))))</f>
        <v>Grafis tingkat 2 dari 5, di bawah batas minimal (tingkat 3); penyimpanan 512 GB cukup, nyamannya 1000 GB atau lebih (menempel, tidak bisa diganti); layar 60 Hz cukup, nyamannya 120 Hz atau lebih. Sudah nyaman: prosesor, RAM.</v>
      </c>
      <c r="AA114" s="33"/>
      <c r="AB114" s="33"/>
      <c r="AC114" s="69"/>
    </row>
    <row r="115" customFormat="false" ht="15" hidden="false" customHeight="true" outlineLevel="0" collapsed="false">
      <c r="A115" s="66" t="str">
        <f aca="false">IF(Varian!$A27="","",Varian!$A27)</f>
        <v>asus-tuf-gaming-a15-fa507n-r7-7435hs-rtx4050-16-512</v>
      </c>
      <c r="B115" s="66" t="str">
        <f aca="false">IF($A115="","",Aturan!$A$21)</f>
        <v>Kuliah dan kantor</v>
      </c>
      <c r="C115" s="67" t="n">
        <f aca="false">IF($A115="","",IFERROR(IF(ISNUMBER(INDEX(CPU!$J$4:$J$64,MATCH(Varian!$J27,CPU!$A$4:$A$64,0))),INDEX(CPU!$J$4:$J$64,MATCH(Varian!$J27,CPU!$A$4:$A$64,0)),""),""))</f>
        <v>4</v>
      </c>
      <c r="D115" s="67" t="n">
        <f aca="false">IF($A115="","",IFERROR(IF(ISNUMBER(INDEX(GPU!$G$4:$G$64,MATCH(Varian!$K27,GPU!$A$4:$A$64,0))),INDEX(GPU!$G$4:$G$64,MATCH(Varian!$K27,GPU!$A$4:$A$64,0)),""),""))</f>
        <v>3</v>
      </c>
      <c r="E115" s="67" t="n">
        <f aca="false">IF($A115="","",IF(ISNUMBER(Varian!$M27),Varian!$M27,""))</f>
        <v>16</v>
      </c>
      <c r="F115" s="67" t="n">
        <f aca="false">IF($A115="","",IF(ISNUMBER(Varian!$V27),Varian!$V27,""))</f>
        <v>512</v>
      </c>
      <c r="G115" s="67" t="n">
        <f aca="false">IF($A115="","",IFERROR(INDEX(Aturan!$B$63:$B$66,MATCH(Varian!$AG27,Aturan!$A$63:$A$66,0)),""))</f>
        <v>3</v>
      </c>
      <c r="H115" s="67" t="n">
        <f aca="false">IF($A115="","",IF(ISNUMBER(Varian!$AI27),Varian!$AI27,""))</f>
        <v>144</v>
      </c>
      <c r="I115" s="66" t="str">
        <f aca="false">IF($A115="","",IF(Varian!$Q27="disolder","menempel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5" s="66" t="str">
        <f aca="false">IF($A115="","",IF(Varian!$Z27="ya","bisa diganti dengan yang lebih besar",IF(Varian!$Z27="tidak","menempel, tidak bisa diganti","belum diketahui apakah bisa diganti")))</f>
        <v>bisa diganti dengan yang lebih besar</v>
      </c>
      <c r="K115" s="68" t="str">
        <f aca="false">IF($A115="","",IF(AND(Aturan!$C$30="",Aturan!$D$30=""),"Tidak dinilai",IF(C115="","Belum ada data",IF(C115&lt;IF(Aturan!$C$30="",0,Aturan!$C$30),"Kurang",IF(C115&gt;=IF(Aturan!$D$30="",Aturan!$C$30,Aturan!$D$30),"Nyaman","Cukup")))))</f>
        <v>Nyaman</v>
      </c>
      <c r="L115" s="68" t="str">
        <f aca="false">IF($A115="","",IF(AND(Aturan!$C$31="",Aturan!$D$31=""),"Tidak dinilai",IF(D115="","Belum ada data",IF(D115&lt;IF(Aturan!$C$31="",0,Aturan!$C$31),"Kurang",IF(D115&gt;=IF(Aturan!$D$31="",Aturan!$C$31,Aturan!$D$31),"Nyaman","Cukup")))))</f>
        <v>Tidak dinilai</v>
      </c>
      <c r="M115" s="68" t="str">
        <f aca="false">IF($A115="","",IF(AND(Aturan!$C$32="",Aturan!$D$32=""),"Tidak dinilai",IF(E115="","Belum ada data",IF(E115&lt;IF(Aturan!$C$32="",0,Aturan!$C$32),"Kurang",IF(E115&gt;=IF(Aturan!$D$32="",Aturan!$C$32,Aturan!$D$32),"Nyaman","Cukup")))))</f>
        <v>Nyaman</v>
      </c>
      <c r="N115" s="68" t="str">
        <f aca="false">IF($A115="","",IF(AND(Aturan!$C$33="",Aturan!$D$33=""),"Tidak dinilai",IF(F115="","Belum ada data",IF(F115&lt;IF(Aturan!$C$33="",0,Aturan!$C$33),"Kurang",IF(F115&gt;=IF(Aturan!$D$33="",Aturan!$C$33,Aturan!$D$33),"Nyaman","Cukup")))))</f>
        <v>Nyaman</v>
      </c>
      <c r="O115" s="68" t="str">
        <f aca="false">IF($A115="","",IF(AND(Aturan!$C$34="",Aturan!$D$34=""),"Tidak dinilai",IF(G115="","Belum ada data",IF(G115&lt;IF(Aturan!$C$34="",0,Aturan!$C$34),"Kurang",IF(G115&gt;=IF(Aturan!$D$34="",Aturan!$C$34,Aturan!$D$34),"Nyaman","Cukup")))))</f>
        <v>Tidak dinilai</v>
      </c>
      <c r="P115" s="68" t="str">
        <f aca="false">IF($A115="","",IF(AND(Aturan!$C$35="",Aturan!$D$35=""),"Tidak dinilai",IF(H115="","Belum ada data",IF(H115&lt;IF(Aturan!$C$35="",0,Aturan!$C$35),"Kurang",IF(H115&gt;=IF(Aturan!$D$35="",Aturan!$C$35,Aturan!$D$35),"Nyaman","Cukup")))))</f>
        <v>Tidak dinilai</v>
      </c>
      <c r="Q115" s="68" t="str">
        <f aca="false">IF($A115="","",IF(COUNTIF(K115:P115,"Tidak dinilai")=6,"Tidak dinilai",IF(COUNTIF(K115:P115,"Kurang")&gt;0,"Kurang cocok",IF(COUNTIF(K115:P115,"Belum ada data")&gt;0,"Data belum lengkap",IF(COUNTIF(K115:P115,"Cukup")&gt;0,"Bisa, dengan catatan","Cocok")))))</f>
        <v>Cocok</v>
      </c>
      <c r="R115" s="66" t="str">
        <f aca="false">IF($A115="","",IF(K115="Kurang","prosesor tingkat "&amp;C115&amp;" dari 5, di bawah batas minimal (tingkat "&amp;Aturan!$C$30&amp;")",IF(K115="Cukup","prosesor tingkat "&amp;C115&amp;" dari 5 cukup, nyamannya mulai tingkat "&amp;Aturan!$D$30,IF(K115="Belum ada data","tingkat prosesor belum diisi",""))))</f>
        <v/>
      </c>
      <c r="S115" s="66" t="str">
        <f aca="false">IF($A115="","",IF(L115="Kurang","grafis tingkat "&amp;D115&amp;" dari 5, di bawah batas minimal (tingkat "&amp;Aturan!$C$31&amp;")",IF(L115="Cukup","grafis tingkat "&amp;D115&amp;" dari 5 cukup, nyamannya mulai tingkat "&amp;Aturan!$D$31,IF(L115="Belum ada data","tingkat grafis belum diisi",""))))</f>
        <v/>
      </c>
      <c r="T115" s="66" t="str">
        <f aca="false">IF($A115="","",IF(M115="Kurang","RAM "&amp;E115&amp;" GB, di bawah batas minimal "&amp;Aturan!$C$32&amp;" GB ("&amp;I115&amp;")",IF(M115="Cukup","RAM "&amp;E115&amp;" GB cukup, nyamannya "&amp;Aturan!$D$32&amp;" GB atau lebih ("&amp;I115&amp;")",IF(M115="Belum ada data","ukuran RAM belum diisi",""))))</f>
        <v/>
      </c>
      <c r="U115" s="66" t="str">
        <f aca="false">IF($A115="","",IF(N115="Kurang","penyimpanan "&amp;F115&amp;" GB, di bawah batas minimal "&amp;Aturan!$C$33&amp;" GB ("&amp;J115&amp;")",IF(N115="Cukup","penyimpanan "&amp;F115&amp;" GB cukup, nyamannya "&amp;Aturan!$D$33&amp;" GB atau lebih ("&amp;J115&amp;")",IF(N115="Belum ada data","ukuran penyimpanan belum diisi",""))))</f>
        <v/>
      </c>
      <c r="V115" s="66" t="str">
        <f aca="false">IF($A115="","",IF(O115="Kurang","layar "&amp;Varian!$AG27&amp;", di bawah batas minimal ("&amp;IFERROR(INDEX(Aturan!$A$63:$A$66,MATCH(Aturan!$C$34,Aturan!$B$63:$B$66,0)),"peringkat "&amp;Aturan!$C$34)&amp;")",IF(O115="Cukup","layar "&amp;Varian!$AG27&amp;" cukup, nyamannya "&amp;IFERROR(INDEX(Aturan!$A$63:$A$66,MATCH(Aturan!$D$34,Aturan!$B$63:$B$66,0)),"peringkat "&amp;Aturan!$D$34),IF(O115="Belum ada data","jenis layar belum diketahui",""))))</f>
        <v/>
      </c>
      <c r="W115" s="66" t="str">
        <f aca="false">IF($A115="","",IF(P115="Kurang","layar "&amp;H115&amp;" Hz, di bawah batas minimal "&amp;Aturan!$C$35&amp;" Hz",IF(P115="Cukup","layar "&amp;H115&amp;" Hz cukup, nyamannya "&amp;Aturan!$D$35&amp;" Hz atau lebih",IF(P115="Belum ada data","refresh rate belum diketahui",""))))</f>
        <v/>
      </c>
      <c r="X115" s="66" t="str">
        <f aca="false">IF($A115="","",IF(K115="Kurang",R115&amp;"; ","")&amp;IF(L115="Kurang",S115&amp;"; ","")&amp;IF(M115="Kurang",T115&amp;"; ","")&amp;IF(N115="Kurang",U115&amp;"; ","")&amp;IF(O115="Kurang",V115&amp;"; ","")&amp;IF(P115="Kurang",W115&amp;"; ","")&amp;IF(K115="Belum ada data",R115&amp;"; ","")&amp;IF(L115="Belum ada data",S115&amp;"; ","")&amp;IF(M115="Belum ada data",T115&amp;"; ","")&amp;IF(N115="Belum ada data",U115&amp;"; ","")&amp;IF(O115="Belum ada data",V115&amp;"; ","")&amp;IF(P115="Belum ada data",W115&amp;"; ","")&amp;IF(K115="Cukup",R115&amp;"; ","")&amp;IF(L115="Cukup",S115&amp;"; ","")&amp;IF(M115="Cukup",T115&amp;"; ","")&amp;IF(N115="Cukup",U115&amp;"; ","")&amp;IF(O115="Cukup",V115&amp;"; ","")&amp;IF(P115="Cukup",W115&amp;"; ",""))</f>
        <v/>
      </c>
      <c r="Y115" s="66" t="str">
        <f aca="false">IF($A115="","",IF(K115="Nyaman","prosesor, ","")&amp;IF(L115="Nyaman","grafis, ","")&amp;IF(M115="Nyaman","RAM, ","")&amp;IF(N115="Nyaman","penyimpanan, ","")&amp;IF(O115="Nyaman","layar, ","")&amp;IF(P115="Nyaman","refresh rate, ",""))</f>
        <v>prosesor, RAM, penyimpanan, </v>
      </c>
      <c r="Z115" s="66" t="str">
        <f aca="false">IF($A115="","",IF(Q115="Tidak dinilai","Belum ada kriteria yang dinilai untuk kebutuhan ini.",IF(Q115="Cocok","Semua kriteria yang dinilai sudah nyaman: "&amp;LEFT(Y115,LEN(Y115)-2)&amp;".",UPPER(LEFT(X115,1))&amp;MID(X115,2,LEN(X115)-3)&amp;"."&amp;IF(Y115="",""," Sudah nyaman: "&amp;LEFT(Y115,LEN(Y115)-2)&amp;"."))))</f>
        <v>Semua kriteria yang dinilai sudah nyaman: prosesor, RAM, penyimpanan.</v>
      </c>
      <c r="AA115" s="66" t="str">
        <f aca="false">IF($A115="","",IF(Varian!$AR27="Windows 10","• "&amp;Aturan!$E$71&amp;CHAR(10),"")&amp;IF(Varian!$BB27="tidak","• "&amp;Aturan!$E$72&amp;CHAR(10),"")&amp;IF(OR(Varian!$AD27="belum terverifikasi",Varian!$AD27="tidak diketahui"),"• "&amp;Aturan!$E$73&amp;CHAR(10),"")&amp;IF(Varian!$AH27="1366x768","• "&amp;Aturan!$E$74&amp;CHAR(10),"")&amp;IF(Varian!$AG27="TN","• "&amp;Aturan!$E$75&amp;CHAR(10),"")&amp;IF(AND(Varian!$Q27="disolder",ISNUMBER(Varian!$M27),Varian!$M27&lt;=8),"• "&amp;Aturan!$E$76&amp;CHAR(10),""))</f>
        <v/>
      </c>
      <c r="AB115" s="66" t="str">
        <f aca="false">IF($A115="","",IF(AA115="","",LEFT(AA115,LEN(AA115)-1)))</f>
        <v/>
      </c>
      <c r="AC115" s="67" t="n">
        <f aca="false">IF($A115="","",IF(AA115="",0,LEN(AA115)-LEN(SUBSTITUTE(AA115,CHAR(10),""))))</f>
        <v>0</v>
      </c>
    </row>
    <row r="116" customFormat="false" ht="15" hidden="false" customHeight="true" outlineLevel="0" collapsed="false">
      <c r="A116" s="33" t="str">
        <f aca="false">IF(Varian!$A27="","",Varian!$A27)</f>
        <v>asus-tuf-gaming-a15-fa507n-r7-7435hs-rtx4050-16-512</v>
      </c>
      <c r="B116" s="33" t="str">
        <f aca="false">IF($A116="","",Aturan!$A$22)</f>
        <v>Desain grafis</v>
      </c>
      <c r="C116" s="69" t="n">
        <f aca="false">IF($A116="","",IFERROR(IF(ISNUMBER(INDEX(CPU!$J$4:$J$64,MATCH(Varian!$J27,CPU!$A$4:$A$64,0))),INDEX(CPU!$J$4:$J$64,MATCH(Varian!$J27,CPU!$A$4:$A$64,0)),""),""))</f>
        <v>4</v>
      </c>
      <c r="D116" s="69" t="n">
        <f aca="false">IF($A116="","",IFERROR(IF(ISNUMBER(INDEX(GPU!$G$4:$G$64,MATCH(Varian!$K27,GPU!$A$4:$A$64,0))),INDEX(GPU!$G$4:$G$64,MATCH(Varian!$K27,GPU!$A$4:$A$64,0)),""),""))</f>
        <v>3</v>
      </c>
      <c r="E116" s="69" t="n">
        <f aca="false">IF($A116="","",IF(ISNUMBER(Varian!$M27),Varian!$M27,""))</f>
        <v>16</v>
      </c>
      <c r="F116" s="69" t="n">
        <f aca="false">IF($A116="","",IF(ISNUMBER(Varian!$V27),Varian!$V27,""))</f>
        <v>512</v>
      </c>
      <c r="G116" s="69" t="n">
        <f aca="false">IF($A116="","",IFERROR(INDEX(Aturan!$B$63:$B$66,MATCH(Varian!$AG27,Aturan!$A$63:$A$66,0)),""))</f>
        <v>3</v>
      </c>
      <c r="H116" s="69" t="n">
        <f aca="false">IF($A116="","",IF(ISNUMBER(Varian!$AI27),Varian!$AI27,""))</f>
        <v>144</v>
      </c>
      <c r="I116" s="33" t="str">
        <f aca="false">IF($A116="","",IF(Varian!$Q27="disolder","menempel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6" s="33" t="str">
        <f aca="false">IF($A116="","",IF(Varian!$Z27="ya","bisa diganti dengan yang lebih besar",IF(Varian!$Z27="tidak","menempel, tidak bisa diganti","belum diketahui apakah bisa diganti")))</f>
        <v>bisa diganti dengan yang lebih besar</v>
      </c>
      <c r="K116" s="70" t="str">
        <f aca="false">IF($A116="","",IF(AND(Aturan!$C$36="",Aturan!$D$36=""),"Tidak dinilai",IF(C116="","Belum ada data",IF(C116&lt;IF(Aturan!$C$36="",0,Aturan!$C$36),"Kurang",IF(C116&gt;=IF(Aturan!$D$36="",Aturan!$C$36,Aturan!$D$36),"Nyaman","Cukup")))))</f>
        <v>Nyaman</v>
      </c>
      <c r="L116" s="70" t="str">
        <f aca="false">IF($A116="","",IF(AND(Aturan!$C$37="",Aturan!$D$37=""),"Tidak dinilai",IF(D116="","Belum ada data",IF(D116&lt;IF(Aturan!$C$37="",0,Aturan!$C$37),"Kurang",IF(D116&gt;=IF(Aturan!$D$37="",Aturan!$C$37,Aturan!$D$37),"Nyaman","Cukup")))))</f>
        <v>Nyaman</v>
      </c>
      <c r="M116" s="70" t="str">
        <f aca="false">IF($A116="","",IF(AND(Aturan!$C$38="",Aturan!$D$38=""),"Tidak dinilai",IF(E116="","Belum ada data",IF(E116&lt;IF(Aturan!$C$38="",0,Aturan!$C$38),"Kurang",IF(E116&gt;=IF(Aturan!$D$38="",Aturan!$C$38,Aturan!$D$38),"Nyaman","Cukup")))))</f>
        <v>Nyaman</v>
      </c>
      <c r="N116" s="70" t="str">
        <f aca="false">IF($A116="","",IF(AND(Aturan!$C$39="",Aturan!$D$39=""),"Tidak dinilai",IF(F116="","Belum ada data",IF(F116&lt;IF(Aturan!$C$39="",0,Aturan!$C$39),"Kurang",IF(F116&gt;=IF(Aturan!$D$39="",Aturan!$C$39,Aturan!$D$39),"Nyaman","Cukup")))))</f>
        <v>Nyaman</v>
      </c>
      <c r="O116" s="70" t="str">
        <f aca="false">IF($A116="","",IF(AND(Aturan!$C$40="",Aturan!$D$40=""),"Tidak dinilai",IF(G116="","Belum ada data",IF(G116&lt;IF(Aturan!$C$40="",0,Aturan!$C$40),"Kurang",IF(G116&gt;=IF(Aturan!$D$40="",Aturan!$C$40,Aturan!$D$40),"Nyaman","Cukup")))))</f>
        <v>Cukup</v>
      </c>
      <c r="P116" s="70" t="str">
        <f aca="false">IF($A116="","",IF(AND(Aturan!$C$41="",Aturan!$D$41=""),"Tidak dinilai",IF(H116="","Belum ada data",IF(H116&lt;IF(Aturan!$C$41="",0,Aturan!$C$41),"Kurang",IF(H116&gt;=IF(Aturan!$D$41="",Aturan!$C$41,Aturan!$D$41),"Nyaman","Cukup")))))</f>
        <v>Tidak dinilai</v>
      </c>
      <c r="Q116" s="70" t="str">
        <f aca="false">IF($A116="","",IF(COUNTIF(K116:P116,"Tidak dinilai")=6,"Tidak dinilai",IF(COUNTIF(K116:P116,"Kurang")&gt;0,"Kurang cocok",IF(COUNTIF(K116:P116,"Belum ada data")&gt;0,"Data belum lengkap",IF(COUNTIF(K116:P116,"Cukup")&gt;0,"Bisa, dengan catatan","Cocok")))))</f>
        <v>Bisa, dengan catatan</v>
      </c>
      <c r="R116" s="33" t="str">
        <f aca="false">IF($A116="","",IF(K116="Kurang","prosesor tingkat "&amp;C116&amp;" dari 5, di bawah batas minimal (tingkat "&amp;Aturan!$C$36&amp;")",IF(K116="Cukup","prosesor tingkat "&amp;C116&amp;" dari 5 cukup, nyamannya mulai tingkat "&amp;Aturan!$D$36,IF(K116="Belum ada data","tingkat prosesor belum diisi",""))))</f>
        <v/>
      </c>
      <c r="S116" s="33" t="str">
        <f aca="false">IF($A116="","",IF(L116="Kurang","grafis tingkat "&amp;D116&amp;" dari 5, di bawah batas minimal (tingkat "&amp;Aturan!$C$37&amp;")",IF(L116="Cukup","grafis tingkat "&amp;D116&amp;" dari 5 cukup, nyamannya mulai tingkat "&amp;Aturan!$D$37,IF(L116="Belum ada data","tingkat grafis belum diisi",""))))</f>
        <v/>
      </c>
      <c r="T116" s="33" t="str">
        <f aca="false">IF($A116="","",IF(M116="Kurang","RAM "&amp;E116&amp;" GB, di bawah batas minimal "&amp;Aturan!$C$38&amp;" GB ("&amp;I116&amp;")",IF(M116="Cukup","RAM "&amp;E116&amp;" GB cukup, nyamannya "&amp;Aturan!$D$38&amp;" GB atau lebih ("&amp;I116&amp;")",IF(M116="Belum ada data","ukuran RAM belum diisi",""))))</f>
        <v/>
      </c>
      <c r="U116" s="33" t="str">
        <f aca="false">IF($A116="","",IF(N116="Kurang","penyimpanan "&amp;F116&amp;" GB, di bawah batas minimal "&amp;Aturan!$C$39&amp;" GB ("&amp;J116&amp;")",IF(N116="Cukup","penyimpanan "&amp;F116&amp;" GB cukup, nyamannya "&amp;Aturan!$D$39&amp;" GB atau lebih ("&amp;J116&amp;")",IF(N116="Belum ada data","ukuran penyimpanan belum diisi",""))))</f>
        <v/>
      </c>
      <c r="V116" s="33" t="str">
        <f aca="false">IF($A116="","",IF(O116="Kurang","layar "&amp;Varian!$AG27&amp;", di bawah batas minimal ("&amp;IFERROR(INDEX(Aturan!$A$63:$A$66,MATCH(Aturan!$C$40,Aturan!$B$63:$B$66,0)),"peringkat "&amp;Aturan!$C$40)&amp;")",IF(O116="Cukup","layar "&amp;Varian!$AG27&amp;" cukup, nyamannya "&amp;IFERROR(INDEX(Aturan!$A$63:$A$66,MATCH(Aturan!$D$40,Aturan!$B$63:$B$66,0)),"peringkat "&amp;Aturan!$D$40),IF(O116="Belum ada data","jenis layar belum diketahui",""))))</f>
        <v>layar IPS cukup, nyamannya OLED</v>
      </c>
      <c r="W116" s="33" t="str">
        <f aca="false">IF($A116="","",IF(P116="Kurang","layar "&amp;H116&amp;" Hz, di bawah batas minimal "&amp;Aturan!$C$41&amp;" Hz",IF(P116="Cukup","layar "&amp;H116&amp;" Hz cukup, nyamannya "&amp;Aturan!$D$41&amp;" Hz atau lebih",IF(P116="Belum ada data","refresh rate belum diketahui",""))))</f>
        <v/>
      </c>
      <c r="X116" s="33" t="str">
        <f aca="false">IF($A116="","",IF(K116="Kurang",R116&amp;"; ","")&amp;IF(L116="Kurang",S116&amp;"; ","")&amp;IF(M116="Kurang",T116&amp;"; ","")&amp;IF(N116="Kurang",U116&amp;"; ","")&amp;IF(O116="Kurang",V116&amp;"; ","")&amp;IF(P116="Kurang",W116&amp;"; ","")&amp;IF(K116="Belum ada data",R116&amp;"; ","")&amp;IF(L116="Belum ada data",S116&amp;"; ","")&amp;IF(M116="Belum ada data",T116&amp;"; ","")&amp;IF(N116="Belum ada data",U116&amp;"; ","")&amp;IF(O116="Belum ada data",V116&amp;"; ","")&amp;IF(P116="Belum ada data",W116&amp;"; ","")&amp;IF(K116="Cukup",R116&amp;"; ","")&amp;IF(L116="Cukup",S116&amp;"; ","")&amp;IF(M116="Cukup",T116&amp;"; ","")&amp;IF(N116="Cukup",U116&amp;"; ","")&amp;IF(O116="Cukup",V116&amp;"; ","")&amp;IF(P116="Cukup",W116&amp;"; ",""))</f>
        <v>layar IPS cukup, nyamannya OLED; </v>
      </c>
      <c r="Y116" s="33" t="str">
        <f aca="false">IF($A116="","",IF(K116="Nyaman","prosesor, ","")&amp;IF(L116="Nyaman","grafis, ","")&amp;IF(M116="Nyaman","RAM, ","")&amp;IF(N116="Nyaman","penyimpanan, ","")&amp;IF(O116="Nyaman","layar, ","")&amp;IF(P116="Nyaman","refresh rate, ",""))</f>
        <v>prosesor, grafis, RAM, penyimpanan, </v>
      </c>
      <c r="Z116" s="33" t="str">
        <f aca="false">IF($A116="","",IF(Q116="Tidak dinilai","Belum ada kriteria yang dinilai untuk kebutuhan ini.",IF(Q116="Cocok","Semua kriteria yang dinilai sudah nyaman: "&amp;LEFT(Y116,LEN(Y116)-2)&amp;".",UPPER(LEFT(X116,1))&amp;MID(X116,2,LEN(X116)-3)&amp;"."&amp;IF(Y116="",""," Sudah nyaman: "&amp;LEFT(Y116,LEN(Y116)-2)&amp;"."))))</f>
        <v>Layar IPS cukup, nyamannya OLED. Sudah nyaman: prosesor, grafis, RAM, penyimpanan.</v>
      </c>
      <c r="AA116" s="33"/>
      <c r="AB116" s="33"/>
      <c r="AC116" s="69"/>
    </row>
    <row r="117" customFormat="false" ht="15" hidden="false" customHeight="true" outlineLevel="0" collapsed="false">
      <c r="A117" s="33" t="str">
        <f aca="false">IF(Varian!$A27="","",Varian!$A27)</f>
        <v>asus-tuf-gaming-a15-fa507n-r7-7435hs-rtx4050-16-512</v>
      </c>
      <c r="B117" s="33" t="str">
        <f aca="false">IF($A117="","",Aturan!$A$23)</f>
        <v>Pemrograman</v>
      </c>
      <c r="C117" s="69" t="n">
        <f aca="false">IF($A117="","",IFERROR(IF(ISNUMBER(INDEX(CPU!$J$4:$J$64,MATCH(Varian!$J27,CPU!$A$4:$A$64,0))),INDEX(CPU!$J$4:$J$64,MATCH(Varian!$J27,CPU!$A$4:$A$64,0)),""),""))</f>
        <v>4</v>
      </c>
      <c r="D117" s="69" t="n">
        <f aca="false">IF($A117="","",IFERROR(IF(ISNUMBER(INDEX(GPU!$G$4:$G$64,MATCH(Varian!$K27,GPU!$A$4:$A$64,0))),INDEX(GPU!$G$4:$G$64,MATCH(Varian!$K27,GPU!$A$4:$A$64,0)),""),""))</f>
        <v>3</v>
      </c>
      <c r="E117" s="69" t="n">
        <f aca="false">IF($A117="","",IF(ISNUMBER(Varian!$M27),Varian!$M27,""))</f>
        <v>16</v>
      </c>
      <c r="F117" s="69" t="n">
        <f aca="false">IF($A117="","",IF(ISNUMBER(Varian!$V27),Varian!$V27,""))</f>
        <v>512</v>
      </c>
      <c r="G117" s="69" t="n">
        <f aca="false">IF($A117="","",IFERROR(INDEX(Aturan!$B$63:$B$66,MATCH(Varian!$AG27,Aturan!$A$63:$A$66,0)),""))</f>
        <v>3</v>
      </c>
      <c r="H117" s="69" t="n">
        <f aca="false">IF($A117="","",IF(ISNUMBER(Varian!$AI27),Varian!$AI27,""))</f>
        <v>144</v>
      </c>
      <c r="I117" s="33" t="str">
        <f aca="false">IF($A117="","",IF(Varian!$Q27="disolder","menempel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7" s="33" t="str">
        <f aca="false">IF($A117="","",IF(Varian!$Z27="ya","bisa diganti dengan yang lebih besar",IF(Varian!$Z27="tidak","menempel, tidak bisa diganti","belum diketahui apakah bisa diganti")))</f>
        <v>bisa diganti dengan yang lebih besar</v>
      </c>
      <c r="K117" s="70" t="str">
        <f aca="false">IF($A117="","",IF(AND(Aturan!$C$42="",Aturan!$D$42=""),"Tidak dinilai",IF(C117="","Belum ada data",IF(C117&lt;IF(Aturan!$C$42="",0,Aturan!$C$42),"Kurang",IF(C117&gt;=IF(Aturan!$D$42="",Aturan!$C$42,Aturan!$D$42),"Nyaman","Cukup")))))</f>
        <v>Nyaman</v>
      </c>
      <c r="L117" s="70" t="str">
        <f aca="false">IF($A117="","",IF(AND(Aturan!$C$43="",Aturan!$D$43=""),"Tidak dinilai",IF(D117="","Belum ada data",IF(D117&lt;IF(Aturan!$C$43="",0,Aturan!$C$43),"Kurang",IF(D117&gt;=IF(Aturan!$D$43="",Aturan!$C$43,Aturan!$D$43),"Nyaman","Cukup")))))</f>
        <v>Tidak dinilai</v>
      </c>
      <c r="M117" s="70" t="str">
        <f aca="false">IF($A117="","",IF(AND(Aturan!$C$44="",Aturan!$D$44=""),"Tidak dinilai",IF(E117="","Belum ada data",IF(E117&lt;IF(Aturan!$C$44="",0,Aturan!$C$44),"Kurang",IF(E117&gt;=IF(Aturan!$D$44="",Aturan!$C$44,Aturan!$D$44),"Nyaman","Cukup")))))</f>
        <v>Nyaman</v>
      </c>
      <c r="N117" s="70" t="str">
        <f aca="false">IF($A117="","",IF(AND(Aturan!$C$45="",Aturan!$D$45=""),"Tidak dinilai",IF(F117="","Belum ada data",IF(F117&lt;IF(Aturan!$C$45="",0,Aturan!$C$45),"Kurang",IF(F117&gt;=IF(Aturan!$D$45="",Aturan!$C$45,Aturan!$D$45),"Nyaman","Cukup")))))</f>
        <v>Nyaman</v>
      </c>
      <c r="O117" s="70" t="str">
        <f aca="false">IF($A117="","",IF(AND(Aturan!$C$46="",Aturan!$D$46=""),"Tidak dinilai",IF(G117="","Belum ada data",IF(G117&lt;IF(Aturan!$C$46="",0,Aturan!$C$46),"Kurang",IF(G117&gt;=IF(Aturan!$D$46="",Aturan!$C$46,Aturan!$D$46),"Nyaman","Cukup")))))</f>
        <v>Tidak dinilai</v>
      </c>
      <c r="P117" s="70" t="str">
        <f aca="false">IF($A117="","",IF(AND(Aturan!$C$47="",Aturan!$D$47=""),"Tidak dinilai",IF(H117="","Belum ada data",IF(H117&lt;IF(Aturan!$C$47="",0,Aturan!$C$47),"Kurang",IF(H117&gt;=IF(Aturan!$D$47="",Aturan!$C$47,Aturan!$D$47),"Nyaman","Cukup")))))</f>
        <v>Tidak dinilai</v>
      </c>
      <c r="Q117" s="70" t="str">
        <f aca="false">IF($A117="","",IF(COUNTIF(K117:P117,"Tidak dinilai")=6,"Tidak dinilai",IF(COUNTIF(K117:P117,"Kurang")&gt;0,"Kurang cocok",IF(COUNTIF(K117:P117,"Belum ada data")&gt;0,"Data belum lengkap",IF(COUNTIF(K117:P117,"Cukup")&gt;0,"Bisa, dengan catatan","Cocok")))))</f>
        <v>Cocok</v>
      </c>
      <c r="R117" s="33" t="str">
        <f aca="false">IF($A117="","",IF(K117="Kurang","prosesor tingkat "&amp;C117&amp;" dari 5, di bawah batas minimal (tingkat "&amp;Aturan!$C$42&amp;")",IF(K117="Cukup","prosesor tingkat "&amp;C117&amp;" dari 5 cukup, nyamannya mulai tingkat "&amp;Aturan!$D$42,IF(K117="Belum ada data","tingkat prosesor belum diisi",""))))</f>
        <v/>
      </c>
      <c r="S117" s="33" t="str">
        <f aca="false">IF($A117="","",IF(L117="Kurang","grafis tingkat "&amp;D117&amp;" dari 5, di bawah batas minimal (tingkat "&amp;Aturan!$C$43&amp;")",IF(L117="Cukup","grafis tingkat "&amp;D117&amp;" dari 5 cukup, nyamannya mulai tingkat "&amp;Aturan!$D$43,IF(L117="Belum ada data","tingkat grafis belum diisi",""))))</f>
        <v/>
      </c>
      <c r="T117" s="33" t="str">
        <f aca="false">IF($A117="","",IF(M117="Kurang","RAM "&amp;E117&amp;" GB, di bawah batas minimal "&amp;Aturan!$C$44&amp;" GB ("&amp;I117&amp;")",IF(M117="Cukup","RAM "&amp;E117&amp;" GB cukup, nyamannya "&amp;Aturan!$D$44&amp;" GB atau lebih ("&amp;I117&amp;")",IF(M117="Belum ada data","ukuran RAM belum diisi",""))))</f>
        <v/>
      </c>
      <c r="U117" s="33" t="str">
        <f aca="false">IF($A117="","",IF(N117="Kurang","penyimpanan "&amp;F117&amp;" GB, di bawah batas minimal "&amp;Aturan!$C$45&amp;" GB ("&amp;J117&amp;")",IF(N117="Cukup","penyimpanan "&amp;F117&amp;" GB cukup, nyamannya "&amp;Aturan!$D$45&amp;" GB atau lebih ("&amp;J117&amp;")",IF(N117="Belum ada data","ukuran penyimpanan belum diisi",""))))</f>
        <v/>
      </c>
      <c r="V117" s="33" t="str">
        <f aca="false">IF($A117="","",IF(O117="Kurang","layar "&amp;Varian!$AG27&amp;", di bawah batas minimal ("&amp;IFERROR(INDEX(Aturan!$A$63:$A$66,MATCH(Aturan!$C$46,Aturan!$B$63:$B$66,0)),"peringkat "&amp;Aturan!$C$46)&amp;")",IF(O117="Cukup","layar "&amp;Varian!$AG27&amp;" cukup, nyamannya "&amp;IFERROR(INDEX(Aturan!$A$63:$A$66,MATCH(Aturan!$D$46,Aturan!$B$63:$B$66,0)),"peringkat "&amp;Aturan!$D$46),IF(O117="Belum ada data","jenis layar belum diketahui",""))))</f>
        <v/>
      </c>
      <c r="W117" s="33" t="str">
        <f aca="false">IF($A117="","",IF(P117="Kurang","layar "&amp;H117&amp;" Hz, di bawah batas minimal "&amp;Aturan!$C$47&amp;" Hz",IF(P117="Cukup","layar "&amp;H117&amp;" Hz cukup, nyamannya "&amp;Aturan!$D$47&amp;" Hz atau lebih",IF(P117="Belum ada data","refresh rate belum diketahui",""))))</f>
        <v/>
      </c>
      <c r="X117" s="33" t="str">
        <f aca="false">IF($A117="","",IF(K117="Kurang",R117&amp;"; ","")&amp;IF(L117="Kurang",S117&amp;"; ","")&amp;IF(M117="Kurang",T117&amp;"; ","")&amp;IF(N117="Kurang",U117&amp;"; ","")&amp;IF(O117="Kurang",V117&amp;"; ","")&amp;IF(P117="Kurang",W117&amp;"; ","")&amp;IF(K117="Belum ada data",R117&amp;"; ","")&amp;IF(L117="Belum ada data",S117&amp;"; ","")&amp;IF(M117="Belum ada data",T117&amp;"; ","")&amp;IF(N117="Belum ada data",U117&amp;"; ","")&amp;IF(O117="Belum ada data",V117&amp;"; ","")&amp;IF(P117="Belum ada data",W117&amp;"; ","")&amp;IF(K117="Cukup",R117&amp;"; ","")&amp;IF(L117="Cukup",S117&amp;"; ","")&amp;IF(M117="Cukup",T117&amp;"; ","")&amp;IF(N117="Cukup",U117&amp;"; ","")&amp;IF(O117="Cukup",V117&amp;"; ","")&amp;IF(P117="Cukup",W117&amp;"; ",""))</f>
        <v/>
      </c>
      <c r="Y117" s="33" t="str">
        <f aca="false">IF($A117="","",IF(K117="Nyaman","prosesor, ","")&amp;IF(L117="Nyaman","grafis, ","")&amp;IF(M117="Nyaman","RAM, ","")&amp;IF(N117="Nyaman","penyimpanan, ","")&amp;IF(O117="Nyaman","layar, ","")&amp;IF(P117="Nyaman","refresh rate, ",""))</f>
        <v>prosesor, RAM, penyimpanan, </v>
      </c>
      <c r="Z117" s="33" t="str">
        <f aca="false">IF($A117="","",IF(Q117="Tidak dinilai","Belum ada kriteria yang dinilai untuk kebutuhan ini.",IF(Q117="Cocok","Semua kriteria yang dinilai sudah nyaman: "&amp;LEFT(Y117,LEN(Y117)-2)&amp;".",UPPER(LEFT(X117,1))&amp;MID(X117,2,LEN(X117)-3)&amp;"."&amp;IF(Y117="",""," Sudah nyaman: "&amp;LEFT(Y117,LEN(Y117)-2)&amp;"."))))</f>
        <v>Semua kriteria yang dinilai sudah nyaman: prosesor, RAM, penyimpanan.</v>
      </c>
      <c r="AA117" s="33"/>
      <c r="AB117" s="33"/>
      <c r="AC117" s="69"/>
    </row>
    <row r="118" customFormat="false" ht="15" hidden="false" customHeight="true" outlineLevel="0" collapsed="false">
      <c r="A118" s="33" t="str">
        <f aca="false">IF(Varian!$A27="","",Varian!$A27)</f>
        <v>asus-tuf-gaming-a15-fa507n-r7-7435hs-rtx4050-16-512</v>
      </c>
      <c r="B118" s="33" t="str">
        <f aca="false">IF($A118="","",Aturan!$A$24)</f>
        <v>Game ringan</v>
      </c>
      <c r="C118" s="69" t="n">
        <f aca="false">IF($A118="","",IFERROR(IF(ISNUMBER(INDEX(CPU!$J$4:$J$64,MATCH(Varian!$J27,CPU!$A$4:$A$64,0))),INDEX(CPU!$J$4:$J$64,MATCH(Varian!$J27,CPU!$A$4:$A$64,0)),""),""))</f>
        <v>4</v>
      </c>
      <c r="D118" s="69" t="n">
        <f aca="false">IF($A118="","",IFERROR(IF(ISNUMBER(INDEX(GPU!$G$4:$G$64,MATCH(Varian!$K27,GPU!$A$4:$A$64,0))),INDEX(GPU!$G$4:$G$64,MATCH(Varian!$K27,GPU!$A$4:$A$64,0)),""),""))</f>
        <v>3</v>
      </c>
      <c r="E118" s="69" t="n">
        <f aca="false">IF($A118="","",IF(ISNUMBER(Varian!$M27),Varian!$M27,""))</f>
        <v>16</v>
      </c>
      <c r="F118" s="69" t="n">
        <f aca="false">IF($A118="","",IF(ISNUMBER(Varian!$V27),Varian!$V27,""))</f>
        <v>512</v>
      </c>
      <c r="G118" s="69" t="n">
        <f aca="false">IF($A118="","",IFERROR(INDEX(Aturan!$B$63:$B$66,MATCH(Varian!$AG27,Aturan!$A$63:$A$66,0)),""))</f>
        <v>3</v>
      </c>
      <c r="H118" s="69" t="n">
        <f aca="false">IF($A118="","",IF(ISNUMBER(Varian!$AI27),Varian!$AI27,""))</f>
        <v>144</v>
      </c>
      <c r="I118" s="33" t="str">
        <f aca="false">IF($A118="","",IF(Varian!$Q27="disolder","menempel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8" s="33" t="str">
        <f aca="false">IF($A118="","",IF(Varian!$Z27="ya","bisa diganti dengan yang lebih besar",IF(Varian!$Z27="tidak","menempel, tidak bisa diganti","belum diketahui apakah bisa diganti")))</f>
        <v>bisa diganti dengan yang lebih besar</v>
      </c>
      <c r="K118" s="70" t="str">
        <f aca="false">IF($A118="","",IF(AND(Aturan!$C$48="",Aturan!$D$48=""),"Tidak dinilai",IF(C118="","Belum ada data",IF(C118&lt;IF(Aturan!$C$48="",0,Aturan!$C$48),"Kurang",IF(C118&gt;=IF(Aturan!$D$48="",Aturan!$C$48,Aturan!$D$48),"Nyaman","Cukup")))))</f>
        <v>Nyaman</v>
      </c>
      <c r="L118" s="70" t="str">
        <f aca="false">IF($A118="","",IF(AND(Aturan!$C$49="",Aturan!$D$49=""),"Tidak dinilai",IF(D118="","Belum ada data",IF(D118&lt;IF(Aturan!$C$49="",0,Aturan!$C$49),"Kurang",IF(D118&gt;=IF(Aturan!$D$49="",Aturan!$C$49,Aturan!$D$49),"Nyaman","Cukup")))))</f>
        <v>Nyaman</v>
      </c>
      <c r="M118" s="70" t="str">
        <f aca="false">IF($A118="","",IF(AND(Aturan!$C$50="",Aturan!$D$50=""),"Tidak dinilai",IF(E118="","Belum ada data",IF(E118&lt;IF(Aturan!$C$50="",0,Aturan!$C$50),"Kurang",IF(E118&gt;=IF(Aturan!$D$50="",Aturan!$C$50,Aturan!$D$50),"Nyaman","Cukup")))))</f>
        <v>Nyaman</v>
      </c>
      <c r="N118" s="70" t="str">
        <f aca="false">IF($A118="","",IF(AND(Aturan!$C$51="",Aturan!$D$51=""),"Tidak dinilai",IF(F118="","Belum ada data",IF(F118&lt;IF(Aturan!$C$51="",0,Aturan!$C$51),"Kurang",IF(F118&gt;=IF(Aturan!$D$51="",Aturan!$C$51,Aturan!$D$51),"Nyaman","Cukup")))))</f>
        <v>Nyaman</v>
      </c>
      <c r="O118" s="70" t="str">
        <f aca="false">IF($A118="","",IF(AND(Aturan!$C$52="",Aturan!$D$52=""),"Tidak dinilai",IF(G118="","Belum ada data",IF(G118&lt;IF(Aturan!$C$52="",0,Aturan!$C$52),"Kurang",IF(G118&gt;=IF(Aturan!$D$52="",Aturan!$C$52,Aturan!$D$52),"Nyaman","Cukup")))))</f>
        <v>Tidak dinilai</v>
      </c>
      <c r="P118" s="70" t="str">
        <f aca="false">IF($A118="","",IF(AND(Aturan!$C$53="",Aturan!$D$53=""),"Tidak dinilai",IF(H118="","Belum ada data",IF(H118&lt;IF(Aturan!$C$53="",0,Aturan!$C$53),"Kurang",IF(H118&gt;=IF(Aturan!$D$53="",Aturan!$C$53,Aturan!$D$53),"Nyaman","Cukup")))))</f>
        <v>Tidak dinilai</v>
      </c>
      <c r="Q118" s="70" t="str">
        <f aca="false">IF($A118="","",IF(COUNTIF(K118:P118,"Tidak dinilai")=6,"Tidak dinilai",IF(COUNTIF(K118:P118,"Kurang")&gt;0,"Kurang cocok",IF(COUNTIF(K118:P118,"Belum ada data")&gt;0,"Data belum lengkap",IF(COUNTIF(K118:P118,"Cukup")&gt;0,"Bisa, dengan catatan","Cocok")))))</f>
        <v>Cocok</v>
      </c>
      <c r="R118" s="33" t="str">
        <f aca="false">IF($A118="","",IF(K118="Kurang","prosesor tingkat "&amp;C118&amp;" dari 5, di bawah batas minimal (tingkat "&amp;Aturan!$C$48&amp;")",IF(K118="Cukup","prosesor tingkat "&amp;C118&amp;" dari 5 cukup, nyamannya mulai tingkat "&amp;Aturan!$D$48,IF(K118="Belum ada data","tingkat prosesor belum diisi",""))))</f>
        <v/>
      </c>
      <c r="S118" s="33" t="str">
        <f aca="false">IF($A118="","",IF(L118="Kurang","grafis tingkat "&amp;D118&amp;" dari 5, di bawah batas minimal (tingkat "&amp;Aturan!$C$49&amp;")",IF(L118="Cukup","grafis tingkat "&amp;D118&amp;" dari 5 cukup, nyamannya mulai tingkat "&amp;Aturan!$D$49,IF(L118="Belum ada data","tingkat grafis belum diisi",""))))</f>
        <v/>
      </c>
      <c r="T118" s="33" t="str">
        <f aca="false">IF($A118="","",IF(M118="Kurang","RAM "&amp;E118&amp;" GB, di bawah batas minimal "&amp;Aturan!$C$50&amp;" GB ("&amp;I118&amp;")",IF(M118="Cukup","RAM "&amp;E118&amp;" GB cukup, nyamannya "&amp;Aturan!$D$50&amp;" GB atau lebih ("&amp;I118&amp;")",IF(M118="Belum ada data","ukuran RAM belum diisi",""))))</f>
        <v/>
      </c>
      <c r="U118" s="33" t="str">
        <f aca="false">IF($A118="","",IF(N118="Kurang","penyimpanan "&amp;F118&amp;" GB, di bawah batas minimal "&amp;Aturan!$C$51&amp;" GB ("&amp;J118&amp;")",IF(N118="Cukup","penyimpanan "&amp;F118&amp;" GB cukup, nyamannya "&amp;Aturan!$D$51&amp;" GB atau lebih ("&amp;J118&amp;")",IF(N118="Belum ada data","ukuran penyimpanan belum diisi",""))))</f>
        <v/>
      </c>
      <c r="V118" s="33" t="str">
        <f aca="false">IF($A118="","",IF(O118="Kurang","layar "&amp;Varian!$AG27&amp;", di bawah batas minimal ("&amp;IFERROR(INDEX(Aturan!$A$63:$A$66,MATCH(Aturan!$C$52,Aturan!$B$63:$B$66,0)),"peringkat "&amp;Aturan!$C$52)&amp;")",IF(O118="Cukup","layar "&amp;Varian!$AG27&amp;" cukup, nyamannya "&amp;IFERROR(INDEX(Aturan!$A$63:$A$66,MATCH(Aturan!$D$52,Aturan!$B$63:$B$66,0)),"peringkat "&amp;Aturan!$D$52),IF(O118="Belum ada data","jenis layar belum diketahui",""))))</f>
        <v/>
      </c>
      <c r="W118" s="33" t="str">
        <f aca="false">IF($A118="","",IF(P118="Kurang","layar "&amp;H118&amp;" Hz, di bawah batas minimal "&amp;Aturan!$C$53&amp;" Hz",IF(P118="Cukup","layar "&amp;H118&amp;" Hz cukup, nyamannya "&amp;Aturan!$D$53&amp;" Hz atau lebih",IF(P118="Belum ada data","refresh rate belum diketahui",""))))</f>
        <v/>
      </c>
      <c r="X118" s="33" t="str">
        <f aca="false">IF($A118="","",IF(K118="Kurang",R118&amp;"; ","")&amp;IF(L118="Kurang",S118&amp;"; ","")&amp;IF(M118="Kurang",T118&amp;"; ","")&amp;IF(N118="Kurang",U118&amp;"; ","")&amp;IF(O118="Kurang",V118&amp;"; ","")&amp;IF(P118="Kurang",W118&amp;"; ","")&amp;IF(K118="Belum ada data",R118&amp;"; ","")&amp;IF(L118="Belum ada data",S118&amp;"; ","")&amp;IF(M118="Belum ada data",T118&amp;"; ","")&amp;IF(N118="Belum ada data",U118&amp;"; ","")&amp;IF(O118="Belum ada data",V118&amp;"; ","")&amp;IF(P118="Belum ada data",W118&amp;"; ","")&amp;IF(K118="Cukup",R118&amp;"; ","")&amp;IF(L118="Cukup",S118&amp;"; ","")&amp;IF(M118="Cukup",T118&amp;"; ","")&amp;IF(N118="Cukup",U118&amp;"; ","")&amp;IF(O118="Cukup",V118&amp;"; ","")&amp;IF(P118="Cukup",W118&amp;"; ",""))</f>
        <v/>
      </c>
      <c r="Y118" s="33" t="str">
        <f aca="false">IF($A118="","",IF(K118="Nyaman","prosesor, ","")&amp;IF(L118="Nyaman","grafis, ","")&amp;IF(M118="Nyaman","RAM, ","")&amp;IF(N118="Nyaman","penyimpanan, ","")&amp;IF(O118="Nyaman","layar, ","")&amp;IF(P118="Nyaman","refresh rate, ",""))</f>
        <v>prosesor, grafis, RAM, penyimpanan, </v>
      </c>
      <c r="Z118" s="33" t="str">
        <f aca="false">IF($A118="","",IF(Q118="Tidak dinilai","Belum ada kriteria yang dinilai untuk kebutuhan ini.",IF(Q118="Cocok","Semua kriteria yang dinilai sudah nyaman: "&amp;LEFT(Y118,LEN(Y118)-2)&amp;".",UPPER(LEFT(X118,1))&amp;MID(X118,2,LEN(X118)-3)&amp;"."&amp;IF(Y118="",""," Sudah nyaman: "&amp;LEFT(Y118,LEN(Y118)-2)&amp;"."))))</f>
        <v>Semua kriteria yang dinilai sudah nyaman: prosesor, grafis, RAM, penyimpanan.</v>
      </c>
      <c r="AA118" s="33"/>
      <c r="AB118" s="33"/>
      <c r="AC118" s="69"/>
    </row>
    <row r="119" customFormat="false" ht="15" hidden="false" customHeight="true" outlineLevel="0" collapsed="false">
      <c r="A119" s="33" t="str">
        <f aca="false">IF(Varian!$A27="","",Varian!$A27)</f>
        <v>asus-tuf-gaming-a15-fa507n-r7-7435hs-rtx4050-16-512</v>
      </c>
      <c r="B119" s="33" t="str">
        <f aca="false">IF($A119="","",Aturan!$A$25)</f>
        <v>Game berat</v>
      </c>
      <c r="C119" s="69" t="n">
        <f aca="false">IF($A119="","",IFERROR(IF(ISNUMBER(INDEX(CPU!$J$4:$J$64,MATCH(Varian!$J27,CPU!$A$4:$A$64,0))),INDEX(CPU!$J$4:$J$64,MATCH(Varian!$J27,CPU!$A$4:$A$64,0)),""),""))</f>
        <v>4</v>
      </c>
      <c r="D119" s="69" t="n">
        <f aca="false">IF($A119="","",IFERROR(IF(ISNUMBER(INDEX(GPU!$G$4:$G$64,MATCH(Varian!$K27,GPU!$A$4:$A$64,0))),INDEX(GPU!$G$4:$G$64,MATCH(Varian!$K27,GPU!$A$4:$A$64,0)),""),""))</f>
        <v>3</v>
      </c>
      <c r="E119" s="69" t="n">
        <f aca="false">IF($A119="","",IF(ISNUMBER(Varian!$M27),Varian!$M27,""))</f>
        <v>16</v>
      </c>
      <c r="F119" s="69" t="n">
        <f aca="false">IF($A119="","",IF(ISNUMBER(Varian!$V27),Varian!$V27,""))</f>
        <v>512</v>
      </c>
      <c r="G119" s="69" t="n">
        <f aca="false">IF($A119="","",IFERROR(INDEX(Aturan!$B$63:$B$66,MATCH(Varian!$AG27,Aturan!$A$63:$A$66,0)),""))</f>
        <v>3</v>
      </c>
      <c r="H119" s="69" t="n">
        <f aca="false">IF($A119="","",IF(ISNUMBER(Varian!$AI27),Varian!$AI27,""))</f>
        <v>144</v>
      </c>
      <c r="I119" s="33" t="str">
        <f aca="false">IF($A119="","",IF(Varian!$Q27="disolder","menempel di papan utama, tidak bisa ditambah",IF(OR(Varian!$Q27="slot",Varian!$Q27="setengah_disolder"),IF(Varian!$Q27="setengah_disolder","sebagian menempel, ","")&amp;IF(ISNUMBER(Varian!$U27),IF(AND(ISNUMBER(Varian!$M27),Varian!$U27&gt;Varian!$M27),"bisa dinaikkan lewat slot sampai "&amp;Varian!$U27&amp;" GB","sudah di batas maksimal "&amp;Varian!$U27&amp;" GB"),"ada slot, batas maksimalnya belum diketahui"),"belum diketahui apakah bisa ditambah")))</f>
        <v>bisa dinaikkan lewat slot sampai 32 GB</v>
      </c>
      <c r="J119" s="33" t="str">
        <f aca="false">IF($A119="","",IF(Varian!$Z27="ya","bisa diganti dengan yang lebih besar",IF(Varian!$Z27="tidak","menempel, tidak bisa diganti","belum diketahui apakah bisa diganti")))</f>
        <v>bisa diganti dengan yang lebih besar</v>
      </c>
      <c r="K119" s="70" t="str">
        <f aca="false">IF($A119="","",IF(AND(Aturan!$C$54="",Aturan!$D$54=""),"Tidak dinilai",IF(C119="","Belum ada data",IF(C119&lt;IF(Aturan!$C$54="",0,Aturan!$C$54),"Kurang",IF(C119&gt;=IF(Aturan!$D$54="",Aturan!$C$54,Aturan!$D$54),"Nyaman","Cukup")))))</f>
        <v>Nyaman</v>
      </c>
      <c r="L119" s="70" t="str">
        <f aca="false">IF($A119="","",IF(AND(Aturan!$C$55="",Aturan!$D$55=""),"Tidak dinilai",IF(D119="","Belum ada data",IF(D119&lt;IF(Aturan!$C$55="",0,Aturan!$C$55),"Kurang",IF(D119&gt;=IF(Aturan!$D$55="",Aturan!$C$55,Aturan!$D$55),"Nyaman","Cukup")))))</f>
        <v>Cukup</v>
      </c>
      <c r="M119" s="70" t="str">
        <f aca="false">IF($A119="","",IF(AND(Aturan!$C$56="",Aturan!$D$56=""),"Tidak dinilai",IF(E119="","Belum ada data",IF(E119&lt;IF(Aturan!$C$56="",0,Aturan!$C$56),"Kurang",IF(E119&gt;=IF(Aturan!$D$56="",Aturan!$C$56,Aturan!$D$56),"Nyaman","Cukup")))))</f>
        <v>Nyaman</v>
      </c>
      <c r="N119" s="70" t="str">
        <f aca="false">IF($A119="","",IF(AND(Aturan!$C$57="",Aturan!$D$57=""),"Tidak dinilai",IF(F119="","Belum ada data",IF(F119&lt;IF(Aturan!$C$57="",0,Aturan!$C$57),"Kurang",IF(F119&gt;=IF(Aturan!$D$57="",Aturan!$C$57,Aturan!$D$57),"Nyaman","Cukup")))))</f>
        <v>Cukup</v>
      </c>
      <c r="O119" s="70" t="str">
        <f aca="false">IF($A119="","",IF(AND(Aturan!$C$58="",Aturan!$D$58=""),"Tidak dinilai",IF(G119="","Belum ada data",IF(G119&lt;IF(Aturan!$C$58="",0,Aturan!$C$58),"Kurang",IF(G119&gt;=IF(Aturan!$D$58="",Aturan!$C$58,Aturan!$D$58),"Nyaman","Cukup")))))</f>
        <v>Tidak dinilai</v>
      </c>
      <c r="P119" s="70" t="str">
        <f aca="false">IF($A119="","",IF(AND(Aturan!$C$59="",Aturan!$D$59=""),"Tidak dinilai",IF(H119="","Belum ada data",IF(H119&lt;IF(Aturan!$C$59="",0,Aturan!$C$59),"Kurang",IF(H119&gt;=IF(Aturan!$D$59="",Aturan!$C$59,Aturan!$D$59),"Nyaman","Cukup")))))</f>
        <v>Nyaman</v>
      </c>
      <c r="Q119" s="70" t="str">
        <f aca="false">IF($A119="","",IF(COUNTIF(K119:P119,"Tidak dinilai")=6,"Tidak dinilai",IF(COUNTIF(K119:P119,"Kurang")&gt;0,"Kurang cocok",IF(COUNTIF(K119:P119,"Belum ada data")&gt;0,"Data belum lengkap",IF(COUNTIF(K119:P119,"Cukup")&gt;0,"Bisa, dengan catatan","Cocok")))))</f>
        <v>Bisa, dengan catatan</v>
      </c>
      <c r="R119" s="33" t="str">
        <f aca="false">IF($A119="","",IF(K119="Kurang","prosesor tingkat "&amp;C119&amp;" dari 5, di bawah batas minimal (tingkat "&amp;Aturan!$C$54&amp;")",IF(K119="Cukup","prosesor tingkat "&amp;C119&amp;" dari 5 cukup, nyamannya mulai tingkat "&amp;Aturan!$D$54,IF(K119="Belum ada data","tingkat prosesor belum diisi",""))))</f>
        <v/>
      </c>
      <c r="S119" s="33" t="str">
        <f aca="false">IF($A119="","",IF(L119="Kurang","grafis tingkat "&amp;D119&amp;" dari 5, di bawah batas minimal (tingkat "&amp;Aturan!$C$55&amp;")",IF(L119="Cukup","grafis tingkat "&amp;D119&amp;" dari 5 cukup, nyamannya mulai tingkat "&amp;Aturan!$D$55,IF(L119="Belum ada data","tingkat grafis belum diisi",""))))</f>
        <v>grafis tingkat 3 dari 5 cukup, nyamannya mulai tingkat 4</v>
      </c>
      <c r="T119" s="33" t="str">
        <f aca="false">IF($A119="","",IF(M119="Kurang","RAM "&amp;E119&amp;" GB, di bawah batas minimal "&amp;Aturan!$C$56&amp;" GB ("&amp;I119&amp;")",IF(M119="Cukup","RAM "&amp;E119&amp;" GB cukup, nyamannya "&amp;Aturan!$D$56&amp;" GB atau lebih ("&amp;I119&amp;")",IF(M119="Belum ada data","ukuran RAM belum diisi",""))))</f>
        <v/>
      </c>
      <c r="U119" s="33" t="str">
        <f aca="false">IF($A119="","",IF(N119="Kurang","penyimpanan "&amp;F119&amp;" GB, di bawah batas minimal "&amp;Aturan!$C$57&amp;" GB ("&amp;J119&amp;")",IF(N119="Cukup","penyimpanan "&amp;F119&amp;" GB cukup, nyamannya "&amp;Aturan!$D$57&amp;" GB atau lebih ("&amp;J119&amp;")",IF(N119="Belum ada data","ukuran penyimpanan belum diisi",""))))</f>
        <v>penyimpanan 512 GB cukup, nyamannya 1000 GB atau lebih (bisa diganti dengan yang lebih besar)</v>
      </c>
      <c r="V119" s="33" t="str">
        <f aca="false">IF($A119="","",IF(O119="Kurang","layar "&amp;Varian!$AG27&amp;", di bawah batas minimal ("&amp;IFERROR(INDEX(Aturan!$A$63:$A$66,MATCH(Aturan!$C$58,Aturan!$B$63:$B$66,0)),"peringkat "&amp;Aturan!$C$58)&amp;")",IF(O119="Cukup","layar "&amp;Varian!$AG27&amp;" cukup, nyamannya "&amp;IFERROR(INDEX(Aturan!$A$63:$A$66,MATCH(Aturan!$D$58,Aturan!$B$63:$B$66,0)),"peringkat "&amp;Aturan!$D$58),IF(O119="Belum ada data","jenis layar belum diketahui",""))))</f>
        <v/>
      </c>
      <c r="W119" s="33" t="str">
        <f aca="false">IF($A119="","",IF(P119="Kurang","layar "&amp;H119&amp;" Hz, di bawah batas minimal "&amp;Aturan!$C$59&amp;" Hz",IF(P119="Cukup","layar "&amp;H119&amp;" Hz cukup, nyamannya "&amp;Aturan!$D$59&amp;" Hz atau lebih",IF(P119="Belum ada data","refresh rate belum diketahui",""))))</f>
        <v/>
      </c>
      <c r="X119" s="33" t="str">
        <f aca="false">IF($A119="","",IF(K119="Kurang",R119&amp;"; ","")&amp;IF(L119="Kurang",S119&amp;"; ","")&amp;IF(M119="Kurang",T119&amp;"; ","")&amp;IF(N119="Kurang",U119&amp;"; ","")&amp;IF(O119="Kurang",V119&amp;"; ","")&amp;IF(P119="Kurang",W119&amp;"; ","")&amp;IF(K119="Belum ada data",R119&amp;"; ","")&amp;IF(L119="Belum ada data",S119&amp;"; ","")&amp;IF(M119="Belum ada data",T119&amp;"; ","")&amp;IF(N119="Belum ada data",U119&amp;"; ","")&amp;IF(O119="Belum ada data",V119&amp;"; ","")&amp;IF(P119="Belum ada data",W119&amp;"; ","")&amp;IF(K119="Cukup",R119&amp;"; ","")&amp;IF(L119="Cukup",S119&amp;"; ","")&amp;IF(M119="Cukup",T119&amp;"; ","")&amp;IF(N119="Cukup",U119&amp;"; ","")&amp;IF(O119="Cukup",V119&amp;"; ","")&amp;IF(P119="Cukup",W119&amp;"; ",""))</f>
        <v>grafis tingkat 3 dari 5 cukup, nyamannya mulai tingkat 4; penyimpanan 512 GB cukup, nyamannya 1000 GB atau lebih (bisa diganti dengan yang lebih besar); </v>
      </c>
      <c r="Y119" s="33" t="str">
        <f aca="false">IF($A119="","",IF(K119="Nyaman","prosesor, ","")&amp;IF(L119="Nyaman","grafis, ","")&amp;IF(M119="Nyaman","RAM, ","")&amp;IF(N119="Nyaman","penyimpanan, ","")&amp;IF(O119="Nyaman","layar, ","")&amp;IF(P119="Nyaman","refresh rate, ",""))</f>
        <v>prosesor, RAM, refresh rate, </v>
      </c>
      <c r="Z119" s="33" t="str">
        <f aca="false">IF($A119="","",IF(Q119="Tidak dinilai","Belum ada kriteria yang dinilai untuk kebutuhan ini.",IF(Q119="Cocok","Semua kriteria yang dinilai sudah nyaman: "&amp;LEFT(Y119,LEN(Y119)-2)&amp;".",UPPER(LEFT(X119,1))&amp;MID(X119,2,LEN(X119)-3)&amp;"."&amp;IF(Y119="",""," Sudah nyaman: "&amp;LEFT(Y119,LEN(Y119)-2)&amp;"."))))</f>
        <v>Grafis tingkat 3 dari 5 cukup, nyamannya mulai tingkat 4; penyimpanan 512 GB cukup, nyamannya 1000 GB atau lebih (bisa diganti dengan yang lebih besar). Sudah nyaman: prosesor, RAM, refresh rate.</v>
      </c>
      <c r="AA119" s="33"/>
      <c r="AB119" s="33"/>
      <c r="AC119" s="69"/>
    </row>
    <row r="120" customFormat="false" ht="15" hidden="false" customHeight="true" outlineLevel="0" collapsed="false">
      <c r="A120" s="66" t="str">
        <f aca="false">IF(Varian!$A28="","",Varian!$A28)</f>
        <v>asus-tuf-gaming-a15-fa507n-r7-7435hs-rtx4060-16-512</v>
      </c>
      <c r="B120" s="66" t="str">
        <f aca="false">IF($A120="","",Aturan!$A$21)</f>
        <v>Kuliah dan kantor</v>
      </c>
      <c r="C120" s="67" t="n">
        <f aca="false">IF($A120="","",IFERROR(IF(ISNUMBER(INDEX(CPU!$J$4:$J$64,MATCH(Varian!$J28,CPU!$A$4:$A$64,0))),INDEX(CPU!$J$4:$J$64,MATCH(Varian!$J28,CPU!$A$4:$A$64,0)),""),""))</f>
        <v>4</v>
      </c>
      <c r="D120" s="67" t="n">
        <f aca="false">IF($A120="","",IFERROR(IF(ISNUMBER(INDEX(GPU!$G$4:$G$64,MATCH(Varian!$K28,GPU!$A$4:$A$64,0))),INDEX(GPU!$G$4:$G$64,MATCH(Varian!$K28,GPU!$A$4:$A$64,0)),""),""))</f>
        <v>4</v>
      </c>
      <c r="E120" s="67" t="n">
        <f aca="false">IF($A120="","",IF(ISNUMBER(Varian!$M28),Varian!$M28,""))</f>
        <v>16</v>
      </c>
      <c r="F120" s="67" t="n">
        <f aca="false">IF($A120="","",IF(ISNUMBER(Varian!$V28),Varian!$V28,""))</f>
        <v>512</v>
      </c>
      <c r="G120" s="67" t="n">
        <f aca="false">IF($A120="","",IFERROR(INDEX(Aturan!$B$63:$B$66,MATCH(Varian!$AG28,Aturan!$A$63:$A$66,0)),""))</f>
        <v>3</v>
      </c>
      <c r="H120" s="67" t="n">
        <f aca="false">IF($A120="","",IF(ISNUMBER(Varian!$AI28),Varian!$AI28,""))</f>
        <v>144</v>
      </c>
      <c r="I120" s="66" t="str">
        <f aca="false">IF($A120="","",IF(Varian!$Q28="disolder","menempel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0" s="66" t="str">
        <f aca="false">IF($A120="","",IF(Varian!$Z28="ya","bisa diganti dengan yang lebih besar",IF(Varian!$Z28="tidak","menempel, tidak bisa diganti","belum diketahui apakah bisa diganti")))</f>
        <v>bisa diganti dengan yang lebih besar</v>
      </c>
      <c r="K120" s="68" t="str">
        <f aca="false">IF($A120="","",IF(AND(Aturan!$C$30="",Aturan!$D$30=""),"Tidak dinilai",IF(C120="","Belum ada data",IF(C120&lt;IF(Aturan!$C$30="",0,Aturan!$C$30),"Kurang",IF(C120&gt;=IF(Aturan!$D$30="",Aturan!$C$30,Aturan!$D$30),"Nyaman","Cukup")))))</f>
        <v>Nyaman</v>
      </c>
      <c r="L120" s="68" t="str">
        <f aca="false">IF($A120="","",IF(AND(Aturan!$C$31="",Aturan!$D$31=""),"Tidak dinilai",IF(D120="","Belum ada data",IF(D120&lt;IF(Aturan!$C$31="",0,Aturan!$C$31),"Kurang",IF(D120&gt;=IF(Aturan!$D$31="",Aturan!$C$31,Aturan!$D$31),"Nyaman","Cukup")))))</f>
        <v>Tidak dinilai</v>
      </c>
      <c r="M120" s="68" t="str">
        <f aca="false">IF($A120="","",IF(AND(Aturan!$C$32="",Aturan!$D$32=""),"Tidak dinilai",IF(E120="","Belum ada data",IF(E120&lt;IF(Aturan!$C$32="",0,Aturan!$C$32),"Kurang",IF(E120&gt;=IF(Aturan!$D$32="",Aturan!$C$32,Aturan!$D$32),"Nyaman","Cukup")))))</f>
        <v>Nyaman</v>
      </c>
      <c r="N120" s="68" t="str">
        <f aca="false">IF($A120="","",IF(AND(Aturan!$C$33="",Aturan!$D$33=""),"Tidak dinilai",IF(F120="","Belum ada data",IF(F120&lt;IF(Aturan!$C$33="",0,Aturan!$C$33),"Kurang",IF(F120&gt;=IF(Aturan!$D$33="",Aturan!$C$33,Aturan!$D$33),"Nyaman","Cukup")))))</f>
        <v>Nyaman</v>
      </c>
      <c r="O120" s="68" t="str">
        <f aca="false">IF($A120="","",IF(AND(Aturan!$C$34="",Aturan!$D$34=""),"Tidak dinilai",IF(G120="","Belum ada data",IF(G120&lt;IF(Aturan!$C$34="",0,Aturan!$C$34),"Kurang",IF(G120&gt;=IF(Aturan!$D$34="",Aturan!$C$34,Aturan!$D$34),"Nyaman","Cukup")))))</f>
        <v>Tidak dinilai</v>
      </c>
      <c r="P120" s="68" t="str">
        <f aca="false">IF($A120="","",IF(AND(Aturan!$C$35="",Aturan!$D$35=""),"Tidak dinilai",IF(H120="","Belum ada data",IF(H120&lt;IF(Aturan!$C$35="",0,Aturan!$C$35),"Kurang",IF(H120&gt;=IF(Aturan!$D$35="",Aturan!$C$35,Aturan!$D$35),"Nyaman","Cukup")))))</f>
        <v>Tidak dinilai</v>
      </c>
      <c r="Q120" s="68" t="str">
        <f aca="false">IF($A120="","",IF(COUNTIF(K120:P120,"Tidak dinilai")=6,"Tidak dinilai",IF(COUNTIF(K120:P120,"Kurang")&gt;0,"Kurang cocok",IF(COUNTIF(K120:P120,"Belum ada data")&gt;0,"Data belum lengkap",IF(COUNTIF(K120:P120,"Cukup")&gt;0,"Bisa, dengan catatan","Cocok")))))</f>
        <v>Cocok</v>
      </c>
      <c r="R120" s="66" t="str">
        <f aca="false">IF($A120="","",IF(K120="Kurang","prosesor tingkat "&amp;C120&amp;" dari 5, di bawah batas minimal (tingkat "&amp;Aturan!$C$30&amp;")",IF(K120="Cukup","prosesor tingkat "&amp;C120&amp;" dari 5 cukup, nyamannya mulai tingkat "&amp;Aturan!$D$30,IF(K120="Belum ada data","tingkat prosesor belum diisi",""))))</f>
        <v/>
      </c>
      <c r="S120" s="66" t="str">
        <f aca="false">IF($A120="","",IF(L120="Kurang","grafis tingkat "&amp;D120&amp;" dari 5, di bawah batas minimal (tingkat "&amp;Aturan!$C$31&amp;")",IF(L120="Cukup","grafis tingkat "&amp;D120&amp;" dari 5 cukup, nyamannya mulai tingkat "&amp;Aturan!$D$31,IF(L120="Belum ada data","tingkat grafis belum diisi",""))))</f>
        <v/>
      </c>
      <c r="T120" s="66" t="str">
        <f aca="false">IF($A120="","",IF(M120="Kurang","RAM "&amp;E120&amp;" GB, di bawah batas minimal "&amp;Aturan!$C$32&amp;" GB ("&amp;I120&amp;")",IF(M120="Cukup","RAM "&amp;E120&amp;" GB cukup, nyamannya "&amp;Aturan!$D$32&amp;" GB atau lebih ("&amp;I120&amp;")",IF(M120="Belum ada data","ukuran RAM belum diisi",""))))</f>
        <v/>
      </c>
      <c r="U120" s="66" t="str">
        <f aca="false">IF($A120="","",IF(N120="Kurang","penyimpanan "&amp;F120&amp;" GB, di bawah batas minimal "&amp;Aturan!$C$33&amp;" GB ("&amp;J120&amp;")",IF(N120="Cukup","penyimpanan "&amp;F120&amp;" GB cukup, nyamannya "&amp;Aturan!$D$33&amp;" GB atau lebih ("&amp;J120&amp;")",IF(N120="Belum ada data","ukuran penyimpanan belum diisi",""))))</f>
        <v/>
      </c>
      <c r="V120" s="66" t="str">
        <f aca="false">IF($A120="","",IF(O120="Kurang","layar "&amp;Varian!$AG28&amp;", di bawah batas minimal ("&amp;IFERROR(INDEX(Aturan!$A$63:$A$66,MATCH(Aturan!$C$34,Aturan!$B$63:$B$66,0)),"peringkat "&amp;Aturan!$C$34)&amp;")",IF(O120="Cukup","layar "&amp;Varian!$AG28&amp;" cukup, nyamannya "&amp;IFERROR(INDEX(Aturan!$A$63:$A$66,MATCH(Aturan!$D$34,Aturan!$B$63:$B$66,0)),"peringkat "&amp;Aturan!$D$34),IF(O120="Belum ada data","jenis layar belum diketahui",""))))</f>
        <v/>
      </c>
      <c r="W120" s="66" t="str">
        <f aca="false">IF($A120="","",IF(P120="Kurang","layar "&amp;H120&amp;" Hz, di bawah batas minimal "&amp;Aturan!$C$35&amp;" Hz",IF(P120="Cukup","layar "&amp;H120&amp;" Hz cukup, nyamannya "&amp;Aturan!$D$35&amp;" Hz atau lebih",IF(P120="Belum ada data","refresh rate belum diketahui",""))))</f>
        <v/>
      </c>
      <c r="X120" s="66" t="str">
        <f aca="false">IF($A120="","",IF(K120="Kurang",R120&amp;"; ","")&amp;IF(L120="Kurang",S120&amp;"; ","")&amp;IF(M120="Kurang",T120&amp;"; ","")&amp;IF(N120="Kurang",U120&amp;"; ","")&amp;IF(O120="Kurang",V120&amp;"; ","")&amp;IF(P120="Kurang",W120&amp;"; ","")&amp;IF(K120="Belum ada data",R120&amp;"; ","")&amp;IF(L120="Belum ada data",S120&amp;"; ","")&amp;IF(M120="Belum ada data",T120&amp;"; ","")&amp;IF(N120="Belum ada data",U120&amp;"; ","")&amp;IF(O120="Belum ada data",V120&amp;"; ","")&amp;IF(P120="Belum ada data",W120&amp;"; ","")&amp;IF(K120="Cukup",R120&amp;"; ","")&amp;IF(L120="Cukup",S120&amp;"; ","")&amp;IF(M120="Cukup",T120&amp;"; ","")&amp;IF(N120="Cukup",U120&amp;"; ","")&amp;IF(O120="Cukup",V120&amp;"; ","")&amp;IF(P120="Cukup",W120&amp;"; ",""))</f>
        <v/>
      </c>
      <c r="Y120" s="66" t="str">
        <f aca="false">IF($A120="","",IF(K120="Nyaman","prosesor, ","")&amp;IF(L120="Nyaman","grafis, ","")&amp;IF(M120="Nyaman","RAM, ","")&amp;IF(N120="Nyaman","penyimpanan, ","")&amp;IF(O120="Nyaman","layar, ","")&amp;IF(P120="Nyaman","refresh rate, ",""))</f>
        <v>prosesor, RAM, penyimpanan, </v>
      </c>
      <c r="Z120" s="66" t="str">
        <f aca="false">IF($A120="","",IF(Q120="Tidak dinilai","Belum ada kriteria yang dinilai untuk kebutuhan ini.",IF(Q120="Cocok","Semua kriteria yang dinilai sudah nyaman: "&amp;LEFT(Y120,LEN(Y120)-2)&amp;".",UPPER(LEFT(X120,1))&amp;MID(X120,2,LEN(X120)-3)&amp;"."&amp;IF(Y120="",""," Sudah nyaman: "&amp;LEFT(Y120,LEN(Y120)-2)&amp;"."))))</f>
        <v>Semua kriteria yang dinilai sudah nyaman: prosesor, RAM, penyimpanan.</v>
      </c>
      <c r="AA120" s="66" t="str">
        <f aca="false">IF($A120="","",IF(Varian!$AR28="Windows 10","• "&amp;Aturan!$E$71&amp;CHAR(10),"")&amp;IF(Varian!$BB28="tidak","• "&amp;Aturan!$E$72&amp;CHAR(10),"")&amp;IF(OR(Varian!$AD28="belum terverifikasi",Varian!$AD28="tidak diketahui"),"• "&amp;Aturan!$E$73&amp;CHAR(10),"")&amp;IF(Varian!$AH28="1366x768","• "&amp;Aturan!$E$74&amp;CHAR(10),"")&amp;IF(Varian!$AG28="TN","• "&amp;Aturan!$E$75&amp;CHAR(10),"")&amp;IF(AND(Varian!$Q28="disolder",ISNUMBER(Varian!$M28),Varian!$M28&lt;=8),"• "&amp;Aturan!$E$76&amp;CHAR(10),""))</f>
        <v/>
      </c>
      <c r="AB120" s="66" t="str">
        <f aca="false">IF($A120="","",IF(AA120="","",LEFT(AA120,LEN(AA120)-1)))</f>
        <v/>
      </c>
      <c r="AC120" s="67" t="n">
        <f aca="false">IF($A120="","",IF(AA120="",0,LEN(AA120)-LEN(SUBSTITUTE(AA120,CHAR(10),""))))</f>
        <v>0</v>
      </c>
    </row>
    <row r="121" customFormat="false" ht="15" hidden="false" customHeight="true" outlineLevel="0" collapsed="false">
      <c r="A121" s="33" t="str">
        <f aca="false">IF(Varian!$A28="","",Varian!$A28)</f>
        <v>asus-tuf-gaming-a15-fa507n-r7-7435hs-rtx4060-16-512</v>
      </c>
      <c r="B121" s="33" t="str">
        <f aca="false">IF($A121="","",Aturan!$A$22)</f>
        <v>Desain grafis</v>
      </c>
      <c r="C121" s="69" t="n">
        <f aca="false">IF($A121="","",IFERROR(IF(ISNUMBER(INDEX(CPU!$J$4:$J$64,MATCH(Varian!$J28,CPU!$A$4:$A$64,0))),INDEX(CPU!$J$4:$J$64,MATCH(Varian!$J28,CPU!$A$4:$A$64,0)),""),""))</f>
        <v>4</v>
      </c>
      <c r="D121" s="69" t="n">
        <f aca="false">IF($A121="","",IFERROR(IF(ISNUMBER(INDEX(GPU!$G$4:$G$64,MATCH(Varian!$K28,GPU!$A$4:$A$64,0))),INDEX(GPU!$G$4:$G$64,MATCH(Varian!$K28,GPU!$A$4:$A$64,0)),""),""))</f>
        <v>4</v>
      </c>
      <c r="E121" s="69" t="n">
        <f aca="false">IF($A121="","",IF(ISNUMBER(Varian!$M28),Varian!$M28,""))</f>
        <v>16</v>
      </c>
      <c r="F121" s="69" t="n">
        <f aca="false">IF($A121="","",IF(ISNUMBER(Varian!$V28),Varian!$V28,""))</f>
        <v>512</v>
      </c>
      <c r="G121" s="69" t="n">
        <f aca="false">IF($A121="","",IFERROR(INDEX(Aturan!$B$63:$B$66,MATCH(Varian!$AG28,Aturan!$A$63:$A$66,0)),""))</f>
        <v>3</v>
      </c>
      <c r="H121" s="69" t="n">
        <f aca="false">IF($A121="","",IF(ISNUMBER(Varian!$AI28),Varian!$AI28,""))</f>
        <v>144</v>
      </c>
      <c r="I121" s="33" t="str">
        <f aca="false">IF($A121="","",IF(Varian!$Q28="disolder","menempel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1" s="33" t="str">
        <f aca="false">IF($A121="","",IF(Varian!$Z28="ya","bisa diganti dengan yang lebih besar",IF(Varian!$Z28="tidak","menempel, tidak bisa diganti","belum diketahui apakah bisa diganti")))</f>
        <v>bisa diganti dengan yang lebih besar</v>
      </c>
      <c r="K121" s="70" t="str">
        <f aca="false">IF($A121="","",IF(AND(Aturan!$C$36="",Aturan!$D$36=""),"Tidak dinilai",IF(C121="","Belum ada data",IF(C121&lt;IF(Aturan!$C$36="",0,Aturan!$C$36),"Kurang",IF(C121&gt;=IF(Aturan!$D$36="",Aturan!$C$36,Aturan!$D$36),"Nyaman","Cukup")))))</f>
        <v>Nyaman</v>
      </c>
      <c r="L121" s="70" t="str">
        <f aca="false">IF($A121="","",IF(AND(Aturan!$C$37="",Aturan!$D$37=""),"Tidak dinilai",IF(D121="","Belum ada data",IF(D121&lt;IF(Aturan!$C$37="",0,Aturan!$C$37),"Kurang",IF(D121&gt;=IF(Aturan!$D$37="",Aturan!$C$37,Aturan!$D$37),"Nyaman","Cukup")))))</f>
        <v>Nyaman</v>
      </c>
      <c r="M121" s="70" t="str">
        <f aca="false">IF($A121="","",IF(AND(Aturan!$C$38="",Aturan!$D$38=""),"Tidak dinilai",IF(E121="","Belum ada data",IF(E121&lt;IF(Aturan!$C$38="",0,Aturan!$C$38),"Kurang",IF(E121&gt;=IF(Aturan!$D$38="",Aturan!$C$38,Aturan!$D$38),"Nyaman","Cukup")))))</f>
        <v>Nyaman</v>
      </c>
      <c r="N121" s="70" t="str">
        <f aca="false">IF($A121="","",IF(AND(Aturan!$C$39="",Aturan!$D$39=""),"Tidak dinilai",IF(F121="","Belum ada data",IF(F121&lt;IF(Aturan!$C$39="",0,Aturan!$C$39),"Kurang",IF(F121&gt;=IF(Aturan!$D$39="",Aturan!$C$39,Aturan!$D$39),"Nyaman","Cukup")))))</f>
        <v>Nyaman</v>
      </c>
      <c r="O121" s="70" t="str">
        <f aca="false">IF($A121="","",IF(AND(Aturan!$C$40="",Aturan!$D$40=""),"Tidak dinilai",IF(G121="","Belum ada data",IF(G121&lt;IF(Aturan!$C$40="",0,Aturan!$C$40),"Kurang",IF(G121&gt;=IF(Aturan!$D$40="",Aturan!$C$40,Aturan!$D$40),"Nyaman","Cukup")))))</f>
        <v>Cukup</v>
      </c>
      <c r="P121" s="70" t="str">
        <f aca="false">IF($A121="","",IF(AND(Aturan!$C$41="",Aturan!$D$41=""),"Tidak dinilai",IF(H121="","Belum ada data",IF(H121&lt;IF(Aturan!$C$41="",0,Aturan!$C$41),"Kurang",IF(H121&gt;=IF(Aturan!$D$41="",Aturan!$C$41,Aturan!$D$41),"Nyaman","Cukup")))))</f>
        <v>Tidak dinilai</v>
      </c>
      <c r="Q121" s="70" t="str">
        <f aca="false">IF($A121="","",IF(COUNTIF(K121:P121,"Tidak dinilai")=6,"Tidak dinilai",IF(COUNTIF(K121:P121,"Kurang")&gt;0,"Kurang cocok",IF(COUNTIF(K121:P121,"Belum ada data")&gt;0,"Data belum lengkap",IF(COUNTIF(K121:P121,"Cukup")&gt;0,"Bisa, dengan catatan","Cocok")))))</f>
        <v>Bisa, dengan catatan</v>
      </c>
      <c r="R121" s="33" t="str">
        <f aca="false">IF($A121="","",IF(K121="Kurang","prosesor tingkat "&amp;C121&amp;" dari 5, di bawah batas minimal (tingkat "&amp;Aturan!$C$36&amp;")",IF(K121="Cukup","prosesor tingkat "&amp;C121&amp;" dari 5 cukup, nyamannya mulai tingkat "&amp;Aturan!$D$36,IF(K121="Belum ada data","tingkat prosesor belum diisi",""))))</f>
        <v/>
      </c>
      <c r="S121" s="33" t="str">
        <f aca="false">IF($A121="","",IF(L121="Kurang","grafis tingkat "&amp;D121&amp;" dari 5, di bawah batas minimal (tingkat "&amp;Aturan!$C$37&amp;")",IF(L121="Cukup","grafis tingkat "&amp;D121&amp;" dari 5 cukup, nyamannya mulai tingkat "&amp;Aturan!$D$37,IF(L121="Belum ada data","tingkat grafis belum diisi",""))))</f>
        <v/>
      </c>
      <c r="T121" s="33" t="str">
        <f aca="false">IF($A121="","",IF(M121="Kurang","RAM "&amp;E121&amp;" GB, di bawah batas minimal "&amp;Aturan!$C$38&amp;" GB ("&amp;I121&amp;")",IF(M121="Cukup","RAM "&amp;E121&amp;" GB cukup, nyamannya "&amp;Aturan!$D$38&amp;" GB atau lebih ("&amp;I121&amp;")",IF(M121="Belum ada data","ukuran RAM belum diisi",""))))</f>
        <v/>
      </c>
      <c r="U121" s="33" t="str">
        <f aca="false">IF($A121="","",IF(N121="Kurang","penyimpanan "&amp;F121&amp;" GB, di bawah batas minimal "&amp;Aturan!$C$39&amp;" GB ("&amp;J121&amp;")",IF(N121="Cukup","penyimpanan "&amp;F121&amp;" GB cukup, nyamannya "&amp;Aturan!$D$39&amp;" GB atau lebih ("&amp;J121&amp;")",IF(N121="Belum ada data","ukuran penyimpanan belum diisi",""))))</f>
        <v/>
      </c>
      <c r="V121" s="33" t="str">
        <f aca="false">IF($A121="","",IF(O121="Kurang","layar "&amp;Varian!$AG28&amp;", di bawah batas minimal ("&amp;IFERROR(INDEX(Aturan!$A$63:$A$66,MATCH(Aturan!$C$40,Aturan!$B$63:$B$66,0)),"peringkat "&amp;Aturan!$C$40)&amp;")",IF(O121="Cukup","layar "&amp;Varian!$AG28&amp;" cukup, nyamannya "&amp;IFERROR(INDEX(Aturan!$A$63:$A$66,MATCH(Aturan!$D$40,Aturan!$B$63:$B$66,0)),"peringkat "&amp;Aturan!$D$40),IF(O121="Belum ada data","jenis layar belum diketahui",""))))</f>
        <v>layar IPS cukup, nyamannya OLED</v>
      </c>
      <c r="W121" s="33" t="str">
        <f aca="false">IF($A121="","",IF(P121="Kurang","layar "&amp;H121&amp;" Hz, di bawah batas minimal "&amp;Aturan!$C$41&amp;" Hz",IF(P121="Cukup","layar "&amp;H121&amp;" Hz cukup, nyamannya "&amp;Aturan!$D$41&amp;" Hz atau lebih",IF(P121="Belum ada data","refresh rate belum diketahui",""))))</f>
        <v/>
      </c>
      <c r="X121" s="33" t="str">
        <f aca="false">IF($A121="","",IF(K121="Kurang",R121&amp;"; ","")&amp;IF(L121="Kurang",S121&amp;"; ","")&amp;IF(M121="Kurang",T121&amp;"; ","")&amp;IF(N121="Kurang",U121&amp;"; ","")&amp;IF(O121="Kurang",V121&amp;"; ","")&amp;IF(P121="Kurang",W121&amp;"; ","")&amp;IF(K121="Belum ada data",R121&amp;"; ","")&amp;IF(L121="Belum ada data",S121&amp;"; ","")&amp;IF(M121="Belum ada data",T121&amp;"; ","")&amp;IF(N121="Belum ada data",U121&amp;"; ","")&amp;IF(O121="Belum ada data",V121&amp;"; ","")&amp;IF(P121="Belum ada data",W121&amp;"; ","")&amp;IF(K121="Cukup",R121&amp;"; ","")&amp;IF(L121="Cukup",S121&amp;"; ","")&amp;IF(M121="Cukup",T121&amp;"; ","")&amp;IF(N121="Cukup",U121&amp;"; ","")&amp;IF(O121="Cukup",V121&amp;"; ","")&amp;IF(P121="Cukup",W121&amp;"; ",""))</f>
        <v>layar IPS cukup, nyamannya OLED; </v>
      </c>
      <c r="Y121" s="33" t="str">
        <f aca="false">IF($A121="","",IF(K121="Nyaman","prosesor, ","")&amp;IF(L121="Nyaman","grafis, ","")&amp;IF(M121="Nyaman","RAM, ","")&amp;IF(N121="Nyaman","penyimpanan, ","")&amp;IF(O121="Nyaman","layar, ","")&amp;IF(P121="Nyaman","refresh rate, ",""))</f>
        <v>prosesor, grafis, RAM, penyimpanan, </v>
      </c>
      <c r="Z121" s="33" t="str">
        <f aca="false">IF($A121="","",IF(Q121="Tidak dinilai","Belum ada kriteria yang dinilai untuk kebutuhan ini.",IF(Q121="Cocok","Semua kriteria yang dinilai sudah nyaman: "&amp;LEFT(Y121,LEN(Y121)-2)&amp;".",UPPER(LEFT(X121,1))&amp;MID(X121,2,LEN(X121)-3)&amp;"."&amp;IF(Y121="",""," Sudah nyaman: "&amp;LEFT(Y121,LEN(Y121)-2)&amp;"."))))</f>
        <v>Layar IPS cukup, nyamannya OLED. Sudah nyaman: prosesor, grafis, RAM, penyimpanan.</v>
      </c>
      <c r="AA121" s="33"/>
      <c r="AB121" s="33"/>
      <c r="AC121" s="69"/>
    </row>
    <row r="122" customFormat="false" ht="15" hidden="false" customHeight="true" outlineLevel="0" collapsed="false">
      <c r="A122" s="33" t="str">
        <f aca="false">IF(Varian!$A28="","",Varian!$A28)</f>
        <v>asus-tuf-gaming-a15-fa507n-r7-7435hs-rtx4060-16-512</v>
      </c>
      <c r="B122" s="33" t="str">
        <f aca="false">IF($A122="","",Aturan!$A$23)</f>
        <v>Pemrograman</v>
      </c>
      <c r="C122" s="69" t="n">
        <f aca="false">IF($A122="","",IFERROR(IF(ISNUMBER(INDEX(CPU!$J$4:$J$64,MATCH(Varian!$J28,CPU!$A$4:$A$64,0))),INDEX(CPU!$J$4:$J$64,MATCH(Varian!$J28,CPU!$A$4:$A$64,0)),""),""))</f>
        <v>4</v>
      </c>
      <c r="D122" s="69" t="n">
        <f aca="false">IF($A122="","",IFERROR(IF(ISNUMBER(INDEX(GPU!$G$4:$G$64,MATCH(Varian!$K28,GPU!$A$4:$A$64,0))),INDEX(GPU!$G$4:$G$64,MATCH(Varian!$K28,GPU!$A$4:$A$64,0)),""),""))</f>
        <v>4</v>
      </c>
      <c r="E122" s="69" t="n">
        <f aca="false">IF($A122="","",IF(ISNUMBER(Varian!$M28),Varian!$M28,""))</f>
        <v>16</v>
      </c>
      <c r="F122" s="69" t="n">
        <f aca="false">IF($A122="","",IF(ISNUMBER(Varian!$V28),Varian!$V28,""))</f>
        <v>512</v>
      </c>
      <c r="G122" s="69" t="n">
        <f aca="false">IF($A122="","",IFERROR(INDEX(Aturan!$B$63:$B$66,MATCH(Varian!$AG28,Aturan!$A$63:$A$66,0)),""))</f>
        <v>3</v>
      </c>
      <c r="H122" s="69" t="n">
        <f aca="false">IF($A122="","",IF(ISNUMBER(Varian!$AI28),Varian!$AI28,""))</f>
        <v>144</v>
      </c>
      <c r="I122" s="33" t="str">
        <f aca="false">IF($A122="","",IF(Varian!$Q28="disolder","menempel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2" s="33" t="str">
        <f aca="false">IF($A122="","",IF(Varian!$Z28="ya","bisa diganti dengan yang lebih besar",IF(Varian!$Z28="tidak","menempel, tidak bisa diganti","belum diketahui apakah bisa diganti")))</f>
        <v>bisa diganti dengan yang lebih besar</v>
      </c>
      <c r="K122" s="70" t="str">
        <f aca="false">IF($A122="","",IF(AND(Aturan!$C$42="",Aturan!$D$42=""),"Tidak dinilai",IF(C122="","Belum ada data",IF(C122&lt;IF(Aturan!$C$42="",0,Aturan!$C$42),"Kurang",IF(C122&gt;=IF(Aturan!$D$42="",Aturan!$C$42,Aturan!$D$42),"Nyaman","Cukup")))))</f>
        <v>Nyaman</v>
      </c>
      <c r="L122" s="70" t="str">
        <f aca="false">IF($A122="","",IF(AND(Aturan!$C$43="",Aturan!$D$43=""),"Tidak dinilai",IF(D122="","Belum ada data",IF(D122&lt;IF(Aturan!$C$43="",0,Aturan!$C$43),"Kurang",IF(D122&gt;=IF(Aturan!$D$43="",Aturan!$C$43,Aturan!$D$43),"Nyaman","Cukup")))))</f>
        <v>Tidak dinilai</v>
      </c>
      <c r="M122" s="70" t="str">
        <f aca="false">IF($A122="","",IF(AND(Aturan!$C$44="",Aturan!$D$44=""),"Tidak dinilai",IF(E122="","Belum ada data",IF(E122&lt;IF(Aturan!$C$44="",0,Aturan!$C$44),"Kurang",IF(E122&gt;=IF(Aturan!$D$44="",Aturan!$C$44,Aturan!$D$44),"Nyaman","Cukup")))))</f>
        <v>Nyaman</v>
      </c>
      <c r="N122" s="70" t="str">
        <f aca="false">IF($A122="","",IF(AND(Aturan!$C$45="",Aturan!$D$45=""),"Tidak dinilai",IF(F122="","Belum ada data",IF(F122&lt;IF(Aturan!$C$45="",0,Aturan!$C$45),"Kurang",IF(F122&gt;=IF(Aturan!$D$45="",Aturan!$C$45,Aturan!$D$45),"Nyaman","Cukup")))))</f>
        <v>Nyaman</v>
      </c>
      <c r="O122" s="70" t="str">
        <f aca="false">IF($A122="","",IF(AND(Aturan!$C$46="",Aturan!$D$46=""),"Tidak dinilai",IF(G122="","Belum ada data",IF(G122&lt;IF(Aturan!$C$46="",0,Aturan!$C$46),"Kurang",IF(G122&gt;=IF(Aturan!$D$46="",Aturan!$C$46,Aturan!$D$46),"Nyaman","Cukup")))))</f>
        <v>Tidak dinilai</v>
      </c>
      <c r="P122" s="70" t="str">
        <f aca="false">IF($A122="","",IF(AND(Aturan!$C$47="",Aturan!$D$47=""),"Tidak dinilai",IF(H122="","Belum ada data",IF(H122&lt;IF(Aturan!$C$47="",0,Aturan!$C$47),"Kurang",IF(H122&gt;=IF(Aturan!$D$47="",Aturan!$C$47,Aturan!$D$47),"Nyaman","Cukup")))))</f>
        <v>Tidak dinilai</v>
      </c>
      <c r="Q122" s="70" t="str">
        <f aca="false">IF($A122="","",IF(COUNTIF(K122:P122,"Tidak dinilai")=6,"Tidak dinilai",IF(COUNTIF(K122:P122,"Kurang")&gt;0,"Kurang cocok",IF(COUNTIF(K122:P122,"Belum ada data")&gt;0,"Data belum lengkap",IF(COUNTIF(K122:P122,"Cukup")&gt;0,"Bisa, dengan catatan","Cocok")))))</f>
        <v>Cocok</v>
      </c>
      <c r="R122" s="33" t="str">
        <f aca="false">IF($A122="","",IF(K122="Kurang","prosesor tingkat "&amp;C122&amp;" dari 5, di bawah batas minimal (tingkat "&amp;Aturan!$C$42&amp;")",IF(K122="Cukup","prosesor tingkat "&amp;C122&amp;" dari 5 cukup, nyamannya mulai tingkat "&amp;Aturan!$D$42,IF(K122="Belum ada data","tingkat prosesor belum diisi",""))))</f>
        <v/>
      </c>
      <c r="S122" s="33" t="str">
        <f aca="false">IF($A122="","",IF(L122="Kurang","grafis tingkat "&amp;D122&amp;" dari 5, di bawah batas minimal (tingkat "&amp;Aturan!$C$43&amp;")",IF(L122="Cukup","grafis tingkat "&amp;D122&amp;" dari 5 cukup, nyamannya mulai tingkat "&amp;Aturan!$D$43,IF(L122="Belum ada data","tingkat grafis belum diisi",""))))</f>
        <v/>
      </c>
      <c r="T122" s="33" t="str">
        <f aca="false">IF($A122="","",IF(M122="Kurang","RAM "&amp;E122&amp;" GB, di bawah batas minimal "&amp;Aturan!$C$44&amp;" GB ("&amp;I122&amp;")",IF(M122="Cukup","RAM "&amp;E122&amp;" GB cukup, nyamannya "&amp;Aturan!$D$44&amp;" GB atau lebih ("&amp;I122&amp;")",IF(M122="Belum ada data","ukuran RAM belum diisi",""))))</f>
        <v/>
      </c>
      <c r="U122" s="33" t="str">
        <f aca="false">IF($A122="","",IF(N122="Kurang","penyimpanan "&amp;F122&amp;" GB, di bawah batas minimal "&amp;Aturan!$C$45&amp;" GB ("&amp;J122&amp;")",IF(N122="Cukup","penyimpanan "&amp;F122&amp;" GB cukup, nyamannya "&amp;Aturan!$D$45&amp;" GB atau lebih ("&amp;J122&amp;")",IF(N122="Belum ada data","ukuran penyimpanan belum diisi",""))))</f>
        <v/>
      </c>
      <c r="V122" s="33" t="str">
        <f aca="false">IF($A122="","",IF(O122="Kurang","layar "&amp;Varian!$AG28&amp;", di bawah batas minimal ("&amp;IFERROR(INDEX(Aturan!$A$63:$A$66,MATCH(Aturan!$C$46,Aturan!$B$63:$B$66,0)),"peringkat "&amp;Aturan!$C$46)&amp;")",IF(O122="Cukup","layar "&amp;Varian!$AG28&amp;" cukup, nyamannya "&amp;IFERROR(INDEX(Aturan!$A$63:$A$66,MATCH(Aturan!$D$46,Aturan!$B$63:$B$66,0)),"peringkat "&amp;Aturan!$D$46),IF(O122="Belum ada data","jenis layar belum diketahui",""))))</f>
        <v/>
      </c>
      <c r="W122" s="33" t="str">
        <f aca="false">IF($A122="","",IF(P122="Kurang","layar "&amp;H122&amp;" Hz, di bawah batas minimal "&amp;Aturan!$C$47&amp;" Hz",IF(P122="Cukup","layar "&amp;H122&amp;" Hz cukup, nyamannya "&amp;Aturan!$D$47&amp;" Hz atau lebih",IF(P122="Belum ada data","refresh rate belum diketahui",""))))</f>
        <v/>
      </c>
      <c r="X122" s="33" t="str">
        <f aca="false">IF($A122="","",IF(K122="Kurang",R122&amp;"; ","")&amp;IF(L122="Kurang",S122&amp;"; ","")&amp;IF(M122="Kurang",T122&amp;"; ","")&amp;IF(N122="Kurang",U122&amp;"; ","")&amp;IF(O122="Kurang",V122&amp;"; ","")&amp;IF(P122="Kurang",W122&amp;"; ","")&amp;IF(K122="Belum ada data",R122&amp;"; ","")&amp;IF(L122="Belum ada data",S122&amp;"; ","")&amp;IF(M122="Belum ada data",T122&amp;"; ","")&amp;IF(N122="Belum ada data",U122&amp;"; ","")&amp;IF(O122="Belum ada data",V122&amp;"; ","")&amp;IF(P122="Belum ada data",W122&amp;"; ","")&amp;IF(K122="Cukup",R122&amp;"; ","")&amp;IF(L122="Cukup",S122&amp;"; ","")&amp;IF(M122="Cukup",T122&amp;"; ","")&amp;IF(N122="Cukup",U122&amp;"; ","")&amp;IF(O122="Cukup",V122&amp;"; ","")&amp;IF(P122="Cukup",W122&amp;"; ",""))</f>
        <v/>
      </c>
      <c r="Y122" s="33" t="str">
        <f aca="false">IF($A122="","",IF(K122="Nyaman","prosesor, ","")&amp;IF(L122="Nyaman","grafis, ","")&amp;IF(M122="Nyaman","RAM, ","")&amp;IF(N122="Nyaman","penyimpanan, ","")&amp;IF(O122="Nyaman","layar, ","")&amp;IF(P122="Nyaman","refresh rate, ",""))</f>
        <v>prosesor, RAM, penyimpanan, </v>
      </c>
      <c r="Z122" s="33" t="str">
        <f aca="false">IF($A122="","",IF(Q122="Tidak dinilai","Belum ada kriteria yang dinilai untuk kebutuhan ini.",IF(Q122="Cocok","Semua kriteria yang dinilai sudah nyaman: "&amp;LEFT(Y122,LEN(Y122)-2)&amp;".",UPPER(LEFT(X122,1))&amp;MID(X122,2,LEN(X122)-3)&amp;"."&amp;IF(Y122="",""," Sudah nyaman: "&amp;LEFT(Y122,LEN(Y122)-2)&amp;"."))))</f>
        <v>Semua kriteria yang dinilai sudah nyaman: prosesor, RAM, penyimpanan.</v>
      </c>
      <c r="AA122" s="33"/>
      <c r="AB122" s="33"/>
      <c r="AC122" s="69"/>
    </row>
    <row r="123" customFormat="false" ht="15" hidden="false" customHeight="true" outlineLevel="0" collapsed="false">
      <c r="A123" s="33" t="str">
        <f aca="false">IF(Varian!$A28="","",Varian!$A28)</f>
        <v>asus-tuf-gaming-a15-fa507n-r7-7435hs-rtx4060-16-512</v>
      </c>
      <c r="B123" s="33" t="str">
        <f aca="false">IF($A123="","",Aturan!$A$24)</f>
        <v>Game ringan</v>
      </c>
      <c r="C123" s="69" t="n">
        <f aca="false">IF($A123="","",IFERROR(IF(ISNUMBER(INDEX(CPU!$J$4:$J$64,MATCH(Varian!$J28,CPU!$A$4:$A$64,0))),INDEX(CPU!$J$4:$J$64,MATCH(Varian!$J28,CPU!$A$4:$A$64,0)),""),""))</f>
        <v>4</v>
      </c>
      <c r="D123" s="69" t="n">
        <f aca="false">IF($A123="","",IFERROR(IF(ISNUMBER(INDEX(GPU!$G$4:$G$64,MATCH(Varian!$K28,GPU!$A$4:$A$64,0))),INDEX(GPU!$G$4:$G$64,MATCH(Varian!$K28,GPU!$A$4:$A$64,0)),""),""))</f>
        <v>4</v>
      </c>
      <c r="E123" s="69" t="n">
        <f aca="false">IF($A123="","",IF(ISNUMBER(Varian!$M28),Varian!$M28,""))</f>
        <v>16</v>
      </c>
      <c r="F123" s="69" t="n">
        <f aca="false">IF($A123="","",IF(ISNUMBER(Varian!$V28),Varian!$V28,""))</f>
        <v>512</v>
      </c>
      <c r="G123" s="69" t="n">
        <f aca="false">IF($A123="","",IFERROR(INDEX(Aturan!$B$63:$B$66,MATCH(Varian!$AG28,Aturan!$A$63:$A$66,0)),""))</f>
        <v>3</v>
      </c>
      <c r="H123" s="69" t="n">
        <f aca="false">IF($A123="","",IF(ISNUMBER(Varian!$AI28),Varian!$AI28,""))</f>
        <v>144</v>
      </c>
      <c r="I123" s="33" t="str">
        <f aca="false">IF($A123="","",IF(Varian!$Q28="disolder","menempel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3" s="33" t="str">
        <f aca="false">IF($A123="","",IF(Varian!$Z28="ya","bisa diganti dengan yang lebih besar",IF(Varian!$Z28="tidak","menempel, tidak bisa diganti","belum diketahui apakah bisa diganti")))</f>
        <v>bisa diganti dengan yang lebih besar</v>
      </c>
      <c r="K123" s="70" t="str">
        <f aca="false">IF($A123="","",IF(AND(Aturan!$C$48="",Aturan!$D$48=""),"Tidak dinilai",IF(C123="","Belum ada data",IF(C123&lt;IF(Aturan!$C$48="",0,Aturan!$C$48),"Kurang",IF(C123&gt;=IF(Aturan!$D$48="",Aturan!$C$48,Aturan!$D$48),"Nyaman","Cukup")))))</f>
        <v>Nyaman</v>
      </c>
      <c r="L123" s="70" t="str">
        <f aca="false">IF($A123="","",IF(AND(Aturan!$C$49="",Aturan!$D$49=""),"Tidak dinilai",IF(D123="","Belum ada data",IF(D123&lt;IF(Aturan!$C$49="",0,Aturan!$C$49),"Kurang",IF(D123&gt;=IF(Aturan!$D$49="",Aturan!$C$49,Aturan!$D$49),"Nyaman","Cukup")))))</f>
        <v>Nyaman</v>
      </c>
      <c r="M123" s="70" t="str">
        <f aca="false">IF($A123="","",IF(AND(Aturan!$C$50="",Aturan!$D$50=""),"Tidak dinilai",IF(E123="","Belum ada data",IF(E123&lt;IF(Aturan!$C$50="",0,Aturan!$C$50),"Kurang",IF(E123&gt;=IF(Aturan!$D$50="",Aturan!$C$50,Aturan!$D$50),"Nyaman","Cukup")))))</f>
        <v>Nyaman</v>
      </c>
      <c r="N123" s="70" t="str">
        <f aca="false">IF($A123="","",IF(AND(Aturan!$C$51="",Aturan!$D$51=""),"Tidak dinilai",IF(F123="","Belum ada data",IF(F123&lt;IF(Aturan!$C$51="",0,Aturan!$C$51),"Kurang",IF(F123&gt;=IF(Aturan!$D$51="",Aturan!$C$51,Aturan!$D$51),"Nyaman","Cukup")))))</f>
        <v>Nyaman</v>
      </c>
      <c r="O123" s="70" t="str">
        <f aca="false">IF($A123="","",IF(AND(Aturan!$C$52="",Aturan!$D$52=""),"Tidak dinilai",IF(G123="","Belum ada data",IF(G123&lt;IF(Aturan!$C$52="",0,Aturan!$C$52),"Kurang",IF(G123&gt;=IF(Aturan!$D$52="",Aturan!$C$52,Aturan!$D$52),"Nyaman","Cukup")))))</f>
        <v>Tidak dinilai</v>
      </c>
      <c r="P123" s="70" t="str">
        <f aca="false">IF($A123="","",IF(AND(Aturan!$C$53="",Aturan!$D$53=""),"Tidak dinilai",IF(H123="","Belum ada data",IF(H123&lt;IF(Aturan!$C$53="",0,Aturan!$C$53),"Kurang",IF(H123&gt;=IF(Aturan!$D$53="",Aturan!$C$53,Aturan!$D$53),"Nyaman","Cukup")))))</f>
        <v>Tidak dinilai</v>
      </c>
      <c r="Q123" s="70" t="str">
        <f aca="false">IF($A123="","",IF(COUNTIF(K123:P123,"Tidak dinilai")=6,"Tidak dinilai",IF(COUNTIF(K123:P123,"Kurang")&gt;0,"Kurang cocok",IF(COUNTIF(K123:P123,"Belum ada data")&gt;0,"Data belum lengkap",IF(COUNTIF(K123:P123,"Cukup")&gt;0,"Bisa, dengan catatan","Cocok")))))</f>
        <v>Cocok</v>
      </c>
      <c r="R123" s="33" t="str">
        <f aca="false">IF($A123="","",IF(K123="Kurang","prosesor tingkat "&amp;C123&amp;" dari 5, di bawah batas minimal (tingkat "&amp;Aturan!$C$48&amp;")",IF(K123="Cukup","prosesor tingkat "&amp;C123&amp;" dari 5 cukup, nyamannya mulai tingkat "&amp;Aturan!$D$48,IF(K123="Belum ada data","tingkat prosesor belum diisi",""))))</f>
        <v/>
      </c>
      <c r="S123" s="33" t="str">
        <f aca="false">IF($A123="","",IF(L123="Kurang","grafis tingkat "&amp;D123&amp;" dari 5, di bawah batas minimal (tingkat "&amp;Aturan!$C$49&amp;")",IF(L123="Cukup","grafis tingkat "&amp;D123&amp;" dari 5 cukup, nyamannya mulai tingkat "&amp;Aturan!$D$49,IF(L123="Belum ada data","tingkat grafis belum diisi",""))))</f>
        <v/>
      </c>
      <c r="T123" s="33" t="str">
        <f aca="false">IF($A123="","",IF(M123="Kurang","RAM "&amp;E123&amp;" GB, di bawah batas minimal "&amp;Aturan!$C$50&amp;" GB ("&amp;I123&amp;")",IF(M123="Cukup","RAM "&amp;E123&amp;" GB cukup, nyamannya "&amp;Aturan!$D$50&amp;" GB atau lebih ("&amp;I123&amp;")",IF(M123="Belum ada data","ukuran RAM belum diisi",""))))</f>
        <v/>
      </c>
      <c r="U123" s="33" t="str">
        <f aca="false">IF($A123="","",IF(N123="Kurang","penyimpanan "&amp;F123&amp;" GB, di bawah batas minimal "&amp;Aturan!$C$51&amp;" GB ("&amp;J123&amp;")",IF(N123="Cukup","penyimpanan "&amp;F123&amp;" GB cukup, nyamannya "&amp;Aturan!$D$51&amp;" GB atau lebih ("&amp;J123&amp;")",IF(N123="Belum ada data","ukuran penyimpanan belum diisi",""))))</f>
        <v/>
      </c>
      <c r="V123" s="33" t="str">
        <f aca="false">IF($A123="","",IF(O123="Kurang","layar "&amp;Varian!$AG28&amp;", di bawah batas minimal ("&amp;IFERROR(INDEX(Aturan!$A$63:$A$66,MATCH(Aturan!$C$52,Aturan!$B$63:$B$66,0)),"peringkat "&amp;Aturan!$C$52)&amp;")",IF(O123="Cukup","layar "&amp;Varian!$AG28&amp;" cukup, nyamannya "&amp;IFERROR(INDEX(Aturan!$A$63:$A$66,MATCH(Aturan!$D$52,Aturan!$B$63:$B$66,0)),"peringkat "&amp;Aturan!$D$52),IF(O123="Belum ada data","jenis layar belum diketahui",""))))</f>
        <v/>
      </c>
      <c r="W123" s="33" t="str">
        <f aca="false">IF($A123="","",IF(P123="Kurang","layar "&amp;H123&amp;" Hz, di bawah batas minimal "&amp;Aturan!$C$53&amp;" Hz",IF(P123="Cukup","layar "&amp;H123&amp;" Hz cukup, nyamannya "&amp;Aturan!$D$53&amp;" Hz atau lebih",IF(P123="Belum ada data","refresh rate belum diketahui",""))))</f>
        <v/>
      </c>
      <c r="X123" s="33" t="str">
        <f aca="false">IF($A123="","",IF(K123="Kurang",R123&amp;"; ","")&amp;IF(L123="Kurang",S123&amp;"; ","")&amp;IF(M123="Kurang",T123&amp;"; ","")&amp;IF(N123="Kurang",U123&amp;"; ","")&amp;IF(O123="Kurang",V123&amp;"; ","")&amp;IF(P123="Kurang",W123&amp;"; ","")&amp;IF(K123="Belum ada data",R123&amp;"; ","")&amp;IF(L123="Belum ada data",S123&amp;"; ","")&amp;IF(M123="Belum ada data",T123&amp;"; ","")&amp;IF(N123="Belum ada data",U123&amp;"; ","")&amp;IF(O123="Belum ada data",V123&amp;"; ","")&amp;IF(P123="Belum ada data",W123&amp;"; ","")&amp;IF(K123="Cukup",R123&amp;"; ","")&amp;IF(L123="Cukup",S123&amp;"; ","")&amp;IF(M123="Cukup",T123&amp;"; ","")&amp;IF(N123="Cukup",U123&amp;"; ","")&amp;IF(O123="Cukup",V123&amp;"; ","")&amp;IF(P123="Cukup",W123&amp;"; ",""))</f>
        <v/>
      </c>
      <c r="Y123" s="33" t="str">
        <f aca="false">IF($A123="","",IF(K123="Nyaman","prosesor, ","")&amp;IF(L123="Nyaman","grafis, ","")&amp;IF(M123="Nyaman","RAM, ","")&amp;IF(N123="Nyaman","penyimpanan, ","")&amp;IF(O123="Nyaman","layar, ","")&amp;IF(P123="Nyaman","refresh rate, ",""))</f>
        <v>prosesor, grafis, RAM, penyimpanan, </v>
      </c>
      <c r="Z123" s="33" t="str">
        <f aca="false">IF($A123="","",IF(Q123="Tidak dinilai","Belum ada kriteria yang dinilai untuk kebutuhan ini.",IF(Q123="Cocok","Semua kriteria yang dinilai sudah nyaman: "&amp;LEFT(Y123,LEN(Y123)-2)&amp;".",UPPER(LEFT(X123,1))&amp;MID(X123,2,LEN(X123)-3)&amp;"."&amp;IF(Y123="",""," Sudah nyaman: "&amp;LEFT(Y123,LEN(Y123)-2)&amp;"."))))</f>
        <v>Semua kriteria yang dinilai sudah nyaman: prosesor, grafis, RAM, penyimpanan.</v>
      </c>
      <c r="AA123" s="33"/>
      <c r="AB123" s="33"/>
      <c r="AC123" s="69"/>
    </row>
    <row r="124" customFormat="false" ht="15" hidden="false" customHeight="true" outlineLevel="0" collapsed="false">
      <c r="A124" s="33" t="str">
        <f aca="false">IF(Varian!$A28="","",Varian!$A28)</f>
        <v>asus-tuf-gaming-a15-fa507n-r7-7435hs-rtx4060-16-512</v>
      </c>
      <c r="B124" s="33" t="str">
        <f aca="false">IF($A124="","",Aturan!$A$25)</f>
        <v>Game berat</v>
      </c>
      <c r="C124" s="69" t="n">
        <f aca="false">IF($A124="","",IFERROR(IF(ISNUMBER(INDEX(CPU!$J$4:$J$64,MATCH(Varian!$J28,CPU!$A$4:$A$64,0))),INDEX(CPU!$J$4:$J$64,MATCH(Varian!$J28,CPU!$A$4:$A$64,0)),""),""))</f>
        <v>4</v>
      </c>
      <c r="D124" s="69" t="n">
        <f aca="false">IF($A124="","",IFERROR(IF(ISNUMBER(INDEX(GPU!$G$4:$G$64,MATCH(Varian!$K28,GPU!$A$4:$A$64,0))),INDEX(GPU!$G$4:$G$64,MATCH(Varian!$K28,GPU!$A$4:$A$64,0)),""),""))</f>
        <v>4</v>
      </c>
      <c r="E124" s="69" t="n">
        <f aca="false">IF($A124="","",IF(ISNUMBER(Varian!$M28),Varian!$M28,""))</f>
        <v>16</v>
      </c>
      <c r="F124" s="69" t="n">
        <f aca="false">IF($A124="","",IF(ISNUMBER(Varian!$V28),Varian!$V28,""))</f>
        <v>512</v>
      </c>
      <c r="G124" s="69" t="n">
        <f aca="false">IF($A124="","",IFERROR(INDEX(Aturan!$B$63:$B$66,MATCH(Varian!$AG28,Aturan!$A$63:$A$66,0)),""))</f>
        <v>3</v>
      </c>
      <c r="H124" s="69" t="n">
        <f aca="false">IF($A124="","",IF(ISNUMBER(Varian!$AI28),Varian!$AI28,""))</f>
        <v>144</v>
      </c>
      <c r="I124" s="33" t="str">
        <f aca="false">IF($A124="","",IF(Varian!$Q28="disolder","menempel di papan utama, tidak bisa ditambah",IF(OR(Varian!$Q28="slot",Varian!$Q28="setengah_disolder"),IF(Varian!$Q28="setengah_disolder","sebagian menempel, ","")&amp;IF(ISNUMBER(Varian!$U28),IF(AND(ISNUMBER(Varian!$M28),Varian!$U28&gt;Varian!$M28),"bisa dinaikkan lewat slot sampai "&amp;Varian!$U28&amp;" GB","sudah di batas maksimal "&amp;Varian!$U28&amp;" GB"),"ada slot, batas maksimalnya belum diketahui"),"belum diketahui apakah bisa ditambah")))</f>
        <v>bisa dinaikkan lewat slot sampai 32 GB</v>
      </c>
      <c r="J124" s="33" t="str">
        <f aca="false">IF($A124="","",IF(Varian!$Z28="ya","bisa diganti dengan yang lebih besar",IF(Varian!$Z28="tidak","menempel, tidak bisa diganti","belum diketahui apakah bisa diganti")))</f>
        <v>bisa diganti dengan yang lebih besar</v>
      </c>
      <c r="K124" s="70" t="str">
        <f aca="false">IF($A124="","",IF(AND(Aturan!$C$54="",Aturan!$D$54=""),"Tidak dinilai",IF(C124="","Belum ada data",IF(C124&lt;IF(Aturan!$C$54="",0,Aturan!$C$54),"Kurang",IF(C124&gt;=IF(Aturan!$D$54="",Aturan!$C$54,Aturan!$D$54),"Nyaman","Cukup")))))</f>
        <v>Nyaman</v>
      </c>
      <c r="L124" s="70" t="str">
        <f aca="false">IF($A124="","",IF(AND(Aturan!$C$55="",Aturan!$D$55=""),"Tidak dinilai",IF(D124="","Belum ada data",IF(D124&lt;IF(Aturan!$C$55="",0,Aturan!$C$55),"Kurang",IF(D124&gt;=IF(Aturan!$D$55="",Aturan!$C$55,Aturan!$D$55),"Nyaman","Cukup")))))</f>
        <v>Nyaman</v>
      </c>
      <c r="M124" s="70" t="str">
        <f aca="false">IF($A124="","",IF(AND(Aturan!$C$56="",Aturan!$D$56=""),"Tidak dinilai",IF(E124="","Belum ada data",IF(E124&lt;IF(Aturan!$C$56="",0,Aturan!$C$56),"Kurang",IF(E124&gt;=IF(Aturan!$D$56="",Aturan!$C$56,Aturan!$D$56),"Nyaman","Cukup")))))</f>
        <v>Nyaman</v>
      </c>
      <c r="N124" s="70" t="str">
        <f aca="false">IF($A124="","",IF(AND(Aturan!$C$57="",Aturan!$D$57=""),"Tidak dinilai",IF(F124="","Belum ada data",IF(F124&lt;IF(Aturan!$C$57="",0,Aturan!$C$57),"Kurang",IF(F124&gt;=IF(Aturan!$D$57="",Aturan!$C$57,Aturan!$D$57),"Nyaman","Cukup")))))</f>
        <v>Cukup</v>
      </c>
      <c r="O124" s="70" t="str">
        <f aca="false">IF($A124="","",IF(AND(Aturan!$C$58="",Aturan!$D$58=""),"Tidak dinilai",IF(G124="","Belum ada data",IF(G124&lt;IF(Aturan!$C$58="",0,Aturan!$C$58),"Kurang",IF(G124&gt;=IF(Aturan!$D$58="",Aturan!$C$58,Aturan!$D$58),"Nyaman","Cukup")))))</f>
        <v>Tidak dinilai</v>
      </c>
      <c r="P124" s="70" t="str">
        <f aca="false">IF($A124="","",IF(AND(Aturan!$C$59="",Aturan!$D$59=""),"Tidak dinilai",IF(H124="","Belum ada data",IF(H124&lt;IF(Aturan!$C$59="",0,Aturan!$C$59),"Kurang",IF(H124&gt;=IF(Aturan!$D$59="",Aturan!$C$59,Aturan!$D$59),"Nyaman","Cukup")))))</f>
        <v>Nyaman</v>
      </c>
      <c r="Q124" s="70" t="str">
        <f aca="false">IF($A124="","",IF(COUNTIF(K124:P124,"Tidak dinilai")=6,"Tidak dinilai",IF(COUNTIF(K124:P124,"Kurang")&gt;0,"Kurang cocok",IF(COUNTIF(K124:P124,"Belum ada data")&gt;0,"Data belum lengkap",IF(COUNTIF(K124:P124,"Cukup")&gt;0,"Bisa, dengan catatan","Cocok")))))</f>
        <v>Bisa, dengan catatan</v>
      </c>
      <c r="R124" s="33" t="str">
        <f aca="false">IF($A124="","",IF(K124="Kurang","prosesor tingkat "&amp;C124&amp;" dari 5, di bawah batas minimal (tingkat "&amp;Aturan!$C$54&amp;")",IF(K124="Cukup","prosesor tingkat "&amp;C124&amp;" dari 5 cukup, nyamannya mulai tingkat "&amp;Aturan!$D$54,IF(K124="Belum ada data","tingkat prosesor belum diisi",""))))</f>
        <v/>
      </c>
      <c r="S124" s="33" t="str">
        <f aca="false">IF($A124="","",IF(L124="Kurang","grafis tingkat "&amp;D124&amp;" dari 5, di bawah batas minimal (tingkat "&amp;Aturan!$C$55&amp;")",IF(L124="Cukup","grafis tingkat "&amp;D124&amp;" dari 5 cukup, nyamannya mulai tingkat "&amp;Aturan!$D$55,IF(L124="Belum ada data","tingkat grafis belum diisi",""))))</f>
        <v/>
      </c>
      <c r="T124" s="33" t="str">
        <f aca="false">IF($A124="","",IF(M124="Kurang","RAM "&amp;E124&amp;" GB, di bawah batas minimal "&amp;Aturan!$C$56&amp;" GB ("&amp;I124&amp;")",IF(M124="Cukup","RAM "&amp;E124&amp;" GB cukup, nyamannya "&amp;Aturan!$D$56&amp;" GB atau lebih ("&amp;I124&amp;")",IF(M124="Belum ada data","ukuran RAM belum diisi",""))))</f>
        <v/>
      </c>
      <c r="U124" s="33" t="str">
        <f aca="false">IF($A124="","",IF(N124="Kurang","penyimpanan "&amp;F124&amp;" GB, di bawah batas minimal "&amp;Aturan!$C$57&amp;" GB ("&amp;J124&amp;")",IF(N124="Cukup","penyimpanan "&amp;F124&amp;" GB cukup, nyamannya "&amp;Aturan!$D$57&amp;" GB atau lebih ("&amp;J124&amp;")",IF(N124="Belum ada data","ukuran penyimpanan belum diisi",""))))</f>
        <v>penyimpanan 512 GB cukup, nyamannya 1000 GB atau lebih (bisa diganti dengan yang lebih besar)</v>
      </c>
      <c r="V124" s="33" t="str">
        <f aca="false">IF($A124="","",IF(O124="Kurang","layar "&amp;Varian!$AG28&amp;", di bawah batas minimal ("&amp;IFERROR(INDEX(Aturan!$A$63:$A$66,MATCH(Aturan!$C$58,Aturan!$B$63:$B$66,0)),"peringkat "&amp;Aturan!$C$58)&amp;")",IF(O124="Cukup","layar "&amp;Varian!$AG28&amp;" cukup, nyamannya "&amp;IFERROR(INDEX(Aturan!$A$63:$A$66,MATCH(Aturan!$D$58,Aturan!$B$63:$B$66,0)),"peringkat "&amp;Aturan!$D$58),IF(O124="Belum ada data","jenis layar belum diketahui",""))))</f>
        <v/>
      </c>
      <c r="W124" s="33" t="str">
        <f aca="false">IF($A124="","",IF(P124="Kurang","layar "&amp;H124&amp;" Hz, di bawah batas minimal "&amp;Aturan!$C$59&amp;" Hz",IF(P124="Cukup","layar "&amp;H124&amp;" Hz cukup, nyamannya "&amp;Aturan!$D$59&amp;" Hz atau lebih",IF(P124="Belum ada data","refresh rate belum diketahui",""))))</f>
        <v/>
      </c>
      <c r="X124" s="33" t="str">
        <f aca="false">IF($A124="","",IF(K124="Kurang",R124&amp;"; ","")&amp;IF(L124="Kurang",S124&amp;"; ","")&amp;IF(M124="Kurang",T124&amp;"; ","")&amp;IF(N124="Kurang",U124&amp;"; ","")&amp;IF(O124="Kurang",V124&amp;"; ","")&amp;IF(P124="Kurang",W124&amp;"; ","")&amp;IF(K124="Belum ada data",R124&amp;"; ","")&amp;IF(L124="Belum ada data",S124&amp;"; ","")&amp;IF(M124="Belum ada data",T124&amp;"; ","")&amp;IF(N124="Belum ada data",U124&amp;"; ","")&amp;IF(O124="Belum ada data",V124&amp;"; ","")&amp;IF(P124="Belum ada data",W124&amp;"; ","")&amp;IF(K124="Cukup",R124&amp;"; ","")&amp;IF(L124="Cukup",S124&amp;"; ","")&amp;IF(M124="Cukup",T124&amp;"; ","")&amp;IF(N124="Cukup",U124&amp;"; ","")&amp;IF(O124="Cukup",V124&amp;"; ","")&amp;IF(P124="Cukup",W124&amp;"; ",""))</f>
        <v>penyimpanan 512 GB cukup, nyamannya 1000 GB atau lebih (bisa diganti dengan yang lebih besar); </v>
      </c>
      <c r="Y124" s="33" t="str">
        <f aca="false">IF($A124="","",IF(K124="Nyaman","prosesor, ","")&amp;IF(L124="Nyaman","grafis, ","")&amp;IF(M124="Nyaman","RAM, ","")&amp;IF(N124="Nyaman","penyimpanan, ","")&amp;IF(O124="Nyaman","layar, ","")&amp;IF(P124="Nyaman","refresh rate, ",""))</f>
        <v>prosesor, grafis, RAM, refresh rate, </v>
      </c>
      <c r="Z124" s="33" t="str">
        <f aca="false">IF($A124="","",IF(Q124="Tidak dinilai","Belum ada kriteria yang dinilai untuk kebutuhan ini.",IF(Q124="Cocok","Semua kriteria yang dinilai sudah nyaman: "&amp;LEFT(Y124,LEN(Y124)-2)&amp;".",UPPER(LEFT(X124,1))&amp;MID(X124,2,LEN(X124)-3)&amp;"."&amp;IF(Y124="",""," Sudah nyaman: "&amp;LEFT(Y124,LEN(Y124)-2)&amp;"."))))</f>
        <v>Penyimpanan 512 GB cukup, nyamannya 1000 GB atau lebih (bisa diganti dengan yang lebih besar). Sudah nyaman: prosesor, grafis, RAM, refresh rate.</v>
      </c>
      <c r="AA124" s="33"/>
      <c r="AB124" s="33"/>
      <c r="AC124" s="69"/>
    </row>
    <row r="125" customFormat="false" ht="15" hidden="false" customHeight="true" outlineLevel="0" collapsed="false">
      <c r="A125" s="66" t="str">
        <f aca="false">IF(Varian!$A29="","",Varian!$A29)</f>
        <v>lenovo-loq-15irx10-i7-13700hx-rtx5050-16-512</v>
      </c>
      <c r="B125" s="66" t="str">
        <f aca="false">IF($A125="","",Aturan!$A$21)</f>
        <v>Kuliah dan kantor</v>
      </c>
      <c r="C125" s="67" t="n">
        <f aca="false">IF($A125="","",IFERROR(IF(ISNUMBER(INDEX(CPU!$J$4:$J$64,MATCH(Varian!$J29,CPU!$A$4:$A$64,0))),INDEX(CPU!$J$4:$J$64,MATCH(Varian!$J29,CPU!$A$4:$A$64,0)),""),""))</f>
        <v>5</v>
      </c>
      <c r="D125" s="67" t="n">
        <f aca="false">IF($A125="","",IFERROR(IF(ISNUMBER(INDEX(GPU!$G$4:$G$64,MATCH(Varian!$K29,GPU!$A$4:$A$64,0))),INDEX(GPU!$G$4:$G$64,MATCH(Varian!$K29,GPU!$A$4:$A$64,0)),""),""))</f>
        <v>3</v>
      </c>
      <c r="E125" s="67" t="n">
        <f aca="false">IF($A125="","",IF(ISNUMBER(Varian!$M29),Varian!$M29,""))</f>
        <v>16</v>
      </c>
      <c r="F125" s="67" t="n">
        <f aca="false">IF($A125="","",IF(ISNUMBER(Varian!$V29),Varian!$V29,""))</f>
        <v>512</v>
      </c>
      <c r="G125" s="67" t="n">
        <f aca="false">IF($A125="","",IFERROR(INDEX(Aturan!$B$63:$B$66,MATCH(Varian!$AG29,Aturan!$A$63:$A$66,0)),""))</f>
        <v>3</v>
      </c>
      <c r="H125" s="67" t="n">
        <f aca="false">IF($A125="","",IF(ISNUMBER(Varian!$AI29),Varian!$AI29,""))</f>
        <v>144</v>
      </c>
      <c r="I125" s="66" t="str">
        <f aca="false">IF($A125="","",IF(Varian!$Q29="disolder","menempel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5" s="66" t="str">
        <f aca="false">IF($A125="","",IF(Varian!$Z29="ya","bisa diganti dengan yang lebih besar",IF(Varian!$Z29="tidak","menempel, tidak bisa diganti","belum diketahui apakah bisa diganti")))</f>
        <v>bisa diganti dengan yang lebih besar</v>
      </c>
      <c r="K125" s="68" t="str">
        <f aca="false">IF($A125="","",IF(AND(Aturan!$C$30="",Aturan!$D$30=""),"Tidak dinilai",IF(C125="","Belum ada data",IF(C125&lt;IF(Aturan!$C$30="",0,Aturan!$C$30),"Kurang",IF(C125&gt;=IF(Aturan!$D$30="",Aturan!$C$30,Aturan!$D$30),"Nyaman","Cukup")))))</f>
        <v>Nyaman</v>
      </c>
      <c r="L125" s="68" t="str">
        <f aca="false">IF($A125="","",IF(AND(Aturan!$C$31="",Aturan!$D$31=""),"Tidak dinilai",IF(D125="","Belum ada data",IF(D125&lt;IF(Aturan!$C$31="",0,Aturan!$C$31),"Kurang",IF(D125&gt;=IF(Aturan!$D$31="",Aturan!$C$31,Aturan!$D$31),"Nyaman","Cukup")))))</f>
        <v>Tidak dinilai</v>
      </c>
      <c r="M125" s="68" t="str">
        <f aca="false">IF($A125="","",IF(AND(Aturan!$C$32="",Aturan!$D$32=""),"Tidak dinilai",IF(E125="","Belum ada data",IF(E125&lt;IF(Aturan!$C$32="",0,Aturan!$C$32),"Kurang",IF(E125&gt;=IF(Aturan!$D$32="",Aturan!$C$32,Aturan!$D$32),"Nyaman","Cukup")))))</f>
        <v>Nyaman</v>
      </c>
      <c r="N125" s="68" t="str">
        <f aca="false">IF($A125="","",IF(AND(Aturan!$C$33="",Aturan!$D$33=""),"Tidak dinilai",IF(F125="","Belum ada data",IF(F125&lt;IF(Aturan!$C$33="",0,Aturan!$C$33),"Kurang",IF(F125&gt;=IF(Aturan!$D$33="",Aturan!$C$33,Aturan!$D$33),"Nyaman","Cukup")))))</f>
        <v>Nyaman</v>
      </c>
      <c r="O125" s="68" t="str">
        <f aca="false">IF($A125="","",IF(AND(Aturan!$C$34="",Aturan!$D$34=""),"Tidak dinilai",IF(G125="","Belum ada data",IF(G125&lt;IF(Aturan!$C$34="",0,Aturan!$C$34),"Kurang",IF(G125&gt;=IF(Aturan!$D$34="",Aturan!$C$34,Aturan!$D$34),"Nyaman","Cukup")))))</f>
        <v>Tidak dinilai</v>
      </c>
      <c r="P125" s="68" t="str">
        <f aca="false">IF($A125="","",IF(AND(Aturan!$C$35="",Aturan!$D$35=""),"Tidak dinilai",IF(H125="","Belum ada data",IF(H125&lt;IF(Aturan!$C$35="",0,Aturan!$C$35),"Kurang",IF(H125&gt;=IF(Aturan!$D$35="",Aturan!$C$35,Aturan!$D$35),"Nyaman","Cukup")))))</f>
        <v>Tidak dinilai</v>
      </c>
      <c r="Q125" s="68" t="str">
        <f aca="false">IF($A125="","",IF(COUNTIF(K125:P125,"Tidak dinilai")=6,"Tidak dinilai",IF(COUNTIF(K125:P125,"Kurang")&gt;0,"Kurang cocok",IF(COUNTIF(K125:P125,"Belum ada data")&gt;0,"Data belum lengkap",IF(COUNTIF(K125:P125,"Cukup")&gt;0,"Bisa, dengan catatan","Cocok")))))</f>
        <v>Cocok</v>
      </c>
      <c r="R125" s="66" t="str">
        <f aca="false">IF($A125="","",IF(K125="Kurang","prosesor tingkat "&amp;C125&amp;" dari 5, di bawah batas minimal (tingkat "&amp;Aturan!$C$30&amp;")",IF(K125="Cukup","prosesor tingkat "&amp;C125&amp;" dari 5 cukup, nyamannya mulai tingkat "&amp;Aturan!$D$30,IF(K125="Belum ada data","tingkat prosesor belum diisi",""))))</f>
        <v/>
      </c>
      <c r="S125" s="66" t="str">
        <f aca="false">IF($A125="","",IF(L125="Kurang","grafis tingkat "&amp;D125&amp;" dari 5, di bawah batas minimal (tingkat "&amp;Aturan!$C$31&amp;")",IF(L125="Cukup","grafis tingkat "&amp;D125&amp;" dari 5 cukup, nyamannya mulai tingkat "&amp;Aturan!$D$31,IF(L125="Belum ada data","tingkat grafis belum diisi",""))))</f>
        <v/>
      </c>
      <c r="T125" s="66" t="str">
        <f aca="false">IF($A125="","",IF(M125="Kurang","RAM "&amp;E125&amp;" GB, di bawah batas minimal "&amp;Aturan!$C$32&amp;" GB ("&amp;I125&amp;")",IF(M125="Cukup","RAM "&amp;E125&amp;" GB cukup, nyamannya "&amp;Aturan!$D$32&amp;" GB atau lebih ("&amp;I125&amp;")",IF(M125="Belum ada data","ukuran RAM belum diisi",""))))</f>
        <v/>
      </c>
      <c r="U125" s="66" t="str">
        <f aca="false">IF($A125="","",IF(N125="Kurang","penyimpanan "&amp;F125&amp;" GB, di bawah batas minimal "&amp;Aturan!$C$33&amp;" GB ("&amp;J125&amp;")",IF(N125="Cukup","penyimpanan "&amp;F125&amp;" GB cukup, nyamannya "&amp;Aturan!$D$33&amp;" GB atau lebih ("&amp;J125&amp;")",IF(N125="Belum ada data","ukuran penyimpanan belum diisi",""))))</f>
        <v/>
      </c>
      <c r="V125" s="66" t="str">
        <f aca="false">IF($A125="","",IF(O125="Kurang","layar "&amp;Varian!$AG29&amp;", di bawah batas minimal ("&amp;IFERROR(INDEX(Aturan!$A$63:$A$66,MATCH(Aturan!$C$34,Aturan!$B$63:$B$66,0)),"peringkat "&amp;Aturan!$C$34)&amp;")",IF(O125="Cukup","layar "&amp;Varian!$AG29&amp;" cukup, nyamannya "&amp;IFERROR(INDEX(Aturan!$A$63:$A$66,MATCH(Aturan!$D$34,Aturan!$B$63:$B$66,0)),"peringkat "&amp;Aturan!$D$34),IF(O125="Belum ada data","jenis layar belum diketahui",""))))</f>
        <v/>
      </c>
      <c r="W125" s="66" t="str">
        <f aca="false">IF($A125="","",IF(P125="Kurang","layar "&amp;H125&amp;" Hz, di bawah batas minimal "&amp;Aturan!$C$35&amp;" Hz",IF(P125="Cukup","layar "&amp;H125&amp;" Hz cukup, nyamannya "&amp;Aturan!$D$35&amp;" Hz atau lebih",IF(P125="Belum ada data","refresh rate belum diketahui",""))))</f>
        <v/>
      </c>
      <c r="X125" s="66" t="str">
        <f aca="false">IF($A125="","",IF(K125="Kurang",R125&amp;"; ","")&amp;IF(L125="Kurang",S125&amp;"; ","")&amp;IF(M125="Kurang",T125&amp;"; ","")&amp;IF(N125="Kurang",U125&amp;"; ","")&amp;IF(O125="Kurang",V125&amp;"; ","")&amp;IF(P125="Kurang",W125&amp;"; ","")&amp;IF(K125="Belum ada data",R125&amp;"; ","")&amp;IF(L125="Belum ada data",S125&amp;"; ","")&amp;IF(M125="Belum ada data",T125&amp;"; ","")&amp;IF(N125="Belum ada data",U125&amp;"; ","")&amp;IF(O125="Belum ada data",V125&amp;"; ","")&amp;IF(P125="Belum ada data",W125&amp;"; ","")&amp;IF(K125="Cukup",R125&amp;"; ","")&amp;IF(L125="Cukup",S125&amp;"; ","")&amp;IF(M125="Cukup",T125&amp;"; ","")&amp;IF(N125="Cukup",U125&amp;"; ","")&amp;IF(O125="Cukup",V125&amp;"; ","")&amp;IF(P125="Cukup",W125&amp;"; ",""))</f>
        <v/>
      </c>
      <c r="Y125" s="66" t="str">
        <f aca="false">IF($A125="","",IF(K125="Nyaman","prosesor, ","")&amp;IF(L125="Nyaman","grafis, ","")&amp;IF(M125="Nyaman","RAM, ","")&amp;IF(N125="Nyaman","penyimpanan, ","")&amp;IF(O125="Nyaman","layar, ","")&amp;IF(P125="Nyaman","refresh rate, ",""))</f>
        <v>prosesor, RAM, penyimpanan, </v>
      </c>
      <c r="Z125" s="66" t="str">
        <f aca="false">IF($A125="","",IF(Q125="Tidak dinilai","Belum ada kriteria yang dinilai untuk kebutuhan ini.",IF(Q125="Cocok","Semua kriteria yang dinilai sudah nyaman: "&amp;LEFT(Y125,LEN(Y125)-2)&amp;".",UPPER(LEFT(X125,1))&amp;MID(X125,2,LEN(X125)-3)&amp;"."&amp;IF(Y125="",""," Sudah nyaman: "&amp;LEFT(Y125,LEN(Y125)-2)&amp;"."))))</f>
        <v>Semua kriteria yang dinilai sudah nyaman: prosesor, RAM, penyimpanan.</v>
      </c>
      <c r="AA125" s="66" t="str">
        <f aca="false">IF($A125="","",IF(Varian!$AR29="Windows 10","• "&amp;Aturan!$E$71&amp;CHAR(10),"")&amp;IF(Varian!$BB29="tidak","• "&amp;Aturan!$E$72&amp;CHAR(10),"")&amp;IF(OR(Varian!$AD29="belum terverifikasi",Varian!$AD29="tidak diketahui"),"• "&amp;Aturan!$E$73&amp;CHAR(10),"")&amp;IF(Varian!$AH29="1366x768","• "&amp;Aturan!$E$74&amp;CHAR(10),"")&amp;IF(Varian!$AG29="TN","• "&amp;Aturan!$E$75&amp;CHAR(10),"")&amp;IF(AND(Varian!$Q29="disolder",ISNUMBER(Varian!$M29),Varian!$M29&lt;=8),"• "&amp;Aturan!$E$76&amp;CHAR(10),""))</f>
        <v/>
      </c>
      <c r="AB125" s="66" t="str">
        <f aca="false">IF($A125="","",IF(AA125="","",LEFT(AA125,LEN(AA125)-1)))</f>
        <v/>
      </c>
      <c r="AC125" s="67" t="n">
        <f aca="false">IF($A125="","",IF(AA125="",0,LEN(AA125)-LEN(SUBSTITUTE(AA125,CHAR(10),""))))</f>
        <v>0</v>
      </c>
    </row>
    <row r="126" customFormat="false" ht="15" hidden="false" customHeight="true" outlineLevel="0" collapsed="false">
      <c r="A126" s="33" t="str">
        <f aca="false">IF(Varian!$A29="","",Varian!$A29)</f>
        <v>lenovo-loq-15irx10-i7-13700hx-rtx5050-16-512</v>
      </c>
      <c r="B126" s="33" t="str">
        <f aca="false">IF($A126="","",Aturan!$A$22)</f>
        <v>Desain grafis</v>
      </c>
      <c r="C126" s="69" t="n">
        <f aca="false">IF($A126="","",IFERROR(IF(ISNUMBER(INDEX(CPU!$J$4:$J$64,MATCH(Varian!$J29,CPU!$A$4:$A$64,0))),INDEX(CPU!$J$4:$J$64,MATCH(Varian!$J29,CPU!$A$4:$A$64,0)),""),""))</f>
        <v>5</v>
      </c>
      <c r="D126" s="69" t="n">
        <f aca="false">IF($A126="","",IFERROR(IF(ISNUMBER(INDEX(GPU!$G$4:$G$64,MATCH(Varian!$K29,GPU!$A$4:$A$64,0))),INDEX(GPU!$G$4:$G$64,MATCH(Varian!$K29,GPU!$A$4:$A$64,0)),""),""))</f>
        <v>3</v>
      </c>
      <c r="E126" s="69" t="n">
        <f aca="false">IF($A126="","",IF(ISNUMBER(Varian!$M29),Varian!$M29,""))</f>
        <v>16</v>
      </c>
      <c r="F126" s="69" t="n">
        <f aca="false">IF($A126="","",IF(ISNUMBER(Varian!$V29),Varian!$V29,""))</f>
        <v>512</v>
      </c>
      <c r="G126" s="69" t="n">
        <f aca="false">IF($A126="","",IFERROR(INDEX(Aturan!$B$63:$B$66,MATCH(Varian!$AG29,Aturan!$A$63:$A$66,0)),""))</f>
        <v>3</v>
      </c>
      <c r="H126" s="69" t="n">
        <f aca="false">IF($A126="","",IF(ISNUMBER(Varian!$AI29),Varian!$AI29,""))</f>
        <v>144</v>
      </c>
      <c r="I126" s="33" t="str">
        <f aca="false">IF($A126="","",IF(Varian!$Q29="disolder","menempel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6" s="33" t="str">
        <f aca="false">IF($A126="","",IF(Varian!$Z29="ya","bisa diganti dengan yang lebih besar",IF(Varian!$Z29="tidak","menempel, tidak bisa diganti","belum diketahui apakah bisa diganti")))</f>
        <v>bisa diganti dengan yang lebih besar</v>
      </c>
      <c r="K126" s="70" t="str">
        <f aca="false">IF($A126="","",IF(AND(Aturan!$C$36="",Aturan!$D$36=""),"Tidak dinilai",IF(C126="","Belum ada data",IF(C126&lt;IF(Aturan!$C$36="",0,Aturan!$C$36),"Kurang",IF(C126&gt;=IF(Aturan!$D$36="",Aturan!$C$36,Aturan!$D$36),"Nyaman","Cukup")))))</f>
        <v>Nyaman</v>
      </c>
      <c r="L126" s="70" t="str">
        <f aca="false">IF($A126="","",IF(AND(Aturan!$C$37="",Aturan!$D$37=""),"Tidak dinilai",IF(D126="","Belum ada data",IF(D126&lt;IF(Aturan!$C$37="",0,Aturan!$C$37),"Kurang",IF(D126&gt;=IF(Aturan!$D$37="",Aturan!$C$37,Aturan!$D$37),"Nyaman","Cukup")))))</f>
        <v>Nyaman</v>
      </c>
      <c r="M126" s="70" t="str">
        <f aca="false">IF($A126="","",IF(AND(Aturan!$C$38="",Aturan!$D$38=""),"Tidak dinilai",IF(E126="","Belum ada data",IF(E126&lt;IF(Aturan!$C$38="",0,Aturan!$C$38),"Kurang",IF(E126&gt;=IF(Aturan!$D$38="",Aturan!$C$38,Aturan!$D$38),"Nyaman","Cukup")))))</f>
        <v>Nyaman</v>
      </c>
      <c r="N126" s="70" t="str">
        <f aca="false">IF($A126="","",IF(AND(Aturan!$C$39="",Aturan!$D$39=""),"Tidak dinilai",IF(F126="","Belum ada data",IF(F126&lt;IF(Aturan!$C$39="",0,Aturan!$C$39),"Kurang",IF(F126&gt;=IF(Aturan!$D$39="",Aturan!$C$39,Aturan!$D$39),"Nyaman","Cukup")))))</f>
        <v>Nyaman</v>
      </c>
      <c r="O126" s="70" t="str">
        <f aca="false">IF($A126="","",IF(AND(Aturan!$C$40="",Aturan!$D$40=""),"Tidak dinilai",IF(G126="","Belum ada data",IF(G126&lt;IF(Aturan!$C$40="",0,Aturan!$C$40),"Kurang",IF(G126&gt;=IF(Aturan!$D$40="",Aturan!$C$40,Aturan!$D$40),"Nyaman","Cukup")))))</f>
        <v>Cukup</v>
      </c>
      <c r="P126" s="70" t="str">
        <f aca="false">IF($A126="","",IF(AND(Aturan!$C$41="",Aturan!$D$41=""),"Tidak dinilai",IF(H126="","Belum ada data",IF(H126&lt;IF(Aturan!$C$41="",0,Aturan!$C$41),"Kurang",IF(H126&gt;=IF(Aturan!$D$41="",Aturan!$C$41,Aturan!$D$41),"Nyaman","Cukup")))))</f>
        <v>Tidak dinilai</v>
      </c>
      <c r="Q126" s="70" t="str">
        <f aca="false">IF($A126="","",IF(COUNTIF(K126:P126,"Tidak dinilai")=6,"Tidak dinilai",IF(COUNTIF(K126:P126,"Kurang")&gt;0,"Kurang cocok",IF(COUNTIF(K126:P126,"Belum ada data")&gt;0,"Data belum lengkap",IF(COUNTIF(K126:P126,"Cukup")&gt;0,"Bisa, dengan catatan","Cocok")))))</f>
        <v>Bisa, dengan catatan</v>
      </c>
      <c r="R126" s="33" t="str">
        <f aca="false">IF($A126="","",IF(K126="Kurang","prosesor tingkat "&amp;C126&amp;" dari 5, di bawah batas minimal (tingkat "&amp;Aturan!$C$36&amp;")",IF(K126="Cukup","prosesor tingkat "&amp;C126&amp;" dari 5 cukup, nyamannya mulai tingkat "&amp;Aturan!$D$36,IF(K126="Belum ada data","tingkat prosesor belum diisi",""))))</f>
        <v/>
      </c>
      <c r="S126" s="33" t="str">
        <f aca="false">IF($A126="","",IF(L126="Kurang","grafis tingkat "&amp;D126&amp;" dari 5, di bawah batas minimal (tingkat "&amp;Aturan!$C$37&amp;")",IF(L126="Cukup","grafis tingkat "&amp;D126&amp;" dari 5 cukup, nyamannya mulai tingkat "&amp;Aturan!$D$37,IF(L126="Belum ada data","tingkat grafis belum diisi",""))))</f>
        <v/>
      </c>
      <c r="T126" s="33" t="str">
        <f aca="false">IF($A126="","",IF(M126="Kurang","RAM "&amp;E126&amp;" GB, di bawah batas minimal "&amp;Aturan!$C$38&amp;" GB ("&amp;I126&amp;")",IF(M126="Cukup","RAM "&amp;E126&amp;" GB cukup, nyamannya "&amp;Aturan!$D$38&amp;" GB atau lebih ("&amp;I126&amp;")",IF(M126="Belum ada data","ukuran RAM belum diisi",""))))</f>
        <v/>
      </c>
      <c r="U126" s="33" t="str">
        <f aca="false">IF($A126="","",IF(N126="Kurang","penyimpanan "&amp;F126&amp;" GB, di bawah batas minimal "&amp;Aturan!$C$39&amp;" GB ("&amp;J126&amp;")",IF(N126="Cukup","penyimpanan "&amp;F126&amp;" GB cukup, nyamannya "&amp;Aturan!$D$39&amp;" GB atau lebih ("&amp;J126&amp;")",IF(N126="Belum ada data","ukuran penyimpanan belum diisi",""))))</f>
        <v/>
      </c>
      <c r="V126" s="33" t="str">
        <f aca="false">IF($A126="","",IF(O126="Kurang","layar "&amp;Varian!$AG29&amp;", di bawah batas minimal ("&amp;IFERROR(INDEX(Aturan!$A$63:$A$66,MATCH(Aturan!$C$40,Aturan!$B$63:$B$66,0)),"peringkat "&amp;Aturan!$C$40)&amp;")",IF(O126="Cukup","layar "&amp;Varian!$AG29&amp;" cukup, nyamannya "&amp;IFERROR(INDEX(Aturan!$A$63:$A$66,MATCH(Aturan!$D$40,Aturan!$B$63:$B$66,0)),"peringkat "&amp;Aturan!$D$40),IF(O126="Belum ada data","jenis layar belum diketahui",""))))</f>
        <v>layar IPS cukup, nyamannya OLED</v>
      </c>
      <c r="W126" s="33" t="str">
        <f aca="false">IF($A126="","",IF(P126="Kurang","layar "&amp;H126&amp;" Hz, di bawah batas minimal "&amp;Aturan!$C$41&amp;" Hz",IF(P126="Cukup","layar "&amp;H126&amp;" Hz cukup, nyamannya "&amp;Aturan!$D$41&amp;" Hz atau lebih",IF(P126="Belum ada data","refresh rate belum diketahui",""))))</f>
        <v/>
      </c>
      <c r="X126" s="33" t="str">
        <f aca="false">IF($A126="","",IF(K126="Kurang",R126&amp;"; ","")&amp;IF(L126="Kurang",S126&amp;"; ","")&amp;IF(M126="Kurang",T126&amp;"; ","")&amp;IF(N126="Kurang",U126&amp;"; ","")&amp;IF(O126="Kurang",V126&amp;"; ","")&amp;IF(P126="Kurang",W126&amp;"; ","")&amp;IF(K126="Belum ada data",R126&amp;"; ","")&amp;IF(L126="Belum ada data",S126&amp;"; ","")&amp;IF(M126="Belum ada data",T126&amp;"; ","")&amp;IF(N126="Belum ada data",U126&amp;"; ","")&amp;IF(O126="Belum ada data",V126&amp;"; ","")&amp;IF(P126="Belum ada data",W126&amp;"; ","")&amp;IF(K126="Cukup",R126&amp;"; ","")&amp;IF(L126="Cukup",S126&amp;"; ","")&amp;IF(M126="Cukup",T126&amp;"; ","")&amp;IF(N126="Cukup",U126&amp;"; ","")&amp;IF(O126="Cukup",V126&amp;"; ","")&amp;IF(P126="Cukup",W126&amp;"; ",""))</f>
        <v>layar IPS cukup, nyamannya OLED; </v>
      </c>
      <c r="Y126" s="33" t="str">
        <f aca="false">IF($A126="","",IF(K126="Nyaman","prosesor, ","")&amp;IF(L126="Nyaman","grafis, ","")&amp;IF(M126="Nyaman","RAM, ","")&amp;IF(N126="Nyaman","penyimpanan, ","")&amp;IF(O126="Nyaman","layar, ","")&amp;IF(P126="Nyaman","refresh rate, ",""))</f>
        <v>prosesor, grafis, RAM, penyimpanan, </v>
      </c>
      <c r="Z126" s="33" t="str">
        <f aca="false">IF($A126="","",IF(Q126="Tidak dinilai","Belum ada kriteria yang dinilai untuk kebutuhan ini.",IF(Q126="Cocok","Semua kriteria yang dinilai sudah nyaman: "&amp;LEFT(Y126,LEN(Y126)-2)&amp;".",UPPER(LEFT(X126,1))&amp;MID(X126,2,LEN(X126)-3)&amp;"."&amp;IF(Y126="",""," Sudah nyaman: "&amp;LEFT(Y126,LEN(Y126)-2)&amp;"."))))</f>
        <v>Layar IPS cukup, nyamannya OLED. Sudah nyaman: prosesor, grafis, RAM, penyimpanan.</v>
      </c>
      <c r="AA126" s="33"/>
      <c r="AB126" s="33"/>
      <c r="AC126" s="69"/>
    </row>
    <row r="127" customFormat="false" ht="15" hidden="false" customHeight="true" outlineLevel="0" collapsed="false">
      <c r="A127" s="33" t="str">
        <f aca="false">IF(Varian!$A29="","",Varian!$A29)</f>
        <v>lenovo-loq-15irx10-i7-13700hx-rtx5050-16-512</v>
      </c>
      <c r="B127" s="33" t="str">
        <f aca="false">IF($A127="","",Aturan!$A$23)</f>
        <v>Pemrograman</v>
      </c>
      <c r="C127" s="69" t="n">
        <f aca="false">IF($A127="","",IFERROR(IF(ISNUMBER(INDEX(CPU!$J$4:$J$64,MATCH(Varian!$J29,CPU!$A$4:$A$64,0))),INDEX(CPU!$J$4:$J$64,MATCH(Varian!$J29,CPU!$A$4:$A$64,0)),""),""))</f>
        <v>5</v>
      </c>
      <c r="D127" s="69" t="n">
        <f aca="false">IF($A127="","",IFERROR(IF(ISNUMBER(INDEX(GPU!$G$4:$G$64,MATCH(Varian!$K29,GPU!$A$4:$A$64,0))),INDEX(GPU!$G$4:$G$64,MATCH(Varian!$K29,GPU!$A$4:$A$64,0)),""),""))</f>
        <v>3</v>
      </c>
      <c r="E127" s="69" t="n">
        <f aca="false">IF($A127="","",IF(ISNUMBER(Varian!$M29),Varian!$M29,""))</f>
        <v>16</v>
      </c>
      <c r="F127" s="69" t="n">
        <f aca="false">IF($A127="","",IF(ISNUMBER(Varian!$V29),Varian!$V29,""))</f>
        <v>512</v>
      </c>
      <c r="G127" s="69" t="n">
        <f aca="false">IF($A127="","",IFERROR(INDEX(Aturan!$B$63:$B$66,MATCH(Varian!$AG29,Aturan!$A$63:$A$66,0)),""))</f>
        <v>3</v>
      </c>
      <c r="H127" s="69" t="n">
        <f aca="false">IF($A127="","",IF(ISNUMBER(Varian!$AI29),Varian!$AI29,""))</f>
        <v>144</v>
      </c>
      <c r="I127" s="33" t="str">
        <f aca="false">IF($A127="","",IF(Varian!$Q29="disolder","menempel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7" s="33" t="str">
        <f aca="false">IF($A127="","",IF(Varian!$Z29="ya","bisa diganti dengan yang lebih besar",IF(Varian!$Z29="tidak","menempel, tidak bisa diganti","belum diketahui apakah bisa diganti")))</f>
        <v>bisa diganti dengan yang lebih besar</v>
      </c>
      <c r="K127" s="70" t="str">
        <f aca="false">IF($A127="","",IF(AND(Aturan!$C$42="",Aturan!$D$42=""),"Tidak dinilai",IF(C127="","Belum ada data",IF(C127&lt;IF(Aturan!$C$42="",0,Aturan!$C$42),"Kurang",IF(C127&gt;=IF(Aturan!$D$42="",Aturan!$C$42,Aturan!$D$42),"Nyaman","Cukup")))))</f>
        <v>Nyaman</v>
      </c>
      <c r="L127" s="70" t="str">
        <f aca="false">IF($A127="","",IF(AND(Aturan!$C$43="",Aturan!$D$43=""),"Tidak dinilai",IF(D127="","Belum ada data",IF(D127&lt;IF(Aturan!$C$43="",0,Aturan!$C$43),"Kurang",IF(D127&gt;=IF(Aturan!$D$43="",Aturan!$C$43,Aturan!$D$43),"Nyaman","Cukup")))))</f>
        <v>Tidak dinilai</v>
      </c>
      <c r="M127" s="70" t="str">
        <f aca="false">IF($A127="","",IF(AND(Aturan!$C$44="",Aturan!$D$44=""),"Tidak dinilai",IF(E127="","Belum ada data",IF(E127&lt;IF(Aturan!$C$44="",0,Aturan!$C$44),"Kurang",IF(E127&gt;=IF(Aturan!$D$44="",Aturan!$C$44,Aturan!$D$44),"Nyaman","Cukup")))))</f>
        <v>Nyaman</v>
      </c>
      <c r="N127" s="70" t="str">
        <f aca="false">IF($A127="","",IF(AND(Aturan!$C$45="",Aturan!$D$45=""),"Tidak dinilai",IF(F127="","Belum ada data",IF(F127&lt;IF(Aturan!$C$45="",0,Aturan!$C$45),"Kurang",IF(F127&gt;=IF(Aturan!$D$45="",Aturan!$C$45,Aturan!$D$45),"Nyaman","Cukup")))))</f>
        <v>Nyaman</v>
      </c>
      <c r="O127" s="70" t="str">
        <f aca="false">IF($A127="","",IF(AND(Aturan!$C$46="",Aturan!$D$46=""),"Tidak dinilai",IF(G127="","Belum ada data",IF(G127&lt;IF(Aturan!$C$46="",0,Aturan!$C$46),"Kurang",IF(G127&gt;=IF(Aturan!$D$46="",Aturan!$C$46,Aturan!$D$46),"Nyaman","Cukup")))))</f>
        <v>Tidak dinilai</v>
      </c>
      <c r="P127" s="70" t="str">
        <f aca="false">IF($A127="","",IF(AND(Aturan!$C$47="",Aturan!$D$47=""),"Tidak dinilai",IF(H127="","Belum ada data",IF(H127&lt;IF(Aturan!$C$47="",0,Aturan!$C$47),"Kurang",IF(H127&gt;=IF(Aturan!$D$47="",Aturan!$C$47,Aturan!$D$47),"Nyaman","Cukup")))))</f>
        <v>Tidak dinilai</v>
      </c>
      <c r="Q127" s="70" t="str">
        <f aca="false">IF($A127="","",IF(COUNTIF(K127:P127,"Tidak dinilai")=6,"Tidak dinilai",IF(COUNTIF(K127:P127,"Kurang")&gt;0,"Kurang cocok",IF(COUNTIF(K127:P127,"Belum ada data")&gt;0,"Data belum lengkap",IF(COUNTIF(K127:P127,"Cukup")&gt;0,"Bisa, dengan catatan","Cocok")))))</f>
        <v>Cocok</v>
      </c>
      <c r="R127" s="33" t="str">
        <f aca="false">IF($A127="","",IF(K127="Kurang","prosesor tingkat "&amp;C127&amp;" dari 5, di bawah batas minimal (tingkat "&amp;Aturan!$C$42&amp;")",IF(K127="Cukup","prosesor tingkat "&amp;C127&amp;" dari 5 cukup, nyamannya mulai tingkat "&amp;Aturan!$D$42,IF(K127="Belum ada data","tingkat prosesor belum diisi",""))))</f>
        <v/>
      </c>
      <c r="S127" s="33" t="str">
        <f aca="false">IF($A127="","",IF(L127="Kurang","grafis tingkat "&amp;D127&amp;" dari 5, di bawah batas minimal (tingkat "&amp;Aturan!$C$43&amp;")",IF(L127="Cukup","grafis tingkat "&amp;D127&amp;" dari 5 cukup, nyamannya mulai tingkat "&amp;Aturan!$D$43,IF(L127="Belum ada data","tingkat grafis belum diisi",""))))</f>
        <v/>
      </c>
      <c r="T127" s="33" t="str">
        <f aca="false">IF($A127="","",IF(M127="Kurang","RAM "&amp;E127&amp;" GB, di bawah batas minimal "&amp;Aturan!$C$44&amp;" GB ("&amp;I127&amp;")",IF(M127="Cukup","RAM "&amp;E127&amp;" GB cukup, nyamannya "&amp;Aturan!$D$44&amp;" GB atau lebih ("&amp;I127&amp;")",IF(M127="Belum ada data","ukuran RAM belum diisi",""))))</f>
        <v/>
      </c>
      <c r="U127" s="33" t="str">
        <f aca="false">IF($A127="","",IF(N127="Kurang","penyimpanan "&amp;F127&amp;" GB, di bawah batas minimal "&amp;Aturan!$C$45&amp;" GB ("&amp;J127&amp;")",IF(N127="Cukup","penyimpanan "&amp;F127&amp;" GB cukup, nyamannya "&amp;Aturan!$D$45&amp;" GB atau lebih ("&amp;J127&amp;")",IF(N127="Belum ada data","ukuran penyimpanan belum diisi",""))))</f>
        <v/>
      </c>
      <c r="V127" s="33" t="str">
        <f aca="false">IF($A127="","",IF(O127="Kurang","layar "&amp;Varian!$AG29&amp;", di bawah batas minimal ("&amp;IFERROR(INDEX(Aturan!$A$63:$A$66,MATCH(Aturan!$C$46,Aturan!$B$63:$B$66,0)),"peringkat "&amp;Aturan!$C$46)&amp;")",IF(O127="Cukup","layar "&amp;Varian!$AG29&amp;" cukup, nyamannya "&amp;IFERROR(INDEX(Aturan!$A$63:$A$66,MATCH(Aturan!$D$46,Aturan!$B$63:$B$66,0)),"peringkat "&amp;Aturan!$D$46),IF(O127="Belum ada data","jenis layar belum diketahui",""))))</f>
        <v/>
      </c>
      <c r="W127" s="33" t="str">
        <f aca="false">IF($A127="","",IF(P127="Kurang","layar "&amp;H127&amp;" Hz, di bawah batas minimal "&amp;Aturan!$C$47&amp;" Hz",IF(P127="Cukup","layar "&amp;H127&amp;" Hz cukup, nyamannya "&amp;Aturan!$D$47&amp;" Hz atau lebih",IF(P127="Belum ada data","refresh rate belum diketahui",""))))</f>
        <v/>
      </c>
      <c r="X127" s="33" t="str">
        <f aca="false">IF($A127="","",IF(K127="Kurang",R127&amp;"; ","")&amp;IF(L127="Kurang",S127&amp;"; ","")&amp;IF(M127="Kurang",T127&amp;"; ","")&amp;IF(N127="Kurang",U127&amp;"; ","")&amp;IF(O127="Kurang",V127&amp;"; ","")&amp;IF(P127="Kurang",W127&amp;"; ","")&amp;IF(K127="Belum ada data",R127&amp;"; ","")&amp;IF(L127="Belum ada data",S127&amp;"; ","")&amp;IF(M127="Belum ada data",T127&amp;"; ","")&amp;IF(N127="Belum ada data",U127&amp;"; ","")&amp;IF(O127="Belum ada data",V127&amp;"; ","")&amp;IF(P127="Belum ada data",W127&amp;"; ","")&amp;IF(K127="Cukup",R127&amp;"; ","")&amp;IF(L127="Cukup",S127&amp;"; ","")&amp;IF(M127="Cukup",T127&amp;"; ","")&amp;IF(N127="Cukup",U127&amp;"; ","")&amp;IF(O127="Cukup",V127&amp;"; ","")&amp;IF(P127="Cukup",W127&amp;"; ",""))</f>
        <v/>
      </c>
      <c r="Y127" s="33" t="str">
        <f aca="false">IF($A127="","",IF(K127="Nyaman","prosesor, ","")&amp;IF(L127="Nyaman","grafis, ","")&amp;IF(M127="Nyaman","RAM, ","")&amp;IF(N127="Nyaman","penyimpanan, ","")&amp;IF(O127="Nyaman","layar, ","")&amp;IF(P127="Nyaman","refresh rate, ",""))</f>
        <v>prosesor, RAM, penyimpanan, </v>
      </c>
      <c r="Z127" s="33" t="str">
        <f aca="false">IF($A127="","",IF(Q127="Tidak dinilai","Belum ada kriteria yang dinilai untuk kebutuhan ini.",IF(Q127="Cocok","Semua kriteria yang dinilai sudah nyaman: "&amp;LEFT(Y127,LEN(Y127)-2)&amp;".",UPPER(LEFT(X127,1))&amp;MID(X127,2,LEN(X127)-3)&amp;"."&amp;IF(Y127="",""," Sudah nyaman: "&amp;LEFT(Y127,LEN(Y127)-2)&amp;"."))))</f>
        <v>Semua kriteria yang dinilai sudah nyaman: prosesor, RAM, penyimpanan.</v>
      </c>
      <c r="AA127" s="33"/>
      <c r="AB127" s="33"/>
      <c r="AC127" s="69"/>
    </row>
    <row r="128" customFormat="false" ht="15" hidden="false" customHeight="true" outlineLevel="0" collapsed="false">
      <c r="A128" s="33" t="str">
        <f aca="false">IF(Varian!$A29="","",Varian!$A29)</f>
        <v>lenovo-loq-15irx10-i7-13700hx-rtx5050-16-512</v>
      </c>
      <c r="B128" s="33" t="str">
        <f aca="false">IF($A128="","",Aturan!$A$24)</f>
        <v>Game ringan</v>
      </c>
      <c r="C128" s="69" t="n">
        <f aca="false">IF($A128="","",IFERROR(IF(ISNUMBER(INDEX(CPU!$J$4:$J$64,MATCH(Varian!$J29,CPU!$A$4:$A$64,0))),INDEX(CPU!$J$4:$J$64,MATCH(Varian!$J29,CPU!$A$4:$A$64,0)),""),""))</f>
        <v>5</v>
      </c>
      <c r="D128" s="69" t="n">
        <f aca="false">IF($A128="","",IFERROR(IF(ISNUMBER(INDEX(GPU!$G$4:$G$64,MATCH(Varian!$K29,GPU!$A$4:$A$64,0))),INDEX(GPU!$G$4:$G$64,MATCH(Varian!$K29,GPU!$A$4:$A$64,0)),""),""))</f>
        <v>3</v>
      </c>
      <c r="E128" s="69" t="n">
        <f aca="false">IF($A128="","",IF(ISNUMBER(Varian!$M29),Varian!$M29,""))</f>
        <v>16</v>
      </c>
      <c r="F128" s="69" t="n">
        <f aca="false">IF($A128="","",IF(ISNUMBER(Varian!$V29),Varian!$V29,""))</f>
        <v>512</v>
      </c>
      <c r="G128" s="69" t="n">
        <f aca="false">IF($A128="","",IFERROR(INDEX(Aturan!$B$63:$B$66,MATCH(Varian!$AG29,Aturan!$A$63:$A$66,0)),""))</f>
        <v>3</v>
      </c>
      <c r="H128" s="69" t="n">
        <f aca="false">IF($A128="","",IF(ISNUMBER(Varian!$AI29),Varian!$AI29,""))</f>
        <v>144</v>
      </c>
      <c r="I128" s="33" t="str">
        <f aca="false">IF($A128="","",IF(Varian!$Q29="disolder","menempel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8" s="33" t="str">
        <f aca="false">IF($A128="","",IF(Varian!$Z29="ya","bisa diganti dengan yang lebih besar",IF(Varian!$Z29="tidak","menempel, tidak bisa diganti","belum diketahui apakah bisa diganti")))</f>
        <v>bisa diganti dengan yang lebih besar</v>
      </c>
      <c r="K128" s="70" t="str">
        <f aca="false">IF($A128="","",IF(AND(Aturan!$C$48="",Aturan!$D$48=""),"Tidak dinilai",IF(C128="","Belum ada data",IF(C128&lt;IF(Aturan!$C$48="",0,Aturan!$C$48),"Kurang",IF(C128&gt;=IF(Aturan!$D$48="",Aturan!$C$48,Aturan!$D$48),"Nyaman","Cukup")))))</f>
        <v>Nyaman</v>
      </c>
      <c r="L128" s="70" t="str">
        <f aca="false">IF($A128="","",IF(AND(Aturan!$C$49="",Aturan!$D$49=""),"Tidak dinilai",IF(D128="","Belum ada data",IF(D128&lt;IF(Aturan!$C$49="",0,Aturan!$C$49),"Kurang",IF(D128&gt;=IF(Aturan!$D$49="",Aturan!$C$49,Aturan!$D$49),"Nyaman","Cukup")))))</f>
        <v>Nyaman</v>
      </c>
      <c r="M128" s="70" t="str">
        <f aca="false">IF($A128="","",IF(AND(Aturan!$C$50="",Aturan!$D$50=""),"Tidak dinilai",IF(E128="","Belum ada data",IF(E128&lt;IF(Aturan!$C$50="",0,Aturan!$C$50),"Kurang",IF(E128&gt;=IF(Aturan!$D$50="",Aturan!$C$50,Aturan!$D$50),"Nyaman","Cukup")))))</f>
        <v>Nyaman</v>
      </c>
      <c r="N128" s="70" t="str">
        <f aca="false">IF($A128="","",IF(AND(Aturan!$C$51="",Aturan!$D$51=""),"Tidak dinilai",IF(F128="","Belum ada data",IF(F128&lt;IF(Aturan!$C$51="",0,Aturan!$C$51),"Kurang",IF(F128&gt;=IF(Aturan!$D$51="",Aturan!$C$51,Aturan!$D$51),"Nyaman","Cukup")))))</f>
        <v>Nyaman</v>
      </c>
      <c r="O128" s="70" t="str">
        <f aca="false">IF($A128="","",IF(AND(Aturan!$C$52="",Aturan!$D$52=""),"Tidak dinilai",IF(G128="","Belum ada data",IF(G128&lt;IF(Aturan!$C$52="",0,Aturan!$C$52),"Kurang",IF(G128&gt;=IF(Aturan!$D$52="",Aturan!$C$52,Aturan!$D$52),"Nyaman","Cukup")))))</f>
        <v>Tidak dinilai</v>
      </c>
      <c r="P128" s="70" t="str">
        <f aca="false">IF($A128="","",IF(AND(Aturan!$C$53="",Aturan!$D$53=""),"Tidak dinilai",IF(H128="","Belum ada data",IF(H128&lt;IF(Aturan!$C$53="",0,Aturan!$C$53),"Kurang",IF(H128&gt;=IF(Aturan!$D$53="",Aturan!$C$53,Aturan!$D$53),"Nyaman","Cukup")))))</f>
        <v>Tidak dinilai</v>
      </c>
      <c r="Q128" s="70" t="str">
        <f aca="false">IF($A128="","",IF(COUNTIF(K128:P128,"Tidak dinilai")=6,"Tidak dinilai",IF(COUNTIF(K128:P128,"Kurang")&gt;0,"Kurang cocok",IF(COUNTIF(K128:P128,"Belum ada data")&gt;0,"Data belum lengkap",IF(COUNTIF(K128:P128,"Cukup")&gt;0,"Bisa, dengan catatan","Cocok")))))</f>
        <v>Cocok</v>
      </c>
      <c r="R128" s="33" t="str">
        <f aca="false">IF($A128="","",IF(K128="Kurang","prosesor tingkat "&amp;C128&amp;" dari 5, di bawah batas minimal (tingkat "&amp;Aturan!$C$48&amp;")",IF(K128="Cukup","prosesor tingkat "&amp;C128&amp;" dari 5 cukup, nyamannya mulai tingkat "&amp;Aturan!$D$48,IF(K128="Belum ada data","tingkat prosesor belum diisi",""))))</f>
        <v/>
      </c>
      <c r="S128" s="33" t="str">
        <f aca="false">IF($A128="","",IF(L128="Kurang","grafis tingkat "&amp;D128&amp;" dari 5, di bawah batas minimal (tingkat "&amp;Aturan!$C$49&amp;")",IF(L128="Cukup","grafis tingkat "&amp;D128&amp;" dari 5 cukup, nyamannya mulai tingkat "&amp;Aturan!$D$49,IF(L128="Belum ada data","tingkat grafis belum diisi",""))))</f>
        <v/>
      </c>
      <c r="T128" s="33" t="str">
        <f aca="false">IF($A128="","",IF(M128="Kurang","RAM "&amp;E128&amp;" GB, di bawah batas minimal "&amp;Aturan!$C$50&amp;" GB ("&amp;I128&amp;")",IF(M128="Cukup","RAM "&amp;E128&amp;" GB cukup, nyamannya "&amp;Aturan!$D$50&amp;" GB atau lebih ("&amp;I128&amp;")",IF(M128="Belum ada data","ukuran RAM belum diisi",""))))</f>
        <v/>
      </c>
      <c r="U128" s="33" t="str">
        <f aca="false">IF($A128="","",IF(N128="Kurang","penyimpanan "&amp;F128&amp;" GB, di bawah batas minimal "&amp;Aturan!$C$51&amp;" GB ("&amp;J128&amp;")",IF(N128="Cukup","penyimpanan "&amp;F128&amp;" GB cukup, nyamannya "&amp;Aturan!$D$51&amp;" GB atau lebih ("&amp;J128&amp;")",IF(N128="Belum ada data","ukuran penyimpanan belum diisi",""))))</f>
        <v/>
      </c>
      <c r="V128" s="33" t="str">
        <f aca="false">IF($A128="","",IF(O128="Kurang","layar "&amp;Varian!$AG29&amp;", di bawah batas minimal ("&amp;IFERROR(INDEX(Aturan!$A$63:$A$66,MATCH(Aturan!$C$52,Aturan!$B$63:$B$66,0)),"peringkat "&amp;Aturan!$C$52)&amp;")",IF(O128="Cukup","layar "&amp;Varian!$AG29&amp;" cukup, nyamannya "&amp;IFERROR(INDEX(Aturan!$A$63:$A$66,MATCH(Aturan!$D$52,Aturan!$B$63:$B$66,0)),"peringkat "&amp;Aturan!$D$52),IF(O128="Belum ada data","jenis layar belum diketahui",""))))</f>
        <v/>
      </c>
      <c r="W128" s="33" t="str">
        <f aca="false">IF($A128="","",IF(P128="Kurang","layar "&amp;H128&amp;" Hz, di bawah batas minimal "&amp;Aturan!$C$53&amp;" Hz",IF(P128="Cukup","layar "&amp;H128&amp;" Hz cukup, nyamannya "&amp;Aturan!$D$53&amp;" Hz atau lebih",IF(P128="Belum ada data","refresh rate belum diketahui",""))))</f>
        <v/>
      </c>
      <c r="X128" s="33" t="str">
        <f aca="false">IF($A128="","",IF(K128="Kurang",R128&amp;"; ","")&amp;IF(L128="Kurang",S128&amp;"; ","")&amp;IF(M128="Kurang",T128&amp;"; ","")&amp;IF(N128="Kurang",U128&amp;"; ","")&amp;IF(O128="Kurang",V128&amp;"; ","")&amp;IF(P128="Kurang",W128&amp;"; ","")&amp;IF(K128="Belum ada data",R128&amp;"; ","")&amp;IF(L128="Belum ada data",S128&amp;"; ","")&amp;IF(M128="Belum ada data",T128&amp;"; ","")&amp;IF(N128="Belum ada data",U128&amp;"; ","")&amp;IF(O128="Belum ada data",V128&amp;"; ","")&amp;IF(P128="Belum ada data",W128&amp;"; ","")&amp;IF(K128="Cukup",R128&amp;"; ","")&amp;IF(L128="Cukup",S128&amp;"; ","")&amp;IF(M128="Cukup",T128&amp;"; ","")&amp;IF(N128="Cukup",U128&amp;"; ","")&amp;IF(O128="Cukup",V128&amp;"; ","")&amp;IF(P128="Cukup",W128&amp;"; ",""))</f>
        <v/>
      </c>
      <c r="Y128" s="33" t="str">
        <f aca="false">IF($A128="","",IF(K128="Nyaman","prosesor, ","")&amp;IF(L128="Nyaman","grafis, ","")&amp;IF(M128="Nyaman","RAM, ","")&amp;IF(N128="Nyaman","penyimpanan, ","")&amp;IF(O128="Nyaman","layar, ","")&amp;IF(P128="Nyaman","refresh rate, ",""))</f>
        <v>prosesor, grafis, RAM, penyimpanan, </v>
      </c>
      <c r="Z128" s="33" t="str">
        <f aca="false">IF($A128="","",IF(Q128="Tidak dinilai","Belum ada kriteria yang dinilai untuk kebutuhan ini.",IF(Q128="Cocok","Semua kriteria yang dinilai sudah nyaman: "&amp;LEFT(Y128,LEN(Y128)-2)&amp;".",UPPER(LEFT(X128,1))&amp;MID(X128,2,LEN(X128)-3)&amp;"."&amp;IF(Y128="",""," Sudah nyaman: "&amp;LEFT(Y128,LEN(Y128)-2)&amp;"."))))</f>
        <v>Semua kriteria yang dinilai sudah nyaman: prosesor, grafis, RAM, penyimpanan.</v>
      </c>
      <c r="AA128" s="33"/>
      <c r="AB128" s="33"/>
      <c r="AC128" s="69"/>
    </row>
    <row r="129" customFormat="false" ht="15" hidden="false" customHeight="true" outlineLevel="0" collapsed="false">
      <c r="A129" s="33" t="str">
        <f aca="false">IF(Varian!$A29="","",Varian!$A29)</f>
        <v>lenovo-loq-15irx10-i7-13700hx-rtx5050-16-512</v>
      </c>
      <c r="B129" s="33" t="str">
        <f aca="false">IF($A129="","",Aturan!$A$25)</f>
        <v>Game berat</v>
      </c>
      <c r="C129" s="69" t="n">
        <f aca="false">IF($A129="","",IFERROR(IF(ISNUMBER(INDEX(CPU!$J$4:$J$64,MATCH(Varian!$J29,CPU!$A$4:$A$64,0))),INDEX(CPU!$J$4:$J$64,MATCH(Varian!$J29,CPU!$A$4:$A$64,0)),""),""))</f>
        <v>5</v>
      </c>
      <c r="D129" s="69" t="n">
        <f aca="false">IF($A129="","",IFERROR(IF(ISNUMBER(INDEX(GPU!$G$4:$G$64,MATCH(Varian!$K29,GPU!$A$4:$A$64,0))),INDEX(GPU!$G$4:$G$64,MATCH(Varian!$K29,GPU!$A$4:$A$64,0)),""),""))</f>
        <v>3</v>
      </c>
      <c r="E129" s="69" t="n">
        <f aca="false">IF($A129="","",IF(ISNUMBER(Varian!$M29),Varian!$M29,""))</f>
        <v>16</v>
      </c>
      <c r="F129" s="69" t="n">
        <f aca="false">IF($A129="","",IF(ISNUMBER(Varian!$V29),Varian!$V29,""))</f>
        <v>512</v>
      </c>
      <c r="G129" s="69" t="n">
        <f aca="false">IF($A129="","",IFERROR(INDEX(Aturan!$B$63:$B$66,MATCH(Varian!$AG29,Aturan!$A$63:$A$66,0)),""))</f>
        <v>3</v>
      </c>
      <c r="H129" s="69" t="n">
        <f aca="false">IF($A129="","",IF(ISNUMBER(Varian!$AI29),Varian!$AI29,""))</f>
        <v>144</v>
      </c>
      <c r="I129" s="33" t="str">
        <f aca="false">IF($A129="","",IF(Varian!$Q29="disolder","menempel di papan utama, tidak bisa ditambah",IF(OR(Varian!$Q29="slot",Varian!$Q29="setengah_disolder"),IF(Varian!$Q29="setengah_disolder","sebagian menempel, ","")&amp;IF(ISNUMBER(Varian!$U29),IF(AND(ISNUMBER(Varian!$M29),Varian!$U29&gt;Varian!$M29),"bisa dinaikkan lewat slot sampai "&amp;Varian!$U29&amp;" GB","sudah di batas maksimal "&amp;Varian!$U29&amp;" GB"),"ada slot, batas maksimalnya belum diketahui"),"belum diketahui apakah bisa ditambah")))</f>
        <v>bisa dinaikkan lewat slot sampai 32 GB</v>
      </c>
      <c r="J129" s="33" t="str">
        <f aca="false">IF($A129="","",IF(Varian!$Z29="ya","bisa diganti dengan yang lebih besar",IF(Varian!$Z29="tidak","menempel, tidak bisa diganti","belum diketahui apakah bisa diganti")))</f>
        <v>bisa diganti dengan yang lebih besar</v>
      </c>
      <c r="K129" s="70" t="str">
        <f aca="false">IF($A129="","",IF(AND(Aturan!$C$54="",Aturan!$D$54=""),"Tidak dinilai",IF(C129="","Belum ada data",IF(C129&lt;IF(Aturan!$C$54="",0,Aturan!$C$54),"Kurang",IF(C129&gt;=IF(Aturan!$D$54="",Aturan!$C$54,Aturan!$D$54),"Nyaman","Cukup")))))</f>
        <v>Nyaman</v>
      </c>
      <c r="L129" s="70" t="str">
        <f aca="false">IF($A129="","",IF(AND(Aturan!$C$55="",Aturan!$D$55=""),"Tidak dinilai",IF(D129="","Belum ada data",IF(D129&lt;IF(Aturan!$C$55="",0,Aturan!$C$55),"Kurang",IF(D129&gt;=IF(Aturan!$D$55="",Aturan!$C$55,Aturan!$D$55),"Nyaman","Cukup")))))</f>
        <v>Cukup</v>
      </c>
      <c r="M129" s="70" t="str">
        <f aca="false">IF($A129="","",IF(AND(Aturan!$C$56="",Aturan!$D$56=""),"Tidak dinilai",IF(E129="","Belum ada data",IF(E129&lt;IF(Aturan!$C$56="",0,Aturan!$C$56),"Kurang",IF(E129&gt;=IF(Aturan!$D$56="",Aturan!$C$56,Aturan!$D$56),"Nyaman","Cukup")))))</f>
        <v>Nyaman</v>
      </c>
      <c r="N129" s="70" t="str">
        <f aca="false">IF($A129="","",IF(AND(Aturan!$C$57="",Aturan!$D$57=""),"Tidak dinilai",IF(F129="","Belum ada data",IF(F129&lt;IF(Aturan!$C$57="",0,Aturan!$C$57),"Kurang",IF(F129&gt;=IF(Aturan!$D$57="",Aturan!$C$57,Aturan!$D$57),"Nyaman","Cukup")))))</f>
        <v>Cukup</v>
      </c>
      <c r="O129" s="70" t="str">
        <f aca="false">IF($A129="","",IF(AND(Aturan!$C$58="",Aturan!$D$58=""),"Tidak dinilai",IF(G129="","Belum ada data",IF(G129&lt;IF(Aturan!$C$58="",0,Aturan!$C$58),"Kurang",IF(G129&gt;=IF(Aturan!$D$58="",Aturan!$C$58,Aturan!$D$58),"Nyaman","Cukup")))))</f>
        <v>Tidak dinilai</v>
      </c>
      <c r="P129" s="70" t="str">
        <f aca="false">IF($A129="","",IF(AND(Aturan!$C$59="",Aturan!$D$59=""),"Tidak dinilai",IF(H129="","Belum ada data",IF(H129&lt;IF(Aturan!$C$59="",0,Aturan!$C$59),"Kurang",IF(H129&gt;=IF(Aturan!$D$59="",Aturan!$C$59,Aturan!$D$59),"Nyaman","Cukup")))))</f>
        <v>Nyaman</v>
      </c>
      <c r="Q129" s="70" t="str">
        <f aca="false">IF($A129="","",IF(COUNTIF(K129:P129,"Tidak dinilai")=6,"Tidak dinilai",IF(COUNTIF(K129:P129,"Kurang")&gt;0,"Kurang cocok",IF(COUNTIF(K129:P129,"Belum ada data")&gt;0,"Data belum lengkap",IF(COUNTIF(K129:P129,"Cukup")&gt;0,"Bisa, dengan catatan","Cocok")))))</f>
        <v>Bisa, dengan catatan</v>
      </c>
      <c r="R129" s="33" t="str">
        <f aca="false">IF($A129="","",IF(K129="Kurang","prosesor tingkat "&amp;C129&amp;" dari 5, di bawah batas minimal (tingkat "&amp;Aturan!$C$54&amp;")",IF(K129="Cukup","prosesor tingkat "&amp;C129&amp;" dari 5 cukup, nyamannya mulai tingkat "&amp;Aturan!$D$54,IF(K129="Belum ada data","tingkat prosesor belum diisi",""))))</f>
        <v/>
      </c>
      <c r="S129" s="33" t="str">
        <f aca="false">IF($A129="","",IF(L129="Kurang","grafis tingkat "&amp;D129&amp;" dari 5, di bawah batas minimal (tingkat "&amp;Aturan!$C$55&amp;")",IF(L129="Cukup","grafis tingkat "&amp;D129&amp;" dari 5 cukup, nyamannya mulai tingkat "&amp;Aturan!$D$55,IF(L129="Belum ada data","tingkat grafis belum diisi",""))))</f>
        <v>grafis tingkat 3 dari 5 cukup, nyamannya mulai tingkat 4</v>
      </c>
      <c r="T129" s="33" t="str">
        <f aca="false">IF($A129="","",IF(M129="Kurang","RAM "&amp;E129&amp;" GB, di bawah batas minimal "&amp;Aturan!$C$56&amp;" GB ("&amp;I129&amp;")",IF(M129="Cukup","RAM "&amp;E129&amp;" GB cukup, nyamannya "&amp;Aturan!$D$56&amp;" GB atau lebih ("&amp;I129&amp;")",IF(M129="Belum ada data","ukuran RAM belum diisi",""))))</f>
        <v/>
      </c>
      <c r="U129" s="33" t="str">
        <f aca="false">IF($A129="","",IF(N129="Kurang","penyimpanan "&amp;F129&amp;" GB, di bawah batas minimal "&amp;Aturan!$C$57&amp;" GB ("&amp;J129&amp;")",IF(N129="Cukup","penyimpanan "&amp;F129&amp;" GB cukup, nyamannya "&amp;Aturan!$D$57&amp;" GB atau lebih ("&amp;J129&amp;")",IF(N129="Belum ada data","ukuran penyimpanan belum diisi",""))))</f>
        <v>penyimpanan 512 GB cukup, nyamannya 1000 GB atau lebih (bisa diganti dengan yang lebih besar)</v>
      </c>
      <c r="V129" s="33" t="str">
        <f aca="false">IF($A129="","",IF(O129="Kurang","layar "&amp;Varian!$AG29&amp;", di bawah batas minimal ("&amp;IFERROR(INDEX(Aturan!$A$63:$A$66,MATCH(Aturan!$C$58,Aturan!$B$63:$B$66,0)),"peringkat "&amp;Aturan!$C$58)&amp;")",IF(O129="Cukup","layar "&amp;Varian!$AG29&amp;" cukup, nyamannya "&amp;IFERROR(INDEX(Aturan!$A$63:$A$66,MATCH(Aturan!$D$58,Aturan!$B$63:$B$66,0)),"peringkat "&amp;Aturan!$D$58),IF(O129="Belum ada data","jenis layar belum diketahui",""))))</f>
        <v/>
      </c>
      <c r="W129" s="33" t="str">
        <f aca="false">IF($A129="","",IF(P129="Kurang","layar "&amp;H129&amp;" Hz, di bawah batas minimal "&amp;Aturan!$C$59&amp;" Hz",IF(P129="Cukup","layar "&amp;H129&amp;" Hz cukup, nyamannya "&amp;Aturan!$D$59&amp;" Hz atau lebih",IF(P129="Belum ada data","refresh rate belum diketahui",""))))</f>
        <v/>
      </c>
      <c r="X129" s="33" t="str">
        <f aca="false">IF($A129="","",IF(K129="Kurang",R129&amp;"; ","")&amp;IF(L129="Kurang",S129&amp;"; ","")&amp;IF(M129="Kurang",T129&amp;"; ","")&amp;IF(N129="Kurang",U129&amp;"; ","")&amp;IF(O129="Kurang",V129&amp;"; ","")&amp;IF(P129="Kurang",W129&amp;"; ","")&amp;IF(K129="Belum ada data",R129&amp;"; ","")&amp;IF(L129="Belum ada data",S129&amp;"; ","")&amp;IF(M129="Belum ada data",T129&amp;"; ","")&amp;IF(N129="Belum ada data",U129&amp;"; ","")&amp;IF(O129="Belum ada data",V129&amp;"; ","")&amp;IF(P129="Belum ada data",W129&amp;"; ","")&amp;IF(K129="Cukup",R129&amp;"; ","")&amp;IF(L129="Cukup",S129&amp;"; ","")&amp;IF(M129="Cukup",T129&amp;"; ","")&amp;IF(N129="Cukup",U129&amp;"; ","")&amp;IF(O129="Cukup",V129&amp;"; ","")&amp;IF(P129="Cukup",W129&amp;"; ",""))</f>
        <v>grafis tingkat 3 dari 5 cukup, nyamannya mulai tingkat 4; penyimpanan 512 GB cukup, nyamannya 1000 GB atau lebih (bisa diganti dengan yang lebih besar); </v>
      </c>
      <c r="Y129" s="33" t="str">
        <f aca="false">IF($A129="","",IF(K129="Nyaman","prosesor, ","")&amp;IF(L129="Nyaman","grafis, ","")&amp;IF(M129="Nyaman","RAM, ","")&amp;IF(N129="Nyaman","penyimpanan, ","")&amp;IF(O129="Nyaman","layar, ","")&amp;IF(P129="Nyaman","refresh rate, ",""))</f>
        <v>prosesor, RAM, refresh rate, </v>
      </c>
      <c r="Z129" s="33" t="str">
        <f aca="false">IF($A129="","",IF(Q129="Tidak dinilai","Belum ada kriteria yang dinilai untuk kebutuhan ini.",IF(Q129="Cocok","Semua kriteria yang dinilai sudah nyaman: "&amp;LEFT(Y129,LEN(Y129)-2)&amp;".",UPPER(LEFT(X129,1))&amp;MID(X129,2,LEN(X129)-3)&amp;"."&amp;IF(Y129="",""," Sudah nyaman: "&amp;LEFT(Y129,LEN(Y129)-2)&amp;"."))))</f>
        <v>Grafis tingkat 3 dari 5 cukup, nyamannya mulai tingkat 4; penyimpanan 512 GB cukup, nyamannya 1000 GB atau lebih (bisa diganti dengan yang lebih besar). Sudah nyaman: prosesor, RAM, refresh rate.</v>
      </c>
      <c r="AA129" s="33"/>
      <c r="AB129" s="33"/>
      <c r="AC129" s="69"/>
    </row>
    <row r="130" customFormat="false" ht="15" hidden="false" customHeight="true" outlineLevel="0" collapsed="false">
      <c r="A130" s="66" t="str">
        <f aca="false">IF(Varian!$A30="","",Varian!$A30)</f>
        <v>lenovo-loq-15irx10-i5-13450hx-rtx5050-16-512</v>
      </c>
      <c r="B130" s="66" t="str">
        <f aca="false">IF($A130="","",Aturan!$A$21)</f>
        <v>Kuliah dan kantor</v>
      </c>
      <c r="C130" s="67" t="n">
        <f aca="false">IF($A130="","",IFERROR(IF(ISNUMBER(INDEX(CPU!$J$4:$J$64,MATCH(Varian!$J30,CPU!$A$4:$A$64,0))),INDEX(CPU!$J$4:$J$64,MATCH(Varian!$J30,CPU!$A$4:$A$64,0)),""),""))</f>
        <v>4</v>
      </c>
      <c r="D130" s="67" t="n">
        <f aca="false">IF($A130="","",IFERROR(IF(ISNUMBER(INDEX(GPU!$G$4:$G$64,MATCH(Varian!$K30,GPU!$A$4:$A$64,0))),INDEX(GPU!$G$4:$G$64,MATCH(Varian!$K30,GPU!$A$4:$A$64,0)),""),""))</f>
        <v>3</v>
      </c>
      <c r="E130" s="67" t="n">
        <f aca="false">IF($A130="","",IF(ISNUMBER(Varian!$M30),Varian!$M30,""))</f>
        <v>16</v>
      </c>
      <c r="F130" s="67" t="n">
        <f aca="false">IF($A130="","",IF(ISNUMBER(Varian!$V30),Varian!$V30,""))</f>
        <v>512</v>
      </c>
      <c r="G130" s="67" t="n">
        <f aca="false">IF($A130="","",IFERROR(INDEX(Aturan!$B$63:$B$66,MATCH(Varian!$AG30,Aturan!$A$63:$A$66,0)),""))</f>
        <v>3</v>
      </c>
      <c r="H130" s="67" t="n">
        <f aca="false">IF($A130="","",IF(ISNUMBER(Varian!$AI30),Varian!$AI30,""))</f>
        <v>144</v>
      </c>
      <c r="I130" s="66" t="str">
        <f aca="false">IF($A130="","",IF(Varian!$Q30="disolder","menempel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0" s="66" t="str">
        <f aca="false">IF($A130="","",IF(Varian!$Z30="ya","bisa diganti dengan yang lebih besar",IF(Varian!$Z30="tidak","menempel, tidak bisa diganti","belum diketahui apakah bisa diganti")))</f>
        <v>bisa diganti dengan yang lebih besar</v>
      </c>
      <c r="K130" s="68" t="str">
        <f aca="false">IF($A130="","",IF(AND(Aturan!$C$30="",Aturan!$D$30=""),"Tidak dinilai",IF(C130="","Belum ada data",IF(C130&lt;IF(Aturan!$C$30="",0,Aturan!$C$30),"Kurang",IF(C130&gt;=IF(Aturan!$D$30="",Aturan!$C$30,Aturan!$D$30),"Nyaman","Cukup")))))</f>
        <v>Nyaman</v>
      </c>
      <c r="L130" s="68" t="str">
        <f aca="false">IF($A130="","",IF(AND(Aturan!$C$31="",Aturan!$D$31=""),"Tidak dinilai",IF(D130="","Belum ada data",IF(D130&lt;IF(Aturan!$C$31="",0,Aturan!$C$31),"Kurang",IF(D130&gt;=IF(Aturan!$D$31="",Aturan!$C$31,Aturan!$D$31),"Nyaman","Cukup")))))</f>
        <v>Tidak dinilai</v>
      </c>
      <c r="M130" s="68" t="str">
        <f aca="false">IF($A130="","",IF(AND(Aturan!$C$32="",Aturan!$D$32=""),"Tidak dinilai",IF(E130="","Belum ada data",IF(E130&lt;IF(Aturan!$C$32="",0,Aturan!$C$32),"Kurang",IF(E130&gt;=IF(Aturan!$D$32="",Aturan!$C$32,Aturan!$D$32),"Nyaman","Cukup")))))</f>
        <v>Nyaman</v>
      </c>
      <c r="N130" s="68" t="str">
        <f aca="false">IF($A130="","",IF(AND(Aturan!$C$33="",Aturan!$D$33=""),"Tidak dinilai",IF(F130="","Belum ada data",IF(F130&lt;IF(Aturan!$C$33="",0,Aturan!$C$33),"Kurang",IF(F130&gt;=IF(Aturan!$D$33="",Aturan!$C$33,Aturan!$D$33),"Nyaman","Cukup")))))</f>
        <v>Nyaman</v>
      </c>
      <c r="O130" s="68" t="str">
        <f aca="false">IF($A130="","",IF(AND(Aturan!$C$34="",Aturan!$D$34=""),"Tidak dinilai",IF(G130="","Belum ada data",IF(G130&lt;IF(Aturan!$C$34="",0,Aturan!$C$34),"Kurang",IF(G130&gt;=IF(Aturan!$D$34="",Aturan!$C$34,Aturan!$D$34),"Nyaman","Cukup")))))</f>
        <v>Tidak dinilai</v>
      </c>
      <c r="P130" s="68" t="str">
        <f aca="false">IF($A130="","",IF(AND(Aturan!$C$35="",Aturan!$D$35=""),"Tidak dinilai",IF(H130="","Belum ada data",IF(H130&lt;IF(Aturan!$C$35="",0,Aturan!$C$35),"Kurang",IF(H130&gt;=IF(Aturan!$D$35="",Aturan!$C$35,Aturan!$D$35),"Nyaman","Cukup")))))</f>
        <v>Tidak dinilai</v>
      </c>
      <c r="Q130" s="68" t="str">
        <f aca="false">IF($A130="","",IF(COUNTIF(K130:P130,"Tidak dinilai")=6,"Tidak dinilai",IF(COUNTIF(K130:P130,"Kurang")&gt;0,"Kurang cocok",IF(COUNTIF(K130:P130,"Belum ada data")&gt;0,"Data belum lengkap",IF(COUNTIF(K130:P130,"Cukup")&gt;0,"Bisa, dengan catatan","Cocok")))))</f>
        <v>Cocok</v>
      </c>
      <c r="R130" s="66" t="str">
        <f aca="false">IF($A130="","",IF(K130="Kurang","prosesor tingkat "&amp;C130&amp;" dari 5, di bawah batas minimal (tingkat "&amp;Aturan!$C$30&amp;")",IF(K130="Cukup","prosesor tingkat "&amp;C130&amp;" dari 5 cukup, nyamannya mulai tingkat "&amp;Aturan!$D$30,IF(K130="Belum ada data","tingkat prosesor belum diisi",""))))</f>
        <v/>
      </c>
      <c r="S130" s="66" t="str">
        <f aca="false">IF($A130="","",IF(L130="Kurang","grafis tingkat "&amp;D130&amp;" dari 5, di bawah batas minimal (tingkat "&amp;Aturan!$C$31&amp;")",IF(L130="Cukup","grafis tingkat "&amp;D130&amp;" dari 5 cukup, nyamannya mulai tingkat "&amp;Aturan!$D$31,IF(L130="Belum ada data","tingkat grafis belum diisi",""))))</f>
        <v/>
      </c>
      <c r="T130" s="66" t="str">
        <f aca="false">IF($A130="","",IF(M130="Kurang","RAM "&amp;E130&amp;" GB, di bawah batas minimal "&amp;Aturan!$C$32&amp;" GB ("&amp;I130&amp;")",IF(M130="Cukup","RAM "&amp;E130&amp;" GB cukup, nyamannya "&amp;Aturan!$D$32&amp;" GB atau lebih ("&amp;I130&amp;")",IF(M130="Belum ada data","ukuran RAM belum diisi",""))))</f>
        <v/>
      </c>
      <c r="U130" s="66" t="str">
        <f aca="false">IF($A130="","",IF(N130="Kurang","penyimpanan "&amp;F130&amp;" GB, di bawah batas minimal "&amp;Aturan!$C$33&amp;" GB ("&amp;J130&amp;")",IF(N130="Cukup","penyimpanan "&amp;F130&amp;" GB cukup, nyamannya "&amp;Aturan!$D$33&amp;" GB atau lebih ("&amp;J130&amp;")",IF(N130="Belum ada data","ukuran penyimpanan belum diisi",""))))</f>
        <v/>
      </c>
      <c r="V130" s="66" t="str">
        <f aca="false">IF($A130="","",IF(O130="Kurang","layar "&amp;Varian!$AG30&amp;", di bawah batas minimal ("&amp;IFERROR(INDEX(Aturan!$A$63:$A$66,MATCH(Aturan!$C$34,Aturan!$B$63:$B$66,0)),"peringkat "&amp;Aturan!$C$34)&amp;")",IF(O130="Cukup","layar "&amp;Varian!$AG30&amp;" cukup, nyamannya "&amp;IFERROR(INDEX(Aturan!$A$63:$A$66,MATCH(Aturan!$D$34,Aturan!$B$63:$B$66,0)),"peringkat "&amp;Aturan!$D$34),IF(O130="Belum ada data","jenis layar belum diketahui",""))))</f>
        <v/>
      </c>
      <c r="W130" s="66" t="str">
        <f aca="false">IF($A130="","",IF(P130="Kurang","layar "&amp;H130&amp;" Hz, di bawah batas minimal "&amp;Aturan!$C$35&amp;" Hz",IF(P130="Cukup","layar "&amp;H130&amp;" Hz cukup, nyamannya "&amp;Aturan!$D$35&amp;" Hz atau lebih",IF(P130="Belum ada data","refresh rate belum diketahui",""))))</f>
        <v/>
      </c>
      <c r="X130" s="66" t="str">
        <f aca="false">IF($A130="","",IF(K130="Kurang",R130&amp;"; ","")&amp;IF(L130="Kurang",S130&amp;"; ","")&amp;IF(M130="Kurang",T130&amp;"; ","")&amp;IF(N130="Kurang",U130&amp;"; ","")&amp;IF(O130="Kurang",V130&amp;"; ","")&amp;IF(P130="Kurang",W130&amp;"; ","")&amp;IF(K130="Belum ada data",R130&amp;"; ","")&amp;IF(L130="Belum ada data",S130&amp;"; ","")&amp;IF(M130="Belum ada data",T130&amp;"; ","")&amp;IF(N130="Belum ada data",U130&amp;"; ","")&amp;IF(O130="Belum ada data",V130&amp;"; ","")&amp;IF(P130="Belum ada data",W130&amp;"; ","")&amp;IF(K130="Cukup",R130&amp;"; ","")&amp;IF(L130="Cukup",S130&amp;"; ","")&amp;IF(M130="Cukup",T130&amp;"; ","")&amp;IF(N130="Cukup",U130&amp;"; ","")&amp;IF(O130="Cukup",V130&amp;"; ","")&amp;IF(P130="Cukup",W130&amp;"; ",""))</f>
        <v/>
      </c>
      <c r="Y130" s="66" t="str">
        <f aca="false">IF($A130="","",IF(K130="Nyaman","prosesor, ","")&amp;IF(L130="Nyaman","grafis, ","")&amp;IF(M130="Nyaman","RAM, ","")&amp;IF(N130="Nyaman","penyimpanan, ","")&amp;IF(O130="Nyaman","layar, ","")&amp;IF(P130="Nyaman","refresh rate, ",""))</f>
        <v>prosesor, RAM, penyimpanan, </v>
      </c>
      <c r="Z130" s="66" t="str">
        <f aca="false">IF($A130="","",IF(Q130="Tidak dinilai","Belum ada kriteria yang dinilai untuk kebutuhan ini.",IF(Q130="Cocok","Semua kriteria yang dinilai sudah nyaman: "&amp;LEFT(Y130,LEN(Y130)-2)&amp;".",UPPER(LEFT(X130,1))&amp;MID(X130,2,LEN(X130)-3)&amp;"."&amp;IF(Y130="",""," Sudah nyaman: "&amp;LEFT(Y130,LEN(Y130)-2)&amp;"."))))</f>
        <v>Semua kriteria yang dinilai sudah nyaman: prosesor, RAM, penyimpanan.</v>
      </c>
      <c r="AA130" s="66" t="str">
        <f aca="false">IF($A130="","",IF(Varian!$AR30="Windows 10","• "&amp;Aturan!$E$71&amp;CHAR(10),"")&amp;IF(Varian!$BB30="tidak","• "&amp;Aturan!$E$72&amp;CHAR(10),"")&amp;IF(OR(Varian!$AD30="belum terverifikasi",Varian!$AD30="tidak diketahui"),"• "&amp;Aturan!$E$73&amp;CHAR(10),"")&amp;IF(Varian!$AH30="1366x768","• "&amp;Aturan!$E$74&amp;CHAR(10),"")&amp;IF(Varian!$AG30="TN","• "&amp;Aturan!$E$75&amp;CHAR(10),"")&amp;IF(AND(Varian!$Q30="disolder",ISNUMBER(Varian!$M30),Varian!$M30&lt;=8),"• "&amp;Aturan!$E$76&amp;CHAR(10),""))</f>
        <v/>
      </c>
      <c r="AB130" s="66" t="str">
        <f aca="false">IF($A130="","",IF(AA130="","",LEFT(AA130,LEN(AA130)-1)))</f>
        <v/>
      </c>
      <c r="AC130" s="67" t="n">
        <f aca="false">IF($A130="","",IF(AA130="",0,LEN(AA130)-LEN(SUBSTITUTE(AA130,CHAR(10),""))))</f>
        <v>0</v>
      </c>
    </row>
    <row r="131" customFormat="false" ht="15" hidden="false" customHeight="true" outlineLevel="0" collapsed="false">
      <c r="A131" s="33" t="str">
        <f aca="false">IF(Varian!$A30="","",Varian!$A30)</f>
        <v>lenovo-loq-15irx10-i5-13450hx-rtx5050-16-512</v>
      </c>
      <c r="B131" s="33" t="str">
        <f aca="false">IF($A131="","",Aturan!$A$22)</f>
        <v>Desain grafis</v>
      </c>
      <c r="C131" s="69" t="n">
        <f aca="false">IF($A131="","",IFERROR(IF(ISNUMBER(INDEX(CPU!$J$4:$J$64,MATCH(Varian!$J30,CPU!$A$4:$A$64,0))),INDEX(CPU!$J$4:$J$64,MATCH(Varian!$J30,CPU!$A$4:$A$64,0)),""),""))</f>
        <v>4</v>
      </c>
      <c r="D131" s="69" t="n">
        <f aca="false">IF($A131="","",IFERROR(IF(ISNUMBER(INDEX(GPU!$G$4:$G$64,MATCH(Varian!$K30,GPU!$A$4:$A$64,0))),INDEX(GPU!$G$4:$G$64,MATCH(Varian!$K30,GPU!$A$4:$A$64,0)),""),""))</f>
        <v>3</v>
      </c>
      <c r="E131" s="69" t="n">
        <f aca="false">IF($A131="","",IF(ISNUMBER(Varian!$M30),Varian!$M30,""))</f>
        <v>16</v>
      </c>
      <c r="F131" s="69" t="n">
        <f aca="false">IF($A131="","",IF(ISNUMBER(Varian!$V30),Varian!$V30,""))</f>
        <v>512</v>
      </c>
      <c r="G131" s="69" t="n">
        <f aca="false">IF($A131="","",IFERROR(INDEX(Aturan!$B$63:$B$66,MATCH(Varian!$AG30,Aturan!$A$63:$A$66,0)),""))</f>
        <v>3</v>
      </c>
      <c r="H131" s="69" t="n">
        <f aca="false">IF($A131="","",IF(ISNUMBER(Varian!$AI30),Varian!$AI30,""))</f>
        <v>144</v>
      </c>
      <c r="I131" s="33" t="str">
        <f aca="false">IF($A131="","",IF(Varian!$Q30="disolder","menempel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1" s="33" t="str">
        <f aca="false">IF($A131="","",IF(Varian!$Z30="ya","bisa diganti dengan yang lebih besar",IF(Varian!$Z30="tidak","menempel, tidak bisa diganti","belum diketahui apakah bisa diganti")))</f>
        <v>bisa diganti dengan yang lebih besar</v>
      </c>
      <c r="K131" s="70" t="str">
        <f aca="false">IF($A131="","",IF(AND(Aturan!$C$36="",Aturan!$D$36=""),"Tidak dinilai",IF(C131="","Belum ada data",IF(C131&lt;IF(Aturan!$C$36="",0,Aturan!$C$36),"Kurang",IF(C131&gt;=IF(Aturan!$D$36="",Aturan!$C$36,Aturan!$D$36),"Nyaman","Cukup")))))</f>
        <v>Nyaman</v>
      </c>
      <c r="L131" s="70" t="str">
        <f aca="false">IF($A131="","",IF(AND(Aturan!$C$37="",Aturan!$D$37=""),"Tidak dinilai",IF(D131="","Belum ada data",IF(D131&lt;IF(Aturan!$C$37="",0,Aturan!$C$37),"Kurang",IF(D131&gt;=IF(Aturan!$D$37="",Aturan!$C$37,Aturan!$D$37),"Nyaman","Cukup")))))</f>
        <v>Nyaman</v>
      </c>
      <c r="M131" s="70" t="str">
        <f aca="false">IF($A131="","",IF(AND(Aturan!$C$38="",Aturan!$D$38=""),"Tidak dinilai",IF(E131="","Belum ada data",IF(E131&lt;IF(Aturan!$C$38="",0,Aturan!$C$38),"Kurang",IF(E131&gt;=IF(Aturan!$D$38="",Aturan!$C$38,Aturan!$D$38),"Nyaman","Cukup")))))</f>
        <v>Nyaman</v>
      </c>
      <c r="N131" s="70" t="str">
        <f aca="false">IF($A131="","",IF(AND(Aturan!$C$39="",Aturan!$D$39=""),"Tidak dinilai",IF(F131="","Belum ada data",IF(F131&lt;IF(Aturan!$C$39="",0,Aturan!$C$39),"Kurang",IF(F131&gt;=IF(Aturan!$D$39="",Aturan!$C$39,Aturan!$D$39),"Nyaman","Cukup")))))</f>
        <v>Nyaman</v>
      </c>
      <c r="O131" s="70" t="str">
        <f aca="false">IF($A131="","",IF(AND(Aturan!$C$40="",Aturan!$D$40=""),"Tidak dinilai",IF(G131="","Belum ada data",IF(G131&lt;IF(Aturan!$C$40="",0,Aturan!$C$40),"Kurang",IF(G131&gt;=IF(Aturan!$D$40="",Aturan!$C$40,Aturan!$D$40),"Nyaman","Cukup")))))</f>
        <v>Cukup</v>
      </c>
      <c r="P131" s="70" t="str">
        <f aca="false">IF($A131="","",IF(AND(Aturan!$C$41="",Aturan!$D$41=""),"Tidak dinilai",IF(H131="","Belum ada data",IF(H131&lt;IF(Aturan!$C$41="",0,Aturan!$C$41),"Kurang",IF(H131&gt;=IF(Aturan!$D$41="",Aturan!$C$41,Aturan!$D$41),"Nyaman","Cukup")))))</f>
        <v>Tidak dinilai</v>
      </c>
      <c r="Q131" s="70" t="str">
        <f aca="false">IF($A131="","",IF(COUNTIF(K131:P131,"Tidak dinilai")=6,"Tidak dinilai",IF(COUNTIF(K131:P131,"Kurang")&gt;0,"Kurang cocok",IF(COUNTIF(K131:P131,"Belum ada data")&gt;0,"Data belum lengkap",IF(COUNTIF(K131:P131,"Cukup")&gt;0,"Bisa, dengan catatan","Cocok")))))</f>
        <v>Bisa, dengan catatan</v>
      </c>
      <c r="R131" s="33" t="str">
        <f aca="false">IF($A131="","",IF(K131="Kurang","prosesor tingkat "&amp;C131&amp;" dari 5, di bawah batas minimal (tingkat "&amp;Aturan!$C$36&amp;")",IF(K131="Cukup","prosesor tingkat "&amp;C131&amp;" dari 5 cukup, nyamannya mulai tingkat "&amp;Aturan!$D$36,IF(K131="Belum ada data","tingkat prosesor belum diisi",""))))</f>
        <v/>
      </c>
      <c r="S131" s="33" t="str">
        <f aca="false">IF($A131="","",IF(L131="Kurang","grafis tingkat "&amp;D131&amp;" dari 5, di bawah batas minimal (tingkat "&amp;Aturan!$C$37&amp;")",IF(L131="Cukup","grafis tingkat "&amp;D131&amp;" dari 5 cukup, nyamannya mulai tingkat "&amp;Aturan!$D$37,IF(L131="Belum ada data","tingkat grafis belum diisi",""))))</f>
        <v/>
      </c>
      <c r="T131" s="33" t="str">
        <f aca="false">IF($A131="","",IF(M131="Kurang","RAM "&amp;E131&amp;" GB, di bawah batas minimal "&amp;Aturan!$C$38&amp;" GB ("&amp;I131&amp;")",IF(M131="Cukup","RAM "&amp;E131&amp;" GB cukup, nyamannya "&amp;Aturan!$D$38&amp;" GB atau lebih ("&amp;I131&amp;")",IF(M131="Belum ada data","ukuran RAM belum diisi",""))))</f>
        <v/>
      </c>
      <c r="U131" s="33" t="str">
        <f aca="false">IF($A131="","",IF(N131="Kurang","penyimpanan "&amp;F131&amp;" GB, di bawah batas minimal "&amp;Aturan!$C$39&amp;" GB ("&amp;J131&amp;")",IF(N131="Cukup","penyimpanan "&amp;F131&amp;" GB cukup, nyamannya "&amp;Aturan!$D$39&amp;" GB atau lebih ("&amp;J131&amp;")",IF(N131="Belum ada data","ukuran penyimpanan belum diisi",""))))</f>
        <v/>
      </c>
      <c r="V131" s="33" t="str">
        <f aca="false">IF($A131="","",IF(O131="Kurang","layar "&amp;Varian!$AG30&amp;", di bawah batas minimal ("&amp;IFERROR(INDEX(Aturan!$A$63:$A$66,MATCH(Aturan!$C$40,Aturan!$B$63:$B$66,0)),"peringkat "&amp;Aturan!$C$40)&amp;")",IF(O131="Cukup","layar "&amp;Varian!$AG30&amp;" cukup, nyamannya "&amp;IFERROR(INDEX(Aturan!$A$63:$A$66,MATCH(Aturan!$D$40,Aturan!$B$63:$B$66,0)),"peringkat "&amp;Aturan!$D$40),IF(O131="Belum ada data","jenis layar belum diketahui",""))))</f>
        <v>layar IPS cukup, nyamannya OLED</v>
      </c>
      <c r="W131" s="33" t="str">
        <f aca="false">IF($A131="","",IF(P131="Kurang","layar "&amp;H131&amp;" Hz, di bawah batas minimal "&amp;Aturan!$C$41&amp;" Hz",IF(P131="Cukup","layar "&amp;H131&amp;" Hz cukup, nyamannya "&amp;Aturan!$D$41&amp;" Hz atau lebih",IF(P131="Belum ada data","refresh rate belum diketahui",""))))</f>
        <v/>
      </c>
      <c r="X131" s="33" t="str">
        <f aca="false">IF($A131="","",IF(K131="Kurang",R131&amp;"; ","")&amp;IF(L131="Kurang",S131&amp;"; ","")&amp;IF(M131="Kurang",T131&amp;"; ","")&amp;IF(N131="Kurang",U131&amp;"; ","")&amp;IF(O131="Kurang",V131&amp;"; ","")&amp;IF(P131="Kurang",W131&amp;"; ","")&amp;IF(K131="Belum ada data",R131&amp;"; ","")&amp;IF(L131="Belum ada data",S131&amp;"; ","")&amp;IF(M131="Belum ada data",T131&amp;"; ","")&amp;IF(N131="Belum ada data",U131&amp;"; ","")&amp;IF(O131="Belum ada data",V131&amp;"; ","")&amp;IF(P131="Belum ada data",W131&amp;"; ","")&amp;IF(K131="Cukup",R131&amp;"; ","")&amp;IF(L131="Cukup",S131&amp;"; ","")&amp;IF(M131="Cukup",T131&amp;"; ","")&amp;IF(N131="Cukup",U131&amp;"; ","")&amp;IF(O131="Cukup",V131&amp;"; ","")&amp;IF(P131="Cukup",W131&amp;"; ",""))</f>
        <v>layar IPS cukup, nyamannya OLED; </v>
      </c>
      <c r="Y131" s="33" t="str">
        <f aca="false">IF($A131="","",IF(K131="Nyaman","prosesor, ","")&amp;IF(L131="Nyaman","grafis, ","")&amp;IF(M131="Nyaman","RAM, ","")&amp;IF(N131="Nyaman","penyimpanan, ","")&amp;IF(O131="Nyaman","layar, ","")&amp;IF(P131="Nyaman","refresh rate, ",""))</f>
        <v>prosesor, grafis, RAM, penyimpanan, </v>
      </c>
      <c r="Z131" s="33" t="str">
        <f aca="false">IF($A131="","",IF(Q131="Tidak dinilai","Belum ada kriteria yang dinilai untuk kebutuhan ini.",IF(Q131="Cocok","Semua kriteria yang dinilai sudah nyaman: "&amp;LEFT(Y131,LEN(Y131)-2)&amp;".",UPPER(LEFT(X131,1))&amp;MID(X131,2,LEN(X131)-3)&amp;"."&amp;IF(Y131="",""," Sudah nyaman: "&amp;LEFT(Y131,LEN(Y131)-2)&amp;"."))))</f>
        <v>Layar IPS cukup, nyamannya OLED. Sudah nyaman: prosesor, grafis, RAM, penyimpanan.</v>
      </c>
      <c r="AA131" s="33"/>
      <c r="AB131" s="33"/>
      <c r="AC131" s="69"/>
    </row>
    <row r="132" customFormat="false" ht="15" hidden="false" customHeight="true" outlineLevel="0" collapsed="false">
      <c r="A132" s="33" t="str">
        <f aca="false">IF(Varian!$A30="","",Varian!$A30)</f>
        <v>lenovo-loq-15irx10-i5-13450hx-rtx5050-16-512</v>
      </c>
      <c r="B132" s="33" t="str">
        <f aca="false">IF($A132="","",Aturan!$A$23)</f>
        <v>Pemrograman</v>
      </c>
      <c r="C132" s="69" t="n">
        <f aca="false">IF($A132="","",IFERROR(IF(ISNUMBER(INDEX(CPU!$J$4:$J$64,MATCH(Varian!$J30,CPU!$A$4:$A$64,0))),INDEX(CPU!$J$4:$J$64,MATCH(Varian!$J30,CPU!$A$4:$A$64,0)),""),""))</f>
        <v>4</v>
      </c>
      <c r="D132" s="69" t="n">
        <f aca="false">IF($A132="","",IFERROR(IF(ISNUMBER(INDEX(GPU!$G$4:$G$64,MATCH(Varian!$K30,GPU!$A$4:$A$64,0))),INDEX(GPU!$G$4:$G$64,MATCH(Varian!$K30,GPU!$A$4:$A$64,0)),""),""))</f>
        <v>3</v>
      </c>
      <c r="E132" s="69" t="n">
        <f aca="false">IF($A132="","",IF(ISNUMBER(Varian!$M30),Varian!$M30,""))</f>
        <v>16</v>
      </c>
      <c r="F132" s="69" t="n">
        <f aca="false">IF($A132="","",IF(ISNUMBER(Varian!$V30),Varian!$V30,""))</f>
        <v>512</v>
      </c>
      <c r="G132" s="69" t="n">
        <f aca="false">IF($A132="","",IFERROR(INDEX(Aturan!$B$63:$B$66,MATCH(Varian!$AG30,Aturan!$A$63:$A$66,0)),""))</f>
        <v>3</v>
      </c>
      <c r="H132" s="69" t="n">
        <f aca="false">IF($A132="","",IF(ISNUMBER(Varian!$AI30),Varian!$AI30,""))</f>
        <v>144</v>
      </c>
      <c r="I132" s="33" t="str">
        <f aca="false">IF($A132="","",IF(Varian!$Q30="disolder","menempel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2" s="33" t="str">
        <f aca="false">IF($A132="","",IF(Varian!$Z30="ya","bisa diganti dengan yang lebih besar",IF(Varian!$Z30="tidak","menempel, tidak bisa diganti","belum diketahui apakah bisa diganti")))</f>
        <v>bisa diganti dengan yang lebih besar</v>
      </c>
      <c r="K132" s="70" t="str">
        <f aca="false">IF($A132="","",IF(AND(Aturan!$C$42="",Aturan!$D$42=""),"Tidak dinilai",IF(C132="","Belum ada data",IF(C132&lt;IF(Aturan!$C$42="",0,Aturan!$C$42),"Kurang",IF(C132&gt;=IF(Aturan!$D$42="",Aturan!$C$42,Aturan!$D$42),"Nyaman","Cukup")))))</f>
        <v>Nyaman</v>
      </c>
      <c r="L132" s="70" t="str">
        <f aca="false">IF($A132="","",IF(AND(Aturan!$C$43="",Aturan!$D$43=""),"Tidak dinilai",IF(D132="","Belum ada data",IF(D132&lt;IF(Aturan!$C$43="",0,Aturan!$C$43),"Kurang",IF(D132&gt;=IF(Aturan!$D$43="",Aturan!$C$43,Aturan!$D$43),"Nyaman","Cukup")))))</f>
        <v>Tidak dinilai</v>
      </c>
      <c r="M132" s="70" t="str">
        <f aca="false">IF($A132="","",IF(AND(Aturan!$C$44="",Aturan!$D$44=""),"Tidak dinilai",IF(E132="","Belum ada data",IF(E132&lt;IF(Aturan!$C$44="",0,Aturan!$C$44),"Kurang",IF(E132&gt;=IF(Aturan!$D$44="",Aturan!$C$44,Aturan!$D$44),"Nyaman","Cukup")))))</f>
        <v>Nyaman</v>
      </c>
      <c r="N132" s="70" t="str">
        <f aca="false">IF($A132="","",IF(AND(Aturan!$C$45="",Aturan!$D$45=""),"Tidak dinilai",IF(F132="","Belum ada data",IF(F132&lt;IF(Aturan!$C$45="",0,Aturan!$C$45),"Kurang",IF(F132&gt;=IF(Aturan!$D$45="",Aturan!$C$45,Aturan!$D$45),"Nyaman","Cukup")))))</f>
        <v>Nyaman</v>
      </c>
      <c r="O132" s="70" t="str">
        <f aca="false">IF($A132="","",IF(AND(Aturan!$C$46="",Aturan!$D$46=""),"Tidak dinilai",IF(G132="","Belum ada data",IF(G132&lt;IF(Aturan!$C$46="",0,Aturan!$C$46),"Kurang",IF(G132&gt;=IF(Aturan!$D$46="",Aturan!$C$46,Aturan!$D$46),"Nyaman","Cukup")))))</f>
        <v>Tidak dinilai</v>
      </c>
      <c r="P132" s="70" t="str">
        <f aca="false">IF($A132="","",IF(AND(Aturan!$C$47="",Aturan!$D$47=""),"Tidak dinilai",IF(H132="","Belum ada data",IF(H132&lt;IF(Aturan!$C$47="",0,Aturan!$C$47),"Kurang",IF(H132&gt;=IF(Aturan!$D$47="",Aturan!$C$47,Aturan!$D$47),"Nyaman","Cukup")))))</f>
        <v>Tidak dinilai</v>
      </c>
      <c r="Q132" s="70" t="str">
        <f aca="false">IF($A132="","",IF(COUNTIF(K132:P132,"Tidak dinilai")=6,"Tidak dinilai",IF(COUNTIF(K132:P132,"Kurang")&gt;0,"Kurang cocok",IF(COUNTIF(K132:P132,"Belum ada data")&gt;0,"Data belum lengkap",IF(COUNTIF(K132:P132,"Cukup")&gt;0,"Bisa, dengan catatan","Cocok")))))</f>
        <v>Cocok</v>
      </c>
      <c r="R132" s="33" t="str">
        <f aca="false">IF($A132="","",IF(K132="Kurang","prosesor tingkat "&amp;C132&amp;" dari 5, di bawah batas minimal (tingkat "&amp;Aturan!$C$42&amp;")",IF(K132="Cukup","prosesor tingkat "&amp;C132&amp;" dari 5 cukup, nyamannya mulai tingkat "&amp;Aturan!$D$42,IF(K132="Belum ada data","tingkat prosesor belum diisi",""))))</f>
        <v/>
      </c>
      <c r="S132" s="33" t="str">
        <f aca="false">IF($A132="","",IF(L132="Kurang","grafis tingkat "&amp;D132&amp;" dari 5, di bawah batas minimal (tingkat "&amp;Aturan!$C$43&amp;")",IF(L132="Cukup","grafis tingkat "&amp;D132&amp;" dari 5 cukup, nyamannya mulai tingkat "&amp;Aturan!$D$43,IF(L132="Belum ada data","tingkat grafis belum diisi",""))))</f>
        <v/>
      </c>
      <c r="T132" s="33" t="str">
        <f aca="false">IF($A132="","",IF(M132="Kurang","RAM "&amp;E132&amp;" GB, di bawah batas minimal "&amp;Aturan!$C$44&amp;" GB ("&amp;I132&amp;")",IF(M132="Cukup","RAM "&amp;E132&amp;" GB cukup, nyamannya "&amp;Aturan!$D$44&amp;" GB atau lebih ("&amp;I132&amp;")",IF(M132="Belum ada data","ukuran RAM belum diisi",""))))</f>
        <v/>
      </c>
      <c r="U132" s="33" t="str">
        <f aca="false">IF($A132="","",IF(N132="Kurang","penyimpanan "&amp;F132&amp;" GB, di bawah batas minimal "&amp;Aturan!$C$45&amp;" GB ("&amp;J132&amp;")",IF(N132="Cukup","penyimpanan "&amp;F132&amp;" GB cukup, nyamannya "&amp;Aturan!$D$45&amp;" GB atau lebih ("&amp;J132&amp;")",IF(N132="Belum ada data","ukuran penyimpanan belum diisi",""))))</f>
        <v/>
      </c>
      <c r="V132" s="33" t="str">
        <f aca="false">IF($A132="","",IF(O132="Kurang","layar "&amp;Varian!$AG30&amp;", di bawah batas minimal ("&amp;IFERROR(INDEX(Aturan!$A$63:$A$66,MATCH(Aturan!$C$46,Aturan!$B$63:$B$66,0)),"peringkat "&amp;Aturan!$C$46)&amp;")",IF(O132="Cukup","layar "&amp;Varian!$AG30&amp;" cukup, nyamannya "&amp;IFERROR(INDEX(Aturan!$A$63:$A$66,MATCH(Aturan!$D$46,Aturan!$B$63:$B$66,0)),"peringkat "&amp;Aturan!$D$46),IF(O132="Belum ada data","jenis layar belum diketahui",""))))</f>
        <v/>
      </c>
      <c r="W132" s="33" t="str">
        <f aca="false">IF($A132="","",IF(P132="Kurang","layar "&amp;H132&amp;" Hz, di bawah batas minimal "&amp;Aturan!$C$47&amp;" Hz",IF(P132="Cukup","layar "&amp;H132&amp;" Hz cukup, nyamannya "&amp;Aturan!$D$47&amp;" Hz atau lebih",IF(P132="Belum ada data","refresh rate belum diketahui",""))))</f>
        <v/>
      </c>
      <c r="X132" s="33" t="str">
        <f aca="false">IF($A132="","",IF(K132="Kurang",R132&amp;"; ","")&amp;IF(L132="Kurang",S132&amp;"; ","")&amp;IF(M132="Kurang",T132&amp;"; ","")&amp;IF(N132="Kurang",U132&amp;"; ","")&amp;IF(O132="Kurang",V132&amp;"; ","")&amp;IF(P132="Kurang",W132&amp;"; ","")&amp;IF(K132="Belum ada data",R132&amp;"; ","")&amp;IF(L132="Belum ada data",S132&amp;"; ","")&amp;IF(M132="Belum ada data",T132&amp;"; ","")&amp;IF(N132="Belum ada data",U132&amp;"; ","")&amp;IF(O132="Belum ada data",V132&amp;"; ","")&amp;IF(P132="Belum ada data",W132&amp;"; ","")&amp;IF(K132="Cukup",R132&amp;"; ","")&amp;IF(L132="Cukup",S132&amp;"; ","")&amp;IF(M132="Cukup",T132&amp;"; ","")&amp;IF(N132="Cukup",U132&amp;"; ","")&amp;IF(O132="Cukup",V132&amp;"; ","")&amp;IF(P132="Cukup",W132&amp;"; ",""))</f>
        <v/>
      </c>
      <c r="Y132" s="33" t="str">
        <f aca="false">IF($A132="","",IF(K132="Nyaman","prosesor, ","")&amp;IF(L132="Nyaman","grafis, ","")&amp;IF(M132="Nyaman","RAM, ","")&amp;IF(N132="Nyaman","penyimpanan, ","")&amp;IF(O132="Nyaman","layar, ","")&amp;IF(P132="Nyaman","refresh rate, ",""))</f>
        <v>prosesor, RAM, penyimpanan, </v>
      </c>
      <c r="Z132" s="33" t="str">
        <f aca="false">IF($A132="","",IF(Q132="Tidak dinilai","Belum ada kriteria yang dinilai untuk kebutuhan ini.",IF(Q132="Cocok","Semua kriteria yang dinilai sudah nyaman: "&amp;LEFT(Y132,LEN(Y132)-2)&amp;".",UPPER(LEFT(X132,1))&amp;MID(X132,2,LEN(X132)-3)&amp;"."&amp;IF(Y132="",""," Sudah nyaman: "&amp;LEFT(Y132,LEN(Y132)-2)&amp;"."))))</f>
        <v>Semua kriteria yang dinilai sudah nyaman: prosesor, RAM, penyimpanan.</v>
      </c>
      <c r="AA132" s="33"/>
      <c r="AB132" s="33"/>
      <c r="AC132" s="69"/>
    </row>
    <row r="133" customFormat="false" ht="15" hidden="false" customHeight="true" outlineLevel="0" collapsed="false">
      <c r="A133" s="33" t="str">
        <f aca="false">IF(Varian!$A30="","",Varian!$A30)</f>
        <v>lenovo-loq-15irx10-i5-13450hx-rtx5050-16-512</v>
      </c>
      <c r="B133" s="33" t="str">
        <f aca="false">IF($A133="","",Aturan!$A$24)</f>
        <v>Game ringan</v>
      </c>
      <c r="C133" s="69" t="n">
        <f aca="false">IF($A133="","",IFERROR(IF(ISNUMBER(INDEX(CPU!$J$4:$J$64,MATCH(Varian!$J30,CPU!$A$4:$A$64,0))),INDEX(CPU!$J$4:$J$64,MATCH(Varian!$J30,CPU!$A$4:$A$64,0)),""),""))</f>
        <v>4</v>
      </c>
      <c r="D133" s="69" t="n">
        <f aca="false">IF($A133="","",IFERROR(IF(ISNUMBER(INDEX(GPU!$G$4:$G$64,MATCH(Varian!$K30,GPU!$A$4:$A$64,0))),INDEX(GPU!$G$4:$G$64,MATCH(Varian!$K30,GPU!$A$4:$A$64,0)),""),""))</f>
        <v>3</v>
      </c>
      <c r="E133" s="69" t="n">
        <f aca="false">IF($A133="","",IF(ISNUMBER(Varian!$M30),Varian!$M30,""))</f>
        <v>16</v>
      </c>
      <c r="F133" s="69" t="n">
        <f aca="false">IF($A133="","",IF(ISNUMBER(Varian!$V30),Varian!$V30,""))</f>
        <v>512</v>
      </c>
      <c r="G133" s="69" t="n">
        <f aca="false">IF($A133="","",IFERROR(INDEX(Aturan!$B$63:$B$66,MATCH(Varian!$AG30,Aturan!$A$63:$A$66,0)),""))</f>
        <v>3</v>
      </c>
      <c r="H133" s="69" t="n">
        <f aca="false">IF($A133="","",IF(ISNUMBER(Varian!$AI30),Varian!$AI30,""))</f>
        <v>144</v>
      </c>
      <c r="I133" s="33" t="str">
        <f aca="false">IF($A133="","",IF(Varian!$Q30="disolder","menempel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3" s="33" t="str">
        <f aca="false">IF($A133="","",IF(Varian!$Z30="ya","bisa diganti dengan yang lebih besar",IF(Varian!$Z30="tidak","menempel, tidak bisa diganti","belum diketahui apakah bisa diganti")))</f>
        <v>bisa diganti dengan yang lebih besar</v>
      </c>
      <c r="K133" s="70" t="str">
        <f aca="false">IF($A133="","",IF(AND(Aturan!$C$48="",Aturan!$D$48=""),"Tidak dinilai",IF(C133="","Belum ada data",IF(C133&lt;IF(Aturan!$C$48="",0,Aturan!$C$48),"Kurang",IF(C133&gt;=IF(Aturan!$D$48="",Aturan!$C$48,Aturan!$D$48),"Nyaman","Cukup")))))</f>
        <v>Nyaman</v>
      </c>
      <c r="L133" s="70" t="str">
        <f aca="false">IF($A133="","",IF(AND(Aturan!$C$49="",Aturan!$D$49=""),"Tidak dinilai",IF(D133="","Belum ada data",IF(D133&lt;IF(Aturan!$C$49="",0,Aturan!$C$49),"Kurang",IF(D133&gt;=IF(Aturan!$D$49="",Aturan!$C$49,Aturan!$D$49),"Nyaman","Cukup")))))</f>
        <v>Nyaman</v>
      </c>
      <c r="M133" s="70" t="str">
        <f aca="false">IF($A133="","",IF(AND(Aturan!$C$50="",Aturan!$D$50=""),"Tidak dinilai",IF(E133="","Belum ada data",IF(E133&lt;IF(Aturan!$C$50="",0,Aturan!$C$50),"Kurang",IF(E133&gt;=IF(Aturan!$D$50="",Aturan!$C$50,Aturan!$D$50),"Nyaman","Cukup")))))</f>
        <v>Nyaman</v>
      </c>
      <c r="N133" s="70" t="str">
        <f aca="false">IF($A133="","",IF(AND(Aturan!$C$51="",Aturan!$D$51=""),"Tidak dinilai",IF(F133="","Belum ada data",IF(F133&lt;IF(Aturan!$C$51="",0,Aturan!$C$51),"Kurang",IF(F133&gt;=IF(Aturan!$D$51="",Aturan!$C$51,Aturan!$D$51),"Nyaman","Cukup")))))</f>
        <v>Nyaman</v>
      </c>
      <c r="O133" s="70" t="str">
        <f aca="false">IF($A133="","",IF(AND(Aturan!$C$52="",Aturan!$D$52=""),"Tidak dinilai",IF(G133="","Belum ada data",IF(G133&lt;IF(Aturan!$C$52="",0,Aturan!$C$52),"Kurang",IF(G133&gt;=IF(Aturan!$D$52="",Aturan!$C$52,Aturan!$D$52),"Nyaman","Cukup")))))</f>
        <v>Tidak dinilai</v>
      </c>
      <c r="P133" s="70" t="str">
        <f aca="false">IF($A133="","",IF(AND(Aturan!$C$53="",Aturan!$D$53=""),"Tidak dinilai",IF(H133="","Belum ada data",IF(H133&lt;IF(Aturan!$C$53="",0,Aturan!$C$53),"Kurang",IF(H133&gt;=IF(Aturan!$D$53="",Aturan!$C$53,Aturan!$D$53),"Nyaman","Cukup")))))</f>
        <v>Tidak dinilai</v>
      </c>
      <c r="Q133" s="70" t="str">
        <f aca="false">IF($A133="","",IF(COUNTIF(K133:P133,"Tidak dinilai")=6,"Tidak dinilai",IF(COUNTIF(K133:P133,"Kurang")&gt;0,"Kurang cocok",IF(COUNTIF(K133:P133,"Belum ada data")&gt;0,"Data belum lengkap",IF(COUNTIF(K133:P133,"Cukup")&gt;0,"Bisa, dengan catatan","Cocok")))))</f>
        <v>Cocok</v>
      </c>
      <c r="R133" s="33" t="str">
        <f aca="false">IF($A133="","",IF(K133="Kurang","prosesor tingkat "&amp;C133&amp;" dari 5, di bawah batas minimal (tingkat "&amp;Aturan!$C$48&amp;")",IF(K133="Cukup","prosesor tingkat "&amp;C133&amp;" dari 5 cukup, nyamannya mulai tingkat "&amp;Aturan!$D$48,IF(K133="Belum ada data","tingkat prosesor belum diisi",""))))</f>
        <v/>
      </c>
      <c r="S133" s="33" t="str">
        <f aca="false">IF($A133="","",IF(L133="Kurang","grafis tingkat "&amp;D133&amp;" dari 5, di bawah batas minimal (tingkat "&amp;Aturan!$C$49&amp;")",IF(L133="Cukup","grafis tingkat "&amp;D133&amp;" dari 5 cukup, nyamannya mulai tingkat "&amp;Aturan!$D$49,IF(L133="Belum ada data","tingkat grafis belum diisi",""))))</f>
        <v/>
      </c>
      <c r="T133" s="33" t="str">
        <f aca="false">IF($A133="","",IF(M133="Kurang","RAM "&amp;E133&amp;" GB, di bawah batas minimal "&amp;Aturan!$C$50&amp;" GB ("&amp;I133&amp;")",IF(M133="Cukup","RAM "&amp;E133&amp;" GB cukup, nyamannya "&amp;Aturan!$D$50&amp;" GB atau lebih ("&amp;I133&amp;")",IF(M133="Belum ada data","ukuran RAM belum diisi",""))))</f>
        <v/>
      </c>
      <c r="U133" s="33" t="str">
        <f aca="false">IF($A133="","",IF(N133="Kurang","penyimpanan "&amp;F133&amp;" GB, di bawah batas minimal "&amp;Aturan!$C$51&amp;" GB ("&amp;J133&amp;")",IF(N133="Cukup","penyimpanan "&amp;F133&amp;" GB cukup, nyamannya "&amp;Aturan!$D$51&amp;" GB atau lebih ("&amp;J133&amp;")",IF(N133="Belum ada data","ukuran penyimpanan belum diisi",""))))</f>
        <v/>
      </c>
      <c r="V133" s="33" t="str">
        <f aca="false">IF($A133="","",IF(O133="Kurang","layar "&amp;Varian!$AG30&amp;", di bawah batas minimal ("&amp;IFERROR(INDEX(Aturan!$A$63:$A$66,MATCH(Aturan!$C$52,Aturan!$B$63:$B$66,0)),"peringkat "&amp;Aturan!$C$52)&amp;")",IF(O133="Cukup","layar "&amp;Varian!$AG30&amp;" cukup, nyamannya "&amp;IFERROR(INDEX(Aturan!$A$63:$A$66,MATCH(Aturan!$D$52,Aturan!$B$63:$B$66,0)),"peringkat "&amp;Aturan!$D$52),IF(O133="Belum ada data","jenis layar belum diketahui",""))))</f>
        <v/>
      </c>
      <c r="W133" s="33" t="str">
        <f aca="false">IF($A133="","",IF(P133="Kurang","layar "&amp;H133&amp;" Hz, di bawah batas minimal "&amp;Aturan!$C$53&amp;" Hz",IF(P133="Cukup","layar "&amp;H133&amp;" Hz cukup, nyamannya "&amp;Aturan!$D$53&amp;" Hz atau lebih",IF(P133="Belum ada data","refresh rate belum diketahui",""))))</f>
        <v/>
      </c>
      <c r="X133" s="33" t="str">
        <f aca="false">IF($A133="","",IF(K133="Kurang",R133&amp;"; ","")&amp;IF(L133="Kurang",S133&amp;"; ","")&amp;IF(M133="Kurang",T133&amp;"; ","")&amp;IF(N133="Kurang",U133&amp;"; ","")&amp;IF(O133="Kurang",V133&amp;"; ","")&amp;IF(P133="Kurang",W133&amp;"; ","")&amp;IF(K133="Belum ada data",R133&amp;"; ","")&amp;IF(L133="Belum ada data",S133&amp;"; ","")&amp;IF(M133="Belum ada data",T133&amp;"; ","")&amp;IF(N133="Belum ada data",U133&amp;"; ","")&amp;IF(O133="Belum ada data",V133&amp;"; ","")&amp;IF(P133="Belum ada data",W133&amp;"; ","")&amp;IF(K133="Cukup",R133&amp;"; ","")&amp;IF(L133="Cukup",S133&amp;"; ","")&amp;IF(M133="Cukup",T133&amp;"; ","")&amp;IF(N133="Cukup",U133&amp;"; ","")&amp;IF(O133="Cukup",V133&amp;"; ","")&amp;IF(P133="Cukup",W133&amp;"; ",""))</f>
        <v/>
      </c>
      <c r="Y133" s="33" t="str">
        <f aca="false">IF($A133="","",IF(K133="Nyaman","prosesor, ","")&amp;IF(L133="Nyaman","grafis, ","")&amp;IF(M133="Nyaman","RAM, ","")&amp;IF(N133="Nyaman","penyimpanan, ","")&amp;IF(O133="Nyaman","layar, ","")&amp;IF(P133="Nyaman","refresh rate, ",""))</f>
        <v>prosesor, grafis, RAM, penyimpanan, </v>
      </c>
      <c r="Z133" s="33" t="str">
        <f aca="false">IF($A133="","",IF(Q133="Tidak dinilai","Belum ada kriteria yang dinilai untuk kebutuhan ini.",IF(Q133="Cocok","Semua kriteria yang dinilai sudah nyaman: "&amp;LEFT(Y133,LEN(Y133)-2)&amp;".",UPPER(LEFT(X133,1))&amp;MID(X133,2,LEN(X133)-3)&amp;"."&amp;IF(Y133="",""," Sudah nyaman: "&amp;LEFT(Y133,LEN(Y133)-2)&amp;"."))))</f>
        <v>Semua kriteria yang dinilai sudah nyaman: prosesor, grafis, RAM, penyimpanan.</v>
      </c>
      <c r="AA133" s="33"/>
      <c r="AB133" s="33"/>
      <c r="AC133" s="69"/>
    </row>
    <row r="134" customFormat="false" ht="15" hidden="false" customHeight="true" outlineLevel="0" collapsed="false">
      <c r="A134" s="33" t="str">
        <f aca="false">IF(Varian!$A30="","",Varian!$A30)</f>
        <v>lenovo-loq-15irx10-i5-13450hx-rtx5050-16-512</v>
      </c>
      <c r="B134" s="33" t="str">
        <f aca="false">IF($A134="","",Aturan!$A$25)</f>
        <v>Game berat</v>
      </c>
      <c r="C134" s="69" t="n">
        <f aca="false">IF($A134="","",IFERROR(IF(ISNUMBER(INDEX(CPU!$J$4:$J$64,MATCH(Varian!$J30,CPU!$A$4:$A$64,0))),INDEX(CPU!$J$4:$J$64,MATCH(Varian!$J30,CPU!$A$4:$A$64,0)),""),""))</f>
        <v>4</v>
      </c>
      <c r="D134" s="69" t="n">
        <f aca="false">IF($A134="","",IFERROR(IF(ISNUMBER(INDEX(GPU!$G$4:$G$64,MATCH(Varian!$K30,GPU!$A$4:$A$64,0))),INDEX(GPU!$G$4:$G$64,MATCH(Varian!$K30,GPU!$A$4:$A$64,0)),""),""))</f>
        <v>3</v>
      </c>
      <c r="E134" s="69" t="n">
        <f aca="false">IF($A134="","",IF(ISNUMBER(Varian!$M30),Varian!$M30,""))</f>
        <v>16</v>
      </c>
      <c r="F134" s="69" t="n">
        <f aca="false">IF($A134="","",IF(ISNUMBER(Varian!$V30),Varian!$V30,""))</f>
        <v>512</v>
      </c>
      <c r="G134" s="69" t="n">
        <f aca="false">IF($A134="","",IFERROR(INDEX(Aturan!$B$63:$B$66,MATCH(Varian!$AG30,Aturan!$A$63:$A$66,0)),""))</f>
        <v>3</v>
      </c>
      <c r="H134" s="69" t="n">
        <f aca="false">IF($A134="","",IF(ISNUMBER(Varian!$AI30),Varian!$AI30,""))</f>
        <v>144</v>
      </c>
      <c r="I134" s="33" t="str">
        <f aca="false">IF($A134="","",IF(Varian!$Q30="disolder","menempel di papan utama, tidak bisa ditambah",IF(OR(Varian!$Q30="slot",Varian!$Q30="setengah_disolder"),IF(Varian!$Q30="setengah_disolder","sebagian menempel, ","")&amp;IF(ISNUMBER(Varian!$U30),IF(AND(ISNUMBER(Varian!$M30),Varian!$U30&gt;Varian!$M30),"bisa dinaikkan lewat slot sampai "&amp;Varian!$U30&amp;" GB","sudah di batas maksimal "&amp;Varian!$U30&amp;" GB"),"ada slot, batas maksimalnya belum diketahui"),"belum diketahui apakah bisa ditambah")))</f>
        <v>bisa dinaikkan lewat slot sampai 32 GB</v>
      </c>
      <c r="J134" s="33" t="str">
        <f aca="false">IF($A134="","",IF(Varian!$Z30="ya","bisa diganti dengan yang lebih besar",IF(Varian!$Z30="tidak","menempel, tidak bisa diganti","belum diketahui apakah bisa diganti")))</f>
        <v>bisa diganti dengan yang lebih besar</v>
      </c>
      <c r="K134" s="70" t="str">
        <f aca="false">IF($A134="","",IF(AND(Aturan!$C$54="",Aturan!$D$54=""),"Tidak dinilai",IF(C134="","Belum ada data",IF(C134&lt;IF(Aturan!$C$54="",0,Aturan!$C$54),"Kurang",IF(C134&gt;=IF(Aturan!$D$54="",Aturan!$C$54,Aturan!$D$54),"Nyaman","Cukup")))))</f>
        <v>Nyaman</v>
      </c>
      <c r="L134" s="70" t="str">
        <f aca="false">IF($A134="","",IF(AND(Aturan!$C$55="",Aturan!$D$55=""),"Tidak dinilai",IF(D134="","Belum ada data",IF(D134&lt;IF(Aturan!$C$55="",0,Aturan!$C$55),"Kurang",IF(D134&gt;=IF(Aturan!$D$55="",Aturan!$C$55,Aturan!$D$55),"Nyaman","Cukup")))))</f>
        <v>Cukup</v>
      </c>
      <c r="M134" s="70" t="str">
        <f aca="false">IF($A134="","",IF(AND(Aturan!$C$56="",Aturan!$D$56=""),"Tidak dinilai",IF(E134="","Belum ada data",IF(E134&lt;IF(Aturan!$C$56="",0,Aturan!$C$56),"Kurang",IF(E134&gt;=IF(Aturan!$D$56="",Aturan!$C$56,Aturan!$D$56),"Nyaman","Cukup")))))</f>
        <v>Nyaman</v>
      </c>
      <c r="N134" s="70" t="str">
        <f aca="false">IF($A134="","",IF(AND(Aturan!$C$57="",Aturan!$D$57=""),"Tidak dinilai",IF(F134="","Belum ada data",IF(F134&lt;IF(Aturan!$C$57="",0,Aturan!$C$57),"Kurang",IF(F134&gt;=IF(Aturan!$D$57="",Aturan!$C$57,Aturan!$D$57),"Nyaman","Cukup")))))</f>
        <v>Cukup</v>
      </c>
      <c r="O134" s="70" t="str">
        <f aca="false">IF($A134="","",IF(AND(Aturan!$C$58="",Aturan!$D$58=""),"Tidak dinilai",IF(G134="","Belum ada data",IF(G134&lt;IF(Aturan!$C$58="",0,Aturan!$C$58),"Kurang",IF(G134&gt;=IF(Aturan!$D$58="",Aturan!$C$58,Aturan!$D$58),"Nyaman","Cukup")))))</f>
        <v>Tidak dinilai</v>
      </c>
      <c r="P134" s="70" t="str">
        <f aca="false">IF($A134="","",IF(AND(Aturan!$C$59="",Aturan!$D$59=""),"Tidak dinilai",IF(H134="","Belum ada data",IF(H134&lt;IF(Aturan!$C$59="",0,Aturan!$C$59),"Kurang",IF(H134&gt;=IF(Aturan!$D$59="",Aturan!$C$59,Aturan!$D$59),"Nyaman","Cukup")))))</f>
        <v>Nyaman</v>
      </c>
      <c r="Q134" s="70" t="str">
        <f aca="false">IF($A134="","",IF(COUNTIF(K134:P134,"Tidak dinilai")=6,"Tidak dinilai",IF(COUNTIF(K134:P134,"Kurang")&gt;0,"Kurang cocok",IF(COUNTIF(K134:P134,"Belum ada data")&gt;0,"Data belum lengkap",IF(COUNTIF(K134:P134,"Cukup")&gt;0,"Bisa, dengan catatan","Cocok")))))</f>
        <v>Bisa, dengan catatan</v>
      </c>
      <c r="R134" s="33" t="str">
        <f aca="false">IF($A134="","",IF(K134="Kurang","prosesor tingkat "&amp;C134&amp;" dari 5, di bawah batas minimal (tingkat "&amp;Aturan!$C$54&amp;")",IF(K134="Cukup","prosesor tingkat "&amp;C134&amp;" dari 5 cukup, nyamannya mulai tingkat "&amp;Aturan!$D$54,IF(K134="Belum ada data","tingkat prosesor belum diisi",""))))</f>
        <v/>
      </c>
      <c r="S134" s="33" t="str">
        <f aca="false">IF($A134="","",IF(L134="Kurang","grafis tingkat "&amp;D134&amp;" dari 5, di bawah batas minimal (tingkat "&amp;Aturan!$C$55&amp;")",IF(L134="Cukup","grafis tingkat "&amp;D134&amp;" dari 5 cukup, nyamannya mulai tingkat "&amp;Aturan!$D$55,IF(L134="Belum ada data","tingkat grafis belum diisi",""))))</f>
        <v>grafis tingkat 3 dari 5 cukup, nyamannya mulai tingkat 4</v>
      </c>
      <c r="T134" s="33" t="str">
        <f aca="false">IF($A134="","",IF(M134="Kurang","RAM "&amp;E134&amp;" GB, di bawah batas minimal "&amp;Aturan!$C$56&amp;" GB ("&amp;I134&amp;")",IF(M134="Cukup","RAM "&amp;E134&amp;" GB cukup, nyamannya "&amp;Aturan!$D$56&amp;" GB atau lebih ("&amp;I134&amp;")",IF(M134="Belum ada data","ukuran RAM belum diisi",""))))</f>
        <v/>
      </c>
      <c r="U134" s="33" t="str">
        <f aca="false">IF($A134="","",IF(N134="Kurang","penyimpanan "&amp;F134&amp;" GB, di bawah batas minimal "&amp;Aturan!$C$57&amp;" GB ("&amp;J134&amp;")",IF(N134="Cukup","penyimpanan "&amp;F134&amp;" GB cukup, nyamannya "&amp;Aturan!$D$57&amp;" GB atau lebih ("&amp;J134&amp;")",IF(N134="Belum ada data","ukuran penyimpanan belum diisi",""))))</f>
        <v>penyimpanan 512 GB cukup, nyamannya 1000 GB atau lebih (bisa diganti dengan yang lebih besar)</v>
      </c>
      <c r="V134" s="33" t="str">
        <f aca="false">IF($A134="","",IF(O134="Kurang","layar "&amp;Varian!$AG30&amp;", di bawah batas minimal ("&amp;IFERROR(INDEX(Aturan!$A$63:$A$66,MATCH(Aturan!$C$58,Aturan!$B$63:$B$66,0)),"peringkat "&amp;Aturan!$C$58)&amp;")",IF(O134="Cukup","layar "&amp;Varian!$AG30&amp;" cukup, nyamannya "&amp;IFERROR(INDEX(Aturan!$A$63:$A$66,MATCH(Aturan!$D$58,Aturan!$B$63:$B$66,0)),"peringkat "&amp;Aturan!$D$58),IF(O134="Belum ada data","jenis layar belum diketahui",""))))</f>
        <v/>
      </c>
      <c r="W134" s="33" t="str">
        <f aca="false">IF($A134="","",IF(P134="Kurang","layar "&amp;H134&amp;" Hz, di bawah batas minimal "&amp;Aturan!$C$59&amp;" Hz",IF(P134="Cukup","layar "&amp;H134&amp;" Hz cukup, nyamannya "&amp;Aturan!$D$59&amp;" Hz atau lebih",IF(P134="Belum ada data","refresh rate belum diketahui",""))))</f>
        <v/>
      </c>
      <c r="X134" s="33" t="str">
        <f aca="false">IF($A134="","",IF(K134="Kurang",R134&amp;"; ","")&amp;IF(L134="Kurang",S134&amp;"; ","")&amp;IF(M134="Kurang",T134&amp;"; ","")&amp;IF(N134="Kurang",U134&amp;"; ","")&amp;IF(O134="Kurang",V134&amp;"; ","")&amp;IF(P134="Kurang",W134&amp;"; ","")&amp;IF(K134="Belum ada data",R134&amp;"; ","")&amp;IF(L134="Belum ada data",S134&amp;"; ","")&amp;IF(M134="Belum ada data",T134&amp;"; ","")&amp;IF(N134="Belum ada data",U134&amp;"; ","")&amp;IF(O134="Belum ada data",V134&amp;"; ","")&amp;IF(P134="Belum ada data",W134&amp;"; ","")&amp;IF(K134="Cukup",R134&amp;"; ","")&amp;IF(L134="Cukup",S134&amp;"; ","")&amp;IF(M134="Cukup",T134&amp;"; ","")&amp;IF(N134="Cukup",U134&amp;"; ","")&amp;IF(O134="Cukup",V134&amp;"; ","")&amp;IF(P134="Cukup",W134&amp;"; ",""))</f>
        <v>grafis tingkat 3 dari 5 cukup, nyamannya mulai tingkat 4; penyimpanan 512 GB cukup, nyamannya 1000 GB atau lebih (bisa diganti dengan yang lebih besar); </v>
      </c>
      <c r="Y134" s="33" t="str">
        <f aca="false">IF($A134="","",IF(K134="Nyaman","prosesor, ","")&amp;IF(L134="Nyaman","grafis, ","")&amp;IF(M134="Nyaman","RAM, ","")&amp;IF(N134="Nyaman","penyimpanan, ","")&amp;IF(O134="Nyaman","layar, ","")&amp;IF(P134="Nyaman","refresh rate, ",""))</f>
        <v>prosesor, RAM, refresh rate, </v>
      </c>
      <c r="Z134" s="33" t="str">
        <f aca="false">IF($A134="","",IF(Q134="Tidak dinilai","Belum ada kriteria yang dinilai untuk kebutuhan ini.",IF(Q134="Cocok","Semua kriteria yang dinilai sudah nyaman: "&amp;LEFT(Y134,LEN(Y134)-2)&amp;".",UPPER(LEFT(X134,1))&amp;MID(X134,2,LEN(X134)-3)&amp;"."&amp;IF(Y134="",""," Sudah nyaman: "&amp;LEFT(Y134,LEN(Y134)-2)&amp;"."))))</f>
        <v>Grafis tingkat 3 dari 5 cukup, nyamannya mulai tingkat 4; penyimpanan 512 GB cukup, nyamannya 1000 GB atau lebih (bisa diganti dengan yang lebih besar). Sudah nyaman: prosesor, RAM, refresh rate.</v>
      </c>
      <c r="AA134" s="33"/>
      <c r="AB134" s="33"/>
      <c r="AC134" s="69"/>
    </row>
    <row r="135" customFormat="false" ht="15" hidden="false" customHeight="true" outlineLevel="0" collapsed="false">
      <c r="A135" s="66" t="str">
        <f aca="false">IF(Varian!$A31="","",Varian!$A31)</f>
        <v>acer-nitro-v-15-anv15-52-i7-13620h-rtx5050-16-512</v>
      </c>
      <c r="B135" s="66" t="str">
        <f aca="false">IF($A135="","",Aturan!$A$21)</f>
        <v>Kuliah dan kantor</v>
      </c>
      <c r="C135" s="67" t="n">
        <f aca="false">IF($A135="","",IFERROR(IF(ISNUMBER(INDEX(CPU!$J$4:$J$64,MATCH(Varian!$J31,CPU!$A$4:$A$64,0))),INDEX(CPU!$J$4:$J$64,MATCH(Varian!$J31,CPU!$A$4:$A$64,0)),""),""))</f>
        <v>4</v>
      </c>
      <c r="D135" s="67" t="n">
        <f aca="false">IF($A135="","",IFERROR(IF(ISNUMBER(INDEX(GPU!$G$4:$G$64,MATCH(Varian!$K31,GPU!$A$4:$A$64,0))),INDEX(GPU!$G$4:$G$64,MATCH(Varian!$K31,GPU!$A$4:$A$64,0)),""),""))</f>
        <v>3</v>
      </c>
      <c r="E135" s="67" t="n">
        <f aca="false">IF($A135="","",IF(ISNUMBER(Varian!$M31),Varian!$M31,""))</f>
        <v>16</v>
      </c>
      <c r="F135" s="67" t="n">
        <f aca="false">IF($A135="","",IF(ISNUMBER(Varian!$V31),Varian!$V31,""))</f>
        <v>512</v>
      </c>
      <c r="G135" s="67" t="n">
        <f aca="false">IF($A135="","",IFERROR(INDEX(Aturan!$B$63:$B$66,MATCH(Varian!$AG31,Aturan!$A$63:$A$66,0)),""))</f>
        <v>3</v>
      </c>
      <c r="H135" s="67" t="n">
        <f aca="false">IF($A135="","",IF(ISNUMBER(Varian!$AI31),Varian!$AI31,""))</f>
        <v>180</v>
      </c>
      <c r="I135" s="66" t="str">
        <f aca="false">IF($A135="","",IF(Varian!$Q31="disolder","menempel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5" s="66" t="str">
        <f aca="false">IF($A135="","",IF(Varian!$Z31="ya","bisa diganti dengan yang lebih besar",IF(Varian!$Z31="tidak","menempel, tidak bisa diganti","belum diketahui apakah bisa diganti")))</f>
        <v>bisa diganti dengan yang lebih besar</v>
      </c>
      <c r="K135" s="68" t="str">
        <f aca="false">IF($A135="","",IF(AND(Aturan!$C$30="",Aturan!$D$30=""),"Tidak dinilai",IF(C135="","Belum ada data",IF(C135&lt;IF(Aturan!$C$30="",0,Aturan!$C$30),"Kurang",IF(C135&gt;=IF(Aturan!$D$30="",Aturan!$C$30,Aturan!$D$30),"Nyaman","Cukup")))))</f>
        <v>Nyaman</v>
      </c>
      <c r="L135" s="68" t="str">
        <f aca="false">IF($A135="","",IF(AND(Aturan!$C$31="",Aturan!$D$31=""),"Tidak dinilai",IF(D135="","Belum ada data",IF(D135&lt;IF(Aturan!$C$31="",0,Aturan!$C$31),"Kurang",IF(D135&gt;=IF(Aturan!$D$31="",Aturan!$C$31,Aturan!$D$31),"Nyaman","Cukup")))))</f>
        <v>Tidak dinilai</v>
      </c>
      <c r="M135" s="68" t="str">
        <f aca="false">IF($A135="","",IF(AND(Aturan!$C$32="",Aturan!$D$32=""),"Tidak dinilai",IF(E135="","Belum ada data",IF(E135&lt;IF(Aturan!$C$32="",0,Aturan!$C$32),"Kurang",IF(E135&gt;=IF(Aturan!$D$32="",Aturan!$C$32,Aturan!$D$32),"Nyaman","Cukup")))))</f>
        <v>Nyaman</v>
      </c>
      <c r="N135" s="68" t="str">
        <f aca="false">IF($A135="","",IF(AND(Aturan!$C$33="",Aturan!$D$33=""),"Tidak dinilai",IF(F135="","Belum ada data",IF(F135&lt;IF(Aturan!$C$33="",0,Aturan!$C$33),"Kurang",IF(F135&gt;=IF(Aturan!$D$33="",Aturan!$C$33,Aturan!$D$33),"Nyaman","Cukup")))))</f>
        <v>Nyaman</v>
      </c>
      <c r="O135" s="68" t="str">
        <f aca="false">IF($A135="","",IF(AND(Aturan!$C$34="",Aturan!$D$34=""),"Tidak dinilai",IF(G135="","Belum ada data",IF(G135&lt;IF(Aturan!$C$34="",0,Aturan!$C$34),"Kurang",IF(G135&gt;=IF(Aturan!$D$34="",Aturan!$C$34,Aturan!$D$34),"Nyaman","Cukup")))))</f>
        <v>Tidak dinilai</v>
      </c>
      <c r="P135" s="68" t="str">
        <f aca="false">IF($A135="","",IF(AND(Aturan!$C$35="",Aturan!$D$35=""),"Tidak dinilai",IF(H135="","Belum ada data",IF(H135&lt;IF(Aturan!$C$35="",0,Aturan!$C$35),"Kurang",IF(H135&gt;=IF(Aturan!$D$35="",Aturan!$C$35,Aturan!$D$35),"Nyaman","Cukup")))))</f>
        <v>Tidak dinilai</v>
      </c>
      <c r="Q135" s="68" t="str">
        <f aca="false">IF($A135="","",IF(COUNTIF(K135:P135,"Tidak dinilai")=6,"Tidak dinilai",IF(COUNTIF(K135:P135,"Kurang")&gt;0,"Kurang cocok",IF(COUNTIF(K135:P135,"Belum ada data")&gt;0,"Data belum lengkap",IF(COUNTIF(K135:P135,"Cukup")&gt;0,"Bisa, dengan catatan","Cocok")))))</f>
        <v>Cocok</v>
      </c>
      <c r="R135" s="66" t="str">
        <f aca="false">IF($A135="","",IF(K135="Kurang","prosesor tingkat "&amp;C135&amp;" dari 5, di bawah batas minimal (tingkat "&amp;Aturan!$C$30&amp;")",IF(K135="Cukup","prosesor tingkat "&amp;C135&amp;" dari 5 cukup, nyamannya mulai tingkat "&amp;Aturan!$D$30,IF(K135="Belum ada data","tingkat prosesor belum diisi",""))))</f>
        <v/>
      </c>
      <c r="S135" s="66" t="str">
        <f aca="false">IF($A135="","",IF(L135="Kurang","grafis tingkat "&amp;D135&amp;" dari 5, di bawah batas minimal (tingkat "&amp;Aturan!$C$31&amp;")",IF(L135="Cukup","grafis tingkat "&amp;D135&amp;" dari 5 cukup, nyamannya mulai tingkat "&amp;Aturan!$D$31,IF(L135="Belum ada data","tingkat grafis belum diisi",""))))</f>
        <v/>
      </c>
      <c r="T135" s="66" t="str">
        <f aca="false">IF($A135="","",IF(M135="Kurang","RAM "&amp;E135&amp;" GB, di bawah batas minimal "&amp;Aturan!$C$32&amp;" GB ("&amp;I135&amp;")",IF(M135="Cukup","RAM "&amp;E135&amp;" GB cukup, nyamannya "&amp;Aturan!$D$32&amp;" GB atau lebih ("&amp;I135&amp;")",IF(M135="Belum ada data","ukuran RAM belum diisi",""))))</f>
        <v/>
      </c>
      <c r="U135" s="66" t="str">
        <f aca="false">IF($A135="","",IF(N135="Kurang","penyimpanan "&amp;F135&amp;" GB, di bawah batas minimal "&amp;Aturan!$C$33&amp;" GB ("&amp;J135&amp;")",IF(N135="Cukup","penyimpanan "&amp;F135&amp;" GB cukup, nyamannya "&amp;Aturan!$D$33&amp;" GB atau lebih ("&amp;J135&amp;")",IF(N135="Belum ada data","ukuran penyimpanan belum diisi",""))))</f>
        <v/>
      </c>
      <c r="V135" s="66" t="str">
        <f aca="false">IF($A135="","",IF(O135="Kurang","layar "&amp;Varian!$AG31&amp;", di bawah batas minimal ("&amp;IFERROR(INDEX(Aturan!$A$63:$A$66,MATCH(Aturan!$C$34,Aturan!$B$63:$B$66,0)),"peringkat "&amp;Aturan!$C$34)&amp;")",IF(O135="Cukup","layar "&amp;Varian!$AG31&amp;" cukup, nyamannya "&amp;IFERROR(INDEX(Aturan!$A$63:$A$66,MATCH(Aturan!$D$34,Aturan!$B$63:$B$66,0)),"peringkat "&amp;Aturan!$D$34),IF(O135="Belum ada data","jenis layar belum diketahui",""))))</f>
        <v/>
      </c>
      <c r="W135" s="66" t="str">
        <f aca="false">IF($A135="","",IF(P135="Kurang","layar "&amp;H135&amp;" Hz, di bawah batas minimal "&amp;Aturan!$C$35&amp;" Hz",IF(P135="Cukup","layar "&amp;H135&amp;" Hz cukup, nyamannya "&amp;Aturan!$D$35&amp;" Hz atau lebih",IF(P135="Belum ada data","refresh rate belum diketahui",""))))</f>
        <v/>
      </c>
      <c r="X135" s="66" t="str">
        <f aca="false">IF($A135="","",IF(K135="Kurang",R135&amp;"; ","")&amp;IF(L135="Kurang",S135&amp;"; ","")&amp;IF(M135="Kurang",T135&amp;"; ","")&amp;IF(N135="Kurang",U135&amp;"; ","")&amp;IF(O135="Kurang",V135&amp;"; ","")&amp;IF(P135="Kurang",W135&amp;"; ","")&amp;IF(K135="Belum ada data",R135&amp;"; ","")&amp;IF(L135="Belum ada data",S135&amp;"; ","")&amp;IF(M135="Belum ada data",T135&amp;"; ","")&amp;IF(N135="Belum ada data",U135&amp;"; ","")&amp;IF(O135="Belum ada data",V135&amp;"; ","")&amp;IF(P135="Belum ada data",W135&amp;"; ","")&amp;IF(K135="Cukup",R135&amp;"; ","")&amp;IF(L135="Cukup",S135&amp;"; ","")&amp;IF(M135="Cukup",T135&amp;"; ","")&amp;IF(N135="Cukup",U135&amp;"; ","")&amp;IF(O135="Cukup",V135&amp;"; ","")&amp;IF(P135="Cukup",W135&amp;"; ",""))</f>
        <v/>
      </c>
      <c r="Y135" s="66" t="str">
        <f aca="false">IF($A135="","",IF(K135="Nyaman","prosesor, ","")&amp;IF(L135="Nyaman","grafis, ","")&amp;IF(M135="Nyaman","RAM, ","")&amp;IF(N135="Nyaman","penyimpanan, ","")&amp;IF(O135="Nyaman","layar, ","")&amp;IF(P135="Nyaman","refresh rate, ",""))</f>
        <v>prosesor, RAM, penyimpanan, </v>
      </c>
      <c r="Z135" s="66" t="str">
        <f aca="false">IF($A135="","",IF(Q135="Tidak dinilai","Belum ada kriteria yang dinilai untuk kebutuhan ini.",IF(Q135="Cocok","Semua kriteria yang dinilai sudah nyaman: "&amp;LEFT(Y135,LEN(Y135)-2)&amp;".",UPPER(LEFT(X135,1))&amp;MID(X135,2,LEN(X135)-3)&amp;"."&amp;IF(Y135="",""," Sudah nyaman: "&amp;LEFT(Y135,LEN(Y135)-2)&amp;"."))))</f>
        <v>Semua kriteria yang dinilai sudah nyaman: prosesor, RAM, penyimpanan.</v>
      </c>
      <c r="AA135" s="66" t="str">
        <f aca="false">IF($A135="","",IF(Varian!$AR31="Windows 10","• "&amp;Aturan!$E$71&amp;CHAR(10),"")&amp;IF(Varian!$BB31="tidak","• "&amp;Aturan!$E$72&amp;CHAR(10),"")&amp;IF(OR(Varian!$AD31="belum terverifikasi",Varian!$AD31="tidak diketahui"),"• "&amp;Aturan!$E$73&amp;CHAR(10),"")&amp;IF(Varian!$AH31="1366x768","• "&amp;Aturan!$E$74&amp;CHAR(10),"")&amp;IF(Varian!$AG31="TN","• "&amp;Aturan!$E$75&amp;CHAR(10),"")&amp;IF(AND(Varian!$Q31="disolder",ISNUMBER(Varian!$M31),Varian!$M31&lt;=8),"• "&amp;Aturan!$E$76&amp;CHAR(10),""))</f>
        <v/>
      </c>
      <c r="AB135" s="66" t="str">
        <f aca="false">IF($A135="","",IF(AA135="","",LEFT(AA135,LEN(AA135)-1)))</f>
        <v/>
      </c>
      <c r="AC135" s="67" t="n">
        <f aca="false">IF($A135="","",IF(AA135="",0,LEN(AA135)-LEN(SUBSTITUTE(AA135,CHAR(10),""))))</f>
        <v>0</v>
      </c>
    </row>
    <row r="136" customFormat="false" ht="15" hidden="false" customHeight="true" outlineLevel="0" collapsed="false">
      <c r="A136" s="33" t="str">
        <f aca="false">IF(Varian!$A31="","",Varian!$A31)</f>
        <v>acer-nitro-v-15-anv15-52-i7-13620h-rtx5050-16-512</v>
      </c>
      <c r="B136" s="33" t="str">
        <f aca="false">IF($A136="","",Aturan!$A$22)</f>
        <v>Desain grafis</v>
      </c>
      <c r="C136" s="69" t="n">
        <f aca="false">IF($A136="","",IFERROR(IF(ISNUMBER(INDEX(CPU!$J$4:$J$64,MATCH(Varian!$J31,CPU!$A$4:$A$64,0))),INDEX(CPU!$J$4:$J$64,MATCH(Varian!$J31,CPU!$A$4:$A$64,0)),""),""))</f>
        <v>4</v>
      </c>
      <c r="D136" s="69" t="n">
        <f aca="false">IF($A136="","",IFERROR(IF(ISNUMBER(INDEX(GPU!$G$4:$G$64,MATCH(Varian!$K31,GPU!$A$4:$A$64,0))),INDEX(GPU!$G$4:$G$64,MATCH(Varian!$K31,GPU!$A$4:$A$64,0)),""),""))</f>
        <v>3</v>
      </c>
      <c r="E136" s="69" t="n">
        <f aca="false">IF($A136="","",IF(ISNUMBER(Varian!$M31),Varian!$M31,""))</f>
        <v>16</v>
      </c>
      <c r="F136" s="69" t="n">
        <f aca="false">IF($A136="","",IF(ISNUMBER(Varian!$V31),Varian!$V31,""))</f>
        <v>512</v>
      </c>
      <c r="G136" s="69" t="n">
        <f aca="false">IF($A136="","",IFERROR(INDEX(Aturan!$B$63:$B$66,MATCH(Varian!$AG31,Aturan!$A$63:$A$66,0)),""))</f>
        <v>3</v>
      </c>
      <c r="H136" s="69" t="n">
        <f aca="false">IF($A136="","",IF(ISNUMBER(Varian!$AI31),Varian!$AI31,""))</f>
        <v>180</v>
      </c>
      <c r="I136" s="33" t="str">
        <f aca="false">IF($A136="","",IF(Varian!$Q31="disolder","menempel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6" s="33" t="str">
        <f aca="false">IF($A136="","",IF(Varian!$Z31="ya","bisa diganti dengan yang lebih besar",IF(Varian!$Z31="tidak","menempel, tidak bisa diganti","belum diketahui apakah bisa diganti")))</f>
        <v>bisa diganti dengan yang lebih besar</v>
      </c>
      <c r="K136" s="70" t="str">
        <f aca="false">IF($A136="","",IF(AND(Aturan!$C$36="",Aturan!$D$36=""),"Tidak dinilai",IF(C136="","Belum ada data",IF(C136&lt;IF(Aturan!$C$36="",0,Aturan!$C$36),"Kurang",IF(C136&gt;=IF(Aturan!$D$36="",Aturan!$C$36,Aturan!$D$36),"Nyaman","Cukup")))))</f>
        <v>Nyaman</v>
      </c>
      <c r="L136" s="70" t="str">
        <f aca="false">IF($A136="","",IF(AND(Aturan!$C$37="",Aturan!$D$37=""),"Tidak dinilai",IF(D136="","Belum ada data",IF(D136&lt;IF(Aturan!$C$37="",0,Aturan!$C$37),"Kurang",IF(D136&gt;=IF(Aturan!$D$37="",Aturan!$C$37,Aturan!$D$37),"Nyaman","Cukup")))))</f>
        <v>Nyaman</v>
      </c>
      <c r="M136" s="70" t="str">
        <f aca="false">IF($A136="","",IF(AND(Aturan!$C$38="",Aturan!$D$38=""),"Tidak dinilai",IF(E136="","Belum ada data",IF(E136&lt;IF(Aturan!$C$38="",0,Aturan!$C$38),"Kurang",IF(E136&gt;=IF(Aturan!$D$38="",Aturan!$C$38,Aturan!$D$38),"Nyaman","Cukup")))))</f>
        <v>Nyaman</v>
      </c>
      <c r="N136" s="70" t="str">
        <f aca="false">IF($A136="","",IF(AND(Aturan!$C$39="",Aturan!$D$39=""),"Tidak dinilai",IF(F136="","Belum ada data",IF(F136&lt;IF(Aturan!$C$39="",0,Aturan!$C$39),"Kurang",IF(F136&gt;=IF(Aturan!$D$39="",Aturan!$C$39,Aturan!$D$39),"Nyaman","Cukup")))))</f>
        <v>Nyaman</v>
      </c>
      <c r="O136" s="70" t="str">
        <f aca="false">IF($A136="","",IF(AND(Aturan!$C$40="",Aturan!$D$40=""),"Tidak dinilai",IF(G136="","Belum ada data",IF(G136&lt;IF(Aturan!$C$40="",0,Aturan!$C$40),"Kurang",IF(G136&gt;=IF(Aturan!$D$40="",Aturan!$C$40,Aturan!$D$40),"Nyaman","Cukup")))))</f>
        <v>Cukup</v>
      </c>
      <c r="P136" s="70" t="str">
        <f aca="false">IF($A136="","",IF(AND(Aturan!$C$41="",Aturan!$D$41=""),"Tidak dinilai",IF(H136="","Belum ada data",IF(H136&lt;IF(Aturan!$C$41="",0,Aturan!$C$41),"Kurang",IF(H136&gt;=IF(Aturan!$D$41="",Aturan!$C$41,Aturan!$D$41),"Nyaman","Cukup")))))</f>
        <v>Tidak dinilai</v>
      </c>
      <c r="Q136" s="70" t="str">
        <f aca="false">IF($A136="","",IF(COUNTIF(K136:P136,"Tidak dinilai")=6,"Tidak dinilai",IF(COUNTIF(K136:P136,"Kurang")&gt;0,"Kurang cocok",IF(COUNTIF(K136:P136,"Belum ada data")&gt;0,"Data belum lengkap",IF(COUNTIF(K136:P136,"Cukup")&gt;0,"Bisa, dengan catatan","Cocok")))))</f>
        <v>Bisa, dengan catatan</v>
      </c>
      <c r="R136" s="33" t="str">
        <f aca="false">IF($A136="","",IF(K136="Kurang","prosesor tingkat "&amp;C136&amp;" dari 5, di bawah batas minimal (tingkat "&amp;Aturan!$C$36&amp;")",IF(K136="Cukup","prosesor tingkat "&amp;C136&amp;" dari 5 cukup, nyamannya mulai tingkat "&amp;Aturan!$D$36,IF(K136="Belum ada data","tingkat prosesor belum diisi",""))))</f>
        <v/>
      </c>
      <c r="S136" s="33" t="str">
        <f aca="false">IF($A136="","",IF(L136="Kurang","grafis tingkat "&amp;D136&amp;" dari 5, di bawah batas minimal (tingkat "&amp;Aturan!$C$37&amp;")",IF(L136="Cukup","grafis tingkat "&amp;D136&amp;" dari 5 cukup, nyamannya mulai tingkat "&amp;Aturan!$D$37,IF(L136="Belum ada data","tingkat grafis belum diisi",""))))</f>
        <v/>
      </c>
      <c r="T136" s="33" t="str">
        <f aca="false">IF($A136="","",IF(M136="Kurang","RAM "&amp;E136&amp;" GB, di bawah batas minimal "&amp;Aturan!$C$38&amp;" GB ("&amp;I136&amp;")",IF(M136="Cukup","RAM "&amp;E136&amp;" GB cukup, nyamannya "&amp;Aturan!$D$38&amp;" GB atau lebih ("&amp;I136&amp;")",IF(M136="Belum ada data","ukuran RAM belum diisi",""))))</f>
        <v/>
      </c>
      <c r="U136" s="33" t="str">
        <f aca="false">IF($A136="","",IF(N136="Kurang","penyimpanan "&amp;F136&amp;" GB, di bawah batas minimal "&amp;Aturan!$C$39&amp;" GB ("&amp;J136&amp;")",IF(N136="Cukup","penyimpanan "&amp;F136&amp;" GB cukup, nyamannya "&amp;Aturan!$D$39&amp;" GB atau lebih ("&amp;J136&amp;")",IF(N136="Belum ada data","ukuran penyimpanan belum diisi",""))))</f>
        <v/>
      </c>
      <c r="V136" s="33" t="str">
        <f aca="false">IF($A136="","",IF(O136="Kurang","layar "&amp;Varian!$AG31&amp;", di bawah batas minimal ("&amp;IFERROR(INDEX(Aturan!$A$63:$A$66,MATCH(Aturan!$C$40,Aturan!$B$63:$B$66,0)),"peringkat "&amp;Aturan!$C$40)&amp;")",IF(O136="Cukup","layar "&amp;Varian!$AG31&amp;" cukup, nyamannya "&amp;IFERROR(INDEX(Aturan!$A$63:$A$66,MATCH(Aturan!$D$40,Aturan!$B$63:$B$66,0)),"peringkat "&amp;Aturan!$D$40),IF(O136="Belum ada data","jenis layar belum diketahui",""))))</f>
        <v>layar IPS cukup, nyamannya OLED</v>
      </c>
      <c r="W136" s="33" t="str">
        <f aca="false">IF($A136="","",IF(P136="Kurang","layar "&amp;H136&amp;" Hz, di bawah batas minimal "&amp;Aturan!$C$41&amp;" Hz",IF(P136="Cukup","layar "&amp;H136&amp;" Hz cukup, nyamannya "&amp;Aturan!$D$41&amp;" Hz atau lebih",IF(P136="Belum ada data","refresh rate belum diketahui",""))))</f>
        <v/>
      </c>
      <c r="X136" s="33" t="str">
        <f aca="false">IF($A136="","",IF(K136="Kurang",R136&amp;"; ","")&amp;IF(L136="Kurang",S136&amp;"; ","")&amp;IF(M136="Kurang",T136&amp;"; ","")&amp;IF(N136="Kurang",U136&amp;"; ","")&amp;IF(O136="Kurang",V136&amp;"; ","")&amp;IF(P136="Kurang",W136&amp;"; ","")&amp;IF(K136="Belum ada data",R136&amp;"; ","")&amp;IF(L136="Belum ada data",S136&amp;"; ","")&amp;IF(M136="Belum ada data",T136&amp;"; ","")&amp;IF(N136="Belum ada data",U136&amp;"; ","")&amp;IF(O136="Belum ada data",V136&amp;"; ","")&amp;IF(P136="Belum ada data",W136&amp;"; ","")&amp;IF(K136="Cukup",R136&amp;"; ","")&amp;IF(L136="Cukup",S136&amp;"; ","")&amp;IF(M136="Cukup",T136&amp;"; ","")&amp;IF(N136="Cukup",U136&amp;"; ","")&amp;IF(O136="Cukup",V136&amp;"; ","")&amp;IF(P136="Cukup",W136&amp;"; ",""))</f>
        <v>layar IPS cukup, nyamannya OLED; </v>
      </c>
      <c r="Y136" s="33" t="str">
        <f aca="false">IF($A136="","",IF(K136="Nyaman","prosesor, ","")&amp;IF(L136="Nyaman","grafis, ","")&amp;IF(M136="Nyaman","RAM, ","")&amp;IF(N136="Nyaman","penyimpanan, ","")&amp;IF(O136="Nyaman","layar, ","")&amp;IF(P136="Nyaman","refresh rate, ",""))</f>
        <v>prosesor, grafis, RAM, penyimpanan, </v>
      </c>
      <c r="Z136" s="33" t="str">
        <f aca="false">IF($A136="","",IF(Q136="Tidak dinilai","Belum ada kriteria yang dinilai untuk kebutuhan ini.",IF(Q136="Cocok","Semua kriteria yang dinilai sudah nyaman: "&amp;LEFT(Y136,LEN(Y136)-2)&amp;".",UPPER(LEFT(X136,1))&amp;MID(X136,2,LEN(X136)-3)&amp;"."&amp;IF(Y136="",""," Sudah nyaman: "&amp;LEFT(Y136,LEN(Y136)-2)&amp;"."))))</f>
        <v>Layar IPS cukup, nyamannya OLED. Sudah nyaman: prosesor, grafis, RAM, penyimpanan.</v>
      </c>
      <c r="AA136" s="33"/>
      <c r="AB136" s="33"/>
      <c r="AC136" s="69"/>
    </row>
    <row r="137" customFormat="false" ht="15" hidden="false" customHeight="true" outlineLevel="0" collapsed="false">
      <c r="A137" s="33" t="str">
        <f aca="false">IF(Varian!$A31="","",Varian!$A31)</f>
        <v>acer-nitro-v-15-anv15-52-i7-13620h-rtx5050-16-512</v>
      </c>
      <c r="B137" s="33" t="str">
        <f aca="false">IF($A137="","",Aturan!$A$23)</f>
        <v>Pemrograman</v>
      </c>
      <c r="C137" s="69" t="n">
        <f aca="false">IF($A137="","",IFERROR(IF(ISNUMBER(INDEX(CPU!$J$4:$J$64,MATCH(Varian!$J31,CPU!$A$4:$A$64,0))),INDEX(CPU!$J$4:$J$64,MATCH(Varian!$J31,CPU!$A$4:$A$64,0)),""),""))</f>
        <v>4</v>
      </c>
      <c r="D137" s="69" t="n">
        <f aca="false">IF($A137="","",IFERROR(IF(ISNUMBER(INDEX(GPU!$G$4:$G$64,MATCH(Varian!$K31,GPU!$A$4:$A$64,0))),INDEX(GPU!$G$4:$G$64,MATCH(Varian!$K31,GPU!$A$4:$A$64,0)),""),""))</f>
        <v>3</v>
      </c>
      <c r="E137" s="69" t="n">
        <f aca="false">IF($A137="","",IF(ISNUMBER(Varian!$M31),Varian!$M31,""))</f>
        <v>16</v>
      </c>
      <c r="F137" s="69" t="n">
        <f aca="false">IF($A137="","",IF(ISNUMBER(Varian!$V31),Varian!$V31,""))</f>
        <v>512</v>
      </c>
      <c r="G137" s="69" t="n">
        <f aca="false">IF($A137="","",IFERROR(INDEX(Aturan!$B$63:$B$66,MATCH(Varian!$AG31,Aturan!$A$63:$A$66,0)),""))</f>
        <v>3</v>
      </c>
      <c r="H137" s="69" t="n">
        <f aca="false">IF($A137="","",IF(ISNUMBER(Varian!$AI31),Varian!$AI31,""))</f>
        <v>180</v>
      </c>
      <c r="I137" s="33" t="str">
        <f aca="false">IF($A137="","",IF(Varian!$Q31="disolder","menempel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7" s="33" t="str">
        <f aca="false">IF($A137="","",IF(Varian!$Z31="ya","bisa diganti dengan yang lebih besar",IF(Varian!$Z31="tidak","menempel, tidak bisa diganti","belum diketahui apakah bisa diganti")))</f>
        <v>bisa diganti dengan yang lebih besar</v>
      </c>
      <c r="K137" s="70" t="str">
        <f aca="false">IF($A137="","",IF(AND(Aturan!$C$42="",Aturan!$D$42=""),"Tidak dinilai",IF(C137="","Belum ada data",IF(C137&lt;IF(Aturan!$C$42="",0,Aturan!$C$42),"Kurang",IF(C137&gt;=IF(Aturan!$D$42="",Aturan!$C$42,Aturan!$D$42),"Nyaman","Cukup")))))</f>
        <v>Nyaman</v>
      </c>
      <c r="L137" s="70" t="str">
        <f aca="false">IF($A137="","",IF(AND(Aturan!$C$43="",Aturan!$D$43=""),"Tidak dinilai",IF(D137="","Belum ada data",IF(D137&lt;IF(Aturan!$C$43="",0,Aturan!$C$43),"Kurang",IF(D137&gt;=IF(Aturan!$D$43="",Aturan!$C$43,Aturan!$D$43),"Nyaman","Cukup")))))</f>
        <v>Tidak dinilai</v>
      </c>
      <c r="M137" s="70" t="str">
        <f aca="false">IF($A137="","",IF(AND(Aturan!$C$44="",Aturan!$D$44=""),"Tidak dinilai",IF(E137="","Belum ada data",IF(E137&lt;IF(Aturan!$C$44="",0,Aturan!$C$44),"Kurang",IF(E137&gt;=IF(Aturan!$D$44="",Aturan!$C$44,Aturan!$D$44),"Nyaman","Cukup")))))</f>
        <v>Nyaman</v>
      </c>
      <c r="N137" s="70" t="str">
        <f aca="false">IF($A137="","",IF(AND(Aturan!$C$45="",Aturan!$D$45=""),"Tidak dinilai",IF(F137="","Belum ada data",IF(F137&lt;IF(Aturan!$C$45="",0,Aturan!$C$45),"Kurang",IF(F137&gt;=IF(Aturan!$D$45="",Aturan!$C$45,Aturan!$D$45),"Nyaman","Cukup")))))</f>
        <v>Nyaman</v>
      </c>
      <c r="O137" s="70" t="str">
        <f aca="false">IF($A137="","",IF(AND(Aturan!$C$46="",Aturan!$D$46=""),"Tidak dinilai",IF(G137="","Belum ada data",IF(G137&lt;IF(Aturan!$C$46="",0,Aturan!$C$46),"Kurang",IF(G137&gt;=IF(Aturan!$D$46="",Aturan!$C$46,Aturan!$D$46),"Nyaman","Cukup")))))</f>
        <v>Tidak dinilai</v>
      </c>
      <c r="P137" s="70" t="str">
        <f aca="false">IF($A137="","",IF(AND(Aturan!$C$47="",Aturan!$D$47=""),"Tidak dinilai",IF(H137="","Belum ada data",IF(H137&lt;IF(Aturan!$C$47="",0,Aturan!$C$47),"Kurang",IF(H137&gt;=IF(Aturan!$D$47="",Aturan!$C$47,Aturan!$D$47),"Nyaman","Cukup")))))</f>
        <v>Tidak dinilai</v>
      </c>
      <c r="Q137" s="70" t="str">
        <f aca="false">IF($A137="","",IF(COUNTIF(K137:P137,"Tidak dinilai")=6,"Tidak dinilai",IF(COUNTIF(K137:P137,"Kurang")&gt;0,"Kurang cocok",IF(COUNTIF(K137:P137,"Belum ada data")&gt;0,"Data belum lengkap",IF(COUNTIF(K137:P137,"Cukup")&gt;0,"Bisa, dengan catatan","Cocok")))))</f>
        <v>Cocok</v>
      </c>
      <c r="R137" s="33" t="str">
        <f aca="false">IF($A137="","",IF(K137="Kurang","prosesor tingkat "&amp;C137&amp;" dari 5, di bawah batas minimal (tingkat "&amp;Aturan!$C$42&amp;")",IF(K137="Cukup","prosesor tingkat "&amp;C137&amp;" dari 5 cukup, nyamannya mulai tingkat "&amp;Aturan!$D$42,IF(K137="Belum ada data","tingkat prosesor belum diisi",""))))</f>
        <v/>
      </c>
      <c r="S137" s="33" t="str">
        <f aca="false">IF($A137="","",IF(L137="Kurang","grafis tingkat "&amp;D137&amp;" dari 5, di bawah batas minimal (tingkat "&amp;Aturan!$C$43&amp;")",IF(L137="Cukup","grafis tingkat "&amp;D137&amp;" dari 5 cukup, nyamannya mulai tingkat "&amp;Aturan!$D$43,IF(L137="Belum ada data","tingkat grafis belum diisi",""))))</f>
        <v/>
      </c>
      <c r="T137" s="33" t="str">
        <f aca="false">IF($A137="","",IF(M137="Kurang","RAM "&amp;E137&amp;" GB, di bawah batas minimal "&amp;Aturan!$C$44&amp;" GB ("&amp;I137&amp;")",IF(M137="Cukup","RAM "&amp;E137&amp;" GB cukup, nyamannya "&amp;Aturan!$D$44&amp;" GB atau lebih ("&amp;I137&amp;")",IF(M137="Belum ada data","ukuran RAM belum diisi",""))))</f>
        <v/>
      </c>
      <c r="U137" s="33" t="str">
        <f aca="false">IF($A137="","",IF(N137="Kurang","penyimpanan "&amp;F137&amp;" GB, di bawah batas minimal "&amp;Aturan!$C$45&amp;" GB ("&amp;J137&amp;")",IF(N137="Cukup","penyimpanan "&amp;F137&amp;" GB cukup, nyamannya "&amp;Aturan!$D$45&amp;" GB atau lebih ("&amp;J137&amp;")",IF(N137="Belum ada data","ukuran penyimpanan belum diisi",""))))</f>
        <v/>
      </c>
      <c r="V137" s="33" t="str">
        <f aca="false">IF($A137="","",IF(O137="Kurang","layar "&amp;Varian!$AG31&amp;", di bawah batas minimal ("&amp;IFERROR(INDEX(Aturan!$A$63:$A$66,MATCH(Aturan!$C$46,Aturan!$B$63:$B$66,0)),"peringkat "&amp;Aturan!$C$46)&amp;")",IF(O137="Cukup","layar "&amp;Varian!$AG31&amp;" cukup, nyamannya "&amp;IFERROR(INDEX(Aturan!$A$63:$A$66,MATCH(Aturan!$D$46,Aturan!$B$63:$B$66,0)),"peringkat "&amp;Aturan!$D$46),IF(O137="Belum ada data","jenis layar belum diketahui",""))))</f>
        <v/>
      </c>
      <c r="W137" s="33" t="str">
        <f aca="false">IF($A137="","",IF(P137="Kurang","layar "&amp;H137&amp;" Hz, di bawah batas minimal "&amp;Aturan!$C$47&amp;" Hz",IF(P137="Cukup","layar "&amp;H137&amp;" Hz cukup, nyamannya "&amp;Aturan!$D$47&amp;" Hz atau lebih",IF(P137="Belum ada data","refresh rate belum diketahui",""))))</f>
        <v/>
      </c>
      <c r="X137" s="33" t="str">
        <f aca="false">IF($A137="","",IF(K137="Kurang",R137&amp;"; ","")&amp;IF(L137="Kurang",S137&amp;"; ","")&amp;IF(M137="Kurang",T137&amp;"; ","")&amp;IF(N137="Kurang",U137&amp;"; ","")&amp;IF(O137="Kurang",V137&amp;"; ","")&amp;IF(P137="Kurang",W137&amp;"; ","")&amp;IF(K137="Belum ada data",R137&amp;"; ","")&amp;IF(L137="Belum ada data",S137&amp;"; ","")&amp;IF(M137="Belum ada data",T137&amp;"; ","")&amp;IF(N137="Belum ada data",U137&amp;"; ","")&amp;IF(O137="Belum ada data",V137&amp;"; ","")&amp;IF(P137="Belum ada data",W137&amp;"; ","")&amp;IF(K137="Cukup",R137&amp;"; ","")&amp;IF(L137="Cukup",S137&amp;"; ","")&amp;IF(M137="Cukup",T137&amp;"; ","")&amp;IF(N137="Cukup",U137&amp;"; ","")&amp;IF(O137="Cukup",V137&amp;"; ","")&amp;IF(P137="Cukup",W137&amp;"; ",""))</f>
        <v/>
      </c>
      <c r="Y137" s="33" t="str">
        <f aca="false">IF($A137="","",IF(K137="Nyaman","prosesor, ","")&amp;IF(L137="Nyaman","grafis, ","")&amp;IF(M137="Nyaman","RAM, ","")&amp;IF(N137="Nyaman","penyimpanan, ","")&amp;IF(O137="Nyaman","layar, ","")&amp;IF(P137="Nyaman","refresh rate, ",""))</f>
        <v>prosesor, RAM, penyimpanan, </v>
      </c>
      <c r="Z137" s="33" t="str">
        <f aca="false">IF($A137="","",IF(Q137="Tidak dinilai","Belum ada kriteria yang dinilai untuk kebutuhan ini.",IF(Q137="Cocok","Semua kriteria yang dinilai sudah nyaman: "&amp;LEFT(Y137,LEN(Y137)-2)&amp;".",UPPER(LEFT(X137,1))&amp;MID(X137,2,LEN(X137)-3)&amp;"."&amp;IF(Y137="",""," Sudah nyaman: "&amp;LEFT(Y137,LEN(Y137)-2)&amp;"."))))</f>
        <v>Semua kriteria yang dinilai sudah nyaman: prosesor, RAM, penyimpanan.</v>
      </c>
      <c r="AA137" s="33"/>
      <c r="AB137" s="33"/>
      <c r="AC137" s="69"/>
    </row>
    <row r="138" customFormat="false" ht="15" hidden="false" customHeight="true" outlineLevel="0" collapsed="false">
      <c r="A138" s="33" t="str">
        <f aca="false">IF(Varian!$A31="","",Varian!$A31)</f>
        <v>acer-nitro-v-15-anv15-52-i7-13620h-rtx5050-16-512</v>
      </c>
      <c r="B138" s="33" t="str">
        <f aca="false">IF($A138="","",Aturan!$A$24)</f>
        <v>Game ringan</v>
      </c>
      <c r="C138" s="69" t="n">
        <f aca="false">IF($A138="","",IFERROR(IF(ISNUMBER(INDEX(CPU!$J$4:$J$64,MATCH(Varian!$J31,CPU!$A$4:$A$64,0))),INDEX(CPU!$J$4:$J$64,MATCH(Varian!$J31,CPU!$A$4:$A$64,0)),""),""))</f>
        <v>4</v>
      </c>
      <c r="D138" s="69" t="n">
        <f aca="false">IF($A138="","",IFERROR(IF(ISNUMBER(INDEX(GPU!$G$4:$G$64,MATCH(Varian!$K31,GPU!$A$4:$A$64,0))),INDEX(GPU!$G$4:$G$64,MATCH(Varian!$K31,GPU!$A$4:$A$64,0)),""),""))</f>
        <v>3</v>
      </c>
      <c r="E138" s="69" t="n">
        <f aca="false">IF($A138="","",IF(ISNUMBER(Varian!$M31),Varian!$M31,""))</f>
        <v>16</v>
      </c>
      <c r="F138" s="69" t="n">
        <f aca="false">IF($A138="","",IF(ISNUMBER(Varian!$V31),Varian!$V31,""))</f>
        <v>512</v>
      </c>
      <c r="G138" s="69" t="n">
        <f aca="false">IF($A138="","",IFERROR(INDEX(Aturan!$B$63:$B$66,MATCH(Varian!$AG31,Aturan!$A$63:$A$66,0)),""))</f>
        <v>3</v>
      </c>
      <c r="H138" s="69" t="n">
        <f aca="false">IF($A138="","",IF(ISNUMBER(Varian!$AI31),Varian!$AI31,""))</f>
        <v>180</v>
      </c>
      <c r="I138" s="33" t="str">
        <f aca="false">IF($A138="","",IF(Varian!$Q31="disolder","menempel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8" s="33" t="str">
        <f aca="false">IF($A138="","",IF(Varian!$Z31="ya","bisa diganti dengan yang lebih besar",IF(Varian!$Z31="tidak","menempel, tidak bisa diganti","belum diketahui apakah bisa diganti")))</f>
        <v>bisa diganti dengan yang lebih besar</v>
      </c>
      <c r="K138" s="70" t="str">
        <f aca="false">IF($A138="","",IF(AND(Aturan!$C$48="",Aturan!$D$48=""),"Tidak dinilai",IF(C138="","Belum ada data",IF(C138&lt;IF(Aturan!$C$48="",0,Aturan!$C$48),"Kurang",IF(C138&gt;=IF(Aturan!$D$48="",Aturan!$C$48,Aturan!$D$48),"Nyaman","Cukup")))))</f>
        <v>Nyaman</v>
      </c>
      <c r="L138" s="70" t="str">
        <f aca="false">IF($A138="","",IF(AND(Aturan!$C$49="",Aturan!$D$49=""),"Tidak dinilai",IF(D138="","Belum ada data",IF(D138&lt;IF(Aturan!$C$49="",0,Aturan!$C$49),"Kurang",IF(D138&gt;=IF(Aturan!$D$49="",Aturan!$C$49,Aturan!$D$49),"Nyaman","Cukup")))))</f>
        <v>Nyaman</v>
      </c>
      <c r="M138" s="70" t="str">
        <f aca="false">IF($A138="","",IF(AND(Aturan!$C$50="",Aturan!$D$50=""),"Tidak dinilai",IF(E138="","Belum ada data",IF(E138&lt;IF(Aturan!$C$50="",0,Aturan!$C$50),"Kurang",IF(E138&gt;=IF(Aturan!$D$50="",Aturan!$C$50,Aturan!$D$50),"Nyaman","Cukup")))))</f>
        <v>Nyaman</v>
      </c>
      <c r="N138" s="70" t="str">
        <f aca="false">IF($A138="","",IF(AND(Aturan!$C$51="",Aturan!$D$51=""),"Tidak dinilai",IF(F138="","Belum ada data",IF(F138&lt;IF(Aturan!$C$51="",0,Aturan!$C$51),"Kurang",IF(F138&gt;=IF(Aturan!$D$51="",Aturan!$C$51,Aturan!$D$51),"Nyaman","Cukup")))))</f>
        <v>Nyaman</v>
      </c>
      <c r="O138" s="70" t="str">
        <f aca="false">IF($A138="","",IF(AND(Aturan!$C$52="",Aturan!$D$52=""),"Tidak dinilai",IF(G138="","Belum ada data",IF(G138&lt;IF(Aturan!$C$52="",0,Aturan!$C$52),"Kurang",IF(G138&gt;=IF(Aturan!$D$52="",Aturan!$C$52,Aturan!$D$52),"Nyaman","Cukup")))))</f>
        <v>Tidak dinilai</v>
      </c>
      <c r="P138" s="70" t="str">
        <f aca="false">IF($A138="","",IF(AND(Aturan!$C$53="",Aturan!$D$53=""),"Tidak dinilai",IF(H138="","Belum ada data",IF(H138&lt;IF(Aturan!$C$53="",0,Aturan!$C$53),"Kurang",IF(H138&gt;=IF(Aturan!$D$53="",Aturan!$C$53,Aturan!$D$53),"Nyaman","Cukup")))))</f>
        <v>Tidak dinilai</v>
      </c>
      <c r="Q138" s="70" t="str">
        <f aca="false">IF($A138="","",IF(COUNTIF(K138:P138,"Tidak dinilai")=6,"Tidak dinilai",IF(COUNTIF(K138:P138,"Kurang")&gt;0,"Kurang cocok",IF(COUNTIF(K138:P138,"Belum ada data")&gt;0,"Data belum lengkap",IF(COUNTIF(K138:P138,"Cukup")&gt;0,"Bisa, dengan catatan","Cocok")))))</f>
        <v>Cocok</v>
      </c>
      <c r="R138" s="33" t="str">
        <f aca="false">IF($A138="","",IF(K138="Kurang","prosesor tingkat "&amp;C138&amp;" dari 5, di bawah batas minimal (tingkat "&amp;Aturan!$C$48&amp;")",IF(K138="Cukup","prosesor tingkat "&amp;C138&amp;" dari 5 cukup, nyamannya mulai tingkat "&amp;Aturan!$D$48,IF(K138="Belum ada data","tingkat prosesor belum diisi",""))))</f>
        <v/>
      </c>
      <c r="S138" s="33" t="str">
        <f aca="false">IF($A138="","",IF(L138="Kurang","grafis tingkat "&amp;D138&amp;" dari 5, di bawah batas minimal (tingkat "&amp;Aturan!$C$49&amp;")",IF(L138="Cukup","grafis tingkat "&amp;D138&amp;" dari 5 cukup, nyamannya mulai tingkat "&amp;Aturan!$D$49,IF(L138="Belum ada data","tingkat grafis belum diisi",""))))</f>
        <v/>
      </c>
      <c r="T138" s="33" t="str">
        <f aca="false">IF($A138="","",IF(M138="Kurang","RAM "&amp;E138&amp;" GB, di bawah batas minimal "&amp;Aturan!$C$50&amp;" GB ("&amp;I138&amp;")",IF(M138="Cukup","RAM "&amp;E138&amp;" GB cukup, nyamannya "&amp;Aturan!$D$50&amp;" GB atau lebih ("&amp;I138&amp;")",IF(M138="Belum ada data","ukuran RAM belum diisi",""))))</f>
        <v/>
      </c>
      <c r="U138" s="33" t="str">
        <f aca="false">IF($A138="","",IF(N138="Kurang","penyimpanan "&amp;F138&amp;" GB, di bawah batas minimal "&amp;Aturan!$C$51&amp;" GB ("&amp;J138&amp;")",IF(N138="Cukup","penyimpanan "&amp;F138&amp;" GB cukup, nyamannya "&amp;Aturan!$D$51&amp;" GB atau lebih ("&amp;J138&amp;")",IF(N138="Belum ada data","ukuran penyimpanan belum diisi",""))))</f>
        <v/>
      </c>
      <c r="V138" s="33" t="str">
        <f aca="false">IF($A138="","",IF(O138="Kurang","layar "&amp;Varian!$AG31&amp;", di bawah batas minimal ("&amp;IFERROR(INDEX(Aturan!$A$63:$A$66,MATCH(Aturan!$C$52,Aturan!$B$63:$B$66,0)),"peringkat "&amp;Aturan!$C$52)&amp;")",IF(O138="Cukup","layar "&amp;Varian!$AG31&amp;" cukup, nyamannya "&amp;IFERROR(INDEX(Aturan!$A$63:$A$66,MATCH(Aturan!$D$52,Aturan!$B$63:$B$66,0)),"peringkat "&amp;Aturan!$D$52),IF(O138="Belum ada data","jenis layar belum diketahui",""))))</f>
        <v/>
      </c>
      <c r="W138" s="33" t="str">
        <f aca="false">IF($A138="","",IF(P138="Kurang","layar "&amp;H138&amp;" Hz, di bawah batas minimal "&amp;Aturan!$C$53&amp;" Hz",IF(P138="Cukup","layar "&amp;H138&amp;" Hz cukup, nyamannya "&amp;Aturan!$D$53&amp;" Hz atau lebih",IF(P138="Belum ada data","refresh rate belum diketahui",""))))</f>
        <v/>
      </c>
      <c r="X138" s="33" t="str">
        <f aca="false">IF($A138="","",IF(K138="Kurang",R138&amp;"; ","")&amp;IF(L138="Kurang",S138&amp;"; ","")&amp;IF(M138="Kurang",T138&amp;"; ","")&amp;IF(N138="Kurang",U138&amp;"; ","")&amp;IF(O138="Kurang",V138&amp;"; ","")&amp;IF(P138="Kurang",W138&amp;"; ","")&amp;IF(K138="Belum ada data",R138&amp;"; ","")&amp;IF(L138="Belum ada data",S138&amp;"; ","")&amp;IF(M138="Belum ada data",T138&amp;"; ","")&amp;IF(N138="Belum ada data",U138&amp;"; ","")&amp;IF(O138="Belum ada data",V138&amp;"; ","")&amp;IF(P138="Belum ada data",W138&amp;"; ","")&amp;IF(K138="Cukup",R138&amp;"; ","")&amp;IF(L138="Cukup",S138&amp;"; ","")&amp;IF(M138="Cukup",T138&amp;"; ","")&amp;IF(N138="Cukup",U138&amp;"; ","")&amp;IF(O138="Cukup",V138&amp;"; ","")&amp;IF(P138="Cukup",W138&amp;"; ",""))</f>
        <v/>
      </c>
      <c r="Y138" s="33" t="str">
        <f aca="false">IF($A138="","",IF(K138="Nyaman","prosesor, ","")&amp;IF(L138="Nyaman","grafis, ","")&amp;IF(M138="Nyaman","RAM, ","")&amp;IF(N138="Nyaman","penyimpanan, ","")&amp;IF(O138="Nyaman","layar, ","")&amp;IF(P138="Nyaman","refresh rate, ",""))</f>
        <v>prosesor, grafis, RAM, penyimpanan, </v>
      </c>
      <c r="Z138" s="33" t="str">
        <f aca="false">IF($A138="","",IF(Q138="Tidak dinilai","Belum ada kriteria yang dinilai untuk kebutuhan ini.",IF(Q138="Cocok","Semua kriteria yang dinilai sudah nyaman: "&amp;LEFT(Y138,LEN(Y138)-2)&amp;".",UPPER(LEFT(X138,1))&amp;MID(X138,2,LEN(X138)-3)&amp;"."&amp;IF(Y138="",""," Sudah nyaman: "&amp;LEFT(Y138,LEN(Y138)-2)&amp;"."))))</f>
        <v>Semua kriteria yang dinilai sudah nyaman: prosesor, grafis, RAM, penyimpanan.</v>
      </c>
      <c r="AA138" s="33"/>
      <c r="AB138" s="33"/>
      <c r="AC138" s="69"/>
    </row>
    <row r="139" customFormat="false" ht="15" hidden="false" customHeight="true" outlineLevel="0" collapsed="false">
      <c r="A139" s="33" t="str">
        <f aca="false">IF(Varian!$A31="","",Varian!$A31)</f>
        <v>acer-nitro-v-15-anv15-52-i7-13620h-rtx5050-16-512</v>
      </c>
      <c r="B139" s="33" t="str">
        <f aca="false">IF($A139="","",Aturan!$A$25)</f>
        <v>Game berat</v>
      </c>
      <c r="C139" s="69" t="n">
        <f aca="false">IF($A139="","",IFERROR(IF(ISNUMBER(INDEX(CPU!$J$4:$J$64,MATCH(Varian!$J31,CPU!$A$4:$A$64,0))),INDEX(CPU!$J$4:$J$64,MATCH(Varian!$J31,CPU!$A$4:$A$64,0)),""),""))</f>
        <v>4</v>
      </c>
      <c r="D139" s="69" t="n">
        <f aca="false">IF($A139="","",IFERROR(IF(ISNUMBER(INDEX(GPU!$G$4:$G$64,MATCH(Varian!$K31,GPU!$A$4:$A$64,0))),INDEX(GPU!$G$4:$G$64,MATCH(Varian!$K31,GPU!$A$4:$A$64,0)),""),""))</f>
        <v>3</v>
      </c>
      <c r="E139" s="69" t="n">
        <f aca="false">IF($A139="","",IF(ISNUMBER(Varian!$M31),Varian!$M31,""))</f>
        <v>16</v>
      </c>
      <c r="F139" s="69" t="n">
        <f aca="false">IF($A139="","",IF(ISNUMBER(Varian!$V31),Varian!$V31,""))</f>
        <v>512</v>
      </c>
      <c r="G139" s="69" t="n">
        <f aca="false">IF($A139="","",IFERROR(INDEX(Aturan!$B$63:$B$66,MATCH(Varian!$AG31,Aturan!$A$63:$A$66,0)),""))</f>
        <v>3</v>
      </c>
      <c r="H139" s="69" t="n">
        <f aca="false">IF($A139="","",IF(ISNUMBER(Varian!$AI31),Varian!$AI31,""))</f>
        <v>180</v>
      </c>
      <c r="I139" s="33" t="str">
        <f aca="false">IF($A139="","",IF(Varian!$Q31="disolder","menempel di papan utama, tidak bisa ditambah",IF(OR(Varian!$Q31="slot",Varian!$Q31="setengah_disolder"),IF(Varian!$Q31="setengah_disolder","sebagian menempel, ","")&amp;IF(ISNUMBER(Varian!$U31),IF(AND(ISNUMBER(Varian!$M31),Varian!$U31&gt;Varian!$M31),"bisa dinaikkan lewat slot sampai "&amp;Varian!$U31&amp;" GB","sudah di batas maksimal "&amp;Varian!$U31&amp;" GB"),"ada slot, batas maksimalnya belum diketahui"),"belum diketahui apakah bisa ditambah")))</f>
        <v>bisa dinaikkan lewat slot sampai 32 GB</v>
      </c>
      <c r="J139" s="33" t="str">
        <f aca="false">IF($A139="","",IF(Varian!$Z31="ya","bisa diganti dengan yang lebih besar",IF(Varian!$Z31="tidak","menempel, tidak bisa diganti","belum diketahui apakah bisa diganti")))</f>
        <v>bisa diganti dengan yang lebih besar</v>
      </c>
      <c r="K139" s="70" t="str">
        <f aca="false">IF($A139="","",IF(AND(Aturan!$C$54="",Aturan!$D$54=""),"Tidak dinilai",IF(C139="","Belum ada data",IF(C139&lt;IF(Aturan!$C$54="",0,Aturan!$C$54),"Kurang",IF(C139&gt;=IF(Aturan!$D$54="",Aturan!$C$54,Aturan!$D$54),"Nyaman","Cukup")))))</f>
        <v>Nyaman</v>
      </c>
      <c r="L139" s="70" t="str">
        <f aca="false">IF($A139="","",IF(AND(Aturan!$C$55="",Aturan!$D$55=""),"Tidak dinilai",IF(D139="","Belum ada data",IF(D139&lt;IF(Aturan!$C$55="",0,Aturan!$C$55),"Kurang",IF(D139&gt;=IF(Aturan!$D$55="",Aturan!$C$55,Aturan!$D$55),"Nyaman","Cukup")))))</f>
        <v>Cukup</v>
      </c>
      <c r="M139" s="70" t="str">
        <f aca="false">IF($A139="","",IF(AND(Aturan!$C$56="",Aturan!$D$56=""),"Tidak dinilai",IF(E139="","Belum ada data",IF(E139&lt;IF(Aturan!$C$56="",0,Aturan!$C$56),"Kurang",IF(E139&gt;=IF(Aturan!$D$56="",Aturan!$C$56,Aturan!$D$56),"Nyaman","Cukup")))))</f>
        <v>Nyaman</v>
      </c>
      <c r="N139" s="70" t="str">
        <f aca="false">IF($A139="","",IF(AND(Aturan!$C$57="",Aturan!$D$57=""),"Tidak dinilai",IF(F139="","Belum ada data",IF(F139&lt;IF(Aturan!$C$57="",0,Aturan!$C$57),"Kurang",IF(F139&gt;=IF(Aturan!$D$57="",Aturan!$C$57,Aturan!$D$57),"Nyaman","Cukup")))))</f>
        <v>Cukup</v>
      </c>
      <c r="O139" s="70" t="str">
        <f aca="false">IF($A139="","",IF(AND(Aturan!$C$58="",Aturan!$D$58=""),"Tidak dinilai",IF(G139="","Belum ada data",IF(G139&lt;IF(Aturan!$C$58="",0,Aturan!$C$58),"Kurang",IF(G139&gt;=IF(Aturan!$D$58="",Aturan!$C$58,Aturan!$D$58),"Nyaman","Cukup")))))</f>
        <v>Tidak dinilai</v>
      </c>
      <c r="P139" s="70" t="str">
        <f aca="false">IF($A139="","",IF(AND(Aturan!$C$59="",Aturan!$D$59=""),"Tidak dinilai",IF(H139="","Belum ada data",IF(H139&lt;IF(Aturan!$C$59="",0,Aturan!$C$59),"Kurang",IF(H139&gt;=IF(Aturan!$D$59="",Aturan!$C$59,Aturan!$D$59),"Nyaman","Cukup")))))</f>
        <v>Nyaman</v>
      </c>
      <c r="Q139" s="70" t="str">
        <f aca="false">IF($A139="","",IF(COUNTIF(K139:P139,"Tidak dinilai")=6,"Tidak dinilai",IF(COUNTIF(K139:P139,"Kurang")&gt;0,"Kurang cocok",IF(COUNTIF(K139:P139,"Belum ada data")&gt;0,"Data belum lengkap",IF(COUNTIF(K139:P139,"Cukup")&gt;0,"Bisa, dengan catatan","Cocok")))))</f>
        <v>Bisa, dengan catatan</v>
      </c>
      <c r="R139" s="33" t="str">
        <f aca="false">IF($A139="","",IF(K139="Kurang","prosesor tingkat "&amp;C139&amp;" dari 5, di bawah batas minimal (tingkat "&amp;Aturan!$C$54&amp;")",IF(K139="Cukup","prosesor tingkat "&amp;C139&amp;" dari 5 cukup, nyamannya mulai tingkat "&amp;Aturan!$D$54,IF(K139="Belum ada data","tingkat prosesor belum diisi",""))))</f>
        <v/>
      </c>
      <c r="S139" s="33" t="str">
        <f aca="false">IF($A139="","",IF(L139="Kurang","grafis tingkat "&amp;D139&amp;" dari 5, di bawah batas minimal (tingkat "&amp;Aturan!$C$55&amp;")",IF(L139="Cukup","grafis tingkat "&amp;D139&amp;" dari 5 cukup, nyamannya mulai tingkat "&amp;Aturan!$D$55,IF(L139="Belum ada data","tingkat grafis belum diisi",""))))</f>
        <v>grafis tingkat 3 dari 5 cukup, nyamannya mulai tingkat 4</v>
      </c>
      <c r="T139" s="33" t="str">
        <f aca="false">IF($A139="","",IF(M139="Kurang","RAM "&amp;E139&amp;" GB, di bawah batas minimal "&amp;Aturan!$C$56&amp;" GB ("&amp;I139&amp;")",IF(M139="Cukup","RAM "&amp;E139&amp;" GB cukup, nyamannya "&amp;Aturan!$D$56&amp;" GB atau lebih ("&amp;I139&amp;")",IF(M139="Belum ada data","ukuran RAM belum diisi",""))))</f>
        <v/>
      </c>
      <c r="U139" s="33" t="str">
        <f aca="false">IF($A139="","",IF(N139="Kurang","penyimpanan "&amp;F139&amp;" GB, di bawah batas minimal "&amp;Aturan!$C$57&amp;" GB ("&amp;J139&amp;")",IF(N139="Cukup","penyimpanan "&amp;F139&amp;" GB cukup, nyamannya "&amp;Aturan!$D$57&amp;" GB atau lebih ("&amp;J139&amp;")",IF(N139="Belum ada data","ukuran penyimpanan belum diisi",""))))</f>
        <v>penyimpanan 512 GB cukup, nyamannya 1000 GB atau lebih (bisa diganti dengan yang lebih besar)</v>
      </c>
      <c r="V139" s="33" t="str">
        <f aca="false">IF($A139="","",IF(O139="Kurang","layar "&amp;Varian!$AG31&amp;", di bawah batas minimal ("&amp;IFERROR(INDEX(Aturan!$A$63:$A$66,MATCH(Aturan!$C$58,Aturan!$B$63:$B$66,0)),"peringkat "&amp;Aturan!$C$58)&amp;")",IF(O139="Cukup","layar "&amp;Varian!$AG31&amp;" cukup, nyamannya "&amp;IFERROR(INDEX(Aturan!$A$63:$A$66,MATCH(Aturan!$D$58,Aturan!$B$63:$B$66,0)),"peringkat "&amp;Aturan!$D$58),IF(O139="Belum ada data","jenis layar belum diketahui",""))))</f>
        <v/>
      </c>
      <c r="W139" s="33" t="str">
        <f aca="false">IF($A139="","",IF(P139="Kurang","layar "&amp;H139&amp;" Hz, di bawah batas minimal "&amp;Aturan!$C$59&amp;" Hz",IF(P139="Cukup","layar "&amp;H139&amp;" Hz cukup, nyamannya "&amp;Aturan!$D$59&amp;" Hz atau lebih",IF(P139="Belum ada data","refresh rate belum diketahui",""))))</f>
        <v/>
      </c>
      <c r="X139" s="33" t="str">
        <f aca="false">IF($A139="","",IF(K139="Kurang",R139&amp;"; ","")&amp;IF(L139="Kurang",S139&amp;"; ","")&amp;IF(M139="Kurang",T139&amp;"; ","")&amp;IF(N139="Kurang",U139&amp;"; ","")&amp;IF(O139="Kurang",V139&amp;"; ","")&amp;IF(P139="Kurang",W139&amp;"; ","")&amp;IF(K139="Belum ada data",R139&amp;"; ","")&amp;IF(L139="Belum ada data",S139&amp;"; ","")&amp;IF(M139="Belum ada data",T139&amp;"; ","")&amp;IF(N139="Belum ada data",U139&amp;"; ","")&amp;IF(O139="Belum ada data",V139&amp;"; ","")&amp;IF(P139="Belum ada data",W139&amp;"; ","")&amp;IF(K139="Cukup",R139&amp;"; ","")&amp;IF(L139="Cukup",S139&amp;"; ","")&amp;IF(M139="Cukup",T139&amp;"; ","")&amp;IF(N139="Cukup",U139&amp;"; ","")&amp;IF(O139="Cukup",V139&amp;"; ","")&amp;IF(P139="Cukup",W139&amp;"; ",""))</f>
        <v>grafis tingkat 3 dari 5 cukup, nyamannya mulai tingkat 4; penyimpanan 512 GB cukup, nyamannya 1000 GB atau lebih (bisa diganti dengan yang lebih besar); </v>
      </c>
      <c r="Y139" s="33" t="str">
        <f aca="false">IF($A139="","",IF(K139="Nyaman","prosesor, ","")&amp;IF(L139="Nyaman","grafis, ","")&amp;IF(M139="Nyaman","RAM, ","")&amp;IF(N139="Nyaman","penyimpanan, ","")&amp;IF(O139="Nyaman","layar, ","")&amp;IF(P139="Nyaman","refresh rate, ",""))</f>
        <v>prosesor, RAM, refresh rate, </v>
      </c>
      <c r="Z139" s="33" t="str">
        <f aca="false">IF($A139="","",IF(Q139="Tidak dinilai","Belum ada kriteria yang dinilai untuk kebutuhan ini.",IF(Q139="Cocok","Semua kriteria yang dinilai sudah nyaman: "&amp;LEFT(Y139,LEN(Y139)-2)&amp;".",UPPER(LEFT(X139,1))&amp;MID(X139,2,LEN(X139)-3)&amp;"."&amp;IF(Y139="",""," Sudah nyaman: "&amp;LEFT(Y139,LEN(Y139)-2)&amp;"."))))</f>
        <v>Grafis tingkat 3 dari 5 cukup, nyamannya mulai tingkat 4; penyimpanan 512 GB cukup, nyamannya 1000 GB atau lebih (bisa diganti dengan yang lebih besar). Sudah nyaman: prosesor, RAM, refresh rate.</v>
      </c>
      <c r="AA139" s="33"/>
      <c r="AB139" s="33"/>
      <c r="AC139" s="69"/>
    </row>
    <row r="140" customFormat="false" ht="15" hidden="false" customHeight="true" outlineLevel="0" collapsed="false">
      <c r="A140" s="66" t="str">
        <f aca="false">IF(Varian!$A32="","",Varian!$A32)</f>
        <v>acer-nitro-v-15-anv15-52-core7-240h-rtx5050-16-512</v>
      </c>
      <c r="B140" s="66" t="str">
        <f aca="false">IF($A140="","",Aturan!$A$21)</f>
        <v>Kuliah dan kantor</v>
      </c>
      <c r="C140" s="67" t="n">
        <f aca="false">IF($A140="","",IFERROR(IF(ISNUMBER(INDEX(CPU!$J$4:$J$64,MATCH(Varian!$J32,CPU!$A$4:$A$64,0))),INDEX(CPU!$J$4:$J$64,MATCH(Varian!$J32,CPU!$A$4:$A$64,0)),""),""))</f>
        <v>4</v>
      </c>
      <c r="D140" s="67" t="n">
        <f aca="false">IF($A140="","",IFERROR(IF(ISNUMBER(INDEX(GPU!$G$4:$G$64,MATCH(Varian!$K32,GPU!$A$4:$A$64,0))),INDEX(GPU!$G$4:$G$64,MATCH(Varian!$K32,GPU!$A$4:$A$64,0)),""),""))</f>
        <v>3</v>
      </c>
      <c r="E140" s="67" t="n">
        <f aca="false">IF($A140="","",IF(ISNUMBER(Varian!$M32),Varian!$M32,""))</f>
        <v>16</v>
      </c>
      <c r="F140" s="67" t="n">
        <f aca="false">IF($A140="","",IF(ISNUMBER(Varian!$V32),Varian!$V32,""))</f>
        <v>512</v>
      </c>
      <c r="G140" s="67" t="n">
        <f aca="false">IF($A140="","",IFERROR(INDEX(Aturan!$B$63:$B$66,MATCH(Varian!$AG32,Aturan!$A$63:$A$66,0)),""))</f>
        <v>3</v>
      </c>
      <c r="H140" s="67" t="n">
        <f aca="false">IF($A140="","",IF(ISNUMBER(Varian!$AI32),Varian!$AI32,""))</f>
        <v>180</v>
      </c>
      <c r="I140" s="66" t="str">
        <f aca="false">IF($A140="","",IF(Varian!$Q32="disolder","menempel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0" s="66" t="str">
        <f aca="false">IF($A140="","",IF(Varian!$Z32="ya","bisa diganti dengan yang lebih besar",IF(Varian!$Z32="tidak","menempel, tidak bisa diganti","belum diketahui apakah bisa diganti")))</f>
        <v>bisa diganti dengan yang lebih besar</v>
      </c>
      <c r="K140" s="68" t="str">
        <f aca="false">IF($A140="","",IF(AND(Aturan!$C$30="",Aturan!$D$30=""),"Tidak dinilai",IF(C140="","Belum ada data",IF(C140&lt;IF(Aturan!$C$30="",0,Aturan!$C$30),"Kurang",IF(C140&gt;=IF(Aturan!$D$30="",Aturan!$C$30,Aturan!$D$30),"Nyaman","Cukup")))))</f>
        <v>Nyaman</v>
      </c>
      <c r="L140" s="68" t="str">
        <f aca="false">IF($A140="","",IF(AND(Aturan!$C$31="",Aturan!$D$31=""),"Tidak dinilai",IF(D140="","Belum ada data",IF(D140&lt;IF(Aturan!$C$31="",0,Aturan!$C$31),"Kurang",IF(D140&gt;=IF(Aturan!$D$31="",Aturan!$C$31,Aturan!$D$31),"Nyaman","Cukup")))))</f>
        <v>Tidak dinilai</v>
      </c>
      <c r="M140" s="68" t="str">
        <f aca="false">IF($A140="","",IF(AND(Aturan!$C$32="",Aturan!$D$32=""),"Tidak dinilai",IF(E140="","Belum ada data",IF(E140&lt;IF(Aturan!$C$32="",0,Aturan!$C$32),"Kurang",IF(E140&gt;=IF(Aturan!$D$32="",Aturan!$C$32,Aturan!$D$32),"Nyaman","Cukup")))))</f>
        <v>Nyaman</v>
      </c>
      <c r="N140" s="68" t="str">
        <f aca="false">IF($A140="","",IF(AND(Aturan!$C$33="",Aturan!$D$33=""),"Tidak dinilai",IF(F140="","Belum ada data",IF(F140&lt;IF(Aturan!$C$33="",0,Aturan!$C$33),"Kurang",IF(F140&gt;=IF(Aturan!$D$33="",Aturan!$C$33,Aturan!$D$33),"Nyaman","Cukup")))))</f>
        <v>Nyaman</v>
      </c>
      <c r="O140" s="68" t="str">
        <f aca="false">IF($A140="","",IF(AND(Aturan!$C$34="",Aturan!$D$34=""),"Tidak dinilai",IF(G140="","Belum ada data",IF(G140&lt;IF(Aturan!$C$34="",0,Aturan!$C$34),"Kurang",IF(G140&gt;=IF(Aturan!$D$34="",Aturan!$C$34,Aturan!$D$34),"Nyaman","Cukup")))))</f>
        <v>Tidak dinilai</v>
      </c>
      <c r="P140" s="68" t="str">
        <f aca="false">IF($A140="","",IF(AND(Aturan!$C$35="",Aturan!$D$35=""),"Tidak dinilai",IF(H140="","Belum ada data",IF(H140&lt;IF(Aturan!$C$35="",0,Aturan!$C$35),"Kurang",IF(H140&gt;=IF(Aturan!$D$35="",Aturan!$C$35,Aturan!$D$35),"Nyaman","Cukup")))))</f>
        <v>Tidak dinilai</v>
      </c>
      <c r="Q140" s="68" t="str">
        <f aca="false">IF($A140="","",IF(COUNTIF(K140:P140,"Tidak dinilai")=6,"Tidak dinilai",IF(COUNTIF(K140:P140,"Kurang")&gt;0,"Kurang cocok",IF(COUNTIF(K140:P140,"Belum ada data")&gt;0,"Data belum lengkap",IF(COUNTIF(K140:P140,"Cukup")&gt;0,"Bisa, dengan catatan","Cocok")))))</f>
        <v>Cocok</v>
      </c>
      <c r="R140" s="66" t="str">
        <f aca="false">IF($A140="","",IF(K140="Kurang","prosesor tingkat "&amp;C140&amp;" dari 5, di bawah batas minimal (tingkat "&amp;Aturan!$C$30&amp;")",IF(K140="Cukup","prosesor tingkat "&amp;C140&amp;" dari 5 cukup, nyamannya mulai tingkat "&amp;Aturan!$D$30,IF(K140="Belum ada data","tingkat prosesor belum diisi",""))))</f>
        <v/>
      </c>
      <c r="S140" s="66" t="str">
        <f aca="false">IF($A140="","",IF(L140="Kurang","grafis tingkat "&amp;D140&amp;" dari 5, di bawah batas minimal (tingkat "&amp;Aturan!$C$31&amp;")",IF(L140="Cukup","grafis tingkat "&amp;D140&amp;" dari 5 cukup, nyamannya mulai tingkat "&amp;Aturan!$D$31,IF(L140="Belum ada data","tingkat grafis belum diisi",""))))</f>
        <v/>
      </c>
      <c r="T140" s="66" t="str">
        <f aca="false">IF($A140="","",IF(M140="Kurang","RAM "&amp;E140&amp;" GB, di bawah batas minimal "&amp;Aturan!$C$32&amp;" GB ("&amp;I140&amp;")",IF(M140="Cukup","RAM "&amp;E140&amp;" GB cukup, nyamannya "&amp;Aturan!$D$32&amp;" GB atau lebih ("&amp;I140&amp;")",IF(M140="Belum ada data","ukuran RAM belum diisi",""))))</f>
        <v/>
      </c>
      <c r="U140" s="66" t="str">
        <f aca="false">IF($A140="","",IF(N140="Kurang","penyimpanan "&amp;F140&amp;" GB, di bawah batas minimal "&amp;Aturan!$C$33&amp;" GB ("&amp;J140&amp;")",IF(N140="Cukup","penyimpanan "&amp;F140&amp;" GB cukup, nyamannya "&amp;Aturan!$D$33&amp;" GB atau lebih ("&amp;J140&amp;")",IF(N140="Belum ada data","ukuran penyimpanan belum diisi",""))))</f>
        <v/>
      </c>
      <c r="V140" s="66" t="str">
        <f aca="false">IF($A140="","",IF(O140="Kurang","layar "&amp;Varian!$AG32&amp;", di bawah batas minimal ("&amp;IFERROR(INDEX(Aturan!$A$63:$A$66,MATCH(Aturan!$C$34,Aturan!$B$63:$B$66,0)),"peringkat "&amp;Aturan!$C$34)&amp;")",IF(O140="Cukup","layar "&amp;Varian!$AG32&amp;" cukup, nyamannya "&amp;IFERROR(INDEX(Aturan!$A$63:$A$66,MATCH(Aturan!$D$34,Aturan!$B$63:$B$66,0)),"peringkat "&amp;Aturan!$D$34),IF(O140="Belum ada data","jenis layar belum diketahui",""))))</f>
        <v/>
      </c>
      <c r="W140" s="66" t="str">
        <f aca="false">IF($A140="","",IF(P140="Kurang","layar "&amp;H140&amp;" Hz, di bawah batas minimal "&amp;Aturan!$C$35&amp;" Hz",IF(P140="Cukup","layar "&amp;H140&amp;" Hz cukup, nyamannya "&amp;Aturan!$D$35&amp;" Hz atau lebih",IF(P140="Belum ada data","refresh rate belum diketahui",""))))</f>
        <v/>
      </c>
      <c r="X140" s="66" t="str">
        <f aca="false">IF($A140="","",IF(K140="Kurang",R140&amp;"; ","")&amp;IF(L140="Kurang",S140&amp;"; ","")&amp;IF(M140="Kurang",T140&amp;"; ","")&amp;IF(N140="Kurang",U140&amp;"; ","")&amp;IF(O140="Kurang",V140&amp;"; ","")&amp;IF(P140="Kurang",W140&amp;"; ","")&amp;IF(K140="Belum ada data",R140&amp;"; ","")&amp;IF(L140="Belum ada data",S140&amp;"; ","")&amp;IF(M140="Belum ada data",T140&amp;"; ","")&amp;IF(N140="Belum ada data",U140&amp;"; ","")&amp;IF(O140="Belum ada data",V140&amp;"; ","")&amp;IF(P140="Belum ada data",W140&amp;"; ","")&amp;IF(K140="Cukup",R140&amp;"; ","")&amp;IF(L140="Cukup",S140&amp;"; ","")&amp;IF(M140="Cukup",T140&amp;"; ","")&amp;IF(N140="Cukup",U140&amp;"; ","")&amp;IF(O140="Cukup",V140&amp;"; ","")&amp;IF(P140="Cukup",W140&amp;"; ",""))</f>
        <v/>
      </c>
      <c r="Y140" s="66" t="str">
        <f aca="false">IF($A140="","",IF(K140="Nyaman","prosesor, ","")&amp;IF(L140="Nyaman","grafis, ","")&amp;IF(M140="Nyaman","RAM, ","")&amp;IF(N140="Nyaman","penyimpanan, ","")&amp;IF(O140="Nyaman","layar, ","")&amp;IF(P140="Nyaman","refresh rate, ",""))</f>
        <v>prosesor, RAM, penyimpanan, </v>
      </c>
      <c r="Z140" s="66" t="str">
        <f aca="false">IF($A140="","",IF(Q140="Tidak dinilai","Belum ada kriteria yang dinilai untuk kebutuhan ini.",IF(Q140="Cocok","Semua kriteria yang dinilai sudah nyaman: "&amp;LEFT(Y140,LEN(Y140)-2)&amp;".",UPPER(LEFT(X140,1))&amp;MID(X140,2,LEN(X140)-3)&amp;"."&amp;IF(Y140="",""," Sudah nyaman: "&amp;LEFT(Y140,LEN(Y140)-2)&amp;"."))))</f>
        <v>Semua kriteria yang dinilai sudah nyaman: prosesor, RAM, penyimpanan.</v>
      </c>
      <c r="AA140" s="66" t="str">
        <f aca="false">IF($A140="","",IF(Varian!$AR32="Windows 10","• "&amp;Aturan!$E$71&amp;CHAR(10),"")&amp;IF(Varian!$BB32="tidak","• "&amp;Aturan!$E$72&amp;CHAR(10),"")&amp;IF(OR(Varian!$AD32="belum terverifikasi",Varian!$AD32="tidak diketahui"),"• "&amp;Aturan!$E$73&amp;CHAR(10),"")&amp;IF(Varian!$AH32="1366x768","• "&amp;Aturan!$E$74&amp;CHAR(10),"")&amp;IF(Varian!$AG32="TN","• "&amp;Aturan!$E$75&amp;CHAR(10),"")&amp;IF(AND(Varian!$Q32="disolder",ISNUMBER(Varian!$M32),Varian!$M32&lt;=8),"• "&amp;Aturan!$E$76&amp;CHAR(10),""))</f>
        <v/>
      </c>
      <c r="AB140" s="66" t="str">
        <f aca="false">IF($A140="","",IF(AA140="","",LEFT(AA140,LEN(AA140)-1)))</f>
        <v/>
      </c>
      <c r="AC140" s="67" t="n">
        <f aca="false">IF($A140="","",IF(AA140="",0,LEN(AA140)-LEN(SUBSTITUTE(AA140,CHAR(10),""))))</f>
        <v>0</v>
      </c>
    </row>
    <row r="141" customFormat="false" ht="15" hidden="false" customHeight="true" outlineLevel="0" collapsed="false">
      <c r="A141" s="33" t="str">
        <f aca="false">IF(Varian!$A32="","",Varian!$A32)</f>
        <v>acer-nitro-v-15-anv15-52-core7-240h-rtx5050-16-512</v>
      </c>
      <c r="B141" s="33" t="str">
        <f aca="false">IF($A141="","",Aturan!$A$22)</f>
        <v>Desain grafis</v>
      </c>
      <c r="C141" s="69" t="n">
        <f aca="false">IF($A141="","",IFERROR(IF(ISNUMBER(INDEX(CPU!$J$4:$J$64,MATCH(Varian!$J32,CPU!$A$4:$A$64,0))),INDEX(CPU!$J$4:$J$64,MATCH(Varian!$J32,CPU!$A$4:$A$64,0)),""),""))</f>
        <v>4</v>
      </c>
      <c r="D141" s="69" t="n">
        <f aca="false">IF($A141="","",IFERROR(IF(ISNUMBER(INDEX(GPU!$G$4:$G$64,MATCH(Varian!$K32,GPU!$A$4:$A$64,0))),INDEX(GPU!$G$4:$G$64,MATCH(Varian!$K32,GPU!$A$4:$A$64,0)),""),""))</f>
        <v>3</v>
      </c>
      <c r="E141" s="69" t="n">
        <f aca="false">IF($A141="","",IF(ISNUMBER(Varian!$M32),Varian!$M32,""))</f>
        <v>16</v>
      </c>
      <c r="F141" s="69" t="n">
        <f aca="false">IF($A141="","",IF(ISNUMBER(Varian!$V32),Varian!$V32,""))</f>
        <v>512</v>
      </c>
      <c r="G141" s="69" t="n">
        <f aca="false">IF($A141="","",IFERROR(INDEX(Aturan!$B$63:$B$66,MATCH(Varian!$AG32,Aturan!$A$63:$A$66,0)),""))</f>
        <v>3</v>
      </c>
      <c r="H141" s="69" t="n">
        <f aca="false">IF($A141="","",IF(ISNUMBER(Varian!$AI32),Varian!$AI32,""))</f>
        <v>180</v>
      </c>
      <c r="I141" s="33" t="str">
        <f aca="false">IF($A141="","",IF(Varian!$Q32="disolder","menempel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1" s="33" t="str">
        <f aca="false">IF($A141="","",IF(Varian!$Z32="ya","bisa diganti dengan yang lebih besar",IF(Varian!$Z32="tidak","menempel, tidak bisa diganti","belum diketahui apakah bisa diganti")))</f>
        <v>bisa diganti dengan yang lebih besar</v>
      </c>
      <c r="K141" s="70" t="str">
        <f aca="false">IF($A141="","",IF(AND(Aturan!$C$36="",Aturan!$D$36=""),"Tidak dinilai",IF(C141="","Belum ada data",IF(C141&lt;IF(Aturan!$C$36="",0,Aturan!$C$36),"Kurang",IF(C141&gt;=IF(Aturan!$D$36="",Aturan!$C$36,Aturan!$D$36),"Nyaman","Cukup")))))</f>
        <v>Nyaman</v>
      </c>
      <c r="L141" s="70" t="str">
        <f aca="false">IF($A141="","",IF(AND(Aturan!$C$37="",Aturan!$D$37=""),"Tidak dinilai",IF(D141="","Belum ada data",IF(D141&lt;IF(Aturan!$C$37="",0,Aturan!$C$37),"Kurang",IF(D141&gt;=IF(Aturan!$D$37="",Aturan!$C$37,Aturan!$D$37),"Nyaman","Cukup")))))</f>
        <v>Nyaman</v>
      </c>
      <c r="M141" s="70" t="str">
        <f aca="false">IF($A141="","",IF(AND(Aturan!$C$38="",Aturan!$D$38=""),"Tidak dinilai",IF(E141="","Belum ada data",IF(E141&lt;IF(Aturan!$C$38="",0,Aturan!$C$38),"Kurang",IF(E141&gt;=IF(Aturan!$D$38="",Aturan!$C$38,Aturan!$D$38),"Nyaman","Cukup")))))</f>
        <v>Nyaman</v>
      </c>
      <c r="N141" s="70" t="str">
        <f aca="false">IF($A141="","",IF(AND(Aturan!$C$39="",Aturan!$D$39=""),"Tidak dinilai",IF(F141="","Belum ada data",IF(F141&lt;IF(Aturan!$C$39="",0,Aturan!$C$39),"Kurang",IF(F141&gt;=IF(Aturan!$D$39="",Aturan!$C$39,Aturan!$D$39),"Nyaman","Cukup")))))</f>
        <v>Nyaman</v>
      </c>
      <c r="O141" s="70" t="str">
        <f aca="false">IF($A141="","",IF(AND(Aturan!$C$40="",Aturan!$D$40=""),"Tidak dinilai",IF(G141="","Belum ada data",IF(G141&lt;IF(Aturan!$C$40="",0,Aturan!$C$40),"Kurang",IF(G141&gt;=IF(Aturan!$D$40="",Aturan!$C$40,Aturan!$D$40),"Nyaman","Cukup")))))</f>
        <v>Cukup</v>
      </c>
      <c r="P141" s="70" t="str">
        <f aca="false">IF($A141="","",IF(AND(Aturan!$C$41="",Aturan!$D$41=""),"Tidak dinilai",IF(H141="","Belum ada data",IF(H141&lt;IF(Aturan!$C$41="",0,Aturan!$C$41),"Kurang",IF(H141&gt;=IF(Aturan!$D$41="",Aturan!$C$41,Aturan!$D$41),"Nyaman","Cukup")))))</f>
        <v>Tidak dinilai</v>
      </c>
      <c r="Q141" s="70" t="str">
        <f aca="false">IF($A141="","",IF(COUNTIF(K141:P141,"Tidak dinilai")=6,"Tidak dinilai",IF(COUNTIF(K141:P141,"Kurang")&gt;0,"Kurang cocok",IF(COUNTIF(K141:P141,"Belum ada data")&gt;0,"Data belum lengkap",IF(COUNTIF(K141:P141,"Cukup")&gt;0,"Bisa, dengan catatan","Cocok")))))</f>
        <v>Bisa, dengan catatan</v>
      </c>
      <c r="R141" s="33" t="str">
        <f aca="false">IF($A141="","",IF(K141="Kurang","prosesor tingkat "&amp;C141&amp;" dari 5, di bawah batas minimal (tingkat "&amp;Aturan!$C$36&amp;")",IF(K141="Cukup","prosesor tingkat "&amp;C141&amp;" dari 5 cukup, nyamannya mulai tingkat "&amp;Aturan!$D$36,IF(K141="Belum ada data","tingkat prosesor belum diisi",""))))</f>
        <v/>
      </c>
      <c r="S141" s="33" t="str">
        <f aca="false">IF($A141="","",IF(L141="Kurang","grafis tingkat "&amp;D141&amp;" dari 5, di bawah batas minimal (tingkat "&amp;Aturan!$C$37&amp;")",IF(L141="Cukup","grafis tingkat "&amp;D141&amp;" dari 5 cukup, nyamannya mulai tingkat "&amp;Aturan!$D$37,IF(L141="Belum ada data","tingkat grafis belum diisi",""))))</f>
        <v/>
      </c>
      <c r="T141" s="33" t="str">
        <f aca="false">IF($A141="","",IF(M141="Kurang","RAM "&amp;E141&amp;" GB, di bawah batas minimal "&amp;Aturan!$C$38&amp;" GB ("&amp;I141&amp;")",IF(M141="Cukup","RAM "&amp;E141&amp;" GB cukup, nyamannya "&amp;Aturan!$D$38&amp;" GB atau lebih ("&amp;I141&amp;")",IF(M141="Belum ada data","ukuran RAM belum diisi",""))))</f>
        <v/>
      </c>
      <c r="U141" s="33" t="str">
        <f aca="false">IF($A141="","",IF(N141="Kurang","penyimpanan "&amp;F141&amp;" GB, di bawah batas minimal "&amp;Aturan!$C$39&amp;" GB ("&amp;J141&amp;")",IF(N141="Cukup","penyimpanan "&amp;F141&amp;" GB cukup, nyamannya "&amp;Aturan!$D$39&amp;" GB atau lebih ("&amp;J141&amp;")",IF(N141="Belum ada data","ukuran penyimpanan belum diisi",""))))</f>
        <v/>
      </c>
      <c r="V141" s="33" t="str">
        <f aca="false">IF($A141="","",IF(O141="Kurang","layar "&amp;Varian!$AG32&amp;", di bawah batas minimal ("&amp;IFERROR(INDEX(Aturan!$A$63:$A$66,MATCH(Aturan!$C$40,Aturan!$B$63:$B$66,0)),"peringkat "&amp;Aturan!$C$40)&amp;")",IF(O141="Cukup","layar "&amp;Varian!$AG32&amp;" cukup, nyamannya "&amp;IFERROR(INDEX(Aturan!$A$63:$A$66,MATCH(Aturan!$D$40,Aturan!$B$63:$B$66,0)),"peringkat "&amp;Aturan!$D$40),IF(O141="Belum ada data","jenis layar belum diketahui",""))))</f>
        <v>layar IPS cukup, nyamannya OLED</v>
      </c>
      <c r="W141" s="33" t="str">
        <f aca="false">IF($A141="","",IF(P141="Kurang","layar "&amp;H141&amp;" Hz, di bawah batas minimal "&amp;Aturan!$C$41&amp;" Hz",IF(P141="Cukup","layar "&amp;H141&amp;" Hz cukup, nyamannya "&amp;Aturan!$D$41&amp;" Hz atau lebih",IF(P141="Belum ada data","refresh rate belum diketahui",""))))</f>
        <v/>
      </c>
      <c r="X141" s="33" t="str">
        <f aca="false">IF($A141="","",IF(K141="Kurang",R141&amp;"; ","")&amp;IF(L141="Kurang",S141&amp;"; ","")&amp;IF(M141="Kurang",T141&amp;"; ","")&amp;IF(N141="Kurang",U141&amp;"; ","")&amp;IF(O141="Kurang",V141&amp;"; ","")&amp;IF(P141="Kurang",W141&amp;"; ","")&amp;IF(K141="Belum ada data",R141&amp;"; ","")&amp;IF(L141="Belum ada data",S141&amp;"; ","")&amp;IF(M141="Belum ada data",T141&amp;"; ","")&amp;IF(N141="Belum ada data",U141&amp;"; ","")&amp;IF(O141="Belum ada data",V141&amp;"; ","")&amp;IF(P141="Belum ada data",W141&amp;"; ","")&amp;IF(K141="Cukup",R141&amp;"; ","")&amp;IF(L141="Cukup",S141&amp;"; ","")&amp;IF(M141="Cukup",T141&amp;"; ","")&amp;IF(N141="Cukup",U141&amp;"; ","")&amp;IF(O141="Cukup",V141&amp;"; ","")&amp;IF(P141="Cukup",W141&amp;"; ",""))</f>
        <v>layar IPS cukup, nyamannya OLED; </v>
      </c>
      <c r="Y141" s="33" t="str">
        <f aca="false">IF($A141="","",IF(K141="Nyaman","prosesor, ","")&amp;IF(L141="Nyaman","grafis, ","")&amp;IF(M141="Nyaman","RAM, ","")&amp;IF(N141="Nyaman","penyimpanan, ","")&amp;IF(O141="Nyaman","layar, ","")&amp;IF(P141="Nyaman","refresh rate, ",""))</f>
        <v>prosesor, grafis, RAM, penyimpanan, </v>
      </c>
      <c r="Z141" s="33" t="str">
        <f aca="false">IF($A141="","",IF(Q141="Tidak dinilai","Belum ada kriteria yang dinilai untuk kebutuhan ini.",IF(Q141="Cocok","Semua kriteria yang dinilai sudah nyaman: "&amp;LEFT(Y141,LEN(Y141)-2)&amp;".",UPPER(LEFT(X141,1))&amp;MID(X141,2,LEN(X141)-3)&amp;"."&amp;IF(Y141="",""," Sudah nyaman: "&amp;LEFT(Y141,LEN(Y141)-2)&amp;"."))))</f>
        <v>Layar IPS cukup, nyamannya OLED. Sudah nyaman: prosesor, grafis, RAM, penyimpanan.</v>
      </c>
      <c r="AA141" s="33"/>
      <c r="AB141" s="33"/>
      <c r="AC141" s="69"/>
    </row>
    <row r="142" customFormat="false" ht="15" hidden="false" customHeight="true" outlineLevel="0" collapsed="false">
      <c r="A142" s="33" t="str">
        <f aca="false">IF(Varian!$A32="","",Varian!$A32)</f>
        <v>acer-nitro-v-15-anv15-52-core7-240h-rtx5050-16-512</v>
      </c>
      <c r="B142" s="33" t="str">
        <f aca="false">IF($A142="","",Aturan!$A$23)</f>
        <v>Pemrograman</v>
      </c>
      <c r="C142" s="69" t="n">
        <f aca="false">IF($A142="","",IFERROR(IF(ISNUMBER(INDEX(CPU!$J$4:$J$64,MATCH(Varian!$J32,CPU!$A$4:$A$64,0))),INDEX(CPU!$J$4:$J$64,MATCH(Varian!$J32,CPU!$A$4:$A$64,0)),""),""))</f>
        <v>4</v>
      </c>
      <c r="D142" s="69" t="n">
        <f aca="false">IF($A142="","",IFERROR(IF(ISNUMBER(INDEX(GPU!$G$4:$G$64,MATCH(Varian!$K32,GPU!$A$4:$A$64,0))),INDEX(GPU!$G$4:$G$64,MATCH(Varian!$K32,GPU!$A$4:$A$64,0)),""),""))</f>
        <v>3</v>
      </c>
      <c r="E142" s="69" t="n">
        <f aca="false">IF($A142="","",IF(ISNUMBER(Varian!$M32),Varian!$M32,""))</f>
        <v>16</v>
      </c>
      <c r="F142" s="69" t="n">
        <f aca="false">IF($A142="","",IF(ISNUMBER(Varian!$V32),Varian!$V32,""))</f>
        <v>512</v>
      </c>
      <c r="G142" s="69" t="n">
        <f aca="false">IF($A142="","",IFERROR(INDEX(Aturan!$B$63:$B$66,MATCH(Varian!$AG32,Aturan!$A$63:$A$66,0)),""))</f>
        <v>3</v>
      </c>
      <c r="H142" s="69" t="n">
        <f aca="false">IF($A142="","",IF(ISNUMBER(Varian!$AI32),Varian!$AI32,""))</f>
        <v>180</v>
      </c>
      <c r="I142" s="33" t="str">
        <f aca="false">IF($A142="","",IF(Varian!$Q32="disolder","menempel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2" s="33" t="str">
        <f aca="false">IF($A142="","",IF(Varian!$Z32="ya","bisa diganti dengan yang lebih besar",IF(Varian!$Z32="tidak","menempel, tidak bisa diganti","belum diketahui apakah bisa diganti")))</f>
        <v>bisa diganti dengan yang lebih besar</v>
      </c>
      <c r="K142" s="70" t="str">
        <f aca="false">IF($A142="","",IF(AND(Aturan!$C$42="",Aturan!$D$42=""),"Tidak dinilai",IF(C142="","Belum ada data",IF(C142&lt;IF(Aturan!$C$42="",0,Aturan!$C$42),"Kurang",IF(C142&gt;=IF(Aturan!$D$42="",Aturan!$C$42,Aturan!$D$42),"Nyaman","Cukup")))))</f>
        <v>Nyaman</v>
      </c>
      <c r="L142" s="70" t="str">
        <f aca="false">IF($A142="","",IF(AND(Aturan!$C$43="",Aturan!$D$43=""),"Tidak dinilai",IF(D142="","Belum ada data",IF(D142&lt;IF(Aturan!$C$43="",0,Aturan!$C$43),"Kurang",IF(D142&gt;=IF(Aturan!$D$43="",Aturan!$C$43,Aturan!$D$43),"Nyaman","Cukup")))))</f>
        <v>Tidak dinilai</v>
      </c>
      <c r="M142" s="70" t="str">
        <f aca="false">IF($A142="","",IF(AND(Aturan!$C$44="",Aturan!$D$44=""),"Tidak dinilai",IF(E142="","Belum ada data",IF(E142&lt;IF(Aturan!$C$44="",0,Aturan!$C$44),"Kurang",IF(E142&gt;=IF(Aturan!$D$44="",Aturan!$C$44,Aturan!$D$44),"Nyaman","Cukup")))))</f>
        <v>Nyaman</v>
      </c>
      <c r="N142" s="70" t="str">
        <f aca="false">IF($A142="","",IF(AND(Aturan!$C$45="",Aturan!$D$45=""),"Tidak dinilai",IF(F142="","Belum ada data",IF(F142&lt;IF(Aturan!$C$45="",0,Aturan!$C$45),"Kurang",IF(F142&gt;=IF(Aturan!$D$45="",Aturan!$C$45,Aturan!$D$45),"Nyaman","Cukup")))))</f>
        <v>Nyaman</v>
      </c>
      <c r="O142" s="70" t="str">
        <f aca="false">IF($A142="","",IF(AND(Aturan!$C$46="",Aturan!$D$46=""),"Tidak dinilai",IF(G142="","Belum ada data",IF(G142&lt;IF(Aturan!$C$46="",0,Aturan!$C$46),"Kurang",IF(G142&gt;=IF(Aturan!$D$46="",Aturan!$C$46,Aturan!$D$46),"Nyaman","Cukup")))))</f>
        <v>Tidak dinilai</v>
      </c>
      <c r="P142" s="70" t="str">
        <f aca="false">IF($A142="","",IF(AND(Aturan!$C$47="",Aturan!$D$47=""),"Tidak dinilai",IF(H142="","Belum ada data",IF(H142&lt;IF(Aturan!$C$47="",0,Aturan!$C$47),"Kurang",IF(H142&gt;=IF(Aturan!$D$47="",Aturan!$C$47,Aturan!$D$47),"Nyaman","Cukup")))))</f>
        <v>Tidak dinilai</v>
      </c>
      <c r="Q142" s="70" t="str">
        <f aca="false">IF($A142="","",IF(COUNTIF(K142:P142,"Tidak dinilai")=6,"Tidak dinilai",IF(COUNTIF(K142:P142,"Kurang")&gt;0,"Kurang cocok",IF(COUNTIF(K142:P142,"Belum ada data")&gt;0,"Data belum lengkap",IF(COUNTIF(K142:P142,"Cukup")&gt;0,"Bisa, dengan catatan","Cocok")))))</f>
        <v>Cocok</v>
      </c>
      <c r="R142" s="33" t="str">
        <f aca="false">IF($A142="","",IF(K142="Kurang","prosesor tingkat "&amp;C142&amp;" dari 5, di bawah batas minimal (tingkat "&amp;Aturan!$C$42&amp;")",IF(K142="Cukup","prosesor tingkat "&amp;C142&amp;" dari 5 cukup, nyamannya mulai tingkat "&amp;Aturan!$D$42,IF(K142="Belum ada data","tingkat prosesor belum diisi",""))))</f>
        <v/>
      </c>
      <c r="S142" s="33" t="str">
        <f aca="false">IF($A142="","",IF(L142="Kurang","grafis tingkat "&amp;D142&amp;" dari 5, di bawah batas minimal (tingkat "&amp;Aturan!$C$43&amp;")",IF(L142="Cukup","grafis tingkat "&amp;D142&amp;" dari 5 cukup, nyamannya mulai tingkat "&amp;Aturan!$D$43,IF(L142="Belum ada data","tingkat grafis belum diisi",""))))</f>
        <v/>
      </c>
      <c r="T142" s="33" t="str">
        <f aca="false">IF($A142="","",IF(M142="Kurang","RAM "&amp;E142&amp;" GB, di bawah batas minimal "&amp;Aturan!$C$44&amp;" GB ("&amp;I142&amp;")",IF(M142="Cukup","RAM "&amp;E142&amp;" GB cukup, nyamannya "&amp;Aturan!$D$44&amp;" GB atau lebih ("&amp;I142&amp;")",IF(M142="Belum ada data","ukuran RAM belum diisi",""))))</f>
        <v/>
      </c>
      <c r="U142" s="33" t="str">
        <f aca="false">IF($A142="","",IF(N142="Kurang","penyimpanan "&amp;F142&amp;" GB, di bawah batas minimal "&amp;Aturan!$C$45&amp;" GB ("&amp;J142&amp;")",IF(N142="Cukup","penyimpanan "&amp;F142&amp;" GB cukup, nyamannya "&amp;Aturan!$D$45&amp;" GB atau lebih ("&amp;J142&amp;")",IF(N142="Belum ada data","ukuran penyimpanan belum diisi",""))))</f>
        <v/>
      </c>
      <c r="V142" s="33" t="str">
        <f aca="false">IF($A142="","",IF(O142="Kurang","layar "&amp;Varian!$AG32&amp;", di bawah batas minimal ("&amp;IFERROR(INDEX(Aturan!$A$63:$A$66,MATCH(Aturan!$C$46,Aturan!$B$63:$B$66,0)),"peringkat "&amp;Aturan!$C$46)&amp;")",IF(O142="Cukup","layar "&amp;Varian!$AG32&amp;" cukup, nyamannya "&amp;IFERROR(INDEX(Aturan!$A$63:$A$66,MATCH(Aturan!$D$46,Aturan!$B$63:$B$66,0)),"peringkat "&amp;Aturan!$D$46),IF(O142="Belum ada data","jenis layar belum diketahui",""))))</f>
        <v/>
      </c>
      <c r="W142" s="33" t="str">
        <f aca="false">IF($A142="","",IF(P142="Kurang","layar "&amp;H142&amp;" Hz, di bawah batas minimal "&amp;Aturan!$C$47&amp;" Hz",IF(P142="Cukup","layar "&amp;H142&amp;" Hz cukup, nyamannya "&amp;Aturan!$D$47&amp;" Hz atau lebih",IF(P142="Belum ada data","refresh rate belum diketahui",""))))</f>
        <v/>
      </c>
      <c r="X142" s="33" t="str">
        <f aca="false">IF($A142="","",IF(K142="Kurang",R142&amp;"; ","")&amp;IF(L142="Kurang",S142&amp;"; ","")&amp;IF(M142="Kurang",T142&amp;"; ","")&amp;IF(N142="Kurang",U142&amp;"; ","")&amp;IF(O142="Kurang",V142&amp;"; ","")&amp;IF(P142="Kurang",W142&amp;"; ","")&amp;IF(K142="Belum ada data",R142&amp;"; ","")&amp;IF(L142="Belum ada data",S142&amp;"; ","")&amp;IF(M142="Belum ada data",T142&amp;"; ","")&amp;IF(N142="Belum ada data",U142&amp;"; ","")&amp;IF(O142="Belum ada data",V142&amp;"; ","")&amp;IF(P142="Belum ada data",W142&amp;"; ","")&amp;IF(K142="Cukup",R142&amp;"; ","")&amp;IF(L142="Cukup",S142&amp;"; ","")&amp;IF(M142="Cukup",T142&amp;"; ","")&amp;IF(N142="Cukup",U142&amp;"; ","")&amp;IF(O142="Cukup",V142&amp;"; ","")&amp;IF(P142="Cukup",W142&amp;"; ",""))</f>
        <v/>
      </c>
      <c r="Y142" s="33" t="str">
        <f aca="false">IF($A142="","",IF(K142="Nyaman","prosesor, ","")&amp;IF(L142="Nyaman","grafis, ","")&amp;IF(M142="Nyaman","RAM, ","")&amp;IF(N142="Nyaman","penyimpanan, ","")&amp;IF(O142="Nyaman","layar, ","")&amp;IF(P142="Nyaman","refresh rate, ",""))</f>
        <v>prosesor, RAM, penyimpanan, </v>
      </c>
      <c r="Z142" s="33" t="str">
        <f aca="false">IF($A142="","",IF(Q142="Tidak dinilai","Belum ada kriteria yang dinilai untuk kebutuhan ini.",IF(Q142="Cocok","Semua kriteria yang dinilai sudah nyaman: "&amp;LEFT(Y142,LEN(Y142)-2)&amp;".",UPPER(LEFT(X142,1))&amp;MID(X142,2,LEN(X142)-3)&amp;"."&amp;IF(Y142="",""," Sudah nyaman: "&amp;LEFT(Y142,LEN(Y142)-2)&amp;"."))))</f>
        <v>Semua kriteria yang dinilai sudah nyaman: prosesor, RAM, penyimpanan.</v>
      </c>
      <c r="AA142" s="33"/>
      <c r="AB142" s="33"/>
      <c r="AC142" s="69"/>
    </row>
    <row r="143" customFormat="false" ht="15" hidden="false" customHeight="true" outlineLevel="0" collapsed="false">
      <c r="A143" s="33" t="str">
        <f aca="false">IF(Varian!$A32="","",Varian!$A32)</f>
        <v>acer-nitro-v-15-anv15-52-core7-240h-rtx5050-16-512</v>
      </c>
      <c r="B143" s="33" t="str">
        <f aca="false">IF($A143="","",Aturan!$A$24)</f>
        <v>Game ringan</v>
      </c>
      <c r="C143" s="69" t="n">
        <f aca="false">IF($A143="","",IFERROR(IF(ISNUMBER(INDEX(CPU!$J$4:$J$64,MATCH(Varian!$J32,CPU!$A$4:$A$64,0))),INDEX(CPU!$J$4:$J$64,MATCH(Varian!$J32,CPU!$A$4:$A$64,0)),""),""))</f>
        <v>4</v>
      </c>
      <c r="D143" s="69" t="n">
        <f aca="false">IF($A143="","",IFERROR(IF(ISNUMBER(INDEX(GPU!$G$4:$G$64,MATCH(Varian!$K32,GPU!$A$4:$A$64,0))),INDEX(GPU!$G$4:$G$64,MATCH(Varian!$K32,GPU!$A$4:$A$64,0)),""),""))</f>
        <v>3</v>
      </c>
      <c r="E143" s="69" t="n">
        <f aca="false">IF($A143="","",IF(ISNUMBER(Varian!$M32),Varian!$M32,""))</f>
        <v>16</v>
      </c>
      <c r="F143" s="69" t="n">
        <f aca="false">IF($A143="","",IF(ISNUMBER(Varian!$V32),Varian!$V32,""))</f>
        <v>512</v>
      </c>
      <c r="G143" s="69" t="n">
        <f aca="false">IF($A143="","",IFERROR(INDEX(Aturan!$B$63:$B$66,MATCH(Varian!$AG32,Aturan!$A$63:$A$66,0)),""))</f>
        <v>3</v>
      </c>
      <c r="H143" s="69" t="n">
        <f aca="false">IF($A143="","",IF(ISNUMBER(Varian!$AI32),Varian!$AI32,""))</f>
        <v>180</v>
      </c>
      <c r="I143" s="33" t="str">
        <f aca="false">IF($A143="","",IF(Varian!$Q32="disolder","menempel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3" s="33" t="str">
        <f aca="false">IF($A143="","",IF(Varian!$Z32="ya","bisa diganti dengan yang lebih besar",IF(Varian!$Z32="tidak","menempel, tidak bisa diganti","belum diketahui apakah bisa diganti")))</f>
        <v>bisa diganti dengan yang lebih besar</v>
      </c>
      <c r="K143" s="70" t="str">
        <f aca="false">IF($A143="","",IF(AND(Aturan!$C$48="",Aturan!$D$48=""),"Tidak dinilai",IF(C143="","Belum ada data",IF(C143&lt;IF(Aturan!$C$48="",0,Aturan!$C$48),"Kurang",IF(C143&gt;=IF(Aturan!$D$48="",Aturan!$C$48,Aturan!$D$48),"Nyaman","Cukup")))))</f>
        <v>Nyaman</v>
      </c>
      <c r="L143" s="70" t="str">
        <f aca="false">IF($A143="","",IF(AND(Aturan!$C$49="",Aturan!$D$49=""),"Tidak dinilai",IF(D143="","Belum ada data",IF(D143&lt;IF(Aturan!$C$49="",0,Aturan!$C$49),"Kurang",IF(D143&gt;=IF(Aturan!$D$49="",Aturan!$C$49,Aturan!$D$49),"Nyaman","Cukup")))))</f>
        <v>Nyaman</v>
      </c>
      <c r="M143" s="70" t="str">
        <f aca="false">IF($A143="","",IF(AND(Aturan!$C$50="",Aturan!$D$50=""),"Tidak dinilai",IF(E143="","Belum ada data",IF(E143&lt;IF(Aturan!$C$50="",0,Aturan!$C$50),"Kurang",IF(E143&gt;=IF(Aturan!$D$50="",Aturan!$C$50,Aturan!$D$50),"Nyaman","Cukup")))))</f>
        <v>Nyaman</v>
      </c>
      <c r="N143" s="70" t="str">
        <f aca="false">IF($A143="","",IF(AND(Aturan!$C$51="",Aturan!$D$51=""),"Tidak dinilai",IF(F143="","Belum ada data",IF(F143&lt;IF(Aturan!$C$51="",0,Aturan!$C$51),"Kurang",IF(F143&gt;=IF(Aturan!$D$51="",Aturan!$C$51,Aturan!$D$51),"Nyaman","Cukup")))))</f>
        <v>Nyaman</v>
      </c>
      <c r="O143" s="70" t="str">
        <f aca="false">IF($A143="","",IF(AND(Aturan!$C$52="",Aturan!$D$52=""),"Tidak dinilai",IF(G143="","Belum ada data",IF(G143&lt;IF(Aturan!$C$52="",0,Aturan!$C$52),"Kurang",IF(G143&gt;=IF(Aturan!$D$52="",Aturan!$C$52,Aturan!$D$52),"Nyaman","Cukup")))))</f>
        <v>Tidak dinilai</v>
      </c>
      <c r="P143" s="70" t="str">
        <f aca="false">IF($A143="","",IF(AND(Aturan!$C$53="",Aturan!$D$53=""),"Tidak dinilai",IF(H143="","Belum ada data",IF(H143&lt;IF(Aturan!$C$53="",0,Aturan!$C$53),"Kurang",IF(H143&gt;=IF(Aturan!$D$53="",Aturan!$C$53,Aturan!$D$53),"Nyaman","Cukup")))))</f>
        <v>Tidak dinilai</v>
      </c>
      <c r="Q143" s="70" t="str">
        <f aca="false">IF($A143="","",IF(COUNTIF(K143:P143,"Tidak dinilai")=6,"Tidak dinilai",IF(COUNTIF(K143:P143,"Kurang")&gt;0,"Kurang cocok",IF(COUNTIF(K143:P143,"Belum ada data")&gt;0,"Data belum lengkap",IF(COUNTIF(K143:P143,"Cukup")&gt;0,"Bisa, dengan catatan","Cocok")))))</f>
        <v>Cocok</v>
      </c>
      <c r="R143" s="33" t="str">
        <f aca="false">IF($A143="","",IF(K143="Kurang","prosesor tingkat "&amp;C143&amp;" dari 5, di bawah batas minimal (tingkat "&amp;Aturan!$C$48&amp;")",IF(K143="Cukup","prosesor tingkat "&amp;C143&amp;" dari 5 cukup, nyamannya mulai tingkat "&amp;Aturan!$D$48,IF(K143="Belum ada data","tingkat prosesor belum diisi",""))))</f>
        <v/>
      </c>
      <c r="S143" s="33" t="str">
        <f aca="false">IF($A143="","",IF(L143="Kurang","grafis tingkat "&amp;D143&amp;" dari 5, di bawah batas minimal (tingkat "&amp;Aturan!$C$49&amp;")",IF(L143="Cukup","grafis tingkat "&amp;D143&amp;" dari 5 cukup, nyamannya mulai tingkat "&amp;Aturan!$D$49,IF(L143="Belum ada data","tingkat grafis belum diisi",""))))</f>
        <v/>
      </c>
      <c r="T143" s="33" t="str">
        <f aca="false">IF($A143="","",IF(M143="Kurang","RAM "&amp;E143&amp;" GB, di bawah batas minimal "&amp;Aturan!$C$50&amp;" GB ("&amp;I143&amp;")",IF(M143="Cukup","RAM "&amp;E143&amp;" GB cukup, nyamannya "&amp;Aturan!$D$50&amp;" GB atau lebih ("&amp;I143&amp;")",IF(M143="Belum ada data","ukuran RAM belum diisi",""))))</f>
        <v/>
      </c>
      <c r="U143" s="33" t="str">
        <f aca="false">IF($A143="","",IF(N143="Kurang","penyimpanan "&amp;F143&amp;" GB, di bawah batas minimal "&amp;Aturan!$C$51&amp;" GB ("&amp;J143&amp;")",IF(N143="Cukup","penyimpanan "&amp;F143&amp;" GB cukup, nyamannya "&amp;Aturan!$D$51&amp;" GB atau lebih ("&amp;J143&amp;")",IF(N143="Belum ada data","ukuran penyimpanan belum diisi",""))))</f>
        <v/>
      </c>
      <c r="V143" s="33" t="str">
        <f aca="false">IF($A143="","",IF(O143="Kurang","layar "&amp;Varian!$AG32&amp;", di bawah batas minimal ("&amp;IFERROR(INDEX(Aturan!$A$63:$A$66,MATCH(Aturan!$C$52,Aturan!$B$63:$B$66,0)),"peringkat "&amp;Aturan!$C$52)&amp;")",IF(O143="Cukup","layar "&amp;Varian!$AG32&amp;" cukup, nyamannya "&amp;IFERROR(INDEX(Aturan!$A$63:$A$66,MATCH(Aturan!$D$52,Aturan!$B$63:$B$66,0)),"peringkat "&amp;Aturan!$D$52),IF(O143="Belum ada data","jenis layar belum diketahui",""))))</f>
        <v/>
      </c>
      <c r="W143" s="33" t="str">
        <f aca="false">IF($A143="","",IF(P143="Kurang","layar "&amp;H143&amp;" Hz, di bawah batas minimal "&amp;Aturan!$C$53&amp;" Hz",IF(P143="Cukup","layar "&amp;H143&amp;" Hz cukup, nyamannya "&amp;Aturan!$D$53&amp;" Hz atau lebih",IF(P143="Belum ada data","refresh rate belum diketahui",""))))</f>
        <v/>
      </c>
      <c r="X143" s="33" t="str">
        <f aca="false">IF($A143="","",IF(K143="Kurang",R143&amp;"; ","")&amp;IF(L143="Kurang",S143&amp;"; ","")&amp;IF(M143="Kurang",T143&amp;"; ","")&amp;IF(N143="Kurang",U143&amp;"; ","")&amp;IF(O143="Kurang",V143&amp;"; ","")&amp;IF(P143="Kurang",W143&amp;"; ","")&amp;IF(K143="Belum ada data",R143&amp;"; ","")&amp;IF(L143="Belum ada data",S143&amp;"; ","")&amp;IF(M143="Belum ada data",T143&amp;"; ","")&amp;IF(N143="Belum ada data",U143&amp;"; ","")&amp;IF(O143="Belum ada data",V143&amp;"; ","")&amp;IF(P143="Belum ada data",W143&amp;"; ","")&amp;IF(K143="Cukup",R143&amp;"; ","")&amp;IF(L143="Cukup",S143&amp;"; ","")&amp;IF(M143="Cukup",T143&amp;"; ","")&amp;IF(N143="Cukup",U143&amp;"; ","")&amp;IF(O143="Cukup",V143&amp;"; ","")&amp;IF(P143="Cukup",W143&amp;"; ",""))</f>
        <v/>
      </c>
      <c r="Y143" s="33" t="str">
        <f aca="false">IF($A143="","",IF(K143="Nyaman","prosesor, ","")&amp;IF(L143="Nyaman","grafis, ","")&amp;IF(M143="Nyaman","RAM, ","")&amp;IF(N143="Nyaman","penyimpanan, ","")&amp;IF(O143="Nyaman","layar, ","")&amp;IF(P143="Nyaman","refresh rate, ",""))</f>
        <v>prosesor, grafis, RAM, penyimpanan, </v>
      </c>
      <c r="Z143" s="33" t="str">
        <f aca="false">IF($A143="","",IF(Q143="Tidak dinilai","Belum ada kriteria yang dinilai untuk kebutuhan ini.",IF(Q143="Cocok","Semua kriteria yang dinilai sudah nyaman: "&amp;LEFT(Y143,LEN(Y143)-2)&amp;".",UPPER(LEFT(X143,1))&amp;MID(X143,2,LEN(X143)-3)&amp;"."&amp;IF(Y143="",""," Sudah nyaman: "&amp;LEFT(Y143,LEN(Y143)-2)&amp;"."))))</f>
        <v>Semua kriteria yang dinilai sudah nyaman: prosesor, grafis, RAM, penyimpanan.</v>
      </c>
      <c r="AA143" s="33"/>
      <c r="AB143" s="33"/>
      <c r="AC143" s="69"/>
    </row>
    <row r="144" customFormat="false" ht="15" hidden="false" customHeight="true" outlineLevel="0" collapsed="false">
      <c r="A144" s="33" t="str">
        <f aca="false">IF(Varian!$A32="","",Varian!$A32)</f>
        <v>acer-nitro-v-15-anv15-52-core7-240h-rtx5050-16-512</v>
      </c>
      <c r="B144" s="33" t="str">
        <f aca="false">IF($A144="","",Aturan!$A$25)</f>
        <v>Game berat</v>
      </c>
      <c r="C144" s="69" t="n">
        <f aca="false">IF($A144="","",IFERROR(IF(ISNUMBER(INDEX(CPU!$J$4:$J$64,MATCH(Varian!$J32,CPU!$A$4:$A$64,0))),INDEX(CPU!$J$4:$J$64,MATCH(Varian!$J32,CPU!$A$4:$A$64,0)),""),""))</f>
        <v>4</v>
      </c>
      <c r="D144" s="69" t="n">
        <f aca="false">IF($A144="","",IFERROR(IF(ISNUMBER(INDEX(GPU!$G$4:$G$64,MATCH(Varian!$K32,GPU!$A$4:$A$64,0))),INDEX(GPU!$G$4:$G$64,MATCH(Varian!$K32,GPU!$A$4:$A$64,0)),""),""))</f>
        <v>3</v>
      </c>
      <c r="E144" s="69" t="n">
        <f aca="false">IF($A144="","",IF(ISNUMBER(Varian!$M32),Varian!$M32,""))</f>
        <v>16</v>
      </c>
      <c r="F144" s="69" t="n">
        <f aca="false">IF($A144="","",IF(ISNUMBER(Varian!$V32),Varian!$V32,""))</f>
        <v>512</v>
      </c>
      <c r="G144" s="69" t="n">
        <f aca="false">IF($A144="","",IFERROR(INDEX(Aturan!$B$63:$B$66,MATCH(Varian!$AG32,Aturan!$A$63:$A$66,0)),""))</f>
        <v>3</v>
      </c>
      <c r="H144" s="69" t="n">
        <f aca="false">IF($A144="","",IF(ISNUMBER(Varian!$AI32),Varian!$AI32,""))</f>
        <v>180</v>
      </c>
      <c r="I144" s="33" t="str">
        <f aca="false">IF($A144="","",IF(Varian!$Q32="disolder","menempel di papan utama, tidak bisa ditambah",IF(OR(Varian!$Q32="slot",Varian!$Q32="setengah_disolder"),IF(Varian!$Q32="setengah_disolder","sebagian menempel, ","")&amp;IF(ISNUMBER(Varian!$U32),IF(AND(ISNUMBER(Varian!$M32),Varian!$U32&gt;Varian!$M32),"bisa dinaikkan lewat slot sampai "&amp;Varian!$U32&amp;" GB","sudah di batas maksimal "&amp;Varian!$U32&amp;" GB"),"ada slot, batas maksimalnya belum diketahui"),"belum diketahui apakah bisa ditambah")))</f>
        <v>bisa dinaikkan lewat slot sampai 32 GB</v>
      </c>
      <c r="J144" s="33" t="str">
        <f aca="false">IF($A144="","",IF(Varian!$Z32="ya","bisa diganti dengan yang lebih besar",IF(Varian!$Z32="tidak","menempel, tidak bisa diganti","belum diketahui apakah bisa diganti")))</f>
        <v>bisa diganti dengan yang lebih besar</v>
      </c>
      <c r="K144" s="70" t="str">
        <f aca="false">IF($A144="","",IF(AND(Aturan!$C$54="",Aturan!$D$54=""),"Tidak dinilai",IF(C144="","Belum ada data",IF(C144&lt;IF(Aturan!$C$54="",0,Aturan!$C$54),"Kurang",IF(C144&gt;=IF(Aturan!$D$54="",Aturan!$C$54,Aturan!$D$54),"Nyaman","Cukup")))))</f>
        <v>Nyaman</v>
      </c>
      <c r="L144" s="70" t="str">
        <f aca="false">IF($A144="","",IF(AND(Aturan!$C$55="",Aturan!$D$55=""),"Tidak dinilai",IF(D144="","Belum ada data",IF(D144&lt;IF(Aturan!$C$55="",0,Aturan!$C$55),"Kurang",IF(D144&gt;=IF(Aturan!$D$55="",Aturan!$C$55,Aturan!$D$55),"Nyaman","Cukup")))))</f>
        <v>Cukup</v>
      </c>
      <c r="M144" s="70" t="str">
        <f aca="false">IF($A144="","",IF(AND(Aturan!$C$56="",Aturan!$D$56=""),"Tidak dinilai",IF(E144="","Belum ada data",IF(E144&lt;IF(Aturan!$C$56="",0,Aturan!$C$56),"Kurang",IF(E144&gt;=IF(Aturan!$D$56="",Aturan!$C$56,Aturan!$D$56),"Nyaman","Cukup")))))</f>
        <v>Nyaman</v>
      </c>
      <c r="N144" s="70" t="str">
        <f aca="false">IF($A144="","",IF(AND(Aturan!$C$57="",Aturan!$D$57=""),"Tidak dinilai",IF(F144="","Belum ada data",IF(F144&lt;IF(Aturan!$C$57="",0,Aturan!$C$57),"Kurang",IF(F144&gt;=IF(Aturan!$D$57="",Aturan!$C$57,Aturan!$D$57),"Nyaman","Cukup")))))</f>
        <v>Cukup</v>
      </c>
      <c r="O144" s="70" t="str">
        <f aca="false">IF($A144="","",IF(AND(Aturan!$C$58="",Aturan!$D$58=""),"Tidak dinilai",IF(G144="","Belum ada data",IF(G144&lt;IF(Aturan!$C$58="",0,Aturan!$C$58),"Kurang",IF(G144&gt;=IF(Aturan!$D$58="",Aturan!$C$58,Aturan!$D$58),"Nyaman","Cukup")))))</f>
        <v>Tidak dinilai</v>
      </c>
      <c r="P144" s="70" t="str">
        <f aca="false">IF($A144="","",IF(AND(Aturan!$C$59="",Aturan!$D$59=""),"Tidak dinilai",IF(H144="","Belum ada data",IF(H144&lt;IF(Aturan!$C$59="",0,Aturan!$C$59),"Kurang",IF(H144&gt;=IF(Aturan!$D$59="",Aturan!$C$59,Aturan!$D$59),"Nyaman","Cukup")))))</f>
        <v>Nyaman</v>
      </c>
      <c r="Q144" s="70" t="str">
        <f aca="false">IF($A144="","",IF(COUNTIF(K144:P144,"Tidak dinilai")=6,"Tidak dinilai",IF(COUNTIF(K144:P144,"Kurang")&gt;0,"Kurang cocok",IF(COUNTIF(K144:P144,"Belum ada data")&gt;0,"Data belum lengkap",IF(COUNTIF(K144:P144,"Cukup")&gt;0,"Bisa, dengan catatan","Cocok")))))</f>
        <v>Bisa, dengan catatan</v>
      </c>
      <c r="R144" s="33" t="str">
        <f aca="false">IF($A144="","",IF(K144="Kurang","prosesor tingkat "&amp;C144&amp;" dari 5, di bawah batas minimal (tingkat "&amp;Aturan!$C$54&amp;")",IF(K144="Cukup","prosesor tingkat "&amp;C144&amp;" dari 5 cukup, nyamannya mulai tingkat "&amp;Aturan!$D$54,IF(K144="Belum ada data","tingkat prosesor belum diisi",""))))</f>
        <v/>
      </c>
      <c r="S144" s="33" t="str">
        <f aca="false">IF($A144="","",IF(L144="Kurang","grafis tingkat "&amp;D144&amp;" dari 5, di bawah batas minimal (tingkat "&amp;Aturan!$C$55&amp;")",IF(L144="Cukup","grafis tingkat "&amp;D144&amp;" dari 5 cukup, nyamannya mulai tingkat "&amp;Aturan!$D$55,IF(L144="Belum ada data","tingkat grafis belum diisi",""))))</f>
        <v>grafis tingkat 3 dari 5 cukup, nyamannya mulai tingkat 4</v>
      </c>
      <c r="T144" s="33" t="str">
        <f aca="false">IF($A144="","",IF(M144="Kurang","RAM "&amp;E144&amp;" GB, di bawah batas minimal "&amp;Aturan!$C$56&amp;" GB ("&amp;I144&amp;")",IF(M144="Cukup","RAM "&amp;E144&amp;" GB cukup, nyamannya "&amp;Aturan!$D$56&amp;" GB atau lebih ("&amp;I144&amp;")",IF(M144="Belum ada data","ukuran RAM belum diisi",""))))</f>
        <v/>
      </c>
      <c r="U144" s="33" t="str">
        <f aca="false">IF($A144="","",IF(N144="Kurang","penyimpanan "&amp;F144&amp;" GB, di bawah batas minimal "&amp;Aturan!$C$57&amp;" GB ("&amp;J144&amp;")",IF(N144="Cukup","penyimpanan "&amp;F144&amp;" GB cukup, nyamannya "&amp;Aturan!$D$57&amp;" GB atau lebih ("&amp;J144&amp;")",IF(N144="Belum ada data","ukuran penyimpanan belum diisi",""))))</f>
        <v>penyimpanan 512 GB cukup, nyamannya 1000 GB atau lebih (bisa diganti dengan yang lebih besar)</v>
      </c>
      <c r="V144" s="33" t="str">
        <f aca="false">IF($A144="","",IF(O144="Kurang","layar "&amp;Varian!$AG32&amp;", di bawah batas minimal ("&amp;IFERROR(INDEX(Aturan!$A$63:$A$66,MATCH(Aturan!$C$58,Aturan!$B$63:$B$66,0)),"peringkat "&amp;Aturan!$C$58)&amp;")",IF(O144="Cukup","layar "&amp;Varian!$AG32&amp;" cukup, nyamannya "&amp;IFERROR(INDEX(Aturan!$A$63:$A$66,MATCH(Aturan!$D$58,Aturan!$B$63:$B$66,0)),"peringkat "&amp;Aturan!$D$58),IF(O144="Belum ada data","jenis layar belum diketahui",""))))</f>
        <v/>
      </c>
      <c r="W144" s="33" t="str">
        <f aca="false">IF($A144="","",IF(P144="Kurang","layar "&amp;H144&amp;" Hz, di bawah batas minimal "&amp;Aturan!$C$59&amp;" Hz",IF(P144="Cukup","layar "&amp;H144&amp;" Hz cukup, nyamannya "&amp;Aturan!$D$59&amp;" Hz atau lebih",IF(P144="Belum ada data","refresh rate belum diketahui",""))))</f>
        <v/>
      </c>
      <c r="X144" s="33" t="str">
        <f aca="false">IF($A144="","",IF(K144="Kurang",R144&amp;"; ","")&amp;IF(L144="Kurang",S144&amp;"; ","")&amp;IF(M144="Kurang",T144&amp;"; ","")&amp;IF(N144="Kurang",U144&amp;"; ","")&amp;IF(O144="Kurang",V144&amp;"; ","")&amp;IF(P144="Kurang",W144&amp;"; ","")&amp;IF(K144="Belum ada data",R144&amp;"; ","")&amp;IF(L144="Belum ada data",S144&amp;"; ","")&amp;IF(M144="Belum ada data",T144&amp;"; ","")&amp;IF(N144="Belum ada data",U144&amp;"; ","")&amp;IF(O144="Belum ada data",V144&amp;"; ","")&amp;IF(P144="Belum ada data",W144&amp;"; ","")&amp;IF(K144="Cukup",R144&amp;"; ","")&amp;IF(L144="Cukup",S144&amp;"; ","")&amp;IF(M144="Cukup",T144&amp;"; ","")&amp;IF(N144="Cukup",U144&amp;"; ","")&amp;IF(O144="Cukup",V144&amp;"; ","")&amp;IF(P144="Cukup",W144&amp;"; ",""))</f>
        <v>grafis tingkat 3 dari 5 cukup, nyamannya mulai tingkat 4; penyimpanan 512 GB cukup, nyamannya 1000 GB atau lebih (bisa diganti dengan yang lebih besar); </v>
      </c>
      <c r="Y144" s="33" t="str">
        <f aca="false">IF($A144="","",IF(K144="Nyaman","prosesor, ","")&amp;IF(L144="Nyaman","grafis, ","")&amp;IF(M144="Nyaman","RAM, ","")&amp;IF(N144="Nyaman","penyimpanan, ","")&amp;IF(O144="Nyaman","layar, ","")&amp;IF(P144="Nyaman","refresh rate, ",""))</f>
        <v>prosesor, RAM, refresh rate, </v>
      </c>
      <c r="Z144" s="33" t="str">
        <f aca="false">IF($A144="","",IF(Q144="Tidak dinilai","Belum ada kriteria yang dinilai untuk kebutuhan ini.",IF(Q144="Cocok","Semua kriteria yang dinilai sudah nyaman: "&amp;LEFT(Y144,LEN(Y144)-2)&amp;".",UPPER(LEFT(X144,1))&amp;MID(X144,2,LEN(X144)-3)&amp;"."&amp;IF(Y144="",""," Sudah nyaman: "&amp;LEFT(Y144,LEN(Y144)-2)&amp;"."))))</f>
        <v>Grafis tingkat 3 dari 5 cukup, nyamannya mulai tingkat 4; penyimpanan 512 GB cukup, nyamannya 1000 GB atau lebih (bisa diganti dengan yang lebih besar). Sudah nyaman: prosesor, RAM, refresh rate.</v>
      </c>
      <c r="AA144" s="33"/>
      <c r="AB144" s="33"/>
      <c r="AC144" s="69"/>
    </row>
    <row r="145" customFormat="false" ht="15" hidden="false" customHeight="true" outlineLevel="0" collapsed="false">
      <c r="A145" s="66" t="str">
        <f aca="false">IF(Varian!$A33="","",Varian!$A33)</f>
        <v>lenovo-thinkpad-t14-gen-1-i5-10310u-16-256</v>
      </c>
      <c r="B145" s="66" t="str">
        <f aca="false">IF($A145="","",Aturan!$A$21)</f>
        <v>Kuliah dan kantor</v>
      </c>
      <c r="C145" s="67" t="n">
        <f aca="false">IF($A145="","",IFERROR(IF(ISNUMBER(INDEX(CPU!$J$4:$J$64,MATCH(Varian!$J33,CPU!$A$4:$A$64,0))),INDEX(CPU!$J$4:$J$64,MATCH(Varian!$J33,CPU!$A$4:$A$64,0)),""),""))</f>
        <v>2</v>
      </c>
      <c r="D145" s="67" t="n">
        <f aca="false">IF($A145="","",IFERROR(IF(ISNUMBER(INDEX(GPU!$G$4:$G$64,MATCH(Varian!$K33,GPU!$A$4:$A$64,0))),INDEX(GPU!$G$4:$G$64,MATCH(Varian!$K33,GPU!$A$4:$A$64,0)),""),""))</f>
        <v>1</v>
      </c>
      <c r="E145" s="67" t="n">
        <f aca="false">IF($A145="","",IF(ISNUMBER(Varian!$M33),Varian!$M33,""))</f>
        <v>16</v>
      </c>
      <c r="F145" s="67" t="n">
        <f aca="false">IF($A145="","",IF(ISNUMBER(Varian!$V33),Varian!$V33,""))</f>
        <v>256</v>
      </c>
      <c r="G145" s="67" t="str">
        <f aca="false">IF($A145="","",IFERROR(INDEX(Aturan!$B$63:$B$66,MATCH(Varian!$AG33,Aturan!$A$63:$A$66,0)),""))</f>
        <v/>
      </c>
      <c r="H145" s="67" t="str">
        <f aca="false">IF($A145="","",IF(ISNUMBER(Varian!$AI33),Varian!$AI33,""))</f>
        <v/>
      </c>
      <c r="I145" s="66" t="str">
        <f aca="false">IF($A145="","",IF(Varian!$Q33="disolder","menempel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5" s="66" t="str">
        <f aca="false">IF($A145="","",IF(Varian!$Z33="ya","bisa diganti dengan yang lebih besar",IF(Varian!$Z33="tidak","menempel, tidak bisa diganti","belum diketahui apakah bisa diganti")))</f>
        <v>bisa diganti dengan yang lebih besar</v>
      </c>
      <c r="K145" s="68" t="str">
        <f aca="false">IF($A145="","",IF(AND(Aturan!$C$30="",Aturan!$D$30=""),"Tidak dinilai",IF(C145="","Belum ada data",IF(C145&lt;IF(Aturan!$C$30="",0,Aturan!$C$30),"Kurang",IF(C145&gt;=IF(Aturan!$D$30="",Aturan!$C$30,Aturan!$D$30),"Nyaman","Cukup")))))</f>
        <v>Nyaman</v>
      </c>
      <c r="L145" s="68" t="str">
        <f aca="false">IF($A145="","",IF(AND(Aturan!$C$31="",Aturan!$D$31=""),"Tidak dinilai",IF(D145="","Belum ada data",IF(D145&lt;IF(Aturan!$C$31="",0,Aturan!$C$31),"Kurang",IF(D145&gt;=IF(Aturan!$D$31="",Aturan!$C$31,Aturan!$D$31),"Nyaman","Cukup")))))</f>
        <v>Tidak dinilai</v>
      </c>
      <c r="M145" s="68" t="str">
        <f aca="false">IF($A145="","",IF(AND(Aturan!$C$32="",Aturan!$D$32=""),"Tidak dinilai",IF(E145="","Belum ada data",IF(E145&lt;IF(Aturan!$C$32="",0,Aturan!$C$32),"Kurang",IF(E145&gt;=IF(Aturan!$D$32="",Aturan!$C$32,Aturan!$D$32),"Nyaman","Cukup")))))</f>
        <v>Nyaman</v>
      </c>
      <c r="N145" s="68" t="str">
        <f aca="false">IF($A145="","",IF(AND(Aturan!$C$33="",Aturan!$D$33=""),"Tidak dinilai",IF(F145="","Belum ada data",IF(F145&lt;IF(Aturan!$C$33="",0,Aturan!$C$33),"Kurang",IF(F145&gt;=IF(Aturan!$D$33="",Aturan!$C$33,Aturan!$D$33),"Nyaman","Cukup")))))</f>
        <v>Nyaman</v>
      </c>
      <c r="O145" s="68" t="str">
        <f aca="false">IF($A145="","",IF(AND(Aturan!$C$34="",Aturan!$D$34=""),"Tidak dinilai",IF(G145="","Belum ada data",IF(G145&lt;IF(Aturan!$C$34="",0,Aturan!$C$34),"Kurang",IF(G145&gt;=IF(Aturan!$D$34="",Aturan!$C$34,Aturan!$D$34),"Nyaman","Cukup")))))</f>
        <v>Tidak dinilai</v>
      </c>
      <c r="P145" s="68" t="str">
        <f aca="false">IF($A145="","",IF(AND(Aturan!$C$35="",Aturan!$D$35=""),"Tidak dinilai",IF(H145="","Belum ada data",IF(H145&lt;IF(Aturan!$C$35="",0,Aturan!$C$35),"Kurang",IF(H145&gt;=IF(Aturan!$D$35="",Aturan!$C$35,Aturan!$D$35),"Nyaman","Cukup")))))</f>
        <v>Tidak dinilai</v>
      </c>
      <c r="Q145" s="68" t="str">
        <f aca="false">IF($A145="","",IF(COUNTIF(K145:P145,"Tidak dinilai")=6,"Tidak dinilai",IF(COUNTIF(K145:P145,"Kurang")&gt;0,"Kurang cocok",IF(COUNTIF(K145:P145,"Belum ada data")&gt;0,"Data belum lengkap",IF(COUNTIF(K145:P145,"Cukup")&gt;0,"Bisa, dengan catatan","Cocok")))))</f>
        <v>Cocok</v>
      </c>
      <c r="R145" s="66" t="str">
        <f aca="false">IF($A145="","",IF(K145="Kurang","prosesor tingkat "&amp;C145&amp;" dari 5, di bawah batas minimal (tingkat "&amp;Aturan!$C$30&amp;")",IF(K145="Cukup","prosesor tingkat "&amp;C145&amp;" dari 5 cukup, nyamannya mulai tingkat "&amp;Aturan!$D$30,IF(K145="Belum ada data","tingkat prosesor belum diisi",""))))</f>
        <v/>
      </c>
      <c r="S145" s="66" t="str">
        <f aca="false">IF($A145="","",IF(L145="Kurang","grafis tingkat "&amp;D145&amp;" dari 5, di bawah batas minimal (tingkat "&amp;Aturan!$C$31&amp;")",IF(L145="Cukup","grafis tingkat "&amp;D145&amp;" dari 5 cukup, nyamannya mulai tingkat "&amp;Aturan!$D$31,IF(L145="Belum ada data","tingkat grafis belum diisi",""))))</f>
        <v/>
      </c>
      <c r="T145" s="66" t="str">
        <f aca="false">IF($A145="","",IF(M145="Kurang","RAM "&amp;E145&amp;" GB, di bawah batas minimal "&amp;Aturan!$C$32&amp;" GB ("&amp;I145&amp;")",IF(M145="Cukup","RAM "&amp;E145&amp;" GB cukup, nyamannya "&amp;Aturan!$D$32&amp;" GB atau lebih ("&amp;I145&amp;")",IF(M145="Belum ada data","ukuran RAM belum diisi",""))))</f>
        <v/>
      </c>
      <c r="U145" s="66" t="str">
        <f aca="false">IF($A145="","",IF(N145="Kurang","penyimpanan "&amp;F145&amp;" GB, di bawah batas minimal "&amp;Aturan!$C$33&amp;" GB ("&amp;J145&amp;")",IF(N145="Cukup","penyimpanan "&amp;F145&amp;" GB cukup, nyamannya "&amp;Aturan!$D$33&amp;" GB atau lebih ("&amp;J145&amp;")",IF(N145="Belum ada data","ukuran penyimpanan belum diisi",""))))</f>
        <v/>
      </c>
      <c r="V145" s="66" t="str">
        <f aca="false">IF($A145="","",IF(O145="Kurang","layar "&amp;Varian!$AG33&amp;", di bawah batas minimal ("&amp;IFERROR(INDEX(Aturan!$A$63:$A$66,MATCH(Aturan!$C$34,Aturan!$B$63:$B$66,0)),"peringkat "&amp;Aturan!$C$34)&amp;")",IF(O145="Cukup","layar "&amp;Varian!$AG33&amp;" cukup, nyamannya "&amp;IFERROR(INDEX(Aturan!$A$63:$A$66,MATCH(Aturan!$D$34,Aturan!$B$63:$B$66,0)),"peringkat "&amp;Aturan!$D$34),IF(O145="Belum ada data","jenis layar belum diketahui",""))))</f>
        <v/>
      </c>
      <c r="W145" s="66" t="str">
        <f aca="false">IF($A145="","",IF(P145="Kurang","layar "&amp;H145&amp;" Hz, di bawah batas minimal "&amp;Aturan!$C$35&amp;" Hz",IF(P145="Cukup","layar "&amp;H145&amp;" Hz cukup, nyamannya "&amp;Aturan!$D$35&amp;" Hz atau lebih",IF(P145="Belum ada data","refresh rate belum diketahui",""))))</f>
        <v/>
      </c>
      <c r="X145" s="66" t="str">
        <f aca="false">IF($A145="","",IF(K145="Kurang",R145&amp;"; ","")&amp;IF(L145="Kurang",S145&amp;"; ","")&amp;IF(M145="Kurang",T145&amp;"; ","")&amp;IF(N145="Kurang",U145&amp;"; ","")&amp;IF(O145="Kurang",V145&amp;"; ","")&amp;IF(P145="Kurang",W145&amp;"; ","")&amp;IF(K145="Belum ada data",R145&amp;"; ","")&amp;IF(L145="Belum ada data",S145&amp;"; ","")&amp;IF(M145="Belum ada data",T145&amp;"; ","")&amp;IF(N145="Belum ada data",U145&amp;"; ","")&amp;IF(O145="Belum ada data",V145&amp;"; ","")&amp;IF(P145="Belum ada data",W145&amp;"; ","")&amp;IF(K145="Cukup",R145&amp;"; ","")&amp;IF(L145="Cukup",S145&amp;"; ","")&amp;IF(M145="Cukup",T145&amp;"; ","")&amp;IF(N145="Cukup",U145&amp;"; ","")&amp;IF(O145="Cukup",V145&amp;"; ","")&amp;IF(P145="Cukup",W145&amp;"; ",""))</f>
        <v/>
      </c>
      <c r="Y145" s="66" t="str">
        <f aca="false">IF($A145="","",IF(K145="Nyaman","prosesor, ","")&amp;IF(L145="Nyaman","grafis, ","")&amp;IF(M145="Nyaman","RAM, ","")&amp;IF(N145="Nyaman","penyimpanan, ","")&amp;IF(O145="Nyaman","layar, ","")&amp;IF(P145="Nyaman","refresh rate, ",""))</f>
        <v>prosesor, RAM, penyimpanan, </v>
      </c>
      <c r="Z145" s="66" t="str">
        <f aca="false">IF($A145="","",IF(Q145="Tidak dinilai","Belum ada kriteria yang dinilai untuk kebutuhan ini.",IF(Q145="Cocok","Semua kriteria yang dinilai sudah nyaman: "&amp;LEFT(Y145,LEN(Y145)-2)&amp;".",UPPER(LEFT(X145,1))&amp;MID(X145,2,LEN(X145)-3)&amp;"."&amp;IF(Y145="",""," Sudah nyaman: "&amp;LEFT(Y145,LEN(Y145)-2)&amp;"."))))</f>
        <v>Semua kriteria yang dinilai sudah nyaman: prosesor, RAM, penyimpanan.</v>
      </c>
      <c r="AA145" s="66" t="str">
        <f aca="false">IF($A145="","",IF(Varian!$AR33="Windows 10","• "&amp;Aturan!$E$71&amp;CHAR(10),"")&amp;IF(Varian!$BB33="tidak","• "&amp;Aturan!$E$72&amp;CHAR(10),"")&amp;IF(OR(Varian!$AD33="belum terverifikasi",Varian!$AD33="tidak diketahui"),"• "&amp;Aturan!$E$73&amp;CHAR(10),"")&amp;IF(Varian!$AH33="1366x768","• "&amp;Aturan!$E$74&amp;CHAR(10),"")&amp;IF(Varian!$AG33="TN","• "&amp;Aturan!$E$75&amp;CHAR(10),"")&amp;IF(AND(Varian!$Q33="disolder",ISNUMBER(Varian!$M33),Varian!$M33&lt;=8),"• "&amp;Aturan!$E$76&amp;CHAR(10),""))</f>
        <v/>
      </c>
      <c r="AB145" s="66" t="str">
        <f aca="false">IF($A145="","",IF(AA145="","",LEFT(AA145,LEN(AA145)-1)))</f>
        <v/>
      </c>
      <c r="AC145" s="67" t="n">
        <f aca="false">IF($A145="","",IF(AA145="",0,LEN(AA145)-LEN(SUBSTITUTE(AA145,CHAR(10),""))))</f>
        <v>0</v>
      </c>
    </row>
    <row r="146" customFormat="false" ht="15" hidden="false" customHeight="true" outlineLevel="0" collapsed="false">
      <c r="A146" s="33" t="str">
        <f aca="false">IF(Varian!$A33="","",Varian!$A33)</f>
        <v>lenovo-thinkpad-t14-gen-1-i5-10310u-16-256</v>
      </c>
      <c r="B146" s="33" t="str">
        <f aca="false">IF($A146="","",Aturan!$A$22)</f>
        <v>Desain grafis</v>
      </c>
      <c r="C146" s="69" t="n">
        <f aca="false">IF($A146="","",IFERROR(IF(ISNUMBER(INDEX(CPU!$J$4:$J$64,MATCH(Varian!$J33,CPU!$A$4:$A$64,0))),INDEX(CPU!$J$4:$J$64,MATCH(Varian!$J33,CPU!$A$4:$A$64,0)),""),""))</f>
        <v>2</v>
      </c>
      <c r="D146" s="69" t="n">
        <f aca="false">IF($A146="","",IFERROR(IF(ISNUMBER(INDEX(GPU!$G$4:$G$64,MATCH(Varian!$K33,GPU!$A$4:$A$64,0))),INDEX(GPU!$G$4:$G$64,MATCH(Varian!$K33,GPU!$A$4:$A$64,0)),""),""))</f>
        <v>1</v>
      </c>
      <c r="E146" s="69" t="n">
        <f aca="false">IF($A146="","",IF(ISNUMBER(Varian!$M33),Varian!$M33,""))</f>
        <v>16</v>
      </c>
      <c r="F146" s="69" t="n">
        <f aca="false">IF($A146="","",IF(ISNUMBER(Varian!$V33),Varian!$V33,""))</f>
        <v>256</v>
      </c>
      <c r="G146" s="69" t="str">
        <f aca="false">IF($A146="","",IFERROR(INDEX(Aturan!$B$63:$B$66,MATCH(Varian!$AG33,Aturan!$A$63:$A$66,0)),""))</f>
        <v/>
      </c>
      <c r="H146" s="69" t="str">
        <f aca="false">IF($A146="","",IF(ISNUMBER(Varian!$AI33),Varian!$AI33,""))</f>
        <v/>
      </c>
      <c r="I146" s="33" t="str">
        <f aca="false">IF($A146="","",IF(Varian!$Q33="disolder","menempel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6" s="33" t="str">
        <f aca="false">IF($A146="","",IF(Varian!$Z33="ya","bisa diganti dengan yang lebih besar",IF(Varian!$Z33="tidak","menempel, tidak bisa diganti","belum diketahui apakah bisa diganti")))</f>
        <v>bisa diganti dengan yang lebih besar</v>
      </c>
      <c r="K146" s="70" t="str">
        <f aca="false">IF($A146="","",IF(AND(Aturan!$C$36="",Aturan!$D$36=""),"Tidak dinilai",IF(C146="","Belum ada data",IF(C146&lt;IF(Aturan!$C$36="",0,Aturan!$C$36),"Kurang",IF(C146&gt;=IF(Aturan!$D$36="",Aturan!$C$36,Aturan!$D$36),"Nyaman","Cukup")))))</f>
        <v>Cukup</v>
      </c>
      <c r="L146" s="70" t="str">
        <f aca="false">IF($A146="","",IF(AND(Aturan!$C$37="",Aturan!$D$37=""),"Tidak dinilai",IF(D146="","Belum ada data",IF(D146&lt;IF(Aturan!$C$37="",0,Aturan!$C$37),"Kurang",IF(D146&gt;=IF(Aturan!$D$37="",Aturan!$C$37,Aturan!$D$37),"Nyaman","Cukup")))))</f>
        <v>Cukup</v>
      </c>
      <c r="M146" s="70" t="str">
        <f aca="false">IF($A146="","",IF(AND(Aturan!$C$38="",Aturan!$D$38=""),"Tidak dinilai",IF(E146="","Belum ada data",IF(E146&lt;IF(Aturan!$C$38="",0,Aturan!$C$38),"Kurang",IF(E146&gt;=IF(Aturan!$D$38="",Aturan!$C$38,Aturan!$D$38),"Nyaman","Cukup")))))</f>
        <v>Nyaman</v>
      </c>
      <c r="N146" s="70" t="str">
        <f aca="false">IF($A146="","",IF(AND(Aturan!$C$39="",Aturan!$D$39=""),"Tidak dinilai",IF(F146="","Belum ada data",IF(F146&lt;IF(Aturan!$C$39="",0,Aturan!$C$39),"Kurang",IF(F146&gt;=IF(Aturan!$D$39="",Aturan!$C$39,Aturan!$D$39),"Nyaman","Cukup")))))</f>
        <v>Cukup</v>
      </c>
      <c r="O146" s="70" t="str">
        <f aca="false">IF($A146="","",IF(AND(Aturan!$C$40="",Aturan!$D$40=""),"Tidak dinilai",IF(G146="","Belum ada data",IF(G146&lt;IF(Aturan!$C$40="",0,Aturan!$C$40),"Kurang",IF(G146&gt;=IF(Aturan!$D$40="",Aturan!$C$40,Aturan!$D$40),"Nyaman","Cukup")))))</f>
        <v>Belum ada data</v>
      </c>
      <c r="P146" s="70" t="str">
        <f aca="false">IF($A146="","",IF(AND(Aturan!$C$41="",Aturan!$D$41=""),"Tidak dinilai",IF(H146="","Belum ada data",IF(H146&lt;IF(Aturan!$C$41="",0,Aturan!$C$41),"Kurang",IF(H146&gt;=IF(Aturan!$D$41="",Aturan!$C$41,Aturan!$D$41),"Nyaman","Cukup")))))</f>
        <v>Tidak dinilai</v>
      </c>
      <c r="Q146" s="70" t="str">
        <f aca="false">IF($A146="","",IF(COUNTIF(K146:P146,"Tidak dinilai")=6,"Tidak dinilai",IF(COUNTIF(K146:P146,"Kurang")&gt;0,"Kurang cocok",IF(COUNTIF(K146:P146,"Belum ada data")&gt;0,"Data belum lengkap",IF(COUNTIF(K146:P146,"Cukup")&gt;0,"Bisa, dengan catatan","Cocok")))))</f>
        <v>Data belum lengkap</v>
      </c>
      <c r="R146" s="33" t="str">
        <f aca="false">IF($A146="","",IF(K146="Kurang","prosesor tingkat "&amp;C146&amp;" dari 5, di bawah batas minimal (tingkat "&amp;Aturan!$C$36&amp;")",IF(K146="Cukup","prosesor tingkat "&amp;C146&amp;" dari 5 cukup, nyamannya mulai tingkat "&amp;Aturan!$D$36,IF(K146="Belum ada data","tingkat prosesor belum diisi",""))))</f>
        <v>prosesor tingkat 2 dari 5 cukup, nyamannya mulai tingkat 3</v>
      </c>
      <c r="S146" s="33" t="str">
        <f aca="false">IF($A146="","",IF(L146="Kurang","grafis tingkat "&amp;D146&amp;" dari 5, di bawah batas minimal (tingkat "&amp;Aturan!$C$37&amp;")",IF(L146="Cukup","grafis tingkat "&amp;D146&amp;" dari 5 cukup, nyamannya mulai tingkat "&amp;Aturan!$D$37,IF(L146="Belum ada data","tingkat grafis belum diisi",""))))</f>
        <v>grafis tingkat 1 dari 5 cukup, nyamannya mulai tingkat 2</v>
      </c>
      <c r="T146" s="33" t="str">
        <f aca="false">IF($A146="","",IF(M146="Kurang","RAM "&amp;E146&amp;" GB, di bawah batas minimal "&amp;Aturan!$C$38&amp;" GB ("&amp;I146&amp;")",IF(M146="Cukup","RAM "&amp;E146&amp;" GB cukup, nyamannya "&amp;Aturan!$D$38&amp;" GB atau lebih ("&amp;I146&amp;")",IF(M146="Belum ada data","ukuran RAM belum diisi",""))))</f>
        <v/>
      </c>
      <c r="U146" s="33" t="str">
        <f aca="false">IF($A146="","",IF(N146="Kurang","penyimpanan "&amp;F146&amp;" GB, di bawah batas minimal "&amp;Aturan!$C$39&amp;" GB ("&amp;J146&amp;")",IF(N146="Cukup","penyimpanan "&amp;F146&amp;" GB cukup, nyamannya "&amp;Aturan!$D$39&amp;" GB atau lebih ("&amp;J146&amp;")",IF(N146="Belum ada data","ukuran penyimpanan belum diisi",""))))</f>
        <v>penyimpanan 256 GB cukup, nyamannya 512 GB atau lebih (bisa diganti dengan yang lebih besar)</v>
      </c>
      <c r="V146" s="33" t="str">
        <f aca="false">IF($A146="","",IF(O146="Kurang","layar "&amp;Varian!$AG33&amp;", di bawah batas minimal ("&amp;IFERROR(INDEX(Aturan!$A$63:$A$66,MATCH(Aturan!$C$40,Aturan!$B$63:$B$66,0)),"peringkat "&amp;Aturan!$C$40)&amp;")",IF(O146="Cukup","layar "&amp;Varian!$AG33&amp;" cukup, nyamannya "&amp;IFERROR(INDEX(Aturan!$A$63:$A$66,MATCH(Aturan!$D$40,Aturan!$B$63:$B$66,0)),"peringkat "&amp;Aturan!$D$40),IF(O146="Belum ada data","jenis layar belum diketahui",""))))</f>
        <v>jenis layar belum diketahui</v>
      </c>
      <c r="W146" s="33" t="str">
        <f aca="false">IF($A146="","",IF(P146="Kurang","layar "&amp;H146&amp;" Hz, di bawah batas minimal "&amp;Aturan!$C$41&amp;" Hz",IF(P146="Cukup","layar "&amp;H146&amp;" Hz cukup, nyamannya "&amp;Aturan!$D$41&amp;" Hz atau lebih",IF(P146="Belum ada data","refresh rate belum diketahui",""))))</f>
        <v/>
      </c>
      <c r="X146" s="33" t="str">
        <f aca="false">IF($A146="","",IF(K146="Kurang",R146&amp;"; ","")&amp;IF(L146="Kurang",S146&amp;"; ","")&amp;IF(M146="Kurang",T146&amp;"; ","")&amp;IF(N146="Kurang",U146&amp;"; ","")&amp;IF(O146="Kurang",V146&amp;"; ","")&amp;IF(P146="Kurang",W146&amp;"; ","")&amp;IF(K146="Belum ada data",R146&amp;"; ","")&amp;IF(L146="Belum ada data",S146&amp;"; ","")&amp;IF(M146="Belum ada data",T146&amp;"; ","")&amp;IF(N146="Belum ada data",U146&amp;"; ","")&amp;IF(O146="Belum ada data",V146&amp;"; ","")&amp;IF(P146="Belum ada data",W146&amp;"; ","")&amp;IF(K146="Cukup",R146&amp;"; ","")&amp;IF(L146="Cukup",S146&amp;"; ","")&amp;IF(M146="Cukup",T146&amp;"; ","")&amp;IF(N146="Cukup",U146&amp;"; ","")&amp;IF(O146="Cukup",V146&amp;"; ","")&amp;IF(P146="Cukup",W146&amp;"; ",""))</f>
        <v>jenis layar belum diketahui; prosesor tingkat 2 dari 5 cukup, nyamannya mulai tingkat 3; grafis tingkat 1 dari 5 cukup, nyamannya mulai tingkat 2; penyimpanan 256 GB cukup, nyamannya 512 GB atau lebih (bisa diganti dengan yang lebih besar); </v>
      </c>
      <c r="Y146" s="33" t="str">
        <f aca="false">IF($A146="","",IF(K146="Nyaman","prosesor, ","")&amp;IF(L146="Nyaman","grafis, ","")&amp;IF(M146="Nyaman","RAM, ","")&amp;IF(N146="Nyaman","penyimpanan, ","")&amp;IF(O146="Nyaman","layar, ","")&amp;IF(P146="Nyaman","refresh rate, ",""))</f>
        <v>RAM, </v>
      </c>
      <c r="Z146" s="33" t="str">
        <f aca="false">IF($A146="","",IF(Q146="Tidak dinilai","Belum ada kriteria yang dinilai untuk kebutuhan ini.",IF(Q146="Cocok","Semua kriteria yang dinilai sudah nyaman: "&amp;LEFT(Y146,LEN(Y146)-2)&amp;".",UPPER(LEFT(X146,1))&amp;MID(X146,2,LEN(X146)-3)&amp;"."&amp;IF(Y146="",""," Sudah nyaman: "&amp;LEFT(Y146,LEN(Y146)-2)&amp;"."))))</f>
        <v>Jenis layar belum diketahui; prosesor tingkat 2 dari 5 cukup, nyamannya mulai tingkat 3; grafis tingkat 1 dari 5 cukup, nyamannya mulai tingkat 2; penyimpanan 256 GB cukup, nyamannya 512 GB atau lebih (bisa diganti dengan yang lebih besar). Sudah nyaman: RAM.</v>
      </c>
      <c r="AA146" s="33"/>
      <c r="AB146" s="33"/>
      <c r="AC146" s="69"/>
    </row>
    <row r="147" customFormat="false" ht="15" hidden="false" customHeight="true" outlineLevel="0" collapsed="false">
      <c r="A147" s="33" t="str">
        <f aca="false">IF(Varian!$A33="","",Varian!$A33)</f>
        <v>lenovo-thinkpad-t14-gen-1-i5-10310u-16-256</v>
      </c>
      <c r="B147" s="33" t="str">
        <f aca="false">IF($A147="","",Aturan!$A$23)</f>
        <v>Pemrograman</v>
      </c>
      <c r="C147" s="69" t="n">
        <f aca="false">IF($A147="","",IFERROR(IF(ISNUMBER(INDEX(CPU!$J$4:$J$64,MATCH(Varian!$J33,CPU!$A$4:$A$64,0))),INDEX(CPU!$J$4:$J$64,MATCH(Varian!$J33,CPU!$A$4:$A$64,0)),""),""))</f>
        <v>2</v>
      </c>
      <c r="D147" s="69" t="n">
        <f aca="false">IF($A147="","",IFERROR(IF(ISNUMBER(INDEX(GPU!$G$4:$G$64,MATCH(Varian!$K33,GPU!$A$4:$A$64,0))),INDEX(GPU!$G$4:$G$64,MATCH(Varian!$K33,GPU!$A$4:$A$64,0)),""),""))</f>
        <v>1</v>
      </c>
      <c r="E147" s="69" t="n">
        <f aca="false">IF($A147="","",IF(ISNUMBER(Varian!$M33),Varian!$M33,""))</f>
        <v>16</v>
      </c>
      <c r="F147" s="69" t="n">
        <f aca="false">IF($A147="","",IF(ISNUMBER(Varian!$V33),Varian!$V33,""))</f>
        <v>256</v>
      </c>
      <c r="G147" s="69" t="str">
        <f aca="false">IF($A147="","",IFERROR(INDEX(Aturan!$B$63:$B$66,MATCH(Varian!$AG33,Aturan!$A$63:$A$66,0)),""))</f>
        <v/>
      </c>
      <c r="H147" s="69" t="str">
        <f aca="false">IF($A147="","",IF(ISNUMBER(Varian!$AI33),Varian!$AI33,""))</f>
        <v/>
      </c>
      <c r="I147" s="33" t="str">
        <f aca="false">IF($A147="","",IF(Varian!$Q33="disolder","menempel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7" s="33" t="str">
        <f aca="false">IF($A147="","",IF(Varian!$Z33="ya","bisa diganti dengan yang lebih besar",IF(Varian!$Z33="tidak","menempel, tidak bisa diganti","belum diketahui apakah bisa diganti")))</f>
        <v>bisa diganti dengan yang lebih besar</v>
      </c>
      <c r="K147" s="70" t="str">
        <f aca="false">IF($A147="","",IF(AND(Aturan!$C$42="",Aturan!$D$42=""),"Tidak dinilai",IF(C147="","Belum ada data",IF(C147&lt;IF(Aturan!$C$42="",0,Aturan!$C$42),"Kurang",IF(C147&gt;=IF(Aturan!$D$42="",Aturan!$C$42,Aturan!$D$42),"Nyaman","Cukup")))))</f>
        <v>Cukup</v>
      </c>
      <c r="L147" s="70" t="str">
        <f aca="false">IF($A147="","",IF(AND(Aturan!$C$43="",Aturan!$D$43=""),"Tidak dinilai",IF(D147="","Belum ada data",IF(D147&lt;IF(Aturan!$C$43="",0,Aturan!$C$43),"Kurang",IF(D147&gt;=IF(Aturan!$D$43="",Aturan!$C$43,Aturan!$D$43),"Nyaman","Cukup")))))</f>
        <v>Tidak dinilai</v>
      </c>
      <c r="M147" s="70" t="str">
        <f aca="false">IF($A147="","",IF(AND(Aturan!$C$44="",Aturan!$D$44=""),"Tidak dinilai",IF(E147="","Belum ada data",IF(E147&lt;IF(Aturan!$C$44="",0,Aturan!$C$44),"Kurang",IF(E147&gt;=IF(Aturan!$D$44="",Aturan!$C$44,Aturan!$D$44),"Nyaman","Cukup")))))</f>
        <v>Nyaman</v>
      </c>
      <c r="N147" s="70" t="str">
        <f aca="false">IF($A147="","",IF(AND(Aturan!$C$45="",Aturan!$D$45=""),"Tidak dinilai",IF(F147="","Belum ada data",IF(F147&lt;IF(Aturan!$C$45="",0,Aturan!$C$45),"Kurang",IF(F147&gt;=IF(Aturan!$D$45="",Aturan!$C$45,Aturan!$D$45),"Nyaman","Cukup")))))</f>
        <v>Cukup</v>
      </c>
      <c r="O147" s="70" t="str">
        <f aca="false">IF($A147="","",IF(AND(Aturan!$C$46="",Aturan!$D$46=""),"Tidak dinilai",IF(G147="","Belum ada data",IF(G147&lt;IF(Aturan!$C$46="",0,Aturan!$C$46),"Kurang",IF(G147&gt;=IF(Aturan!$D$46="",Aturan!$C$46,Aturan!$D$46),"Nyaman","Cukup")))))</f>
        <v>Tidak dinilai</v>
      </c>
      <c r="P147" s="70" t="str">
        <f aca="false">IF($A147="","",IF(AND(Aturan!$C$47="",Aturan!$D$47=""),"Tidak dinilai",IF(H147="","Belum ada data",IF(H147&lt;IF(Aturan!$C$47="",0,Aturan!$C$47),"Kurang",IF(H147&gt;=IF(Aturan!$D$47="",Aturan!$C$47,Aturan!$D$47),"Nyaman","Cukup")))))</f>
        <v>Tidak dinilai</v>
      </c>
      <c r="Q147" s="70" t="str">
        <f aca="false">IF($A147="","",IF(COUNTIF(K147:P147,"Tidak dinilai")=6,"Tidak dinilai",IF(COUNTIF(K147:P147,"Kurang")&gt;0,"Kurang cocok",IF(COUNTIF(K147:P147,"Belum ada data")&gt;0,"Data belum lengkap",IF(COUNTIF(K147:P147,"Cukup")&gt;0,"Bisa, dengan catatan","Cocok")))))</f>
        <v>Bisa, dengan catatan</v>
      </c>
      <c r="R147" s="33" t="str">
        <f aca="false">IF($A147="","",IF(K147="Kurang","prosesor tingkat "&amp;C147&amp;" dari 5, di bawah batas minimal (tingkat "&amp;Aturan!$C$42&amp;")",IF(K147="Cukup","prosesor tingkat "&amp;C147&amp;" dari 5 cukup, nyamannya mulai tingkat "&amp;Aturan!$D$42,IF(K147="Belum ada data","tingkat prosesor belum diisi",""))))</f>
        <v>prosesor tingkat 2 dari 5 cukup, nyamannya mulai tingkat 3</v>
      </c>
      <c r="S147" s="33" t="str">
        <f aca="false">IF($A147="","",IF(L147="Kurang","grafis tingkat "&amp;D147&amp;" dari 5, di bawah batas minimal (tingkat "&amp;Aturan!$C$43&amp;")",IF(L147="Cukup","grafis tingkat "&amp;D147&amp;" dari 5 cukup, nyamannya mulai tingkat "&amp;Aturan!$D$43,IF(L147="Belum ada data","tingkat grafis belum diisi",""))))</f>
        <v/>
      </c>
      <c r="T147" s="33" t="str">
        <f aca="false">IF($A147="","",IF(M147="Kurang","RAM "&amp;E147&amp;" GB, di bawah batas minimal "&amp;Aturan!$C$44&amp;" GB ("&amp;I147&amp;")",IF(M147="Cukup","RAM "&amp;E147&amp;" GB cukup, nyamannya "&amp;Aturan!$D$44&amp;" GB atau lebih ("&amp;I147&amp;")",IF(M147="Belum ada data","ukuran RAM belum diisi",""))))</f>
        <v/>
      </c>
      <c r="U147" s="33" t="str">
        <f aca="false">IF($A147="","",IF(N147="Kurang","penyimpanan "&amp;F147&amp;" GB, di bawah batas minimal "&amp;Aturan!$C$45&amp;" GB ("&amp;J147&amp;")",IF(N147="Cukup","penyimpanan "&amp;F147&amp;" GB cukup, nyamannya "&amp;Aturan!$D$45&amp;" GB atau lebih ("&amp;J147&amp;")",IF(N147="Belum ada data","ukuran penyimpanan belum diisi",""))))</f>
        <v>penyimpanan 256 GB cukup, nyamannya 512 GB atau lebih (bisa diganti dengan yang lebih besar)</v>
      </c>
      <c r="V147" s="33" t="str">
        <f aca="false">IF($A147="","",IF(O147="Kurang","layar "&amp;Varian!$AG33&amp;", di bawah batas minimal ("&amp;IFERROR(INDEX(Aturan!$A$63:$A$66,MATCH(Aturan!$C$46,Aturan!$B$63:$B$66,0)),"peringkat "&amp;Aturan!$C$46)&amp;")",IF(O147="Cukup","layar "&amp;Varian!$AG33&amp;" cukup, nyamannya "&amp;IFERROR(INDEX(Aturan!$A$63:$A$66,MATCH(Aturan!$D$46,Aturan!$B$63:$B$66,0)),"peringkat "&amp;Aturan!$D$46),IF(O147="Belum ada data","jenis layar belum diketahui",""))))</f>
        <v/>
      </c>
      <c r="W147" s="33" t="str">
        <f aca="false">IF($A147="","",IF(P147="Kurang","layar "&amp;H147&amp;" Hz, di bawah batas minimal "&amp;Aturan!$C$47&amp;" Hz",IF(P147="Cukup","layar "&amp;H147&amp;" Hz cukup, nyamannya "&amp;Aturan!$D$47&amp;" Hz atau lebih",IF(P147="Belum ada data","refresh rate belum diketahui",""))))</f>
        <v/>
      </c>
      <c r="X147" s="33" t="str">
        <f aca="false">IF($A147="","",IF(K147="Kurang",R147&amp;"; ","")&amp;IF(L147="Kurang",S147&amp;"; ","")&amp;IF(M147="Kurang",T147&amp;"; ","")&amp;IF(N147="Kurang",U147&amp;"; ","")&amp;IF(O147="Kurang",V147&amp;"; ","")&amp;IF(P147="Kurang",W147&amp;"; ","")&amp;IF(K147="Belum ada data",R147&amp;"; ","")&amp;IF(L147="Belum ada data",S147&amp;"; ","")&amp;IF(M147="Belum ada data",T147&amp;"; ","")&amp;IF(N147="Belum ada data",U147&amp;"; ","")&amp;IF(O147="Belum ada data",V147&amp;"; ","")&amp;IF(P147="Belum ada data",W147&amp;"; ","")&amp;IF(K147="Cukup",R147&amp;"; ","")&amp;IF(L147="Cukup",S147&amp;"; ","")&amp;IF(M147="Cukup",T147&amp;"; ","")&amp;IF(N147="Cukup",U147&amp;"; ","")&amp;IF(O147="Cukup",V147&amp;"; ","")&amp;IF(P147="Cukup",W147&amp;"; ",""))</f>
        <v>prosesor tingkat 2 dari 5 cukup, nyamannya mulai tingkat 3; penyimpanan 256 GB cukup, nyamannya 512 GB atau lebih (bisa diganti dengan yang lebih besar); </v>
      </c>
      <c r="Y147" s="33" t="str">
        <f aca="false">IF($A147="","",IF(K147="Nyaman","prosesor, ","")&amp;IF(L147="Nyaman","grafis, ","")&amp;IF(M147="Nyaman","RAM, ","")&amp;IF(N147="Nyaman","penyimpanan, ","")&amp;IF(O147="Nyaman","layar, ","")&amp;IF(P147="Nyaman","refresh rate, ",""))</f>
        <v>RAM, </v>
      </c>
      <c r="Z147" s="33" t="str">
        <f aca="false">IF($A147="","",IF(Q147="Tidak dinilai","Belum ada kriteria yang dinilai untuk kebutuhan ini.",IF(Q147="Cocok","Semua kriteria yang dinilai sudah nyaman: "&amp;LEFT(Y147,LEN(Y147)-2)&amp;".",UPPER(LEFT(X147,1))&amp;MID(X147,2,LEN(X147)-3)&amp;"."&amp;IF(Y147="",""," Sudah nyaman: "&amp;LEFT(Y147,LEN(Y147)-2)&amp;"."))))</f>
        <v>Prosesor tingkat 2 dari 5 cukup, nyamannya mulai tingkat 3; penyimpanan 256 GB cukup, nyamannya 512 GB atau lebih (bisa diganti dengan yang lebih besar). Sudah nyaman: RAM.</v>
      </c>
      <c r="AA147" s="33"/>
      <c r="AB147" s="33"/>
      <c r="AC147" s="69"/>
    </row>
    <row r="148" customFormat="false" ht="15" hidden="false" customHeight="true" outlineLevel="0" collapsed="false">
      <c r="A148" s="33" t="str">
        <f aca="false">IF(Varian!$A33="","",Varian!$A33)</f>
        <v>lenovo-thinkpad-t14-gen-1-i5-10310u-16-256</v>
      </c>
      <c r="B148" s="33" t="str">
        <f aca="false">IF($A148="","",Aturan!$A$24)</f>
        <v>Game ringan</v>
      </c>
      <c r="C148" s="69" t="n">
        <f aca="false">IF($A148="","",IFERROR(IF(ISNUMBER(INDEX(CPU!$J$4:$J$64,MATCH(Varian!$J33,CPU!$A$4:$A$64,0))),INDEX(CPU!$J$4:$J$64,MATCH(Varian!$J33,CPU!$A$4:$A$64,0)),""),""))</f>
        <v>2</v>
      </c>
      <c r="D148" s="69" t="n">
        <f aca="false">IF($A148="","",IFERROR(IF(ISNUMBER(INDEX(GPU!$G$4:$G$64,MATCH(Varian!$K33,GPU!$A$4:$A$64,0))),INDEX(GPU!$G$4:$G$64,MATCH(Varian!$K33,GPU!$A$4:$A$64,0)),""),""))</f>
        <v>1</v>
      </c>
      <c r="E148" s="69" t="n">
        <f aca="false">IF($A148="","",IF(ISNUMBER(Varian!$M33),Varian!$M33,""))</f>
        <v>16</v>
      </c>
      <c r="F148" s="69" t="n">
        <f aca="false">IF($A148="","",IF(ISNUMBER(Varian!$V33),Varian!$V33,""))</f>
        <v>256</v>
      </c>
      <c r="G148" s="69" t="str">
        <f aca="false">IF($A148="","",IFERROR(INDEX(Aturan!$B$63:$B$66,MATCH(Varian!$AG33,Aturan!$A$63:$A$66,0)),""))</f>
        <v/>
      </c>
      <c r="H148" s="69" t="str">
        <f aca="false">IF($A148="","",IF(ISNUMBER(Varian!$AI33),Varian!$AI33,""))</f>
        <v/>
      </c>
      <c r="I148" s="33" t="str">
        <f aca="false">IF($A148="","",IF(Varian!$Q33="disolder","menempel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8" s="33" t="str">
        <f aca="false">IF($A148="","",IF(Varian!$Z33="ya","bisa diganti dengan yang lebih besar",IF(Varian!$Z33="tidak","menempel, tidak bisa diganti","belum diketahui apakah bisa diganti")))</f>
        <v>bisa diganti dengan yang lebih besar</v>
      </c>
      <c r="K148" s="70" t="str">
        <f aca="false">IF($A148="","",IF(AND(Aturan!$C$48="",Aturan!$D$48=""),"Tidak dinilai",IF(C148="","Belum ada data",IF(C148&lt;IF(Aturan!$C$48="",0,Aturan!$C$48),"Kurang",IF(C148&gt;=IF(Aturan!$D$48="",Aturan!$C$48,Aturan!$D$48),"Nyaman","Cukup")))))</f>
        <v>Cukup</v>
      </c>
      <c r="L148" s="70" t="str">
        <f aca="false">IF($A148="","",IF(AND(Aturan!$C$49="",Aturan!$D$49=""),"Tidak dinilai",IF(D148="","Belum ada data",IF(D148&lt;IF(Aturan!$C$49="",0,Aturan!$C$49),"Kurang",IF(D148&gt;=IF(Aturan!$D$49="",Aturan!$C$49,Aturan!$D$49),"Nyaman","Cukup")))))</f>
        <v>Cukup</v>
      </c>
      <c r="M148" s="70" t="str">
        <f aca="false">IF($A148="","",IF(AND(Aturan!$C$50="",Aturan!$D$50=""),"Tidak dinilai",IF(E148="","Belum ada data",IF(E148&lt;IF(Aturan!$C$50="",0,Aturan!$C$50),"Kurang",IF(E148&gt;=IF(Aturan!$D$50="",Aturan!$C$50,Aturan!$D$50),"Nyaman","Cukup")))))</f>
        <v>Nyaman</v>
      </c>
      <c r="N148" s="70" t="str">
        <f aca="false">IF($A148="","",IF(AND(Aturan!$C$51="",Aturan!$D$51=""),"Tidak dinilai",IF(F148="","Belum ada data",IF(F148&lt;IF(Aturan!$C$51="",0,Aturan!$C$51),"Kurang",IF(F148&gt;=IF(Aturan!$D$51="",Aturan!$C$51,Aturan!$D$51),"Nyaman","Cukup")))))</f>
        <v>Nyaman</v>
      </c>
      <c r="O148" s="70" t="str">
        <f aca="false">IF($A148="","",IF(AND(Aturan!$C$52="",Aturan!$D$52=""),"Tidak dinilai",IF(G148="","Belum ada data",IF(G148&lt;IF(Aturan!$C$52="",0,Aturan!$C$52),"Kurang",IF(G148&gt;=IF(Aturan!$D$52="",Aturan!$C$52,Aturan!$D$52),"Nyaman","Cukup")))))</f>
        <v>Tidak dinilai</v>
      </c>
      <c r="P148" s="70" t="str">
        <f aca="false">IF($A148="","",IF(AND(Aturan!$C$53="",Aturan!$D$53=""),"Tidak dinilai",IF(H148="","Belum ada data",IF(H148&lt;IF(Aturan!$C$53="",0,Aturan!$C$53),"Kurang",IF(H148&gt;=IF(Aturan!$D$53="",Aturan!$C$53,Aturan!$D$53),"Nyaman","Cukup")))))</f>
        <v>Tidak dinilai</v>
      </c>
      <c r="Q148" s="70" t="str">
        <f aca="false">IF($A148="","",IF(COUNTIF(K148:P148,"Tidak dinilai")=6,"Tidak dinilai",IF(COUNTIF(K148:P148,"Kurang")&gt;0,"Kurang cocok",IF(COUNTIF(K148:P148,"Belum ada data")&gt;0,"Data belum lengkap",IF(COUNTIF(K148:P148,"Cukup")&gt;0,"Bisa, dengan catatan","Cocok")))))</f>
        <v>Bisa, dengan catatan</v>
      </c>
      <c r="R148" s="33" t="str">
        <f aca="false">IF($A148="","",IF(K148="Kurang","prosesor tingkat "&amp;C148&amp;" dari 5, di bawah batas minimal (tingkat "&amp;Aturan!$C$48&amp;")",IF(K148="Cukup","prosesor tingkat "&amp;C148&amp;" dari 5 cukup, nyamannya mulai tingkat "&amp;Aturan!$D$48,IF(K148="Belum ada data","tingkat prosesor belum diisi",""))))</f>
        <v>prosesor tingkat 2 dari 5 cukup, nyamannya mulai tingkat 3</v>
      </c>
      <c r="S148" s="33" t="str">
        <f aca="false">IF($A148="","",IF(L148="Kurang","grafis tingkat "&amp;D148&amp;" dari 5, di bawah batas minimal (tingkat "&amp;Aturan!$C$49&amp;")",IF(L148="Cukup","grafis tingkat "&amp;D148&amp;" dari 5 cukup, nyamannya mulai tingkat "&amp;Aturan!$D$49,IF(L148="Belum ada data","tingkat grafis belum diisi",""))))</f>
        <v>grafis tingkat 1 dari 5 cukup, nyamannya mulai tingkat 2</v>
      </c>
      <c r="T148" s="33" t="str">
        <f aca="false">IF($A148="","",IF(M148="Kurang","RAM "&amp;E148&amp;" GB, di bawah batas minimal "&amp;Aturan!$C$50&amp;" GB ("&amp;I148&amp;")",IF(M148="Cukup","RAM "&amp;E148&amp;" GB cukup, nyamannya "&amp;Aturan!$D$50&amp;" GB atau lebih ("&amp;I148&amp;")",IF(M148="Belum ada data","ukuran RAM belum diisi",""))))</f>
        <v/>
      </c>
      <c r="U148" s="33" t="str">
        <f aca="false">IF($A148="","",IF(N148="Kurang","penyimpanan "&amp;F148&amp;" GB, di bawah batas minimal "&amp;Aturan!$C$51&amp;" GB ("&amp;J148&amp;")",IF(N148="Cukup","penyimpanan "&amp;F148&amp;" GB cukup, nyamannya "&amp;Aturan!$D$51&amp;" GB atau lebih ("&amp;J148&amp;")",IF(N148="Belum ada data","ukuran penyimpanan belum diisi",""))))</f>
        <v/>
      </c>
      <c r="V148" s="33" t="str">
        <f aca="false">IF($A148="","",IF(O148="Kurang","layar "&amp;Varian!$AG33&amp;", di bawah batas minimal ("&amp;IFERROR(INDEX(Aturan!$A$63:$A$66,MATCH(Aturan!$C$52,Aturan!$B$63:$B$66,0)),"peringkat "&amp;Aturan!$C$52)&amp;")",IF(O148="Cukup","layar "&amp;Varian!$AG33&amp;" cukup, nyamannya "&amp;IFERROR(INDEX(Aturan!$A$63:$A$66,MATCH(Aturan!$D$52,Aturan!$B$63:$B$66,0)),"peringkat "&amp;Aturan!$D$52),IF(O148="Belum ada data","jenis layar belum diketahui",""))))</f>
        <v/>
      </c>
      <c r="W148" s="33" t="str">
        <f aca="false">IF($A148="","",IF(P148="Kurang","layar "&amp;H148&amp;" Hz, di bawah batas minimal "&amp;Aturan!$C$53&amp;" Hz",IF(P148="Cukup","layar "&amp;H148&amp;" Hz cukup, nyamannya "&amp;Aturan!$D$53&amp;" Hz atau lebih",IF(P148="Belum ada data","refresh rate belum diketahui",""))))</f>
        <v/>
      </c>
      <c r="X148" s="33" t="str">
        <f aca="false">IF($A148="","",IF(K148="Kurang",R148&amp;"; ","")&amp;IF(L148="Kurang",S148&amp;"; ","")&amp;IF(M148="Kurang",T148&amp;"; ","")&amp;IF(N148="Kurang",U148&amp;"; ","")&amp;IF(O148="Kurang",V148&amp;"; ","")&amp;IF(P148="Kurang",W148&amp;"; ","")&amp;IF(K148="Belum ada data",R148&amp;"; ","")&amp;IF(L148="Belum ada data",S148&amp;"; ","")&amp;IF(M148="Belum ada data",T148&amp;"; ","")&amp;IF(N148="Belum ada data",U148&amp;"; ","")&amp;IF(O148="Belum ada data",V148&amp;"; ","")&amp;IF(P148="Belum ada data",W148&amp;"; ","")&amp;IF(K148="Cukup",R148&amp;"; ","")&amp;IF(L148="Cukup",S148&amp;"; ","")&amp;IF(M148="Cukup",T148&amp;"; ","")&amp;IF(N148="Cukup",U148&amp;"; ","")&amp;IF(O148="Cukup",V148&amp;"; ","")&amp;IF(P148="Cukup",W148&amp;"; ",""))</f>
        <v>prosesor tingkat 2 dari 5 cukup, nyamannya mulai tingkat 3; grafis tingkat 1 dari 5 cukup, nyamannya mulai tingkat 2; </v>
      </c>
      <c r="Y148" s="33" t="str">
        <f aca="false">IF($A148="","",IF(K148="Nyaman","prosesor, ","")&amp;IF(L148="Nyaman","grafis, ","")&amp;IF(M148="Nyaman","RAM, ","")&amp;IF(N148="Nyaman","penyimpanan, ","")&amp;IF(O148="Nyaman","layar, ","")&amp;IF(P148="Nyaman","refresh rate, ",""))</f>
        <v>RAM, penyimpanan, </v>
      </c>
      <c r="Z148" s="33" t="str">
        <f aca="false">IF($A148="","",IF(Q148="Tidak dinilai","Belum ada kriteria yang dinilai untuk kebutuhan ini.",IF(Q148="Cocok","Semua kriteria yang dinilai sudah nyaman: "&amp;LEFT(Y148,LEN(Y148)-2)&amp;".",UPPER(LEFT(X148,1))&amp;MID(X148,2,LEN(X148)-3)&amp;"."&amp;IF(Y148="",""," Sudah nyaman: "&amp;LEFT(Y148,LEN(Y148)-2)&amp;"."))))</f>
        <v>Prosesor tingkat 2 dari 5 cukup, nyamannya mulai tingkat 3; grafis tingkat 1 dari 5 cukup, nyamannya mulai tingkat 2. Sudah nyaman: RAM, penyimpanan.</v>
      </c>
      <c r="AA148" s="33"/>
      <c r="AB148" s="33"/>
      <c r="AC148" s="69"/>
    </row>
    <row r="149" customFormat="false" ht="15" hidden="false" customHeight="true" outlineLevel="0" collapsed="false">
      <c r="A149" s="33" t="str">
        <f aca="false">IF(Varian!$A33="","",Varian!$A33)</f>
        <v>lenovo-thinkpad-t14-gen-1-i5-10310u-16-256</v>
      </c>
      <c r="B149" s="33" t="str">
        <f aca="false">IF($A149="","",Aturan!$A$25)</f>
        <v>Game berat</v>
      </c>
      <c r="C149" s="69" t="n">
        <f aca="false">IF($A149="","",IFERROR(IF(ISNUMBER(INDEX(CPU!$J$4:$J$64,MATCH(Varian!$J33,CPU!$A$4:$A$64,0))),INDEX(CPU!$J$4:$J$64,MATCH(Varian!$J33,CPU!$A$4:$A$64,0)),""),""))</f>
        <v>2</v>
      </c>
      <c r="D149" s="69" t="n">
        <f aca="false">IF($A149="","",IFERROR(IF(ISNUMBER(INDEX(GPU!$G$4:$G$64,MATCH(Varian!$K33,GPU!$A$4:$A$64,0))),INDEX(GPU!$G$4:$G$64,MATCH(Varian!$K33,GPU!$A$4:$A$64,0)),""),""))</f>
        <v>1</v>
      </c>
      <c r="E149" s="69" t="n">
        <f aca="false">IF($A149="","",IF(ISNUMBER(Varian!$M33),Varian!$M33,""))</f>
        <v>16</v>
      </c>
      <c r="F149" s="69" t="n">
        <f aca="false">IF($A149="","",IF(ISNUMBER(Varian!$V33),Varian!$V33,""))</f>
        <v>256</v>
      </c>
      <c r="G149" s="69" t="str">
        <f aca="false">IF($A149="","",IFERROR(INDEX(Aturan!$B$63:$B$66,MATCH(Varian!$AG33,Aturan!$A$63:$A$66,0)),""))</f>
        <v/>
      </c>
      <c r="H149" s="69" t="str">
        <f aca="false">IF($A149="","",IF(ISNUMBER(Varian!$AI33),Varian!$AI33,""))</f>
        <v/>
      </c>
      <c r="I149" s="33" t="str">
        <f aca="false">IF($A149="","",IF(Varian!$Q33="disolder","menempel di papan utama, tidak bisa ditambah",IF(OR(Varian!$Q33="slot",Varian!$Q33="setengah_disolder"),IF(Varian!$Q33="setengah_disolder","sebagian menempel, ","")&amp;IF(ISNUMBER(Varian!$U33),IF(AND(ISNUMBER(Varian!$M33),Varian!$U33&gt;Varian!$M33),"bisa dinaikkan lewat slot sampai "&amp;Varian!$U33&amp;" GB","sudah di batas maksimal "&amp;Varian!$U33&amp;" GB"),"ada slot, batas maksimalnya belum diketahui"),"belum diketahui apakah bisa ditambah")))</f>
        <v>sebagian menempel, ada slot, batas maksimalnya belum diketahui</v>
      </c>
      <c r="J149" s="33" t="str">
        <f aca="false">IF($A149="","",IF(Varian!$Z33="ya","bisa diganti dengan yang lebih besar",IF(Varian!$Z33="tidak","menempel, tidak bisa diganti","belum diketahui apakah bisa diganti")))</f>
        <v>bisa diganti dengan yang lebih besar</v>
      </c>
      <c r="K149" s="70" t="str">
        <f aca="false">IF($A149="","",IF(AND(Aturan!$C$54="",Aturan!$D$54=""),"Tidak dinilai",IF(C149="","Belum ada data",IF(C149&lt;IF(Aturan!$C$54="",0,Aturan!$C$54),"Kurang",IF(C149&gt;=IF(Aturan!$D$54="",Aturan!$C$54,Aturan!$D$54),"Nyaman","Cukup")))))</f>
        <v>Kurang</v>
      </c>
      <c r="L149" s="70" t="str">
        <f aca="false">IF($A149="","",IF(AND(Aturan!$C$55="",Aturan!$D$55=""),"Tidak dinilai",IF(D149="","Belum ada data",IF(D149&lt;IF(Aturan!$C$55="",0,Aturan!$C$55),"Kurang",IF(D149&gt;=IF(Aturan!$D$55="",Aturan!$C$55,Aturan!$D$55),"Nyaman","Cukup")))))</f>
        <v>Kurang</v>
      </c>
      <c r="M149" s="70" t="str">
        <f aca="false">IF($A149="","",IF(AND(Aturan!$C$56="",Aturan!$D$56=""),"Tidak dinilai",IF(E149="","Belum ada data",IF(E149&lt;IF(Aturan!$C$56="",0,Aturan!$C$56),"Kurang",IF(E149&gt;=IF(Aturan!$D$56="",Aturan!$C$56,Aturan!$D$56),"Nyaman","Cukup")))))</f>
        <v>Nyaman</v>
      </c>
      <c r="N149" s="70" t="str">
        <f aca="false">IF($A149="","",IF(AND(Aturan!$C$57="",Aturan!$D$57=""),"Tidak dinilai",IF(F149="","Belum ada data",IF(F149&lt;IF(Aturan!$C$57="",0,Aturan!$C$57),"Kurang",IF(F149&gt;=IF(Aturan!$D$57="",Aturan!$C$57,Aturan!$D$57),"Nyaman","Cukup")))))</f>
        <v>Kurang</v>
      </c>
      <c r="O149" s="70" t="str">
        <f aca="false">IF($A149="","",IF(AND(Aturan!$C$58="",Aturan!$D$58=""),"Tidak dinilai",IF(G149="","Belum ada data",IF(G149&lt;IF(Aturan!$C$58="",0,Aturan!$C$58),"Kurang",IF(G149&gt;=IF(Aturan!$D$58="",Aturan!$C$58,Aturan!$D$58),"Nyaman","Cukup")))))</f>
        <v>Tidak dinilai</v>
      </c>
      <c r="P149" s="70" t="str">
        <f aca="false">IF($A149="","",IF(AND(Aturan!$C$59="",Aturan!$D$59=""),"Tidak dinilai",IF(H149="","Belum ada data",IF(H149&lt;IF(Aturan!$C$59="",0,Aturan!$C$59),"Kurang",IF(H149&gt;=IF(Aturan!$D$59="",Aturan!$C$59,Aturan!$D$59),"Nyaman","Cukup")))))</f>
        <v>Belum ada data</v>
      </c>
      <c r="Q149" s="70" t="str">
        <f aca="false">IF($A149="","",IF(COUNTIF(K149:P149,"Tidak dinilai")=6,"Tidak dinilai",IF(COUNTIF(K149:P149,"Kurang")&gt;0,"Kurang cocok",IF(COUNTIF(K149:P149,"Belum ada data")&gt;0,"Data belum lengkap",IF(COUNTIF(K149:P149,"Cukup")&gt;0,"Bisa, dengan catatan","Cocok")))))</f>
        <v>Kurang cocok</v>
      </c>
      <c r="R149" s="33" t="str">
        <f aca="false">IF($A149="","",IF(K149="Kurang","prosesor tingkat "&amp;C149&amp;" dari 5, di bawah batas minimal (tingkat "&amp;Aturan!$C$54&amp;")",IF(K149="Cukup","prosesor tingkat "&amp;C149&amp;" dari 5 cukup, nyamannya mulai tingkat "&amp;Aturan!$D$54,IF(K149="Belum ada data","tingkat prosesor belum diisi",""))))</f>
        <v>prosesor tingkat 2 dari 5, di bawah batas minimal (tingkat 3)</v>
      </c>
      <c r="S149" s="33" t="str">
        <f aca="false">IF($A149="","",IF(L149="Kurang","grafis tingkat "&amp;D149&amp;" dari 5, di bawah batas minimal (tingkat "&amp;Aturan!$C$55&amp;")",IF(L149="Cukup","grafis tingkat "&amp;D149&amp;" dari 5 cukup, nyamannya mulai tingkat "&amp;Aturan!$D$55,IF(L149="Belum ada data","tingkat grafis belum diisi",""))))</f>
        <v>grafis tingkat 1 dari 5, di bawah batas minimal (tingkat 3)</v>
      </c>
      <c r="T149" s="33" t="str">
        <f aca="false">IF($A149="","",IF(M149="Kurang","RAM "&amp;E149&amp;" GB, di bawah batas minimal "&amp;Aturan!$C$56&amp;" GB ("&amp;I149&amp;")",IF(M149="Cukup","RAM "&amp;E149&amp;" GB cukup, nyamannya "&amp;Aturan!$D$56&amp;" GB atau lebih ("&amp;I149&amp;")",IF(M149="Belum ada data","ukuran RAM belum diisi",""))))</f>
        <v/>
      </c>
      <c r="U149" s="33" t="str">
        <f aca="false">IF($A149="","",IF(N149="Kurang","penyimpanan "&amp;F149&amp;" GB, di bawah batas minimal "&amp;Aturan!$C$57&amp;" GB ("&amp;J149&amp;")",IF(N149="Cukup","penyimpanan "&amp;F149&amp;" GB cukup, nyamannya "&amp;Aturan!$D$57&amp;" GB atau lebih ("&amp;J149&amp;")",IF(N149="Belum ada data","ukuran penyimpanan belum diisi",""))))</f>
        <v>penyimpanan 256 GB, di bawah batas minimal 512 GB (bisa diganti dengan yang lebih besar)</v>
      </c>
      <c r="V149" s="33" t="str">
        <f aca="false">IF($A149="","",IF(O149="Kurang","layar "&amp;Varian!$AG33&amp;", di bawah batas minimal ("&amp;IFERROR(INDEX(Aturan!$A$63:$A$66,MATCH(Aturan!$C$58,Aturan!$B$63:$B$66,0)),"peringkat "&amp;Aturan!$C$58)&amp;")",IF(O149="Cukup","layar "&amp;Varian!$AG33&amp;" cukup, nyamannya "&amp;IFERROR(INDEX(Aturan!$A$63:$A$66,MATCH(Aturan!$D$58,Aturan!$B$63:$B$66,0)),"peringkat "&amp;Aturan!$D$58),IF(O149="Belum ada data","jenis layar belum diketahui",""))))</f>
        <v/>
      </c>
      <c r="W149" s="33" t="str">
        <f aca="false">IF($A149="","",IF(P149="Kurang","layar "&amp;H149&amp;" Hz, di bawah batas minimal "&amp;Aturan!$C$59&amp;" Hz",IF(P149="Cukup","layar "&amp;H149&amp;" Hz cukup, nyamannya "&amp;Aturan!$D$59&amp;" Hz atau lebih",IF(P149="Belum ada data","refresh rate belum diketahui",""))))</f>
        <v>refresh rate belum diketahui</v>
      </c>
      <c r="X149" s="33" t="str">
        <f aca="false">IF($A149="","",IF(K149="Kurang",R149&amp;"; ","")&amp;IF(L149="Kurang",S149&amp;"; ","")&amp;IF(M149="Kurang",T149&amp;"; ","")&amp;IF(N149="Kurang",U149&amp;"; ","")&amp;IF(O149="Kurang",V149&amp;"; ","")&amp;IF(P149="Kurang",W149&amp;"; ","")&amp;IF(K149="Belum ada data",R149&amp;"; ","")&amp;IF(L149="Belum ada data",S149&amp;"; ","")&amp;IF(M149="Belum ada data",T149&amp;"; ","")&amp;IF(N149="Belum ada data",U149&amp;"; ","")&amp;IF(O149="Belum ada data",V149&amp;"; ","")&amp;IF(P149="Belum ada data",W149&amp;"; ","")&amp;IF(K149="Cukup",R149&amp;"; ","")&amp;IF(L149="Cukup",S149&amp;"; ","")&amp;IF(M149="Cukup",T149&amp;"; ","")&amp;IF(N149="Cukup",U149&amp;"; ","")&amp;IF(O149="Cukup",V149&amp;"; ","")&amp;IF(P149="Cukup",W149&amp;"; ",""))</f>
        <v>prosesor tingkat 2 dari 5, di bawah batas minimal (tingkat 3); grafis tingkat 1 dari 5, di bawah batas minimal (tingkat 3); penyimpanan 256 GB, di bawah batas minimal 512 GB (bisa diganti dengan yang lebih besar); refresh rate belum diketahui; </v>
      </c>
      <c r="Y149" s="33" t="str">
        <f aca="false">IF($A149="","",IF(K149="Nyaman","prosesor, ","")&amp;IF(L149="Nyaman","grafis, ","")&amp;IF(M149="Nyaman","RAM, ","")&amp;IF(N149="Nyaman","penyimpanan, ","")&amp;IF(O149="Nyaman","layar, ","")&amp;IF(P149="Nyaman","refresh rate, ",""))</f>
        <v>RAM, </v>
      </c>
      <c r="Z149" s="33" t="str">
        <f aca="false">IF($A149="","",IF(Q149="Tidak dinilai","Belum ada kriteria yang dinilai untuk kebutuhan ini.",IF(Q149="Cocok","Semua kriteria yang dinilai sudah nyaman: "&amp;LEFT(Y149,LEN(Y149)-2)&amp;".",UPPER(LEFT(X149,1))&amp;MID(X149,2,LEN(X149)-3)&amp;"."&amp;IF(Y149="",""," Sudah nyaman: "&amp;LEFT(Y149,LEN(Y149)-2)&amp;"."))))</f>
        <v>Prosesor tingkat 2 dari 5, di bawah batas minimal (tingkat 3); grafis tingkat 1 dari 5, di bawah batas minimal (tingkat 3); penyimpanan 256 GB, di bawah batas minimal 512 GB (bisa diganti dengan yang lebih besar); refresh rate belum diketahui. Sudah nyaman: RAM.</v>
      </c>
      <c r="AA149" s="33"/>
      <c r="AB149" s="33"/>
      <c r="AC149" s="69"/>
    </row>
    <row r="150" customFormat="false" ht="15" hidden="false" customHeight="true" outlineLevel="0" collapsed="false">
      <c r="A150" s="66" t="str">
        <f aca="false">IF(Varian!$A34="","",Varian!$A34)</f>
        <v>lenovo-thinkpad-t14-gen-1-i5-10310u-16-512</v>
      </c>
      <c r="B150" s="66" t="str">
        <f aca="false">IF($A150="","",Aturan!$A$21)</f>
        <v>Kuliah dan kantor</v>
      </c>
      <c r="C150" s="67" t="n">
        <f aca="false">IF($A150="","",IFERROR(IF(ISNUMBER(INDEX(CPU!$J$4:$J$64,MATCH(Varian!$J34,CPU!$A$4:$A$64,0))),INDEX(CPU!$J$4:$J$64,MATCH(Varian!$J34,CPU!$A$4:$A$64,0)),""),""))</f>
        <v>2</v>
      </c>
      <c r="D150" s="67" t="n">
        <f aca="false">IF($A150="","",IFERROR(IF(ISNUMBER(INDEX(GPU!$G$4:$G$64,MATCH(Varian!$K34,GPU!$A$4:$A$64,0))),INDEX(GPU!$G$4:$G$64,MATCH(Varian!$K34,GPU!$A$4:$A$64,0)),""),""))</f>
        <v>1</v>
      </c>
      <c r="E150" s="67" t="n">
        <f aca="false">IF($A150="","",IF(ISNUMBER(Varian!$M34),Varian!$M34,""))</f>
        <v>16</v>
      </c>
      <c r="F150" s="67" t="n">
        <f aca="false">IF($A150="","",IF(ISNUMBER(Varian!$V34),Varian!$V34,""))</f>
        <v>512</v>
      </c>
      <c r="G150" s="67" t="str">
        <f aca="false">IF($A150="","",IFERROR(INDEX(Aturan!$B$63:$B$66,MATCH(Varian!$AG34,Aturan!$A$63:$A$66,0)),""))</f>
        <v/>
      </c>
      <c r="H150" s="67" t="str">
        <f aca="false">IF($A150="","",IF(ISNUMBER(Varian!$AI34),Varian!$AI34,""))</f>
        <v/>
      </c>
      <c r="I150" s="66" t="str">
        <f aca="false">IF($A150="","",IF(Varian!$Q34="disolder","menempel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0" s="66" t="str">
        <f aca="false">IF($A150="","",IF(Varian!$Z34="ya","bisa diganti dengan yang lebih besar",IF(Varian!$Z34="tidak","menempel, tidak bisa diganti","belum diketahui apakah bisa diganti")))</f>
        <v>bisa diganti dengan yang lebih besar</v>
      </c>
      <c r="K150" s="68" t="str">
        <f aca="false">IF($A150="","",IF(AND(Aturan!$C$30="",Aturan!$D$30=""),"Tidak dinilai",IF(C150="","Belum ada data",IF(C150&lt;IF(Aturan!$C$30="",0,Aturan!$C$30),"Kurang",IF(C150&gt;=IF(Aturan!$D$30="",Aturan!$C$30,Aturan!$D$30),"Nyaman","Cukup")))))</f>
        <v>Nyaman</v>
      </c>
      <c r="L150" s="68" t="str">
        <f aca="false">IF($A150="","",IF(AND(Aturan!$C$31="",Aturan!$D$31=""),"Tidak dinilai",IF(D150="","Belum ada data",IF(D150&lt;IF(Aturan!$C$31="",0,Aturan!$C$31),"Kurang",IF(D150&gt;=IF(Aturan!$D$31="",Aturan!$C$31,Aturan!$D$31),"Nyaman","Cukup")))))</f>
        <v>Tidak dinilai</v>
      </c>
      <c r="M150" s="68" t="str">
        <f aca="false">IF($A150="","",IF(AND(Aturan!$C$32="",Aturan!$D$32=""),"Tidak dinilai",IF(E150="","Belum ada data",IF(E150&lt;IF(Aturan!$C$32="",0,Aturan!$C$32),"Kurang",IF(E150&gt;=IF(Aturan!$D$32="",Aturan!$C$32,Aturan!$D$32),"Nyaman","Cukup")))))</f>
        <v>Nyaman</v>
      </c>
      <c r="N150" s="68" t="str">
        <f aca="false">IF($A150="","",IF(AND(Aturan!$C$33="",Aturan!$D$33=""),"Tidak dinilai",IF(F150="","Belum ada data",IF(F150&lt;IF(Aturan!$C$33="",0,Aturan!$C$33),"Kurang",IF(F150&gt;=IF(Aturan!$D$33="",Aturan!$C$33,Aturan!$D$33),"Nyaman","Cukup")))))</f>
        <v>Nyaman</v>
      </c>
      <c r="O150" s="68" t="str">
        <f aca="false">IF($A150="","",IF(AND(Aturan!$C$34="",Aturan!$D$34=""),"Tidak dinilai",IF(G150="","Belum ada data",IF(G150&lt;IF(Aturan!$C$34="",0,Aturan!$C$34),"Kurang",IF(G150&gt;=IF(Aturan!$D$34="",Aturan!$C$34,Aturan!$D$34),"Nyaman","Cukup")))))</f>
        <v>Tidak dinilai</v>
      </c>
      <c r="P150" s="68" t="str">
        <f aca="false">IF($A150="","",IF(AND(Aturan!$C$35="",Aturan!$D$35=""),"Tidak dinilai",IF(H150="","Belum ada data",IF(H150&lt;IF(Aturan!$C$35="",0,Aturan!$C$35),"Kurang",IF(H150&gt;=IF(Aturan!$D$35="",Aturan!$C$35,Aturan!$D$35),"Nyaman","Cukup")))))</f>
        <v>Tidak dinilai</v>
      </c>
      <c r="Q150" s="68" t="str">
        <f aca="false">IF($A150="","",IF(COUNTIF(K150:P150,"Tidak dinilai")=6,"Tidak dinilai",IF(COUNTIF(K150:P150,"Kurang")&gt;0,"Kurang cocok",IF(COUNTIF(K150:P150,"Belum ada data")&gt;0,"Data belum lengkap",IF(COUNTIF(K150:P150,"Cukup")&gt;0,"Bisa, dengan catatan","Cocok")))))</f>
        <v>Cocok</v>
      </c>
      <c r="R150" s="66" t="str">
        <f aca="false">IF($A150="","",IF(K150="Kurang","prosesor tingkat "&amp;C150&amp;" dari 5, di bawah batas minimal (tingkat "&amp;Aturan!$C$30&amp;")",IF(K150="Cukup","prosesor tingkat "&amp;C150&amp;" dari 5 cukup, nyamannya mulai tingkat "&amp;Aturan!$D$30,IF(K150="Belum ada data","tingkat prosesor belum diisi",""))))</f>
        <v/>
      </c>
      <c r="S150" s="66" t="str">
        <f aca="false">IF($A150="","",IF(L150="Kurang","grafis tingkat "&amp;D150&amp;" dari 5, di bawah batas minimal (tingkat "&amp;Aturan!$C$31&amp;")",IF(L150="Cukup","grafis tingkat "&amp;D150&amp;" dari 5 cukup, nyamannya mulai tingkat "&amp;Aturan!$D$31,IF(L150="Belum ada data","tingkat grafis belum diisi",""))))</f>
        <v/>
      </c>
      <c r="T150" s="66" t="str">
        <f aca="false">IF($A150="","",IF(M150="Kurang","RAM "&amp;E150&amp;" GB, di bawah batas minimal "&amp;Aturan!$C$32&amp;" GB ("&amp;I150&amp;")",IF(M150="Cukup","RAM "&amp;E150&amp;" GB cukup, nyamannya "&amp;Aturan!$D$32&amp;" GB atau lebih ("&amp;I150&amp;")",IF(M150="Belum ada data","ukuran RAM belum diisi",""))))</f>
        <v/>
      </c>
      <c r="U150" s="66" t="str">
        <f aca="false">IF($A150="","",IF(N150="Kurang","penyimpanan "&amp;F150&amp;" GB, di bawah batas minimal "&amp;Aturan!$C$33&amp;" GB ("&amp;J150&amp;")",IF(N150="Cukup","penyimpanan "&amp;F150&amp;" GB cukup, nyamannya "&amp;Aturan!$D$33&amp;" GB atau lebih ("&amp;J150&amp;")",IF(N150="Belum ada data","ukuran penyimpanan belum diisi",""))))</f>
        <v/>
      </c>
      <c r="V150" s="66" t="str">
        <f aca="false">IF($A150="","",IF(O150="Kurang","layar "&amp;Varian!$AG34&amp;", di bawah batas minimal ("&amp;IFERROR(INDEX(Aturan!$A$63:$A$66,MATCH(Aturan!$C$34,Aturan!$B$63:$B$66,0)),"peringkat "&amp;Aturan!$C$34)&amp;")",IF(O150="Cukup","layar "&amp;Varian!$AG34&amp;" cukup, nyamannya "&amp;IFERROR(INDEX(Aturan!$A$63:$A$66,MATCH(Aturan!$D$34,Aturan!$B$63:$B$66,0)),"peringkat "&amp;Aturan!$D$34),IF(O150="Belum ada data","jenis layar belum diketahui",""))))</f>
        <v/>
      </c>
      <c r="W150" s="66" t="str">
        <f aca="false">IF($A150="","",IF(P150="Kurang","layar "&amp;H150&amp;" Hz, di bawah batas minimal "&amp;Aturan!$C$35&amp;" Hz",IF(P150="Cukup","layar "&amp;H150&amp;" Hz cukup, nyamannya "&amp;Aturan!$D$35&amp;" Hz atau lebih",IF(P150="Belum ada data","refresh rate belum diketahui",""))))</f>
        <v/>
      </c>
      <c r="X150" s="66" t="str">
        <f aca="false">IF($A150="","",IF(K150="Kurang",R150&amp;"; ","")&amp;IF(L150="Kurang",S150&amp;"; ","")&amp;IF(M150="Kurang",T150&amp;"; ","")&amp;IF(N150="Kurang",U150&amp;"; ","")&amp;IF(O150="Kurang",V150&amp;"; ","")&amp;IF(P150="Kurang",W150&amp;"; ","")&amp;IF(K150="Belum ada data",R150&amp;"; ","")&amp;IF(L150="Belum ada data",S150&amp;"; ","")&amp;IF(M150="Belum ada data",T150&amp;"; ","")&amp;IF(N150="Belum ada data",U150&amp;"; ","")&amp;IF(O150="Belum ada data",V150&amp;"; ","")&amp;IF(P150="Belum ada data",W150&amp;"; ","")&amp;IF(K150="Cukup",R150&amp;"; ","")&amp;IF(L150="Cukup",S150&amp;"; ","")&amp;IF(M150="Cukup",T150&amp;"; ","")&amp;IF(N150="Cukup",U150&amp;"; ","")&amp;IF(O150="Cukup",V150&amp;"; ","")&amp;IF(P150="Cukup",W150&amp;"; ",""))</f>
        <v/>
      </c>
      <c r="Y150" s="66" t="str">
        <f aca="false">IF($A150="","",IF(K150="Nyaman","prosesor, ","")&amp;IF(L150="Nyaman","grafis, ","")&amp;IF(M150="Nyaman","RAM, ","")&amp;IF(N150="Nyaman","penyimpanan, ","")&amp;IF(O150="Nyaman","layar, ","")&amp;IF(P150="Nyaman","refresh rate, ",""))</f>
        <v>prosesor, RAM, penyimpanan, </v>
      </c>
      <c r="Z150" s="66" t="str">
        <f aca="false">IF($A150="","",IF(Q150="Tidak dinilai","Belum ada kriteria yang dinilai untuk kebutuhan ini.",IF(Q150="Cocok","Semua kriteria yang dinilai sudah nyaman: "&amp;LEFT(Y150,LEN(Y150)-2)&amp;".",UPPER(LEFT(X150,1))&amp;MID(X150,2,LEN(X150)-3)&amp;"."&amp;IF(Y150="",""," Sudah nyaman: "&amp;LEFT(Y150,LEN(Y150)-2)&amp;"."))))</f>
        <v>Semua kriteria yang dinilai sudah nyaman: prosesor, RAM, penyimpanan.</v>
      </c>
      <c r="AA150" s="66" t="str">
        <f aca="false">IF($A150="","",IF(Varian!$AR34="Windows 10","• "&amp;Aturan!$E$71&amp;CHAR(10),"")&amp;IF(Varian!$BB34="tidak","• "&amp;Aturan!$E$72&amp;CHAR(10),"")&amp;IF(OR(Varian!$AD34="belum terverifikasi",Varian!$AD34="tidak diketahui"),"• "&amp;Aturan!$E$73&amp;CHAR(10),"")&amp;IF(Varian!$AH34="1366x768","• "&amp;Aturan!$E$74&amp;CHAR(10),"")&amp;IF(Varian!$AG34="TN","• "&amp;Aturan!$E$75&amp;CHAR(10),"")&amp;IF(AND(Varian!$Q34="disolder",ISNUMBER(Varian!$M34),Varian!$M34&lt;=8),"• "&amp;Aturan!$E$76&amp;CHAR(10),""))</f>
        <v/>
      </c>
      <c r="AB150" s="66" t="str">
        <f aca="false">IF($A150="","",IF(AA150="","",LEFT(AA150,LEN(AA150)-1)))</f>
        <v/>
      </c>
      <c r="AC150" s="67" t="n">
        <f aca="false">IF($A150="","",IF(AA150="",0,LEN(AA150)-LEN(SUBSTITUTE(AA150,CHAR(10),""))))</f>
        <v>0</v>
      </c>
    </row>
    <row r="151" customFormat="false" ht="15" hidden="false" customHeight="true" outlineLevel="0" collapsed="false">
      <c r="A151" s="33" t="str">
        <f aca="false">IF(Varian!$A34="","",Varian!$A34)</f>
        <v>lenovo-thinkpad-t14-gen-1-i5-10310u-16-512</v>
      </c>
      <c r="B151" s="33" t="str">
        <f aca="false">IF($A151="","",Aturan!$A$22)</f>
        <v>Desain grafis</v>
      </c>
      <c r="C151" s="69" t="n">
        <f aca="false">IF($A151="","",IFERROR(IF(ISNUMBER(INDEX(CPU!$J$4:$J$64,MATCH(Varian!$J34,CPU!$A$4:$A$64,0))),INDEX(CPU!$J$4:$J$64,MATCH(Varian!$J34,CPU!$A$4:$A$64,0)),""),""))</f>
        <v>2</v>
      </c>
      <c r="D151" s="69" t="n">
        <f aca="false">IF($A151="","",IFERROR(IF(ISNUMBER(INDEX(GPU!$G$4:$G$64,MATCH(Varian!$K34,GPU!$A$4:$A$64,0))),INDEX(GPU!$G$4:$G$64,MATCH(Varian!$K34,GPU!$A$4:$A$64,0)),""),""))</f>
        <v>1</v>
      </c>
      <c r="E151" s="69" t="n">
        <f aca="false">IF($A151="","",IF(ISNUMBER(Varian!$M34),Varian!$M34,""))</f>
        <v>16</v>
      </c>
      <c r="F151" s="69" t="n">
        <f aca="false">IF($A151="","",IF(ISNUMBER(Varian!$V34),Varian!$V34,""))</f>
        <v>512</v>
      </c>
      <c r="G151" s="69" t="str">
        <f aca="false">IF($A151="","",IFERROR(INDEX(Aturan!$B$63:$B$66,MATCH(Varian!$AG34,Aturan!$A$63:$A$66,0)),""))</f>
        <v/>
      </c>
      <c r="H151" s="69" t="str">
        <f aca="false">IF($A151="","",IF(ISNUMBER(Varian!$AI34),Varian!$AI34,""))</f>
        <v/>
      </c>
      <c r="I151" s="33" t="str">
        <f aca="false">IF($A151="","",IF(Varian!$Q34="disolder","menempel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1" s="33" t="str">
        <f aca="false">IF($A151="","",IF(Varian!$Z34="ya","bisa diganti dengan yang lebih besar",IF(Varian!$Z34="tidak","menempel, tidak bisa diganti","belum diketahui apakah bisa diganti")))</f>
        <v>bisa diganti dengan yang lebih besar</v>
      </c>
      <c r="K151" s="70" t="str">
        <f aca="false">IF($A151="","",IF(AND(Aturan!$C$36="",Aturan!$D$36=""),"Tidak dinilai",IF(C151="","Belum ada data",IF(C151&lt;IF(Aturan!$C$36="",0,Aturan!$C$36),"Kurang",IF(C151&gt;=IF(Aturan!$D$36="",Aturan!$C$36,Aturan!$D$36),"Nyaman","Cukup")))))</f>
        <v>Cukup</v>
      </c>
      <c r="L151" s="70" t="str">
        <f aca="false">IF($A151="","",IF(AND(Aturan!$C$37="",Aturan!$D$37=""),"Tidak dinilai",IF(D151="","Belum ada data",IF(D151&lt;IF(Aturan!$C$37="",0,Aturan!$C$37),"Kurang",IF(D151&gt;=IF(Aturan!$D$37="",Aturan!$C$37,Aturan!$D$37),"Nyaman","Cukup")))))</f>
        <v>Cukup</v>
      </c>
      <c r="M151" s="70" t="str">
        <f aca="false">IF($A151="","",IF(AND(Aturan!$C$38="",Aturan!$D$38=""),"Tidak dinilai",IF(E151="","Belum ada data",IF(E151&lt;IF(Aturan!$C$38="",0,Aturan!$C$38),"Kurang",IF(E151&gt;=IF(Aturan!$D$38="",Aturan!$C$38,Aturan!$D$38),"Nyaman","Cukup")))))</f>
        <v>Nyaman</v>
      </c>
      <c r="N151" s="70" t="str">
        <f aca="false">IF($A151="","",IF(AND(Aturan!$C$39="",Aturan!$D$39=""),"Tidak dinilai",IF(F151="","Belum ada data",IF(F151&lt;IF(Aturan!$C$39="",0,Aturan!$C$39),"Kurang",IF(F151&gt;=IF(Aturan!$D$39="",Aturan!$C$39,Aturan!$D$39),"Nyaman","Cukup")))))</f>
        <v>Nyaman</v>
      </c>
      <c r="O151" s="70" t="str">
        <f aca="false">IF($A151="","",IF(AND(Aturan!$C$40="",Aturan!$D$40=""),"Tidak dinilai",IF(G151="","Belum ada data",IF(G151&lt;IF(Aturan!$C$40="",0,Aturan!$C$40),"Kurang",IF(G151&gt;=IF(Aturan!$D$40="",Aturan!$C$40,Aturan!$D$40),"Nyaman","Cukup")))))</f>
        <v>Belum ada data</v>
      </c>
      <c r="P151" s="70" t="str">
        <f aca="false">IF($A151="","",IF(AND(Aturan!$C$41="",Aturan!$D$41=""),"Tidak dinilai",IF(H151="","Belum ada data",IF(H151&lt;IF(Aturan!$C$41="",0,Aturan!$C$41),"Kurang",IF(H151&gt;=IF(Aturan!$D$41="",Aturan!$C$41,Aturan!$D$41),"Nyaman","Cukup")))))</f>
        <v>Tidak dinilai</v>
      </c>
      <c r="Q151" s="70" t="str">
        <f aca="false">IF($A151="","",IF(COUNTIF(K151:P151,"Tidak dinilai")=6,"Tidak dinilai",IF(COUNTIF(K151:P151,"Kurang")&gt;0,"Kurang cocok",IF(COUNTIF(K151:P151,"Belum ada data")&gt;0,"Data belum lengkap",IF(COUNTIF(K151:P151,"Cukup")&gt;0,"Bisa, dengan catatan","Cocok")))))</f>
        <v>Data belum lengkap</v>
      </c>
      <c r="R151" s="33" t="str">
        <f aca="false">IF($A151="","",IF(K151="Kurang","prosesor tingkat "&amp;C151&amp;" dari 5, di bawah batas minimal (tingkat "&amp;Aturan!$C$36&amp;")",IF(K151="Cukup","prosesor tingkat "&amp;C151&amp;" dari 5 cukup, nyamannya mulai tingkat "&amp;Aturan!$D$36,IF(K151="Belum ada data","tingkat prosesor belum diisi",""))))</f>
        <v>prosesor tingkat 2 dari 5 cukup, nyamannya mulai tingkat 3</v>
      </c>
      <c r="S151" s="33" t="str">
        <f aca="false">IF($A151="","",IF(L151="Kurang","grafis tingkat "&amp;D151&amp;" dari 5, di bawah batas minimal (tingkat "&amp;Aturan!$C$37&amp;")",IF(L151="Cukup","grafis tingkat "&amp;D151&amp;" dari 5 cukup, nyamannya mulai tingkat "&amp;Aturan!$D$37,IF(L151="Belum ada data","tingkat grafis belum diisi",""))))</f>
        <v>grafis tingkat 1 dari 5 cukup, nyamannya mulai tingkat 2</v>
      </c>
      <c r="T151" s="33" t="str">
        <f aca="false">IF($A151="","",IF(M151="Kurang","RAM "&amp;E151&amp;" GB, di bawah batas minimal "&amp;Aturan!$C$38&amp;" GB ("&amp;I151&amp;")",IF(M151="Cukup","RAM "&amp;E151&amp;" GB cukup, nyamannya "&amp;Aturan!$D$38&amp;" GB atau lebih ("&amp;I151&amp;")",IF(M151="Belum ada data","ukuran RAM belum diisi",""))))</f>
        <v/>
      </c>
      <c r="U151" s="33" t="str">
        <f aca="false">IF($A151="","",IF(N151="Kurang","penyimpanan "&amp;F151&amp;" GB, di bawah batas minimal "&amp;Aturan!$C$39&amp;" GB ("&amp;J151&amp;")",IF(N151="Cukup","penyimpanan "&amp;F151&amp;" GB cukup, nyamannya "&amp;Aturan!$D$39&amp;" GB atau lebih ("&amp;J151&amp;")",IF(N151="Belum ada data","ukuran penyimpanan belum diisi",""))))</f>
        <v/>
      </c>
      <c r="V151" s="33" t="str">
        <f aca="false">IF($A151="","",IF(O151="Kurang","layar "&amp;Varian!$AG34&amp;", di bawah batas minimal ("&amp;IFERROR(INDEX(Aturan!$A$63:$A$66,MATCH(Aturan!$C$40,Aturan!$B$63:$B$66,0)),"peringkat "&amp;Aturan!$C$40)&amp;")",IF(O151="Cukup","layar "&amp;Varian!$AG34&amp;" cukup, nyamannya "&amp;IFERROR(INDEX(Aturan!$A$63:$A$66,MATCH(Aturan!$D$40,Aturan!$B$63:$B$66,0)),"peringkat "&amp;Aturan!$D$40),IF(O151="Belum ada data","jenis layar belum diketahui",""))))</f>
        <v>jenis layar belum diketahui</v>
      </c>
      <c r="W151" s="33" t="str">
        <f aca="false">IF($A151="","",IF(P151="Kurang","layar "&amp;H151&amp;" Hz, di bawah batas minimal "&amp;Aturan!$C$41&amp;" Hz",IF(P151="Cukup","layar "&amp;H151&amp;" Hz cukup, nyamannya "&amp;Aturan!$D$41&amp;" Hz atau lebih",IF(P151="Belum ada data","refresh rate belum diketahui",""))))</f>
        <v/>
      </c>
      <c r="X151" s="33" t="str">
        <f aca="false">IF($A151="","",IF(K151="Kurang",R151&amp;"; ","")&amp;IF(L151="Kurang",S151&amp;"; ","")&amp;IF(M151="Kurang",T151&amp;"; ","")&amp;IF(N151="Kurang",U151&amp;"; ","")&amp;IF(O151="Kurang",V151&amp;"; ","")&amp;IF(P151="Kurang",W151&amp;"; ","")&amp;IF(K151="Belum ada data",R151&amp;"; ","")&amp;IF(L151="Belum ada data",S151&amp;"; ","")&amp;IF(M151="Belum ada data",T151&amp;"; ","")&amp;IF(N151="Belum ada data",U151&amp;"; ","")&amp;IF(O151="Belum ada data",V151&amp;"; ","")&amp;IF(P151="Belum ada data",W151&amp;"; ","")&amp;IF(K151="Cukup",R151&amp;"; ","")&amp;IF(L151="Cukup",S151&amp;"; ","")&amp;IF(M151="Cukup",T151&amp;"; ","")&amp;IF(N151="Cukup",U151&amp;"; ","")&amp;IF(O151="Cukup",V151&amp;"; ","")&amp;IF(P151="Cukup",W151&amp;"; ",""))</f>
        <v>jenis layar belum diketahui; prosesor tingkat 2 dari 5 cukup, nyamannya mulai tingkat 3; grafis tingkat 1 dari 5 cukup, nyamannya mulai tingkat 2; </v>
      </c>
      <c r="Y151" s="33" t="str">
        <f aca="false">IF($A151="","",IF(K151="Nyaman","prosesor, ","")&amp;IF(L151="Nyaman","grafis, ","")&amp;IF(M151="Nyaman","RAM, ","")&amp;IF(N151="Nyaman","penyimpanan, ","")&amp;IF(O151="Nyaman","layar, ","")&amp;IF(P151="Nyaman","refresh rate, ",""))</f>
        <v>RAM, penyimpanan, </v>
      </c>
      <c r="Z151" s="33" t="str">
        <f aca="false">IF($A151="","",IF(Q151="Tidak dinilai","Belum ada kriteria yang dinilai untuk kebutuhan ini.",IF(Q151="Cocok","Semua kriteria yang dinilai sudah nyaman: "&amp;LEFT(Y151,LEN(Y151)-2)&amp;".",UPPER(LEFT(X151,1))&amp;MID(X151,2,LEN(X151)-3)&amp;"."&amp;IF(Y151="",""," Sudah nyaman: "&amp;LEFT(Y151,LEN(Y151)-2)&amp;"."))))</f>
        <v>Jenis layar belum diketahui; prosesor tingkat 2 dari 5 cukup, nyamannya mulai tingkat 3; grafis tingkat 1 dari 5 cukup, nyamannya mulai tingkat 2. Sudah nyaman: RAM, penyimpanan.</v>
      </c>
      <c r="AA151" s="33"/>
      <c r="AB151" s="33"/>
      <c r="AC151" s="69"/>
    </row>
    <row r="152" customFormat="false" ht="15" hidden="false" customHeight="true" outlineLevel="0" collapsed="false">
      <c r="A152" s="33" t="str">
        <f aca="false">IF(Varian!$A34="","",Varian!$A34)</f>
        <v>lenovo-thinkpad-t14-gen-1-i5-10310u-16-512</v>
      </c>
      <c r="B152" s="33" t="str">
        <f aca="false">IF($A152="","",Aturan!$A$23)</f>
        <v>Pemrograman</v>
      </c>
      <c r="C152" s="69" t="n">
        <f aca="false">IF($A152="","",IFERROR(IF(ISNUMBER(INDEX(CPU!$J$4:$J$64,MATCH(Varian!$J34,CPU!$A$4:$A$64,0))),INDEX(CPU!$J$4:$J$64,MATCH(Varian!$J34,CPU!$A$4:$A$64,0)),""),""))</f>
        <v>2</v>
      </c>
      <c r="D152" s="69" t="n">
        <f aca="false">IF($A152="","",IFERROR(IF(ISNUMBER(INDEX(GPU!$G$4:$G$64,MATCH(Varian!$K34,GPU!$A$4:$A$64,0))),INDEX(GPU!$G$4:$G$64,MATCH(Varian!$K34,GPU!$A$4:$A$64,0)),""),""))</f>
        <v>1</v>
      </c>
      <c r="E152" s="69" t="n">
        <f aca="false">IF($A152="","",IF(ISNUMBER(Varian!$M34),Varian!$M34,""))</f>
        <v>16</v>
      </c>
      <c r="F152" s="69" t="n">
        <f aca="false">IF($A152="","",IF(ISNUMBER(Varian!$V34),Varian!$V34,""))</f>
        <v>512</v>
      </c>
      <c r="G152" s="69" t="str">
        <f aca="false">IF($A152="","",IFERROR(INDEX(Aturan!$B$63:$B$66,MATCH(Varian!$AG34,Aturan!$A$63:$A$66,0)),""))</f>
        <v/>
      </c>
      <c r="H152" s="69" t="str">
        <f aca="false">IF($A152="","",IF(ISNUMBER(Varian!$AI34),Varian!$AI34,""))</f>
        <v/>
      </c>
      <c r="I152" s="33" t="str">
        <f aca="false">IF($A152="","",IF(Varian!$Q34="disolder","menempel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2" s="33" t="str">
        <f aca="false">IF($A152="","",IF(Varian!$Z34="ya","bisa diganti dengan yang lebih besar",IF(Varian!$Z34="tidak","menempel, tidak bisa diganti","belum diketahui apakah bisa diganti")))</f>
        <v>bisa diganti dengan yang lebih besar</v>
      </c>
      <c r="K152" s="70" t="str">
        <f aca="false">IF($A152="","",IF(AND(Aturan!$C$42="",Aturan!$D$42=""),"Tidak dinilai",IF(C152="","Belum ada data",IF(C152&lt;IF(Aturan!$C$42="",0,Aturan!$C$42),"Kurang",IF(C152&gt;=IF(Aturan!$D$42="",Aturan!$C$42,Aturan!$D$42),"Nyaman","Cukup")))))</f>
        <v>Cukup</v>
      </c>
      <c r="L152" s="70" t="str">
        <f aca="false">IF($A152="","",IF(AND(Aturan!$C$43="",Aturan!$D$43=""),"Tidak dinilai",IF(D152="","Belum ada data",IF(D152&lt;IF(Aturan!$C$43="",0,Aturan!$C$43),"Kurang",IF(D152&gt;=IF(Aturan!$D$43="",Aturan!$C$43,Aturan!$D$43),"Nyaman","Cukup")))))</f>
        <v>Tidak dinilai</v>
      </c>
      <c r="M152" s="70" t="str">
        <f aca="false">IF($A152="","",IF(AND(Aturan!$C$44="",Aturan!$D$44=""),"Tidak dinilai",IF(E152="","Belum ada data",IF(E152&lt;IF(Aturan!$C$44="",0,Aturan!$C$44),"Kurang",IF(E152&gt;=IF(Aturan!$D$44="",Aturan!$C$44,Aturan!$D$44),"Nyaman","Cukup")))))</f>
        <v>Nyaman</v>
      </c>
      <c r="N152" s="70" t="str">
        <f aca="false">IF($A152="","",IF(AND(Aturan!$C$45="",Aturan!$D$45=""),"Tidak dinilai",IF(F152="","Belum ada data",IF(F152&lt;IF(Aturan!$C$45="",0,Aturan!$C$45),"Kurang",IF(F152&gt;=IF(Aturan!$D$45="",Aturan!$C$45,Aturan!$D$45),"Nyaman","Cukup")))))</f>
        <v>Nyaman</v>
      </c>
      <c r="O152" s="70" t="str">
        <f aca="false">IF($A152="","",IF(AND(Aturan!$C$46="",Aturan!$D$46=""),"Tidak dinilai",IF(G152="","Belum ada data",IF(G152&lt;IF(Aturan!$C$46="",0,Aturan!$C$46),"Kurang",IF(G152&gt;=IF(Aturan!$D$46="",Aturan!$C$46,Aturan!$D$46),"Nyaman","Cukup")))))</f>
        <v>Tidak dinilai</v>
      </c>
      <c r="P152" s="70" t="str">
        <f aca="false">IF($A152="","",IF(AND(Aturan!$C$47="",Aturan!$D$47=""),"Tidak dinilai",IF(H152="","Belum ada data",IF(H152&lt;IF(Aturan!$C$47="",0,Aturan!$C$47),"Kurang",IF(H152&gt;=IF(Aturan!$D$47="",Aturan!$C$47,Aturan!$D$47),"Nyaman","Cukup")))))</f>
        <v>Tidak dinilai</v>
      </c>
      <c r="Q152" s="70" t="str">
        <f aca="false">IF($A152="","",IF(COUNTIF(K152:P152,"Tidak dinilai")=6,"Tidak dinilai",IF(COUNTIF(K152:P152,"Kurang")&gt;0,"Kurang cocok",IF(COUNTIF(K152:P152,"Belum ada data")&gt;0,"Data belum lengkap",IF(COUNTIF(K152:P152,"Cukup")&gt;0,"Bisa, dengan catatan","Cocok")))))</f>
        <v>Bisa, dengan catatan</v>
      </c>
      <c r="R152" s="33" t="str">
        <f aca="false">IF($A152="","",IF(K152="Kurang","prosesor tingkat "&amp;C152&amp;" dari 5, di bawah batas minimal (tingkat "&amp;Aturan!$C$42&amp;")",IF(K152="Cukup","prosesor tingkat "&amp;C152&amp;" dari 5 cukup, nyamannya mulai tingkat "&amp;Aturan!$D$42,IF(K152="Belum ada data","tingkat prosesor belum diisi",""))))</f>
        <v>prosesor tingkat 2 dari 5 cukup, nyamannya mulai tingkat 3</v>
      </c>
      <c r="S152" s="33" t="str">
        <f aca="false">IF($A152="","",IF(L152="Kurang","grafis tingkat "&amp;D152&amp;" dari 5, di bawah batas minimal (tingkat "&amp;Aturan!$C$43&amp;")",IF(L152="Cukup","grafis tingkat "&amp;D152&amp;" dari 5 cukup, nyamannya mulai tingkat "&amp;Aturan!$D$43,IF(L152="Belum ada data","tingkat grafis belum diisi",""))))</f>
        <v/>
      </c>
      <c r="T152" s="33" t="str">
        <f aca="false">IF($A152="","",IF(M152="Kurang","RAM "&amp;E152&amp;" GB, di bawah batas minimal "&amp;Aturan!$C$44&amp;" GB ("&amp;I152&amp;")",IF(M152="Cukup","RAM "&amp;E152&amp;" GB cukup, nyamannya "&amp;Aturan!$D$44&amp;" GB atau lebih ("&amp;I152&amp;")",IF(M152="Belum ada data","ukuran RAM belum diisi",""))))</f>
        <v/>
      </c>
      <c r="U152" s="33" t="str">
        <f aca="false">IF($A152="","",IF(N152="Kurang","penyimpanan "&amp;F152&amp;" GB, di bawah batas minimal "&amp;Aturan!$C$45&amp;" GB ("&amp;J152&amp;")",IF(N152="Cukup","penyimpanan "&amp;F152&amp;" GB cukup, nyamannya "&amp;Aturan!$D$45&amp;" GB atau lebih ("&amp;J152&amp;")",IF(N152="Belum ada data","ukuran penyimpanan belum diisi",""))))</f>
        <v/>
      </c>
      <c r="V152" s="33" t="str">
        <f aca="false">IF($A152="","",IF(O152="Kurang","layar "&amp;Varian!$AG34&amp;", di bawah batas minimal ("&amp;IFERROR(INDEX(Aturan!$A$63:$A$66,MATCH(Aturan!$C$46,Aturan!$B$63:$B$66,0)),"peringkat "&amp;Aturan!$C$46)&amp;")",IF(O152="Cukup","layar "&amp;Varian!$AG34&amp;" cukup, nyamannya "&amp;IFERROR(INDEX(Aturan!$A$63:$A$66,MATCH(Aturan!$D$46,Aturan!$B$63:$B$66,0)),"peringkat "&amp;Aturan!$D$46),IF(O152="Belum ada data","jenis layar belum diketahui",""))))</f>
        <v/>
      </c>
      <c r="W152" s="33" t="str">
        <f aca="false">IF($A152="","",IF(P152="Kurang","layar "&amp;H152&amp;" Hz, di bawah batas minimal "&amp;Aturan!$C$47&amp;" Hz",IF(P152="Cukup","layar "&amp;H152&amp;" Hz cukup, nyamannya "&amp;Aturan!$D$47&amp;" Hz atau lebih",IF(P152="Belum ada data","refresh rate belum diketahui",""))))</f>
        <v/>
      </c>
      <c r="X152" s="33" t="str">
        <f aca="false">IF($A152="","",IF(K152="Kurang",R152&amp;"; ","")&amp;IF(L152="Kurang",S152&amp;"; ","")&amp;IF(M152="Kurang",T152&amp;"; ","")&amp;IF(N152="Kurang",U152&amp;"; ","")&amp;IF(O152="Kurang",V152&amp;"; ","")&amp;IF(P152="Kurang",W152&amp;"; ","")&amp;IF(K152="Belum ada data",R152&amp;"; ","")&amp;IF(L152="Belum ada data",S152&amp;"; ","")&amp;IF(M152="Belum ada data",T152&amp;"; ","")&amp;IF(N152="Belum ada data",U152&amp;"; ","")&amp;IF(O152="Belum ada data",V152&amp;"; ","")&amp;IF(P152="Belum ada data",W152&amp;"; ","")&amp;IF(K152="Cukup",R152&amp;"; ","")&amp;IF(L152="Cukup",S152&amp;"; ","")&amp;IF(M152="Cukup",T152&amp;"; ","")&amp;IF(N152="Cukup",U152&amp;"; ","")&amp;IF(O152="Cukup",V152&amp;"; ","")&amp;IF(P152="Cukup",W152&amp;"; ",""))</f>
        <v>prosesor tingkat 2 dari 5 cukup, nyamannya mulai tingkat 3; </v>
      </c>
      <c r="Y152" s="33" t="str">
        <f aca="false">IF($A152="","",IF(K152="Nyaman","prosesor, ","")&amp;IF(L152="Nyaman","grafis, ","")&amp;IF(M152="Nyaman","RAM, ","")&amp;IF(N152="Nyaman","penyimpanan, ","")&amp;IF(O152="Nyaman","layar, ","")&amp;IF(P152="Nyaman","refresh rate, ",""))</f>
        <v>RAM, penyimpanan, </v>
      </c>
      <c r="Z152" s="33" t="str">
        <f aca="false">IF($A152="","",IF(Q152="Tidak dinilai","Belum ada kriteria yang dinilai untuk kebutuhan ini.",IF(Q152="Cocok","Semua kriteria yang dinilai sudah nyaman: "&amp;LEFT(Y152,LEN(Y152)-2)&amp;".",UPPER(LEFT(X152,1))&amp;MID(X152,2,LEN(X152)-3)&amp;"."&amp;IF(Y152="",""," Sudah nyaman: "&amp;LEFT(Y152,LEN(Y152)-2)&amp;"."))))</f>
        <v>Prosesor tingkat 2 dari 5 cukup, nyamannya mulai tingkat 3. Sudah nyaman: RAM, penyimpanan.</v>
      </c>
      <c r="AA152" s="33"/>
      <c r="AB152" s="33"/>
      <c r="AC152" s="69"/>
    </row>
    <row r="153" customFormat="false" ht="15" hidden="false" customHeight="true" outlineLevel="0" collapsed="false">
      <c r="A153" s="33" t="str">
        <f aca="false">IF(Varian!$A34="","",Varian!$A34)</f>
        <v>lenovo-thinkpad-t14-gen-1-i5-10310u-16-512</v>
      </c>
      <c r="B153" s="33" t="str">
        <f aca="false">IF($A153="","",Aturan!$A$24)</f>
        <v>Game ringan</v>
      </c>
      <c r="C153" s="69" t="n">
        <f aca="false">IF($A153="","",IFERROR(IF(ISNUMBER(INDEX(CPU!$J$4:$J$64,MATCH(Varian!$J34,CPU!$A$4:$A$64,0))),INDEX(CPU!$J$4:$J$64,MATCH(Varian!$J34,CPU!$A$4:$A$64,0)),""),""))</f>
        <v>2</v>
      </c>
      <c r="D153" s="69" t="n">
        <f aca="false">IF($A153="","",IFERROR(IF(ISNUMBER(INDEX(GPU!$G$4:$G$64,MATCH(Varian!$K34,GPU!$A$4:$A$64,0))),INDEX(GPU!$G$4:$G$64,MATCH(Varian!$K34,GPU!$A$4:$A$64,0)),""),""))</f>
        <v>1</v>
      </c>
      <c r="E153" s="69" t="n">
        <f aca="false">IF($A153="","",IF(ISNUMBER(Varian!$M34),Varian!$M34,""))</f>
        <v>16</v>
      </c>
      <c r="F153" s="69" t="n">
        <f aca="false">IF($A153="","",IF(ISNUMBER(Varian!$V34),Varian!$V34,""))</f>
        <v>512</v>
      </c>
      <c r="G153" s="69" t="str">
        <f aca="false">IF($A153="","",IFERROR(INDEX(Aturan!$B$63:$B$66,MATCH(Varian!$AG34,Aturan!$A$63:$A$66,0)),""))</f>
        <v/>
      </c>
      <c r="H153" s="69" t="str">
        <f aca="false">IF($A153="","",IF(ISNUMBER(Varian!$AI34),Varian!$AI34,""))</f>
        <v/>
      </c>
      <c r="I153" s="33" t="str">
        <f aca="false">IF($A153="","",IF(Varian!$Q34="disolder","menempel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3" s="33" t="str">
        <f aca="false">IF($A153="","",IF(Varian!$Z34="ya","bisa diganti dengan yang lebih besar",IF(Varian!$Z34="tidak","menempel, tidak bisa diganti","belum diketahui apakah bisa diganti")))</f>
        <v>bisa diganti dengan yang lebih besar</v>
      </c>
      <c r="K153" s="70" t="str">
        <f aca="false">IF($A153="","",IF(AND(Aturan!$C$48="",Aturan!$D$48=""),"Tidak dinilai",IF(C153="","Belum ada data",IF(C153&lt;IF(Aturan!$C$48="",0,Aturan!$C$48),"Kurang",IF(C153&gt;=IF(Aturan!$D$48="",Aturan!$C$48,Aturan!$D$48),"Nyaman","Cukup")))))</f>
        <v>Cukup</v>
      </c>
      <c r="L153" s="70" t="str">
        <f aca="false">IF($A153="","",IF(AND(Aturan!$C$49="",Aturan!$D$49=""),"Tidak dinilai",IF(D153="","Belum ada data",IF(D153&lt;IF(Aturan!$C$49="",0,Aturan!$C$49),"Kurang",IF(D153&gt;=IF(Aturan!$D$49="",Aturan!$C$49,Aturan!$D$49),"Nyaman","Cukup")))))</f>
        <v>Cukup</v>
      </c>
      <c r="M153" s="70" t="str">
        <f aca="false">IF($A153="","",IF(AND(Aturan!$C$50="",Aturan!$D$50=""),"Tidak dinilai",IF(E153="","Belum ada data",IF(E153&lt;IF(Aturan!$C$50="",0,Aturan!$C$50),"Kurang",IF(E153&gt;=IF(Aturan!$D$50="",Aturan!$C$50,Aturan!$D$50),"Nyaman","Cukup")))))</f>
        <v>Nyaman</v>
      </c>
      <c r="N153" s="70" t="str">
        <f aca="false">IF($A153="","",IF(AND(Aturan!$C$51="",Aturan!$D$51=""),"Tidak dinilai",IF(F153="","Belum ada data",IF(F153&lt;IF(Aturan!$C$51="",0,Aturan!$C$51),"Kurang",IF(F153&gt;=IF(Aturan!$D$51="",Aturan!$C$51,Aturan!$D$51),"Nyaman","Cukup")))))</f>
        <v>Nyaman</v>
      </c>
      <c r="O153" s="70" t="str">
        <f aca="false">IF($A153="","",IF(AND(Aturan!$C$52="",Aturan!$D$52=""),"Tidak dinilai",IF(G153="","Belum ada data",IF(G153&lt;IF(Aturan!$C$52="",0,Aturan!$C$52),"Kurang",IF(G153&gt;=IF(Aturan!$D$52="",Aturan!$C$52,Aturan!$D$52),"Nyaman","Cukup")))))</f>
        <v>Tidak dinilai</v>
      </c>
      <c r="P153" s="70" t="str">
        <f aca="false">IF($A153="","",IF(AND(Aturan!$C$53="",Aturan!$D$53=""),"Tidak dinilai",IF(H153="","Belum ada data",IF(H153&lt;IF(Aturan!$C$53="",0,Aturan!$C$53),"Kurang",IF(H153&gt;=IF(Aturan!$D$53="",Aturan!$C$53,Aturan!$D$53),"Nyaman","Cukup")))))</f>
        <v>Tidak dinilai</v>
      </c>
      <c r="Q153" s="70" t="str">
        <f aca="false">IF($A153="","",IF(COUNTIF(K153:P153,"Tidak dinilai")=6,"Tidak dinilai",IF(COUNTIF(K153:P153,"Kurang")&gt;0,"Kurang cocok",IF(COUNTIF(K153:P153,"Belum ada data")&gt;0,"Data belum lengkap",IF(COUNTIF(K153:P153,"Cukup")&gt;0,"Bisa, dengan catatan","Cocok")))))</f>
        <v>Bisa, dengan catatan</v>
      </c>
      <c r="R153" s="33" t="str">
        <f aca="false">IF($A153="","",IF(K153="Kurang","prosesor tingkat "&amp;C153&amp;" dari 5, di bawah batas minimal (tingkat "&amp;Aturan!$C$48&amp;")",IF(K153="Cukup","prosesor tingkat "&amp;C153&amp;" dari 5 cukup, nyamannya mulai tingkat "&amp;Aturan!$D$48,IF(K153="Belum ada data","tingkat prosesor belum diisi",""))))</f>
        <v>prosesor tingkat 2 dari 5 cukup, nyamannya mulai tingkat 3</v>
      </c>
      <c r="S153" s="33" t="str">
        <f aca="false">IF($A153="","",IF(L153="Kurang","grafis tingkat "&amp;D153&amp;" dari 5, di bawah batas minimal (tingkat "&amp;Aturan!$C$49&amp;")",IF(L153="Cukup","grafis tingkat "&amp;D153&amp;" dari 5 cukup, nyamannya mulai tingkat "&amp;Aturan!$D$49,IF(L153="Belum ada data","tingkat grafis belum diisi",""))))</f>
        <v>grafis tingkat 1 dari 5 cukup, nyamannya mulai tingkat 2</v>
      </c>
      <c r="T153" s="33" t="str">
        <f aca="false">IF($A153="","",IF(M153="Kurang","RAM "&amp;E153&amp;" GB, di bawah batas minimal "&amp;Aturan!$C$50&amp;" GB ("&amp;I153&amp;")",IF(M153="Cukup","RAM "&amp;E153&amp;" GB cukup, nyamannya "&amp;Aturan!$D$50&amp;" GB atau lebih ("&amp;I153&amp;")",IF(M153="Belum ada data","ukuran RAM belum diisi",""))))</f>
        <v/>
      </c>
      <c r="U153" s="33" t="str">
        <f aca="false">IF($A153="","",IF(N153="Kurang","penyimpanan "&amp;F153&amp;" GB, di bawah batas minimal "&amp;Aturan!$C$51&amp;" GB ("&amp;J153&amp;")",IF(N153="Cukup","penyimpanan "&amp;F153&amp;" GB cukup, nyamannya "&amp;Aturan!$D$51&amp;" GB atau lebih ("&amp;J153&amp;")",IF(N153="Belum ada data","ukuran penyimpanan belum diisi",""))))</f>
        <v/>
      </c>
      <c r="V153" s="33" t="str">
        <f aca="false">IF($A153="","",IF(O153="Kurang","layar "&amp;Varian!$AG34&amp;", di bawah batas minimal ("&amp;IFERROR(INDEX(Aturan!$A$63:$A$66,MATCH(Aturan!$C$52,Aturan!$B$63:$B$66,0)),"peringkat "&amp;Aturan!$C$52)&amp;")",IF(O153="Cukup","layar "&amp;Varian!$AG34&amp;" cukup, nyamannya "&amp;IFERROR(INDEX(Aturan!$A$63:$A$66,MATCH(Aturan!$D$52,Aturan!$B$63:$B$66,0)),"peringkat "&amp;Aturan!$D$52),IF(O153="Belum ada data","jenis layar belum diketahui",""))))</f>
        <v/>
      </c>
      <c r="W153" s="33" t="str">
        <f aca="false">IF($A153="","",IF(P153="Kurang","layar "&amp;H153&amp;" Hz, di bawah batas minimal "&amp;Aturan!$C$53&amp;" Hz",IF(P153="Cukup","layar "&amp;H153&amp;" Hz cukup, nyamannya "&amp;Aturan!$D$53&amp;" Hz atau lebih",IF(P153="Belum ada data","refresh rate belum diketahui",""))))</f>
        <v/>
      </c>
      <c r="X153" s="33" t="str">
        <f aca="false">IF($A153="","",IF(K153="Kurang",R153&amp;"; ","")&amp;IF(L153="Kurang",S153&amp;"; ","")&amp;IF(M153="Kurang",T153&amp;"; ","")&amp;IF(N153="Kurang",U153&amp;"; ","")&amp;IF(O153="Kurang",V153&amp;"; ","")&amp;IF(P153="Kurang",W153&amp;"; ","")&amp;IF(K153="Belum ada data",R153&amp;"; ","")&amp;IF(L153="Belum ada data",S153&amp;"; ","")&amp;IF(M153="Belum ada data",T153&amp;"; ","")&amp;IF(N153="Belum ada data",U153&amp;"; ","")&amp;IF(O153="Belum ada data",V153&amp;"; ","")&amp;IF(P153="Belum ada data",W153&amp;"; ","")&amp;IF(K153="Cukup",R153&amp;"; ","")&amp;IF(L153="Cukup",S153&amp;"; ","")&amp;IF(M153="Cukup",T153&amp;"; ","")&amp;IF(N153="Cukup",U153&amp;"; ","")&amp;IF(O153="Cukup",V153&amp;"; ","")&amp;IF(P153="Cukup",W153&amp;"; ",""))</f>
        <v>prosesor tingkat 2 dari 5 cukup, nyamannya mulai tingkat 3; grafis tingkat 1 dari 5 cukup, nyamannya mulai tingkat 2; </v>
      </c>
      <c r="Y153" s="33" t="str">
        <f aca="false">IF($A153="","",IF(K153="Nyaman","prosesor, ","")&amp;IF(L153="Nyaman","grafis, ","")&amp;IF(M153="Nyaman","RAM, ","")&amp;IF(N153="Nyaman","penyimpanan, ","")&amp;IF(O153="Nyaman","layar, ","")&amp;IF(P153="Nyaman","refresh rate, ",""))</f>
        <v>RAM, penyimpanan, </v>
      </c>
      <c r="Z153" s="33" t="str">
        <f aca="false">IF($A153="","",IF(Q153="Tidak dinilai","Belum ada kriteria yang dinilai untuk kebutuhan ini.",IF(Q153="Cocok","Semua kriteria yang dinilai sudah nyaman: "&amp;LEFT(Y153,LEN(Y153)-2)&amp;".",UPPER(LEFT(X153,1))&amp;MID(X153,2,LEN(X153)-3)&amp;"."&amp;IF(Y153="",""," Sudah nyaman: "&amp;LEFT(Y153,LEN(Y153)-2)&amp;"."))))</f>
        <v>Prosesor tingkat 2 dari 5 cukup, nyamannya mulai tingkat 3; grafis tingkat 1 dari 5 cukup, nyamannya mulai tingkat 2. Sudah nyaman: RAM, penyimpanan.</v>
      </c>
      <c r="AA153" s="33"/>
      <c r="AB153" s="33"/>
      <c r="AC153" s="69"/>
    </row>
    <row r="154" customFormat="false" ht="15" hidden="false" customHeight="true" outlineLevel="0" collapsed="false">
      <c r="A154" s="33" t="str">
        <f aca="false">IF(Varian!$A34="","",Varian!$A34)</f>
        <v>lenovo-thinkpad-t14-gen-1-i5-10310u-16-512</v>
      </c>
      <c r="B154" s="33" t="str">
        <f aca="false">IF($A154="","",Aturan!$A$25)</f>
        <v>Game berat</v>
      </c>
      <c r="C154" s="69" t="n">
        <f aca="false">IF($A154="","",IFERROR(IF(ISNUMBER(INDEX(CPU!$J$4:$J$64,MATCH(Varian!$J34,CPU!$A$4:$A$64,0))),INDEX(CPU!$J$4:$J$64,MATCH(Varian!$J34,CPU!$A$4:$A$64,0)),""),""))</f>
        <v>2</v>
      </c>
      <c r="D154" s="69" t="n">
        <f aca="false">IF($A154="","",IFERROR(IF(ISNUMBER(INDEX(GPU!$G$4:$G$64,MATCH(Varian!$K34,GPU!$A$4:$A$64,0))),INDEX(GPU!$G$4:$G$64,MATCH(Varian!$K34,GPU!$A$4:$A$64,0)),""),""))</f>
        <v>1</v>
      </c>
      <c r="E154" s="69" t="n">
        <f aca="false">IF($A154="","",IF(ISNUMBER(Varian!$M34),Varian!$M34,""))</f>
        <v>16</v>
      </c>
      <c r="F154" s="69" t="n">
        <f aca="false">IF($A154="","",IF(ISNUMBER(Varian!$V34),Varian!$V34,""))</f>
        <v>512</v>
      </c>
      <c r="G154" s="69" t="str">
        <f aca="false">IF($A154="","",IFERROR(INDEX(Aturan!$B$63:$B$66,MATCH(Varian!$AG34,Aturan!$A$63:$A$66,0)),""))</f>
        <v/>
      </c>
      <c r="H154" s="69" t="str">
        <f aca="false">IF($A154="","",IF(ISNUMBER(Varian!$AI34),Varian!$AI34,""))</f>
        <v/>
      </c>
      <c r="I154" s="33" t="str">
        <f aca="false">IF($A154="","",IF(Varian!$Q34="disolder","menempel di papan utama, tidak bisa ditambah",IF(OR(Varian!$Q34="slot",Varian!$Q34="setengah_disolder"),IF(Varian!$Q34="setengah_disolder","sebagian menempel, ","")&amp;IF(ISNUMBER(Varian!$U34),IF(AND(ISNUMBER(Varian!$M34),Varian!$U34&gt;Varian!$M34),"bisa dinaikkan lewat slot sampai "&amp;Varian!$U34&amp;" GB","sudah di batas maksimal "&amp;Varian!$U34&amp;" GB"),"ada slot, batas maksimalnya belum diketahui"),"belum diketahui apakah bisa ditambah")))</f>
        <v>sebagian menempel, ada slot, batas maksimalnya belum diketahui</v>
      </c>
      <c r="J154" s="33" t="str">
        <f aca="false">IF($A154="","",IF(Varian!$Z34="ya","bisa diganti dengan yang lebih besar",IF(Varian!$Z34="tidak","menempel, tidak bisa diganti","belum diketahui apakah bisa diganti")))</f>
        <v>bisa diganti dengan yang lebih besar</v>
      </c>
      <c r="K154" s="70" t="str">
        <f aca="false">IF($A154="","",IF(AND(Aturan!$C$54="",Aturan!$D$54=""),"Tidak dinilai",IF(C154="","Belum ada data",IF(C154&lt;IF(Aturan!$C$54="",0,Aturan!$C$54),"Kurang",IF(C154&gt;=IF(Aturan!$D$54="",Aturan!$C$54,Aturan!$D$54),"Nyaman","Cukup")))))</f>
        <v>Kurang</v>
      </c>
      <c r="L154" s="70" t="str">
        <f aca="false">IF($A154="","",IF(AND(Aturan!$C$55="",Aturan!$D$55=""),"Tidak dinilai",IF(D154="","Belum ada data",IF(D154&lt;IF(Aturan!$C$55="",0,Aturan!$C$55),"Kurang",IF(D154&gt;=IF(Aturan!$D$55="",Aturan!$C$55,Aturan!$D$55),"Nyaman","Cukup")))))</f>
        <v>Kurang</v>
      </c>
      <c r="M154" s="70" t="str">
        <f aca="false">IF($A154="","",IF(AND(Aturan!$C$56="",Aturan!$D$56=""),"Tidak dinilai",IF(E154="","Belum ada data",IF(E154&lt;IF(Aturan!$C$56="",0,Aturan!$C$56),"Kurang",IF(E154&gt;=IF(Aturan!$D$56="",Aturan!$C$56,Aturan!$D$56),"Nyaman","Cukup")))))</f>
        <v>Nyaman</v>
      </c>
      <c r="N154" s="70" t="str">
        <f aca="false">IF($A154="","",IF(AND(Aturan!$C$57="",Aturan!$D$57=""),"Tidak dinilai",IF(F154="","Belum ada data",IF(F154&lt;IF(Aturan!$C$57="",0,Aturan!$C$57),"Kurang",IF(F154&gt;=IF(Aturan!$D$57="",Aturan!$C$57,Aturan!$D$57),"Nyaman","Cukup")))))</f>
        <v>Cukup</v>
      </c>
      <c r="O154" s="70" t="str">
        <f aca="false">IF($A154="","",IF(AND(Aturan!$C$58="",Aturan!$D$58=""),"Tidak dinilai",IF(G154="","Belum ada data",IF(G154&lt;IF(Aturan!$C$58="",0,Aturan!$C$58),"Kurang",IF(G154&gt;=IF(Aturan!$D$58="",Aturan!$C$58,Aturan!$D$58),"Nyaman","Cukup")))))</f>
        <v>Tidak dinilai</v>
      </c>
      <c r="P154" s="70" t="str">
        <f aca="false">IF($A154="","",IF(AND(Aturan!$C$59="",Aturan!$D$59=""),"Tidak dinilai",IF(H154="","Belum ada data",IF(H154&lt;IF(Aturan!$C$59="",0,Aturan!$C$59),"Kurang",IF(H154&gt;=IF(Aturan!$D$59="",Aturan!$C$59,Aturan!$D$59),"Nyaman","Cukup")))))</f>
        <v>Belum ada data</v>
      </c>
      <c r="Q154" s="70" t="str">
        <f aca="false">IF($A154="","",IF(COUNTIF(K154:P154,"Tidak dinilai")=6,"Tidak dinilai",IF(COUNTIF(K154:P154,"Kurang")&gt;0,"Kurang cocok",IF(COUNTIF(K154:P154,"Belum ada data")&gt;0,"Data belum lengkap",IF(COUNTIF(K154:P154,"Cukup")&gt;0,"Bisa, dengan catatan","Cocok")))))</f>
        <v>Kurang cocok</v>
      </c>
      <c r="R154" s="33" t="str">
        <f aca="false">IF($A154="","",IF(K154="Kurang","prosesor tingkat "&amp;C154&amp;" dari 5, di bawah batas minimal (tingkat "&amp;Aturan!$C$54&amp;")",IF(K154="Cukup","prosesor tingkat "&amp;C154&amp;" dari 5 cukup, nyamannya mulai tingkat "&amp;Aturan!$D$54,IF(K154="Belum ada data","tingkat prosesor belum diisi",""))))</f>
        <v>prosesor tingkat 2 dari 5, di bawah batas minimal (tingkat 3)</v>
      </c>
      <c r="S154" s="33" t="str">
        <f aca="false">IF($A154="","",IF(L154="Kurang","grafis tingkat "&amp;D154&amp;" dari 5, di bawah batas minimal (tingkat "&amp;Aturan!$C$55&amp;")",IF(L154="Cukup","grafis tingkat "&amp;D154&amp;" dari 5 cukup, nyamannya mulai tingkat "&amp;Aturan!$D$55,IF(L154="Belum ada data","tingkat grafis belum diisi",""))))</f>
        <v>grafis tingkat 1 dari 5, di bawah batas minimal (tingkat 3)</v>
      </c>
      <c r="T154" s="33" t="str">
        <f aca="false">IF($A154="","",IF(M154="Kurang","RAM "&amp;E154&amp;" GB, di bawah batas minimal "&amp;Aturan!$C$56&amp;" GB ("&amp;I154&amp;")",IF(M154="Cukup","RAM "&amp;E154&amp;" GB cukup, nyamannya "&amp;Aturan!$D$56&amp;" GB atau lebih ("&amp;I154&amp;")",IF(M154="Belum ada data","ukuran RAM belum diisi",""))))</f>
        <v/>
      </c>
      <c r="U154" s="33" t="str">
        <f aca="false">IF($A154="","",IF(N154="Kurang","penyimpanan "&amp;F154&amp;" GB, di bawah batas minimal "&amp;Aturan!$C$57&amp;" GB ("&amp;J154&amp;")",IF(N154="Cukup","penyimpanan "&amp;F154&amp;" GB cukup, nyamannya "&amp;Aturan!$D$57&amp;" GB atau lebih ("&amp;J154&amp;")",IF(N154="Belum ada data","ukuran penyimpanan belum diisi",""))))</f>
        <v>penyimpanan 512 GB cukup, nyamannya 1000 GB atau lebih (bisa diganti dengan yang lebih besar)</v>
      </c>
      <c r="V154" s="33" t="str">
        <f aca="false">IF($A154="","",IF(O154="Kurang","layar "&amp;Varian!$AG34&amp;", di bawah batas minimal ("&amp;IFERROR(INDEX(Aturan!$A$63:$A$66,MATCH(Aturan!$C$58,Aturan!$B$63:$B$66,0)),"peringkat "&amp;Aturan!$C$58)&amp;")",IF(O154="Cukup","layar "&amp;Varian!$AG34&amp;" cukup, nyamannya "&amp;IFERROR(INDEX(Aturan!$A$63:$A$66,MATCH(Aturan!$D$58,Aturan!$B$63:$B$66,0)),"peringkat "&amp;Aturan!$D$58),IF(O154="Belum ada data","jenis layar belum diketahui",""))))</f>
        <v/>
      </c>
      <c r="W154" s="33" t="str">
        <f aca="false">IF($A154="","",IF(P154="Kurang","layar "&amp;H154&amp;" Hz, di bawah batas minimal "&amp;Aturan!$C$59&amp;" Hz",IF(P154="Cukup","layar "&amp;H154&amp;" Hz cukup, nyamannya "&amp;Aturan!$D$59&amp;" Hz atau lebih",IF(P154="Belum ada data","refresh rate belum diketahui",""))))</f>
        <v>refresh rate belum diketahui</v>
      </c>
      <c r="X154" s="33" t="str">
        <f aca="false">IF($A154="","",IF(K154="Kurang",R154&amp;"; ","")&amp;IF(L154="Kurang",S154&amp;"; ","")&amp;IF(M154="Kurang",T154&amp;"; ","")&amp;IF(N154="Kurang",U154&amp;"; ","")&amp;IF(O154="Kurang",V154&amp;"; ","")&amp;IF(P154="Kurang",W154&amp;"; ","")&amp;IF(K154="Belum ada data",R154&amp;"; ","")&amp;IF(L154="Belum ada data",S154&amp;"; ","")&amp;IF(M154="Belum ada data",T154&amp;"; ","")&amp;IF(N154="Belum ada data",U154&amp;"; ","")&amp;IF(O154="Belum ada data",V154&amp;"; ","")&amp;IF(P154="Belum ada data",W154&amp;"; ","")&amp;IF(K154="Cukup",R154&amp;"; ","")&amp;IF(L154="Cukup",S154&amp;"; ","")&amp;IF(M154="Cukup",T154&amp;"; ","")&amp;IF(N154="Cukup",U154&amp;"; ","")&amp;IF(O154="Cukup",V154&amp;"; ","")&amp;IF(P154="Cukup",W154&amp;"; ",""))</f>
        <v>prosesor tingkat 2 dari 5, di bawah batas minimal (tingkat 3); grafis tingkat 1 dari 5, di bawah batas minimal (tingkat 3); refresh rate belum diketahui; penyimpanan 512 GB cukup, nyamannya 1000 GB atau lebih (bisa diganti dengan yang lebih besar); </v>
      </c>
      <c r="Y154" s="33" t="str">
        <f aca="false">IF($A154="","",IF(K154="Nyaman","prosesor, ","")&amp;IF(L154="Nyaman","grafis, ","")&amp;IF(M154="Nyaman","RAM, ","")&amp;IF(N154="Nyaman","penyimpanan, ","")&amp;IF(O154="Nyaman","layar, ","")&amp;IF(P154="Nyaman","refresh rate, ",""))</f>
        <v>RAM, </v>
      </c>
      <c r="Z154" s="33" t="str">
        <f aca="false">IF($A154="","",IF(Q154="Tidak dinilai","Belum ada kriteria yang dinilai untuk kebutuhan ini.",IF(Q154="Cocok","Semua kriteria yang dinilai sudah nyaman: "&amp;LEFT(Y154,LEN(Y154)-2)&amp;".",UPPER(LEFT(X154,1))&amp;MID(X154,2,LEN(X154)-3)&amp;"."&amp;IF(Y154="",""," Sudah nyaman: "&amp;LEFT(Y154,LEN(Y154)-2)&amp;"."))))</f>
        <v>Prosesor tingkat 2 dari 5, di bawah batas minimal (tingkat 3); grafis tingkat 1 dari 5, di bawah batas minimal (tingkat 3); refresh rate belum diketahui; penyimpanan 512 GB cukup, nyamannya 1000 GB atau lebih (bisa diganti dengan yang lebih besar). Sudah nyaman: RAM.</v>
      </c>
      <c r="AA154" s="33"/>
      <c r="AB154" s="33"/>
      <c r="AC154" s="69"/>
    </row>
    <row r="155" customFormat="false" ht="15" hidden="false" customHeight="true" outlineLevel="0" collapsed="false">
      <c r="A155" s="66" t="str">
        <f aca="false">IF(Varian!$A35="","",Varian!$A35)</f>
        <v>dell-latitude-7490-i5-8350u-8-256</v>
      </c>
      <c r="B155" s="66" t="str">
        <f aca="false">IF($A155="","",Aturan!$A$21)</f>
        <v>Kuliah dan kantor</v>
      </c>
      <c r="C155" s="67" t="n">
        <f aca="false">IF($A155="","",IFERROR(IF(ISNUMBER(INDEX(CPU!$J$4:$J$64,MATCH(Varian!$J35,CPU!$A$4:$A$64,0))),INDEX(CPU!$J$4:$J$64,MATCH(Varian!$J35,CPU!$A$4:$A$64,0)),""),""))</f>
        <v>2</v>
      </c>
      <c r="D155" s="67" t="n">
        <f aca="false">IF($A155="","",IFERROR(IF(ISNUMBER(INDEX(GPU!$G$4:$G$64,MATCH(Varian!$K35,GPU!$A$4:$A$64,0))),INDEX(GPU!$G$4:$G$64,MATCH(Varian!$K35,GPU!$A$4:$A$64,0)),""),""))</f>
        <v>1</v>
      </c>
      <c r="E155" s="67" t="n">
        <f aca="false">IF($A155="","",IF(ISNUMBER(Varian!$M35),Varian!$M35,""))</f>
        <v>8</v>
      </c>
      <c r="F155" s="67" t="n">
        <f aca="false">IF($A155="","",IF(ISNUMBER(Varian!$V35),Varian!$V35,""))</f>
        <v>256</v>
      </c>
      <c r="G155" s="67" t="str">
        <f aca="false">IF($A155="","",IFERROR(INDEX(Aturan!$B$63:$B$66,MATCH(Varian!$AG35,Aturan!$A$63:$A$66,0)),""))</f>
        <v/>
      </c>
      <c r="H155" s="67" t="str">
        <f aca="false">IF($A155="","",IF(ISNUMBER(Varian!$AI35),Varian!$AI35,""))</f>
        <v/>
      </c>
      <c r="I155" s="66" t="str">
        <f aca="false">IF($A155="","",IF(Varian!$Q35="disolder","menempel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5" s="66" t="str">
        <f aca="false">IF($A155="","",IF(Varian!$Z35="ya","bisa diganti dengan yang lebih besar",IF(Varian!$Z35="tidak","menempel, tidak bisa diganti","belum diketahui apakah bisa diganti")))</f>
        <v>bisa diganti dengan yang lebih besar</v>
      </c>
      <c r="K155" s="68" t="str">
        <f aca="false">IF($A155="","",IF(AND(Aturan!$C$30="",Aturan!$D$30=""),"Tidak dinilai",IF(C155="","Belum ada data",IF(C155&lt;IF(Aturan!$C$30="",0,Aturan!$C$30),"Kurang",IF(C155&gt;=IF(Aturan!$D$30="",Aturan!$C$30,Aturan!$D$30),"Nyaman","Cukup")))))</f>
        <v>Nyaman</v>
      </c>
      <c r="L155" s="68" t="str">
        <f aca="false">IF($A155="","",IF(AND(Aturan!$C$31="",Aturan!$D$31=""),"Tidak dinilai",IF(D155="","Belum ada data",IF(D155&lt;IF(Aturan!$C$31="",0,Aturan!$C$31),"Kurang",IF(D155&gt;=IF(Aturan!$D$31="",Aturan!$C$31,Aturan!$D$31),"Nyaman","Cukup")))))</f>
        <v>Tidak dinilai</v>
      </c>
      <c r="M155" s="68" t="str">
        <f aca="false">IF($A155="","",IF(AND(Aturan!$C$32="",Aturan!$D$32=""),"Tidak dinilai",IF(E155="","Belum ada data",IF(E155&lt;IF(Aturan!$C$32="",0,Aturan!$C$32),"Kurang",IF(E155&gt;=IF(Aturan!$D$32="",Aturan!$C$32,Aturan!$D$32),"Nyaman","Cukup")))))</f>
        <v>Nyaman</v>
      </c>
      <c r="N155" s="68" t="str">
        <f aca="false">IF($A155="","",IF(AND(Aturan!$C$33="",Aturan!$D$33=""),"Tidak dinilai",IF(F155="","Belum ada data",IF(F155&lt;IF(Aturan!$C$33="",0,Aturan!$C$33),"Kurang",IF(F155&gt;=IF(Aturan!$D$33="",Aturan!$C$33,Aturan!$D$33),"Nyaman","Cukup")))))</f>
        <v>Nyaman</v>
      </c>
      <c r="O155" s="68" t="str">
        <f aca="false">IF($A155="","",IF(AND(Aturan!$C$34="",Aturan!$D$34=""),"Tidak dinilai",IF(G155="","Belum ada data",IF(G155&lt;IF(Aturan!$C$34="",0,Aturan!$C$34),"Kurang",IF(G155&gt;=IF(Aturan!$D$34="",Aturan!$C$34,Aturan!$D$34),"Nyaman","Cukup")))))</f>
        <v>Tidak dinilai</v>
      </c>
      <c r="P155" s="68" t="str">
        <f aca="false">IF($A155="","",IF(AND(Aturan!$C$35="",Aturan!$D$35=""),"Tidak dinilai",IF(H155="","Belum ada data",IF(H155&lt;IF(Aturan!$C$35="",0,Aturan!$C$35),"Kurang",IF(H155&gt;=IF(Aturan!$D$35="",Aturan!$C$35,Aturan!$D$35),"Nyaman","Cukup")))))</f>
        <v>Tidak dinilai</v>
      </c>
      <c r="Q155" s="68" t="str">
        <f aca="false">IF($A155="","",IF(COUNTIF(K155:P155,"Tidak dinilai")=6,"Tidak dinilai",IF(COUNTIF(K155:P155,"Kurang")&gt;0,"Kurang cocok",IF(COUNTIF(K155:P155,"Belum ada data")&gt;0,"Data belum lengkap",IF(COUNTIF(K155:P155,"Cukup")&gt;0,"Bisa, dengan catatan","Cocok")))))</f>
        <v>Cocok</v>
      </c>
      <c r="R155" s="66" t="str">
        <f aca="false">IF($A155="","",IF(K155="Kurang","prosesor tingkat "&amp;C155&amp;" dari 5, di bawah batas minimal (tingkat "&amp;Aturan!$C$30&amp;")",IF(K155="Cukup","prosesor tingkat "&amp;C155&amp;" dari 5 cukup, nyamannya mulai tingkat "&amp;Aturan!$D$30,IF(K155="Belum ada data","tingkat prosesor belum diisi",""))))</f>
        <v/>
      </c>
      <c r="S155" s="66" t="str">
        <f aca="false">IF($A155="","",IF(L155="Kurang","grafis tingkat "&amp;D155&amp;" dari 5, di bawah batas minimal (tingkat "&amp;Aturan!$C$31&amp;")",IF(L155="Cukup","grafis tingkat "&amp;D155&amp;" dari 5 cukup, nyamannya mulai tingkat "&amp;Aturan!$D$31,IF(L155="Belum ada data","tingkat grafis belum diisi",""))))</f>
        <v/>
      </c>
      <c r="T155" s="66" t="str">
        <f aca="false">IF($A155="","",IF(M155="Kurang","RAM "&amp;E155&amp;" GB, di bawah batas minimal "&amp;Aturan!$C$32&amp;" GB ("&amp;I155&amp;")",IF(M155="Cukup","RAM "&amp;E155&amp;" GB cukup, nyamannya "&amp;Aturan!$D$32&amp;" GB atau lebih ("&amp;I155&amp;")",IF(M155="Belum ada data","ukuran RAM belum diisi",""))))</f>
        <v/>
      </c>
      <c r="U155" s="66" t="str">
        <f aca="false">IF($A155="","",IF(N155="Kurang","penyimpanan "&amp;F155&amp;" GB, di bawah batas minimal "&amp;Aturan!$C$33&amp;" GB ("&amp;J155&amp;")",IF(N155="Cukup","penyimpanan "&amp;F155&amp;" GB cukup, nyamannya "&amp;Aturan!$D$33&amp;" GB atau lebih ("&amp;J155&amp;")",IF(N155="Belum ada data","ukuran penyimpanan belum diisi",""))))</f>
        <v/>
      </c>
      <c r="V155" s="66" t="str">
        <f aca="false">IF($A155="","",IF(O155="Kurang","layar "&amp;Varian!$AG35&amp;", di bawah batas minimal ("&amp;IFERROR(INDEX(Aturan!$A$63:$A$66,MATCH(Aturan!$C$34,Aturan!$B$63:$B$66,0)),"peringkat "&amp;Aturan!$C$34)&amp;")",IF(O155="Cukup","layar "&amp;Varian!$AG35&amp;" cukup, nyamannya "&amp;IFERROR(INDEX(Aturan!$A$63:$A$66,MATCH(Aturan!$D$34,Aturan!$B$63:$B$66,0)),"peringkat "&amp;Aturan!$D$34),IF(O155="Belum ada data","jenis layar belum diketahui",""))))</f>
        <v/>
      </c>
      <c r="W155" s="66" t="str">
        <f aca="false">IF($A155="","",IF(P155="Kurang","layar "&amp;H155&amp;" Hz, di bawah batas minimal "&amp;Aturan!$C$35&amp;" Hz",IF(P155="Cukup","layar "&amp;H155&amp;" Hz cukup, nyamannya "&amp;Aturan!$D$35&amp;" Hz atau lebih",IF(P155="Belum ada data","refresh rate belum diketahui",""))))</f>
        <v/>
      </c>
      <c r="X155" s="66" t="str">
        <f aca="false">IF($A155="","",IF(K155="Kurang",R155&amp;"; ","")&amp;IF(L155="Kurang",S155&amp;"; ","")&amp;IF(M155="Kurang",T155&amp;"; ","")&amp;IF(N155="Kurang",U155&amp;"; ","")&amp;IF(O155="Kurang",V155&amp;"; ","")&amp;IF(P155="Kurang",W155&amp;"; ","")&amp;IF(K155="Belum ada data",R155&amp;"; ","")&amp;IF(L155="Belum ada data",S155&amp;"; ","")&amp;IF(M155="Belum ada data",T155&amp;"; ","")&amp;IF(N155="Belum ada data",U155&amp;"; ","")&amp;IF(O155="Belum ada data",V155&amp;"; ","")&amp;IF(P155="Belum ada data",W155&amp;"; ","")&amp;IF(K155="Cukup",R155&amp;"; ","")&amp;IF(L155="Cukup",S155&amp;"; ","")&amp;IF(M155="Cukup",T155&amp;"; ","")&amp;IF(N155="Cukup",U155&amp;"; ","")&amp;IF(O155="Cukup",V155&amp;"; ","")&amp;IF(P155="Cukup",W155&amp;"; ",""))</f>
        <v/>
      </c>
      <c r="Y155" s="66" t="str">
        <f aca="false">IF($A155="","",IF(K155="Nyaman","prosesor, ","")&amp;IF(L155="Nyaman","grafis, ","")&amp;IF(M155="Nyaman","RAM, ","")&amp;IF(N155="Nyaman","penyimpanan, ","")&amp;IF(O155="Nyaman","layar, ","")&amp;IF(P155="Nyaman","refresh rate, ",""))</f>
        <v>prosesor, RAM, penyimpanan, </v>
      </c>
      <c r="Z155" s="66" t="str">
        <f aca="false">IF($A155="","",IF(Q155="Tidak dinilai","Belum ada kriteria yang dinilai untuk kebutuhan ini.",IF(Q155="Cocok","Semua kriteria yang dinilai sudah nyaman: "&amp;LEFT(Y155,LEN(Y155)-2)&amp;".",UPPER(LEFT(X155,1))&amp;MID(X155,2,LEN(X155)-3)&amp;"."&amp;IF(Y155="",""," Sudah nyaman: "&amp;LEFT(Y155,LEN(Y155)-2)&amp;"."))))</f>
        <v>Semua kriteria yang dinilai sudah nyaman: prosesor, RAM, penyimpanan.</v>
      </c>
      <c r="AA155" s="66" t="str">
        <f aca="false">IF($A155="","",IF(Varian!$AR35="Windows 10","• "&amp;Aturan!$E$71&amp;CHAR(10),"")&amp;IF(Varian!$BB35="tidak","• "&amp;Aturan!$E$72&amp;CHAR(10),"")&amp;IF(OR(Varian!$AD35="belum terverifikasi",Varian!$AD35="tidak diketahui"),"• "&amp;Aturan!$E$73&amp;CHAR(10),"")&amp;IF(Varian!$AH35="1366x768","• "&amp;Aturan!$E$74&amp;CHAR(10),"")&amp;IF(Varian!$AG35="TN","• "&amp;Aturan!$E$75&amp;CHAR(10),"")&amp;IF(AND(Varian!$Q35="disolder",ISNUMBER(Varian!$M35),Varian!$M35&lt;=8),"• "&amp;Aturan!$E$76&amp;CHAR(10),""))</f>
        <v/>
      </c>
      <c r="AB155" s="66" t="str">
        <f aca="false">IF($A155="","",IF(AA155="","",LEFT(AA155,LEN(AA155)-1)))</f>
        <v/>
      </c>
      <c r="AC155" s="67" t="n">
        <f aca="false">IF($A155="","",IF(AA155="",0,LEN(AA155)-LEN(SUBSTITUTE(AA155,CHAR(10),""))))</f>
        <v>0</v>
      </c>
    </row>
    <row r="156" customFormat="false" ht="15" hidden="false" customHeight="true" outlineLevel="0" collapsed="false">
      <c r="A156" s="33" t="str">
        <f aca="false">IF(Varian!$A35="","",Varian!$A35)</f>
        <v>dell-latitude-7490-i5-8350u-8-256</v>
      </c>
      <c r="B156" s="33" t="str">
        <f aca="false">IF($A156="","",Aturan!$A$22)</f>
        <v>Desain grafis</v>
      </c>
      <c r="C156" s="69" t="n">
        <f aca="false">IF($A156="","",IFERROR(IF(ISNUMBER(INDEX(CPU!$J$4:$J$64,MATCH(Varian!$J35,CPU!$A$4:$A$64,0))),INDEX(CPU!$J$4:$J$64,MATCH(Varian!$J35,CPU!$A$4:$A$64,0)),""),""))</f>
        <v>2</v>
      </c>
      <c r="D156" s="69" t="n">
        <f aca="false">IF($A156="","",IFERROR(IF(ISNUMBER(INDEX(GPU!$G$4:$G$64,MATCH(Varian!$K35,GPU!$A$4:$A$64,0))),INDEX(GPU!$G$4:$G$64,MATCH(Varian!$K35,GPU!$A$4:$A$64,0)),""),""))</f>
        <v>1</v>
      </c>
      <c r="E156" s="69" t="n">
        <f aca="false">IF($A156="","",IF(ISNUMBER(Varian!$M35),Varian!$M35,""))</f>
        <v>8</v>
      </c>
      <c r="F156" s="69" t="n">
        <f aca="false">IF($A156="","",IF(ISNUMBER(Varian!$V35),Varian!$V35,""))</f>
        <v>256</v>
      </c>
      <c r="G156" s="69" t="str">
        <f aca="false">IF($A156="","",IFERROR(INDEX(Aturan!$B$63:$B$66,MATCH(Varian!$AG35,Aturan!$A$63:$A$66,0)),""))</f>
        <v/>
      </c>
      <c r="H156" s="69" t="str">
        <f aca="false">IF($A156="","",IF(ISNUMBER(Varian!$AI35),Varian!$AI35,""))</f>
        <v/>
      </c>
      <c r="I156" s="33" t="str">
        <f aca="false">IF($A156="","",IF(Varian!$Q35="disolder","menempel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6" s="33" t="str">
        <f aca="false">IF($A156="","",IF(Varian!$Z35="ya","bisa diganti dengan yang lebih besar",IF(Varian!$Z35="tidak","menempel, tidak bisa diganti","belum diketahui apakah bisa diganti")))</f>
        <v>bisa diganti dengan yang lebih besar</v>
      </c>
      <c r="K156" s="70" t="str">
        <f aca="false">IF($A156="","",IF(AND(Aturan!$C$36="",Aturan!$D$36=""),"Tidak dinilai",IF(C156="","Belum ada data",IF(C156&lt;IF(Aturan!$C$36="",0,Aturan!$C$36),"Kurang",IF(C156&gt;=IF(Aturan!$D$36="",Aturan!$C$36,Aturan!$D$36),"Nyaman","Cukup")))))</f>
        <v>Cukup</v>
      </c>
      <c r="L156" s="70" t="str">
        <f aca="false">IF($A156="","",IF(AND(Aturan!$C$37="",Aturan!$D$37=""),"Tidak dinilai",IF(D156="","Belum ada data",IF(D156&lt;IF(Aturan!$C$37="",0,Aturan!$C$37),"Kurang",IF(D156&gt;=IF(Aturan!$D$37="",Aturan!$C$37,Aturan!$D$37),"Nyaman","Cukup")))))</f>
        <v>Cukup</v>
      </c>
      <c r="M156" s="70" t="str">
        <f aca="false">IF($A156="","",IF(AND(Aturan!$C$38="",Aturan!$D$38=""),"Tidak dinilai",IF(E156="","Belum ada data",IF(E156&lt;IF(Aturan!$C$38="",0,Aturan!$C$38),"Kurang",IF(E156&gt;=IF(Aturan!$D$38="",Aturan!$C$38,Aturan!$D$38),"Nyaman","Cukup")))))</f>
        <v>Cukup</v>
      </c>
      <c r="N156" s="70" t="str">
        <f aca="false">IF($A156="","",IF(AND(Aturan!$C$39="",Aturan!$D$39=""),"Tidak dinilai",IF(F156="","Belum ada data",IF(F156&lt;IF(Aturan!$C$39="",0,Aturan!$C$39),"Kurang",IF(F156&gt;=IF(Aturan!$D$39="",Aturan!$C$39,Aturan!$D$39),"Nyaman","Cukup")))))</f>
        <v>Cukup</v>
      </c>
      <c r="O156" s="70" t="str">
        <f aca="false">IF($A156="","",IF(AND(Aturan!$C$40="",Aturan!$D$40=""),"Tidak dinilai",IF(G156="","Belum ada data",IF(G156&lt;IF(Aturan!$C$40="",0,Aturan!$C$40),"Kurang",IF(G156&gt;=IF(Aturan!$D$40="",Aturan!$C$40,Aturan!$D$40),"Nyaman","Cukup")))))</f>
        <v>Belum ada data</v>
      </c>
      <c r="P156" s="70" t="str">
        <f aca="false">IF($A156="","",IF(AND(Aturan!$C$41="",Aturan!$D$41=""),"Tidak dinilai",IF(H156="","Belum ada data",IF(H156&lt;IF(Aturan!$C$41="",0,Aturan!$C$41),"Kurang",IF(H156&gt;=IF(Aturan!$D$41="",Aturan!$C$41,Aturan!$D$41),"Nyaman","Cukup")))))</f>
        <v>Tidak dinilai</v>
      </c>
      <c r="Q156" s="70" t="str">
        <f aca="false">IF($A156="","",IF(COUNTIF(K156:P156,"Tidak dinilai")=6,"Tidak dinilai",IF(COUNTIF(K156:P156,"Kurang")&gt;0,"Kurang cocok",IF(COUNTIF(K156:P156,"Belum ada data")&gt;0,"Data belum lengkap",IF(COUNTIF(K156:P156,"Cukup")&gt;0,"Bisa, dengan catatan","Cocok")))))</f>
        <v>Data belum lengkap</v>
      </c>
      <c r="R156" s="33" t="str">
        <f aca="false">IF($A156="","",IF(K156="Kurang","prosesor tingkat "&amp;C156&amp;" dari 5, di bawah batas minimal (tingkat "&amp;Aturan!$C$36&amp;")",IF(K156="Cukup","prosesor tingkat "&amp;C156&amp;" dari 5 cukup, nyamannya mulai tingkat "&amp;Aturan!$D$36,IF(K156="Belum ada data","tingkat prosesor belum diisi",""))))</f>
        <v>prosesor tingkat 2 dari 5 cukup, nyamannya mulai tingkat 3</v>
      </c>
      <c r="S156" s="33" t="str">
        <f aca="false">IF($A156="","",IF(L156="Kurang","grafis tingkat "&amp;D156&amp;" dari 5, di bawah batas minimal (tingkat "&amp;Aturan!$C$37&amp;")",IF(L156="Cukup","grafis tingkat "&amp;D156&amp;" dari 5 cukup, nyamannya mulai tingkat "&amp;Aturan!$D$37,IF(L156="Belum ada data","tingkat grafis belum diisi",""))))</f>
        <v>grafis tingkat 1 dari 5 cukup, nyamannya mulai tingkat 2</v>
      </c>
      <c r="T156" s="33" t="str">
        <f aca="false">IF($A156="","",IF(M156="Kurang","RAM "&amp;E156&amp;" GB, di bawah batas minimal "&amp;Aturan!$C$38&amp;" GB ("&amp;I156&amp;")",IF(M156="Cukup","RAM "&amp;E156&amp;" GB cukup, nyamannya "&amp;Aturan!$D$38&amp;" GB atau lebih ("&amp;I156&amp;")",IF(M156="Belum ada data","ukuran RAM belum diisi",""))))</f>
        <v>RAM 8 GB cukup, nyamannya 16 GB atau lebih (bisa dinaikkan lewat slot sampai 32 GB)</v>
      </c>
      <c r="U156" s="33" t="str">
        <f aca="false">IF($A156="","",IF(N156="Kurang","penyimpanan "&amp;F156&amp;" GB, di bawah batas minimal "&amp;Aturan!$C$39&amp;" GB ("&amp;J156&amp;")",IF(N156="Cukup","penyimpanan "&amp;F156&amp;" GB cukup, nyamannya "&amp;Aturan!$D$39&amp;" GB atau lebih ("&amp;J156&amp;")",IF(N156="Belum ada data","ukuran penyimpanan belum diisi",""))))</f>
        <v>penyimpanan 256 GB cukup, nyamannya 512 GB atau lebih (bisa diganti dengan yang lebih besar)</v>
      </c>
      <c r="V156" s="33" t="str">
        <f aca="false">IF($A156="","",IF(O156="Kurang","layar "&amp;Varian!$AG35&amp;", di bawah batas minimal ("&amp;IFERROR(INDEX(Aturan!$A$63:$A$66,MATCH(Aturan!$C$40,Aturan!$B$63:$B$66,0)),"peringkat "&amp;Aturan!$C$40)&amp;")",IF(O156="Cukup","layar "&amp;Varian!$AG35&amp;" cukup, nyamannya "&amp;IFERROR(INDEX(Aturan!$A$63:$A$66,MATCH(Aturan!$D$40,Aturan!$B$63:$B$66,0)),"peringkat "&amp;Aturan!$D$40),IF(O156="Belum ada data","jenis layar belum diketahui",""))))</f>
        <v>jenis layar belum diketahui</v>
      </c>
      <c r="W156" s="33" t="str">
        <f aca="false">IF($A156="","",IF(P156="Kurang","layar "&amp;H156&amp;" Hz, di bawah batas minimal "&amp;Aturan!$C$41&amp;" Hz",IF(P156="Cukup","layar "&amp;H156&amp;" Hz cukup, nyamannya "&amp;Aturan!$D$41&amp;" Hz atau lebih",IF(P156="Belum ada data","refresh rate belum diketahui",""))))</f>
        <v/>
      </c>
      <c r="X156" s="33" t="str">
        <f aca="false">IF($A156="","",IF(K156="Kurang",R156&amp;"; ","")&amp;IF(L156="Kurang",S156&amp;"; ","")&amp;IF(M156="Kurang",T156&amp;"; ","")&amp;IF(N156="Kurang",U156&amp;"; ","")&amp;IF(O156="Kurang",V156&amp;"; ","")&amp;IF(P156="Kurang",W156&amp;"; ","")&amp;IF(K156="Belum ada data",R156&amp;"; ","")&amp;IF(L156="Belum ada data",S156&amp;"; ","")&amp;IF(M156="Belum ada data",T156&amp;"; ","")&amp;IF(N156="Belum ada data",U156&amp;"; ","")&amp;IF(O156="Belum ada data",V156&amp;"; ","")&amp;IF(P156="Belum ada data",W156&amp;"; ","")&amp;IF(K156="Cukup",R156&amp;"; ","")&amp;IF(L156="Cukup",S156&amp;"; ","")&amp;IF(M156="Cukup",T156&amp;"; ","")&amp;IF(N156="Cukup",U156&amp;"; ","")&amp;IF(O156="Cukup",V156&amp;"; ","")&amp;IF(P156="Cukup",W156&amp;"; ",""))</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v>
      </c>
      <c r="Y156" s="33" t="str">
        <f aca="false">IF($A156="","",IF(K156="Nyaman","prosesor, ","")&amp;IF(L156="Nyaman","grafis, ","")&amp;IF(M156="Nyaman","RAM, ","")&amp;IF(N156="Nyaman","penyimpanan, ","")&amp;IF(O156="Nyaman","layar, ","")&amp;IF(P156="Nyaman","refresh rate, ",""))</f>
        <v/>
      </c>
      <c r="Z156" s="33" t="str">
        <f aca="false">IF($A156="","",IF(Q156="Tidak dinilai","Belum ada kriteria yang dinilai untuk kebutuhan ini.",IF(Q156="Cocok","Semua kriteria yang dinilai sudah nyaman: "&amp;LEFT(Y156,LEN(Y156)-2)&amp;".",UPPER(LEFT(X156,1))&amp;MID(X156,2,LEN(X156)-3)&amp;"."&amp;IF(Y156="",""," Sudah nyaman: "&amp;LEFT(Y156,LEN(Y156)-2)&amp;"."))))</f>
        <v>Jenis layar belum diketahui; 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v>
      </c>
      <c r="AA156" s="33"/>
      <c r="AB156" s="33"/>
      <c r="AC156" s="69"/>
    </row>
    <row r="157" customFormat="false" ht="15" hidden="false" customHeight="true" outlineLevel="0" collapsed="false">
      <c r="A157" s="33" t="str">
        <f aca="false">IF(Varian!$A35="","",Varian!$A35)</f>
        <v>dell-latitude-7490-i5-8350u-8-256</v>
      </c>
      <c r="B157" s="33" t="str">
        <f aca="false">IF($A157="","",Aturan!$A$23)</f>
        <v>Pemrograman</v>
      </c>
      <c r="C157" s="69" t="n">
        <f aca="false">IF($A157="","",IFERROR(IF(ISNUMBER(INDEX(CPU!$J$4:$J$64,MATCH(Varian!$J35,CPU!$A$4:$A$64,0))),INDEX(CPU!$J$4:$J$64,MATCH(Varian!$J35,CPU!$A$4:$A$64,0)),""),""))</f>
        <v>2</v>
      </c>
      <c r="D157" s="69" t="n">
        <f aca="false">IF($A157="","",IFERROR(IF(ISNUMBER(INDEX(GPU!$G$4:$G$64,MATCH(Varian!$K35,GPU!$A$4:$A$64,0))),INDEX(GPU!$G$4:$G$64,MATCH(Varian!$K35,GPU!$A$4:$A$64,0)),""),""))</f>
        <v>1</v>
      </c>
      <c r="E157" s="69" t="n">
        <f aca="false">IF($A157="","",IF(ISNUMBER(Varian!$M35),Varian!$M35,""))</f>
        <v>8</v>
      </c>
      <c r="F157" s="69" t="n">
        <f aca="false">IF($A157="","",IF(ISNUMBER(Varian!$V35),Varian!$V35,""))</f>
        <v>256</v>
      </c>
      <c r="G157" s="69" t="str">
        <f aca="false">IF($A157="","",IFERROR(INDEX(Aturan!$B$63:$B$66,MATCH(Varian!$AG35,Aturan!$A$63:$A$66,0)),""))</f>
        <v/>
      </c>
      <c r="H157" s="69" t="str">
        <f aca="false">IF($A157="","",IF(ISNUMBER(Varian!$AI35),Varian!$AI35,""))</f>
        <v/>
      </c>
      <c r="I157" s="33" t="str">
        <f aca="false">IF($A157="","",IF(Varian!$Q35="disolder","menempel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7" s="33" t="str">
        <f aca="false">IF($A157="","",IF(Varian!$Z35="ya","bisa diganti dengan yang lebih besar",IF(Varian!$Z35="tidak","menempel, tidak bisa diganti","belum diketahui apakah bisa diganti")))</f>
        <v>bisa diganti dengan yang lebih besar</v>
      </c>
      <c r="K157" s="70" t="str">
        <f aca="false">IF($A157="","",IF(AND(Aturan!$C$42="",Aturan!$D$42=""),"Tidak dinilai",IF(C157="","Belum ada data",IF(C157&lt;IF(Aturan!$C$42="",0,Aturan!$C$42),"Kurang",IF(C157&gt;=IF(Aturan!$D$42="",Aturan!$C$42,Aturan!$D$42),"Nyaman","Cukup")))))</f>
        <v>Cukup</v>
      </c>
      <c r="L157" s="70" t="str">
        <f aca="false">IF($A157="","",IF(AND(Aturan!$C$43="",Aturan!$D$43=""),"Tidak dinilai",IF(D157="","Belum ada data",IF(D157&lt;IF(Aturan!$C$43="",0,Aturan!$C$43),"Kurang",IF(D157&gt;=IF(Aturan!$D$43="",Aturan!$C$43,Aturan!$D$43),"Nyaman","Cukup")))))</f>
        <v>Tidak dinilai</v>
      </c>
      <c r="M157" s="70" t="str">
        <f aca="false">IF($A157="","",IF(AND(Aturan!$C$44="",Aturan!$D$44=""),"Tidak dinilai",IF(E157="","Belum ada data",IF(E157&lt;IF(Aturan!$C$44="",0,Aturan!$C$44),"Kurang",IF(E157&gt;=IF(Aturan!$D$44="",Aturan!$C$44,Aturan!$D$44),"Nyaman","Cukup")))))</f>
        <v>Cukup</v>
      </c>
      <c r="N157" s="70" t="str">
        <f aca="false">IF($A157="","",IF(AND(Aturan!$C$45="",Aturan!$D$45=""),"Tidak dinilai",IF(F157="","Belum ada data",IF(F157&lt;IF(Aturan!$C$45="",0,Aturan!$C$45),"Kurang",IF(F157&gt;=IF(Aturan!$D$45="",Aturan!$C$45,Aturan!$D$45),"Nyaman","Cukup")))))</f>
        <v>Cukup</v>
      </c>
      <c r="O157" s="70" t="str">
        <f aca="false">IF($A157="","",IF(AND(Aturan!$C$46="",Aturan!$D$46=""),"Tidak dinilai",IF(G157="","Belum ada data",IF(G157&lt;IF(Aturan!$C$46="",0,Aturan!$C$46),"Kurang",IF(G157&gt;=IF(Aturan!$D$46="",Aturan!$C$46,Aturan!$D$46),"Nyaman","Cukup")))))</f>
        <v>Tidak dinilai</v>
      </c>
      <c r="P157" s="70" t="str">
        <f aca="false">IF($A157="","",IF(AND(Aturan!$C$47="",Aturan!$D$47=""),"Tidak dinilai",IF(H157="","Belum ada data",IF(H157&lt;IF(Aturan!$C$47="",0,Aturan!$C$47),"Kurang",IF(H157&gt;=IF(Aturan!$D$47="",Aturan!$C$47,Aturan!$D$47),"Nyaman","Cukup")))))</f>
        <v>Tidak dinilai</v>
      </c>
      <c r="Q157" s="70" t="str">
        <f aca="false">IF($A157="","",IF(COUNTIF(K157:P157,"Tidak dinilai")=6,"Tidak dinilai",IF(COUNTIF(K157:P157,"Kurang")&gt;0,"Kurang cocok",IF(COUNTIF(K157:P157,"Belum ada data")&gt;0,"Data belum lengkap",IF(COUNTIF(K157:P157,"Cukup")&gt;0,"Bisa, dengan catatan","Cocok")))))</f>
        <v>Bisa, dengan catatan</v>
      </c>
      <c r="R157" s="33" t="str">
        <f aca="false">IF($A157="","",IF(K157="Kurang","prosesor tingkat "&amp;C157&amp;" dari 5, di bawah batas minimal (tingkat "&amp;Aturan!$C$42&amp;")",IF(K157="Cukup","prosesor tingkat "&amp;C157&amp;" dari 5 cukup, nyamannya mulai tingkat "&amp;Aturan!$D$42,IF(K157="Belum ada data","tingkat prosesor belum diisi",""))))</f>
        <v>prosesor tingkat 2 dari 5 cukup, nyamannya mulai tingkat 3</v>
      </c>
      <c r="S157" s="33" t="str">
        <f aca="false">IF($A157="","",IF(L157="Kurang","grafis tingkat "&amp;D157&amp;" dari 5, di bawah batas minimal (tingkat "&amp;Aturan!$C$43&amp;")",IF(L157="Cukup","grafis tingkat "&amp;D157&amp;" dari 5 cukup, nyamannya mulai tingkat "&amp;Aturan!$D$43,IF(L157="Belum ada data","tingkat grafis belum diisi",""))))</f>
        <v/>
      </c>
      <c r="T157" s="33" t="str">
        <f aca="false">IF($A157="","",IF(M157="Kurang","RAM "&amp;E157&amp;" GB, di bawah batas minimal "&amp;Aturan!$C$44&amp;" GB ("&amp;I157&amp;")",IF(M157="Cukup","RAM "&amp;E157&amp;" GB cukup, nyamannya "&amp;Aturan!$D$44&amp;" GB atau lebih ("&amp;I157&amp;")",IF(M157="Belum ada data","ukuran RAM belum diisi",""))))</f>
        <v>RAM 8 GB cukup, nyamannya 16 GB atau lebih (bisa dinaikkan lewat slot sampai 32 GB)</v>
      </c>
      <c r="U157" s="33" t="str">
        <f aca="false">IF($A157="","",IF(N157="Kurang","penyimpanan "&amp;F157&amp;" GB, di bawah batas minimal "&amp;Aturan!$C$45&amp;" GB ("&amp;J157&amp;")",IF(N157="Cukup","penyimpanan "&amp;F157&amp;" GB cukup, nyamannya "&amp;Aturan!$D$45&amp;" GB atau lebih ("&amp;J157&amp;")",IF(N157="Belum ada data","ukuran penyimpanan belum diisi",""))))</f>
        <v>penyimpanan 256 GB cukup, nyamannya 512 GB atau lebih (bisa diganti dengan yang lebih besar)</v>
      </c>
      <c r="V157" s="33" t="str">
        <f aca="false">IF($A157="","",IF(O157="Kurang","layar "&amp;Varian!$AG35&amp;", di bawah batas minimal ("&amp;IFERROR(INDEX(Aturan!$A$63:$A$66,MATCH(Aturan!$C$46,Aturan!$B$63:$B$66,0)),"peringkat "&amp;Aturan!$C$46)&amp;")",IF(O157="Cukup","layar "&amp;Varian!$AG35&amp;" cukup, nyamannya "&amp;IFERROR(INDEX(Aturan!$A$63:$A$66,MATCH(Aturan!$D$46,Aturan!$B$63:$B$66,0)),"peringkat "&amp;Aturan!$D$46),IF(O157="Belum ada data","jenis layar belum diketahui",""))))</f>
        <v/>
      </c>
      <c r="W157" s="33" t="str">
        <f aca="false">IF($A157="","",IF(P157="Kurang","layar "&amp;H157&amp;" Hz, di bawah batas minimal "&amp;Aturan!$C$47&amp;" Hz",IF(P157="Cukup","layar "&amp;H157&amp;" Hz cukup, nyamannya "&amp;Aturan!$D$47&amp;" Hz atau lebih",IF(P157="Belum ada data","refresh rate belum diketahui",""))))</f>
        <v/>
      </c>
      <c r="X157" s="33" t="str">
        <f aca="false">IF($A157="","",IF(K157="Kurang",R157&amp;"; ","")&amp;IF(L157="Kurang",S157&amp;"; ","")&amp;IF(M157="Kurang",T157&amp;"; ","")&amp;IF(N157="Kurang",U157&amp;"; ","")&amp;IF(O157="Kurang",V157&amp;"; ","")&amp;IF(P157="Kurang",W157&amp;"; ","")&amp;IF(K157="Belum ada data",R157&amp;"; ","")&amp;IF(L157="Belum ada data",S157&amp;"; ","")&amp;IF(M157="Belum ada data",T157&amp;"; ","")&amp;IF(N157="Belum ada data",U157&amp;"; ","")&amp;IF(O157="Belum ada data",V157&amp;"; ","")&amp;IF(P157="Belum ada data",W157&amp;"; ","")&amp;IF(K157="Cukup",R157&amp;"; ","")&amp;IF(L157="Cukup",S157&amp;"; ","")&amp;IF(M157="Cukup",T157&amp;"; ","")&amp;IF(N157="Cukup",U157&amp;"; ","")&amp;IF(O157="Cukup",V157&amp;"; ","")&amp;IF(P157="Cukup",W157&amp;"; ",""))</f>
        <v>prosesor tingkat 2 dari 5 cukup, nyamannya mulai tingkat 3; RAM 8 GB cukup, nyamannya 16 GB atau lebih (bisa dinaikkan lewat slot sampai 32 GB); penyimpanan 256 GB cukup, nyamannya 512 GB atau lebih (bisa diganti dengan yang lebih besar); </v>
      </c>
      <c r="Y157" s="33" t="str">
        <f aca="false">IF($A157="","",IF(K157="Nyaman","prosesor, ","")&amp;IF(L157="Nyaman","grafis, ","")&amp;IF(M157="Nyaman","RAM, ","")&amp;IF(N157="Nyaman","penyimpanan, ","")&amp;IF(O157="Nyaman","layar, ","")&amp;IF(P157="Nyaman","refresh rate, ",""))</f>
        <v/>
      </c>
      <c r="Z157" s="33" t="str">
        <f aca="false">IF($A157="","",IF(Q157="Tidak dinilai","Belum ada kriteria yang dinilai untuk kebutuhan ini.",IF(Q157="Cocok","Semua kriteria yang dinilai sudah nyaman: "&amp;LEFT(Y157,LEN(Y157)-2)&amp;".",UPPER(LEFT(X157,1))&amp;MID(X157,2,LEN(X157)-3)&amp;"."&amp;IF(Y157="",""," Sudah nyaman: "&amp;LEFT(Y157,LEN(Y157)-2)&amp;"."))))</f>
        <v>Prosesor tingkat 2 dari 5 cukup, nyamannya mulai tingkat 3; RAM 8 GB cukup, nyamannya 16 GB atau lebih (bisa dinaikkan lewat slot sampai 32 GB); penyimpanan 256 GB cukup, nyamannya 512 GB atau lebih (bisa diganti dengan yang lebih besar).</v>
      </c>
      <c r="AA157" s="33"/>
      <c r="AB157" s="33"/>
      <c r="AC157" s="69"/>
    </row>
    <row r="158" customFormat="false" ht="15" hidden="false" customHeight="true" outlineLevel="0" collapsed="false">
      <c r="A158" s="33" t="str">
        <f aca="false">IF(Varian!$A35="","",Varian!$A35)</f>
        <v>dell-latitude-7490-i5-8350u-8-256</v>
      </c>
      <c r="B158" s="33" t="str">
        <f aca="false">IF($A158="","",Aturan!$A$24)</f>
        <v>Game ringan</v>
      </c>
      <c r="C158" s="69" t="n">
        <f aca="false">IF($A158="","",IFERROR(IF(ISNUMBER(INDEX(CPU!$J$4:$J$64,MATCH(Varian!$J35,CPU!$A$4:$A$64,0))),INDEX(CPU!$J$4:$J$64,MATCH(Varian!$J35,CPU!$A$4:$A$64,0)),""),""))</f>
        <v>2</v>
      </c>
      <c r="D158" s="69" t="n">
        <f aca="false">IF($A158="","",IFERROR(IF(ISNUMBER(INDEX(GPU!$G$4:$G$64,MATCH(Varian!$K35,GPU!$A$4:$A$64,0))),INDEX(GPU!$G$4:$G$64,MATCH(Varian!$K35,GPU!$A$4:$A$64,0)),""),""))</f>
        <v>1</v>
      </c>
      <c r="E158" s="69" t="n">
        <f aca="false">IF($A158="","",IF(ISNUMBER(Varian!$M35),Varian!$M35,""))</f>
        <v>8</v>
      </c>
      <c r="F158" s="69" t="n">
        <f aca="false">IF($A158="","",IF(ISNUMBER(Varian!$V35),Varian!$V35,""))</f>
        <v>256</v>
      </c>
      <c r="G158" s="69" t="str">
        <f aca="false">IF($A158="","",IFERROR(INDEX(Aturan!$B$63:$B$66,MATCH(Varian!$AG35,Aturan!$A$63:$A$66,0)),""))</f>
        <v/>
      </c>
      <c r="H158" s="69" t="str">
        <f aca="false">IF($A158="","",IF(ISNUMBER(Varian!$AI35),Varian!$AI35,""))</f>
        <v/>
      </c>
      <c r="I158" s="33" t="str">
        <f aca="false">IF($A158="","",IF(Varian!$Q35="disolder","menempel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8" s="33" t="str">
        <f aca="false">IF($A158="","",IF(Varian!$Z35="ya","bisa diganti dengan yang lebih besar",IF(Varian!$Z35="tidak","menempel, tidak bisa diganti","belum diketahui apakah bisa diganti")))</f>
        <v>bisa diganti dengan yang lebih besar</v>
      </c>
      <c r="K158" s="70" t="str">
        <f aca="false">IF($A158="","",IF(AND(Aturan!$C$48="",Aturan!$D$48=""),"Tidak dinilai",IF(C158="","Belum ada data",IF(C158&lt;IF(Aturan!$C$48="",0,Aturan!$C$48),"Kurang",IF(C158&gt;=IF(Aturan!$D$48="",Aturan!$C$48,Aturan!$D$48),"Nyaman","Cukup")))))</f>
        <v>Cukup</v>
      </c>
      <c r="L158" s="70" t="str">
        <f aca="false">IF($A158="","",IF(AND(Aturan!$C$49="",Aturan!$D$49=""),"Tidak dinilai",IF(D158="","Belum ada data",IF(D158&lt;IF(Aturan!$C$49="",0,Aturan!$C$49),"Kurang",IF(D158&gt;=IF(Aturan!$D$49="",Aturan!$C$49,Aturan!$D$49),"Nyaman","Cukup")))))</f>
        <v>Cukup</v>
      </c>
      <c r="M158" s="70" t="str">
        <f aca="false">IF($A158="","",IF(AND(Aturan!$C$50="",Aturan!$D$50=""),"Tidak dinilai",IF(E158="","Belum ada data",IF(E158&lt;IF(Aturan!$C$50="",0,Aturan!$C$50),"Kurang",IF(E158&gt;=IF(Aturan!$D$50="",Aturan!$C$50,Aturan!$D$50),"Nyaman","Cukup")))))</f>
        <v>Nyaman</v>
      </c>
      <c r="N158" s="70" t="str">
        <f aca="false">IF($A158="","",IF(AND(Aturan!$C$51="",Aturan!$D$51=""),"Tidak dinilai",IF(F158="","Belum ada data",IF(F158&lt;IF(Aturan!$C$51="",0,Aturan!$C$51),"Kurang",IF(F158&gt;=IF(Aturan!$D$51="",Aturan!$C$51,Aturan!$D$51),"Nyaman","Cukup")))))</f>
        <v>Nyaman</v>
      </c>
      <c r="O158" s="70" t="str">
        <f aca="false">IF($A158="","",IF(AND(Aturan!$C$52="",Aturan!$D$52=""),"Tidak dinilai",IF(G158="","Belum ada data",IF(G158&lt;IF(Aturan!$C$52="",0,Aturan!$C$52),"Kurang",IF(G158&gt;=IF(Aturan!$D$52="",Aturan!$C$52,Aturan!$D$52),"Nyaman","Cukup")))))</f>
        <v>Tidak dinilai</v>
      </c>
      <c r="P158" s="70" t="str">
        <f aca="false">IF($A158="","",IF(AND(Aturan!$C$53="",Aturan!$D$53=""),"Tidak dinilai",IF(H158="","Belum ada data",IF(H158&lt;IF(Aturan!$C$53="",0,Aturan!$C$53),"Kurang",IF(H158&gt;=IF(Aturan!$D$53="",Aturan!$C$53,Aturan!$D$53),"Nyaman","Cukup")))))</f>
        <v>Tidak dinilai</v>
      </c>
      <c r="Q158" s="70" t="str">
        <f aca="false">IF($A158="","",IF(COUNTIF(K158:P158,"Tidak dinilai")=6,"Tidak dinilai",IF(COUNTIF(K158:P158,"Kurang")&gt;0,"Kurang cocok",IF(COUNTIF(K158:P158,"Belum ada data")&gt;0,"Data belum lengkap",IF(COUNTIF(K158:P158,"Cukup")&gt;0,"Bisa, dengan catatan","Cocok")))))</f>
        <v>Bisa, dengan catatan</v>
      </c>
      <c r="R158" s="33" t="str">
        <f aca="false">IF($A158="","",IF(K158="Kurang","prosesor tingkat "&amp;C158&amp;" dari 5, di bawah batas minimal (tingkat "&amp;Aturan!$C$48&amp;")",IF(K158="Cukup","prosesor tingkat "&amp;C158&amp;" dari 5 cukup, nyamannya mulai tingkat "&amp;Aturan!$D$48,IF(K158="Belum ada data","tingkat prosesor belum diisi",""))))</f>
        <v>prosesor tingkat 2 dari 5 cukup, nyamannya mulai tingkat 3</v>
      </c>
      <c r="S158" s="33" t="str">
        <f aca="false">IF($A158="","",IF(L158="Kurang","grafis tingkat "&amp;D158&amp;" dari 5, di bawah batas minimal (tingkat "&amp;Aturan!$C$49&amp;")",IF(L158="Cukup","grafis tingkat "&amp;D158&amp;" dari 5 cukup, nyamannya mulai tingkat "&amp;Aturan!$D$49,IF(L158="Belum ada data","tingkat grafis belum diisi",""))))</f>
        <v>grafis tingkat 1 dari 5 cukup, nyamannya mulai tingkat 2</v>
      </c>
      <c r="T158" s="33" t="str">
        <f aca="false">IF($A158="","",IF(M158="Kurang","RAM "&amp;E158&amp;" GB, di bawah batas minimal "&amp;Aturan!$C$50&amp;" GB ("&amp;I158&amp;")",IF(M158="Cukup","RAM "&amp;E158&amp;" GB cukup, nyamannya "&amp;Aturan!$D$50&amp;" GB atau lebih ("&amp;I158&amp;")",IF(M158="Belum ada data","ukuran RAM belum diisi",""))))</f>
        <v/>
      </c>
      <c r="U158" s="33" t="str">
        <f aca="false">IF($A158="","",IF(N158="Kurang","penyimpanan "&amp;F158&amp;" GB, di bawah batas minimal "&amp;Aturan!$C$51&amp;" GB ("&amp;J158&amp;")",IF(N158="Cukup","penyimpanan "&amp;F158&amp;" GB cukup, nyamannya "&amp;Aturan!$D$51&amp;" GB atau lebih ("&amp;J158&amp;")",IF(N158="Belum ada data","ukuran penyimpanan belum diisi",""))))</f>
        <v/>
      </c>
      <c r="V158" s="33" t="str">
        <f aca="false">IF($A158="","",IF(O158="Kurang","layar "&amp;Varian!$AG35&amp;", di bawah batas minimal ("&amp;IFERROR(INDEX(Aturan!$A$63:$A$66,MATCH(Aturan!$C$52,Aturan!$B$63:$B$66,0)),"peringkat "&amp;Aturan!$C$52)&amp;")",IF(O158="Cukup","layar "&amp;Varian!$AG35&amp;" cukup, nyamannya "&amp;IFERROR(INDEX(Aturan!$A$63:$A$66,MATCH(Aturan!$D$52,Aturan!$B$63:$B$66,0)),"peringkat "&amp;Aturan!$D$52),IF(O158="Belum ada data","jenis layar belum diketahui",""))))</f>
        <v/>
      </c>
      <c r="W158" s="33" t="str">
        <f aca="false">IF($A158="","",IF(P158="Kurang","layar "&amp;H158&amp;" Hz, di bawah batas minimal "&amp;Aturan!$C$53&amp;" Hz",IF(P158="Cukup","layar "&amp;H158&amp;" Hz cukup, nyamannya "&amp;Aturan!$D$53&amp;" Hz atau lebih",IF(P158="Belum ada data","refresh rate belum diketahui",""))))</f>
        <v/>
      </c>
      <c r="X158" s="33" t="str">
        <f aca="false">IF($A158="","",IF(K158="Kurang",R158&amp;"; ","")&amp;IF(L158="Kurang",S158&amp;"; ","")&amp;IF(M158="Kurang",T158&amp;"; ","")&amp;IF(N158="Kurang",U158&amp;"; ","")&amp;IF(O158="Kurang",V158&amp;"; ","")&amp;IF(P158="Kurang",W158&amp;"; ","")&amp;IF(K158="Belum ada data",R158&amp;"; ","")&amp;IF(L158="Belum ada data",S158&amp;"; ","")&amp;IF(M158="Belum ada data",T158&amp;"; ","")&amp;IF(N158="Belum ada data",U158&amp;"; ","")&amp;IF(O158="Belum ada data",V158&amp;"; ","")&amp;IF(P158="Belum ada data",W158&amp;"; ","")&amp;IF(K158="Cukup",R158&amp;"; ","")&amp;IF(L158="Cukup",S158&amp;"; ","")&amp;IF(M158="Cukup",T158&amp;"; ","")&amp;IF(N158="Cukup",U158&amp;"; ","")&amp;IF(O158="Cukup",V158&amp;"; ","")&amp;IF(P158="Cukup",W158&amp;"; ",""))</f>
        <v>prosesor tingkat 2 dari 5 cukup, nyamannya mulai tingkat 3; grafis tingkat 1 dari 5 cukup, nyamannya mulai tingkat 2; </v>
      </c>
      <c r="Y158" s="33" t="str">
        <f aca="false">IF($A158="","",IF(K158="Nyaman","prosesor, ","")&amp;IF(L158="Nyaman","grafis, ","")&amp;IF(M158="Nyaman","RAM, ","")&amp;IF(N158="Nyaman","penyimpanan, ","")&amp;IF(O158="Nyaman","layar, ","")&amp;IF(P158="Nyaman","refresh rate, ",""))</f>
        <v>RAM, penyimpanan, </v>
      </c>
      <c r="Z158" s="33" t="str">
        <f aca="false">IF($A158="","",IF(Q158="Tidak dinilai","Belum ada kriteria yang dinilai untuk kebutuhan ini.",IF(Q158="Cocok","Semua kriteria yang dinilai sudah nyaman: "&amp;LEFT(Y158,LEN(Y158)-2)&amp;".",UPPER(LEFT(X158,1))&amp;MID(X158,2,LEN(X158)-3)&amp;"."&amp;IF(Y158="",""," Sudah nyaman: "&amp;LEFT(Y158,LEN(Y158)-2)&amp;"."))))</f>
        <v>Prosesor tingkat 2 dari 5 cukup, nyamannya mulai tingkat 3; grafis tingkat 1 dari 5 cukup, nyamannya mulai tingkat 2. Sudah nyaman: RAM, penyimpanan.</v>
      </c>
      <c r="AA158" s="33"/>
      <c r="AB158" s="33"/>
      <c r="AC158" s="69"/>
    </row>
    <row r="159" customFormat="false" ht="15" hidden="false" customHeight="true" outlineLevel="0" collapsed="false">
      <c r="A159" s="33" t="str">
        <f aca="false">IF(Varian!$A35="","",Varian!$A35)</f>
        <v>dell-latitude-7490-i5-8350u-8-256</v>
      </c>
      <c r="B159" s="33" t="str">
        <f aca="false">IF($A159="","",Aturan!$A$25)</f>
        <v>Game berat</v>
      </c>
      <c r="C159" s="69" t="n">
        <f aca="false">IF($A159="","",IFERROR(IF(ISNUMBER(INDEX(CPU!$J$4:$J$64,MATCH(Varian!$J35,CPU!$A$4:$A$64,0))),INDEX(CPU!$J$4:$J$64,MATCH(Varian!$J35,CPU!$A$4:$A$64,0)),""),""))</f>
        <v>2</v>
      </c>
      <c r="D159" s="69" t="n">
        <f aca="false">IF($A159="","",IFERROR(IF(ISNUMBER(INDEX(GPU!$G$4:$G$64,MATCH(Varian!$K35,GPU!$A$4:$A$64,0))),INDEX(GPU!$G$4:$G$64,MATCH(Varian!$K35,GPU!$A$4:$A$64,0)),""),""))</f>
        <v>1</v>
      </c>
      <c r="E159" s="69" t="n">
        <f aca="false">IF($A159="","",IF(ISNUMBER(Varian!$M35),Varian!$M35,""))</f>
        <v>8</v>
      </c>
      <c r="F159" s="69" t="n">
        <f aca="false">IF($A159="","",IF(ISNUMBER(Varian!$V35),Varian!$V35,""))</f>
        <v>256</v>
      </c>
      <c r="G159" s="69" t="str">
        <f aca="false">IF($A159="","",IFERROR(INDEX(Aturan!$B$63:$B$66,MATCH(Varian!$AG35,Aturan!$A$63:$A$66,0)),""))</f>
        <v/>
      </c>
      <c r="H159" s="69" t="str">
        <f aca="false">IF($A159="","",IF(ISNUMBER(Varian!$AI35),Varian!$AI35,""))</f>
        <v/>
      </c>
      <c r="I159" s="33" t="str">
        <f aca="false">IF($A159="","",IF(Varian!$Q35="disolder","menempel di papan utama, tidak bisa ditambah",IF(OR(Varian!$Q35="slot",Varian!$Q35="setengah_disolder"),IF(Varian!$Q35="setengah_disolder","sebagian menempel, ","")&amp;IF(ISNUMBER(Varian!$U35),IF(AND(ISNUMBER(Varian!$M35),Varian!$U35&gt;Varian!$M35),"bisa dinaikkan lewat slot sampai "&amp;Varian!$U35&amp;" GB","sudah di batas maksimal "&amp;Varian!$U35&amp;" GB"),"ada slot, batas maksimalnya belum diketahui"),"belum diketahui apakah bisa ditambah")))</f>
        <v>bisa dinaikkan lewat slot sampai 32 GB</v>
      </c>
      <c r="J159" s="33" t="str">
        <f aca="false">IF($A159="","",IF(Varian!$Z35="ya","bisa diganti dengan yang lebih besar",IF(Varian!$Z35="tidak","menempel, tidak bisa diganti","belum diketahui apakah bisa diganti")))</f>
        <v>bisa diganti dengan yang lebih besar</v>
      </c>
      <c r="K159" s="70" t="str">
        <f aca="false">IF($A159="","",IF(AND(Aturan!$C$54="",Aturan!$D$54=""),"Tidak dinilai",IF(C159="","Belum ada data",IF(C159&lt;IF(Aturan!$C$54="",0,Aturan!$C$54),"Kurang",IF(C159&gt;=IF(Aturan!$D$54="",Aturan!$C$54,Aturan!$D$54),"Nyaman","Cukup")))))</f>
        <v>Kurang</v>
      </c>
      <c r="L159" s="70" t="str">
        <f aca="false">IF($A159="","",IF(AND(Aturan!$C$55="",Aturan!$D$55=""),"Tidak dinilai",IF(D159="","Belum ada data",IF(D159&lt;IF(Aturan!$C$55="",0,Aturan!$C$55),"Kurang",IF(D159&gt;=IF(Aturan!$D$55="",Aturan!$C$55,Aturan!$D$55),"Nyaman","Cukup")))))</f>
        <v>Kurang</v>
      </c>
      <c r="M159" s="70" t="str">
        <f aca="false">IF($A159="","",IF(AND(Aturan!$C$56="",Aturan!$D$56=""),"Tidak dinilai",IF(E159="","Belum ada data",IF(E159&lt;IF(Aturan!$C$56="",0,Aturan!$C$56),"Kurang",IF(E159&gt;=IF(Aturan!$D$56="",Aturan!$C$56,Aturan!$D$56),"Nyaman","Cukup")))))</f>
        <v>Cukup</v>
      </c>
      <c r="N159" s="70" t="str">
        <f aca="false">IF($A159="","",IF(AND(Aturan!$C$57="",Aturan!$D$57=""),"Tidak dinilai",IF(F159="","Belum ada data",IF(F159&lt;IF(Aturan!$C$57="",0,Aturan!$C$57),"Kurang",IF(F159&gt;=IF(Aturan!$D$57="",Aturan!$C$57,Aturan!$D$57),"Nyaman","Cukup")))))</f>
        <v>Kurang</v>
      </c>
      <c r="O159" s="70" t="str">
        <f aca="false">IF($A159="","",IF(AND(Aturan!$C$58="",Aturan!$D$58=""),"Tidak dinilai",IF(G159="","Belum ada data",IF(G159&lt;IF(Aturan!$C$58="",0,Aturan!$C$58),"Kurang",IF(G159&gt;=IF(Aturan!$D$58="",Aturan!$C$58,Aturan!$D$58),"Nyaman","Cukup")))))</f>
        <v>Tidak dinilai</v>
      </c>
      <c r="P159" s="70" t="str">
        <f aca="false">IF($A159="","",IF(AND(Aturan!$C$59="",Aturan!$D$59=""),"Tidak dinilai",IF(H159="","Belum ada data",IF(H159&lt;IF(Aturan!$C$59="",0,Aturan!$C$59),"Kurang",IF(H159&gt;=IF(Aturan!$D$59="",Aturan!$C$59,Aturan!$D$59),"Nyaman","Cukup")))))</f>
        <v>Belum ada data</v>
      </c>
      <c r="Q159" s="70" t="str">
        <f aca="false">IF($A159="","",IF(COUNTIF(K159:P159,"Tidak dinilai")=6,"Tidak dinilai",IF(COUNTIF(K159:P159,"Kurang")&gt;0,"Kurang cocok",IF(COUNTIF(K159:P159,"Belum ada data")&gt;0,"Data belum lengkap",IF(COUNTIF(K159:P159,"Cukup")&gt;0,"Bisa, dengan catatan","Cocok")))))</f>
        <v>Kurang cocok</v>
      </c>
      <c r="R159" s="33" t="str">
        <f aca="false">IF($A159="","",IF(K159="Kurang","prosesor tingkat "&amp;C159&amp;" dari 5, di bawah batas minimal (tingkat "&amp;Aturan!$C$54&amp;")",IF(K159="Cukup","prosesor tingkat "&amp;C159&amp;" dari 5 cukup, nyamannya mulai tingkat "&amp;Aturan!$D$54,IF(K159="Belum ada data","tingkat prosesor belum diisi",""))))</f>
        <v>prosesor tingkat 2 dari 5, di bawah batas minimal (tingkat 3)</v>
      </c>
      <c r="S159" s="33" t="str">
        <f aca="false">IF($A159="","",IF(L159="Kurang","grafis tingkat "&amp;D159&amp;" dari 5, di bawah batas minimal (tingkat "&amp;Aturan!$C$55&amp;")",IF(L159="Cukup","grafis tingkat "&amp;D159&amp;" dari 5 cukup, nyamannya mulai tingkat "&amp;Aturan!$D$55,IF(L159="Belum ada data","tingkat grafis belum diisi",""))))</f>
        <v>grafis tingkat 1 dari 5, di bawah batas minimal (tingkat 3)</v>
      </c>
      <c r="T159" s="33" t="str">
        <f aca="false">IF($A159="","",IF(M159="Kurang","RAM "&amp;E159&amp;" GB, di bawah batas minimal "&amp;Aturan!$C$56&amp;" GB ("&amp;I159&amp;")",IF(M159="Cukup","RAM "&amp;E159&amp;" GB cukup, nyamannya "&amp;Aturan!$D$56&amp;" GB atau lebih ("&amp;I159&amp;")",IF(M159="Belum ada data","ukuran RAM belum diisi",""))))</f>
        <v>RAM 8 GB cukup, nyamannya 16 GB atau lebih (bisa dinaikkan lewat slot sampai 32 GB)</v>
      </c>
      <c r="U159" s="33" t="str">
        <f aca="false">IF($A159="","",IF(N159="Kurang","penyimpanan "&amp;F159&amp;" GB, di bawah batas minimal "&amp;Aturan!$C$57&amp;" GB ("&amp;J159&amp;")",IF(N159="Cukup","penyimpanan "&amp;F159&amp;" GB cukup, nyamannya "&amp;Aturan!$D$57&amp;" GB atau lebih ("&amp;J159&amp;")",IF(N159="Belum ada data","ukuran penyimpanan belum diisi",""))))</f>
        <v>penyimpanan 256 GB, di bawah batas minimal 512 GB (bisa diganti dengan yang lebih besar)</v>
      </c>
      <c r="V159" s="33" t="str">
        <f aca="false">IF($A159="","",IF(O159="Kurang","layar "&amp;Varian!$AG35&amp;", di bawah batas minimal ("&amp;IFERROR(INDEX(Aturan!$A$63:$A$66,MATCH(Aturan!$C$58,Aturan!$B$63:$B$66,0)),"peringkat "&amp;Aturan!$C$58)&amp;")",IF(O159="Cukup","layar "&amp;Varian!$AG35&amp;" cukup, nyamannya "&amp;IFERROR(INDEX(Aturan!$A$63:$A$66,MATCH(Aturan!$D$58,Aturan!$B$63:$B$66,0)),"peringkat "&amp;Aturan!$D$58),IF(O159="Belum ada data","jenis layar belum diketahui",""))))</f>
        <v/>
      </c>
      <c r="W159" s="33" t="str">
        <f aca="false">IF($A159="","",IF(P159="Kurang","layar "&amp;H159&amp;" Hz, di bawah batas minimal "&amp;Aturan!$C$59&amp;" Hz",IF(P159="Cukup","layar "&amp;H159&amp;" Hz cukup, nyamannya "&amp;Aturan!$D$59&amp;" Hz atau lebih",IF(P159="Belum ada data","refresh rate belum diketahui",""))))</f>
        <v>refresh rate belum diketahui</v>
      </c>
      <c r="X159" s="33" t="str">
        <f aca="false">IF($A159="","",IF(K159="Kurang",R159&amp;"; ","")&amp;IF(L159="Kurang",S159&amp;"; ","")&amp;IF(M159="Kurang",T159&amp;"; ","")&amp;IF(N159="Kurang",U159&amp;"; ","")&amp;IF(O159="Kurang",V159&amp;"; ","")&amp;IF(P159="Kurang",W159&amp;"; ","")&amp;IF(K159="Belum ada data",R159&amp;"; ","")&amp;IF(L159="Belum ada data",S159&amp;"; ","")&amp;IF(M159="Belum ada data",T159&amp;"; ","")&amp;IF(N159="Belum ada data",U159&amp;"; ","")&amp;IF(O159="Belum ada data",V159&amp;"; ","")&amp;IF(P159="Belum ada data",W159&amp;"; ","")&amp;IF(K159="Cukup",R159&amp;"; ","")&amp;IF(L159="Cukup",S159&amp;"; ","")&amp;IF(M159="Cukup",T159&amp;"; ","")&amp;IF(N159="Cukup",U159&amp;"; ","")&amp;IF(O159="Cukup",V159&amp;"; ","")&amp;IF(P159="Cukup",W159&amp;";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159" s="33" t="str">
        <f aca="false">IF($A159="","",IF(K159="Nyaman","prosesor, ","")&amp;IF(L159="Nyaman","grafis, ","")&amp;IF(M159="Nyaman","RAM, ","")&amp;IF(N159="Nyaman","penyimpanan, ","")&amp;IF(O159="Nyaman","layar, ","")&amp;IF(P159="Nyaman","refresh rate, ",""))</f>
        <v/>
      </c>
      <c r="Z159" s="33" t="str">
        <f aca="false">IF($A159="","",IF(Q159="Tidak dinilai","Belum ada kriteria yang dinilai untuk kebutuhan ini.",IF(Q159="Cocok","Semua kriteria yang dinilai sudah nyaman: "&amp;LEFT(Y159,LEN(Y159)-2)&amp;".",UPPER(LEFT(X159,1))&amp;MID(X159,2,LEN(X159)-3)&amp;"."&amp;IF(Y159="",""," Sudah nyaman: "&amp;LEFT(Y159,LEN(Y159)-2)&amp;"."))))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159" s="33"/>
      <c r="AB159" s="33"/>
      <c r="AC159" s="69"/>
    </row>
    <row r="160" customFormat="false" ht="15" hidden="false" customHeight="true" outlineLevel="0" collapsed="false">
      <c r="A160" s="66" t="str">
        <f aca="false">IF(Varian!$A36="","",Varian!$A36)</f>
        <v>hp-elitebook-840-g6-i5-8365u-8-256</v>
      </c>
      <c r="B160" s="66" t="str">
        <f aca="false">IF($A160="","",Aturan!$A$21)</f>
        <v>Kuliah dan kantor</v>
      </c>
      <c r="C160" s="67" t="n">
        <f aca="false">IF($A160="","",IFERROR(IF(ISNUMBER(INDEX(CPU!$J$4:$J$64,MATCH(Varian!$J36,CPU!$A$4:$A$64,0))),INDEX(CPU!$J$4:$J$64,MATCH(Varian!$J36,CPU!$A$4:$A$64,0)),""),""))</f>
        <v>2</v>
      </c>
      <c r="D160" s="67" t="n">
        <f aca="false">IF($A160="","",IFERROR(IF(ISNUMBER(INDEX(GPU!$G$4:$G$64,MATCH(Varian!$K36,GPU!$A$4:$A$64,0))),INDEX(GPU!$G$4:$G$64,MATCH(Varian!$K36,GPU!$A$4:$A$64,0)),""),""))</f>
        <v>1</v>
      </c>
      <c r="E160" s="67" t="n">
        <f aca="false">IF($A160="","",IF(ISNUMBER(Varian!$M36),Varian!$M36,""))</f>
        <v>8</v>
      </c>
      <c r="F160" s="67" t="n">
        <f aca="false">IF($A160="","",IF(ISNUMBER(Varian!$V36),Varian!$V36,""))</f>
        <v>256</v>
      </c>
      <c r="G160" s="67" t="n">
        <f aca="false">IF($A160="","",IFERROR(INDEX(Aturan!$B$63:$B$66,MATCH(Varian!$AG36,Aturan!$A$63:$A$66,0)),""))</f>
        <v>3</v>
      </c>
      <c r="H160" s="67" t="str">
        <f aca="false">IF($A160="","",IF(ISNUMBER(Varian!$AI36),Varian!$AI36,""))</f>
        <v/>
      </c>
      <c r="I160" s="66" t="str">
        <f aca="false">IF($A160="","",IF(Varian!$Q36="disolder","menempel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0" s="66" t="str">
        <f aca="false">IF($A160="","",IF(Varian!$Z36="ya","bisa diganti dengan yang lebih besar",IF(Varian!$Z36="tidak","menempel, tidak bisa diganti","belum diketahui apakah bisa diganti")))</f>
        <v>bisa diganti dengan yang lebih besar</v>
      </c>
      <c r="K160" s="68" t="str">
        <f aca="false">IF($A160="","",IF(AND(Aturan!$C$30="",Aturan!$D$30=""),"Tidak dinilai",IF(C160="","Belum ada data",IF(C160&lt;IF(Aturan!$C$30="",0,Aturan!$C$30),"Kurang",IF(C160&gt;=IF(Aturan!$D$30="",Aturan!$C$30,Aturan!$D$30),"Nyaman","Cukup")))))</f>
        <v>Nyaman</v>
      </c>
      <c r="L160" s="68" t="str">
        <f aca="false">IF($A160="","",IF(AND(Aturan!$C$31="",Aturan!$D$31=""),"Tidak dinilai",IF(D160="","Belum ada data",IF(D160&lt;IF(Aturan!$C$31="",0,Aturan!$C$31),"Kurang",IF(D160&gt;=IF(Aturan!$D$31="",Aturan!$C$31,Aturan!$D$31),"Nyaman","Cukup")))))</f>
        <v>Tidak dinilai</v>
      </c>
      <c r="M160" s="68" t="str">
        <f aca="false">IF($A160="","",IF(AND(Aturan!$C$32="",Aturan!$D$32=""),"Tidak dinilai",IF(E160="","Belum ada data",IF(E160&lt;IF(Aturan!$C$32="",0,Aturan!$C$32),"Kurang",IF(E160&gt;=IF(Aturan!$D$32="",Aturan!$C$32,Aturan!$D$32),"Nyaman","Cukup")))))</f>
        <v>Nyaman</v>
      </c>
      <c r="N160" s="68" t="str">
        <f aca="false">IF($A160="","",IF(AND(Aturan!$C$33="",Aturan!$D$33=""),"Tidak dinilai",IF(F160="","Belum ada data",IF(F160&lt;IF(Aturan!$C$33="",0,Aturan!$C$33),"Kurang",IF(F160&gt;=IF(Aturan!$D$33="",Aturan!$C$33,Aturan!$D$33),"Nyaman","Cukup")))))</f>
        <v>Nyaman</v>
      </c>
      <c r="O160" s="68" t="str">
        <f aca="false">IF($A160="","",IF(AND(Aturan!$C$34="",Aturan!$D$34=""),"Tidak dinilai",IF(G160="","Belum ada data",IF(G160&lt;IF(Aturan!$C$34="",0,Aturan!$C$34),"Kurang",IF(G160&gt;=IF(Aturan!$D$34="",Aturan!$C$34,Aturan!$D$34),"Nyaman","Cukup")))))</f>
        <v>Tidak dinilai</v>
      </c>
      <c r="P160" s="68" t="str">
        <f aca="false">IF($A160="","",IF(AND(Aturan!$C$35="",Aturan!$D$35=""),"Tidak dinilai",IF(H160="","Belum ada data",IF(H160&lt;IF(Aturan!$C$35="",0,Aturan!$C$35),"Kurang",IF(H160&gt;=IF(Aturan!$D$35="",Aturan!$C$35,Aturan!$D$35),"Nyaman","Cukup")))))</f>
        <v>Tidak dinilai</v>
      </c>
      <c r="Q160" s="68" t="str">
        <f aca="false">IF($A160="","",IF(COUNTIF(K160:P160,"Tidak dinilai")=6,"Tidak dinilai",IF(COUNTIF(K160:P160,"Kurang")&gt;0,"Kurang cocok",IF(COUNTIF(K160:P160,"Belum ada data")&gt;0,"Data belum lengkap",IF(COUNTIF(K160:P160,"Cukup")&gt;0,"Bisa, dengan catatan","Cocok")))))</f>
        <v>Cocok</v>
      </c>
      <c r="R160" s="66" t="str">
        <f aca="false">IF($A160="","",IF(K160="Kurang","prosesor tingkat "&amp;C160&amp;" dari 5, di bawah batas minimal (tingkat "&amp;Aturan!$C$30&amp;")",IF(K160="Cukup","prosesor tingkat "&amp;C160&amp;" dari 5 cukup, nyamannya mulai tingkat "&amp;Aturan!$D$30,IF(K160="Belum ada data","tingkat prosesor belum diisi",""))))</f>
        <v/>
      </c>
      <c r="S160" s="66" t="str">
        <f aca="false">IF($A160="","",IF(L160="Kurang","grafis tingkat "&amp;D160&amp;" dari 5, di bawah batas minimal (tingkat "&amp;Aturan!$C$31&amp;")",IF(L160="Cukup","grafis tingkat "&amp;D160&amp;" dari 5 cukup, nyamannya mulai tingkat "&amp;Aturan!$D$31,IF(L160="Belum ada data","tingkat grafis belum diisi",""))))</f>
        <v/>
      </c>
      <c r="T160" s="66" t="str">
        <f aca="false">IF($A160="","",IF(M160="Kurang","RAM "&amp;E160&amp;" GB, di bawah batas minimal "&amp;Aturan!$C$32&amp;" GB ("&amp;I160&amp;")",IF(M160="Cukup","RAM "&amp;E160&amp;" GB cukup, nyamannya "&amp;Aturan!$D$32&amp;" GB atau lebih ("&amp;I160&amp;")",IF(M160="Belum ada data","ukuran RAM belum diisi",""))))</f>
        <v/>
      </c>
      <c r="U160" s="66" t="str">
        <f aca="false">IF($A160="","",IF(N160="Kurang","penyimpanan "&amp;F160&amp;" GB, di bawah batas minimal "&amp;Aturan!$C$33&amp;" GB ("&amp;J160&amp;")",IF(N160="Cukup","penyimpanan "&amp;F160&amp;" GB cukup, nyamannya "&amp;Aturan!$D$33&amp;" GB atau lebih ("&amp;J160&amp;")",IF(N160="Belum ada data","ukuran penyimpanan belum diisi",""))))</f>
        <v/>
      </c>
      <c r="V160" s="66" t="str">
        <f aca="false">IF($A160="","",IF(O160="Kurang","layar "&amp;Varian!$AG36&amp;", di bawah batas minimal ("&amp;IFERROR(INDEX(Aturan!$A$63:$A$66,MATCH(Aturan!$C$34,Aturan!$B$63:$B$66,0)),"peringkat "&amp;Aturan!$C$34)&amp;")",IF(O160="Cukup","layar "&amp;Varian!$AG36&amp;" cukup, nyamannya "&amp;IFERROR(INDEX(Aturan!$A$63:$A$66,MATCH(Aturan!$D$34,Aturan!$B$63:$B$66,0)),"peringkat "&amp;Aturan!$D$34),IF(O160="Belum ada data","jenis layar belum diketahui",""))))</f>
        <v/>
      </c>
      <c r="W160" s="66" t="str">
        <f aca="false">IF($A160="","",IF(P160="Kurang","layar "&amp;H160&amp;" Hz, di bawah batas minimal "&amp;Aturan!$C$35&amp;" Hz",IF(P160="Cukup","layar "&amp;H160&amp;" Hz cukup, nyamannya "&amp;Aturan!$D$35&amp;" Hz atau lebih",IF(P160="Belum ada data","refresh rate belum diketahui",""))))</f>
        <v/>
      </c>
      <c r="X160" s="66" t="str">
        <f aca="false">IF($A160="","",IF(K160="Kurang",R160&amp;"; ","")&amp;IF(L160="Kurang",S160&amp;"; ","")&amp;IF(M160="Kurang",T160&amp;"; ","")&amp;IF(N160="Kurang",U160&amp;"; ","")&amp;IF(O160="Kurang",V160&amp;"; ","")&amp;IF(P160="Kurang",W160&amp;"; ","")&amp;IF(K160="Belum ada data",R160&amp;"; ","")&amp;IF(L160="Belum ada data",S160&amp;"; ","")&amp;IF(M160="Belum ada data",T160&amp;"; ","")&amp;IF(N160="Belum ada data",U160&amp;"; ","")&amp;IF(O160="Belum ada data",V160&amp;"; ","")&amp;IF(P160="Belum ada data",W160&amp;"; ","")&amp;IF(K160="Cukup",R160&amp;"; ","")&amp;IF(L160="Cukup",S160&amp;"; ","")&amp;IF(M160="Cukup",T160&amp;"; ","")&amp;IF(N160="Cukup",U160&amp;"; ","")&amp;IF(O160="Cukup",V160&amp;"; ","")&amp;IF(P160="Cukup",W160&amp;"; ",""))</f>
        <v/>
      </c>
      <c r="Y160" s="66" t="str">
        <f aca="false">IF($A160="","",IF(K160="Nyaman","prosesor, ","")&amp;IF(L160="Nyaman","grafis, ","")&amp;IF(M160="Nyaman","RAM, ","")&amp;IF(N160="Nyaman","penyimpanan, ","")&amp;IF(O160="Nyaman","layar, ","")&amp;IF(P160="Nyaman","refresh rate, ",""))</f>
        <v>prosesor, RAM, penyimpanan, </v>
      </c>
      <c r="Z160" s="66" t="str">
        <f aca="false">IF($A160="","",IF(Q160="Tidak dinilai","Belum ada kriteria yang dinilai untuk kebutuhan ini.",IF(Q160="Cocok","Semua kriteria yang dinilai sudah nyaman: "&amp;LEFT(Y160,LEN(Y160)-2)&amp;".",UPPER(LEFT(X160,1))&amp;MID(X160,2,LEN(X160)-3)&amp;"."&amp;IF(Y160="",""," Sudah nyaman: "&amp;LEFT(Y160,LEN(Y160)-2)&amp;"."))))</f>
        <v>Semua kriteria yang dinilai sudah nyaman: prosesor, RAM, penyimpanan.</v>
      </c>
      <c r="AA160" s="66" t="str">
        <f aca="false">IF($A160="","",IF(Varian!$AR36="Windows 10","• "&amp;Aturan!$E$71&amp;CHAR(10),"")&amp;IF(Varian!$BB36="tidak","• "&amp;Aturan!$E$72&amp;CHAR(10),"")&amp;IF(OR(Varian!$AD36="belum terverifikasi",Varian!$AD36="tidak diketahui"),"• "&amp;Aturan!$E$73&amp;CHAR(10),"")&amp;IF(Varian!$AH36="1366x768","• "&amp;Aturan!$E$74&amp;CHAR(10),"")&amp;IF(Varian!$AG36="TN","• "&amp;Aturan!$E$75&amp;CHAR(10),"")&amp;IF(AND(Varian!$Q36="disolder",ISNUMBER(Varian!$M36),Varian!$M36&lt;=8),"• "&amp;Aturan!$E$76&amp;CHAR(10),""))</f>
        <v/>
      </c>
      <c r="AB160" s="66" t="str">
        <f aca="false">IF($A160="","",IF(AA160="","",LEFT(AA160,LEN(AA160)-1)))</f>
        <v/>
      </c>
      <c r="AC160" s="67" t="n">
        <f aca="false">IF($A160="","",IF(AA160="",0,LEN(AA160)-LEN(SUBSTITUTE(AA160,CHAR(10),""))))</f>
        <v>0</v>
      </c>
    </row>
    <row r="161" customFormat="false" ht="15" hidden="false" customHeight="true" outlineLevel="0" collapsed="false">
      <c r="A161" s="33" t="str">
        <f aca="false">IF(Varian!$A36="","",Varian!$A36)</f>
        <v>hp-elitebook-840-g6-i5-8365u-8-256</v>
      </c>
      <c r="B161" s="33" t="str">
        <f aca="false">IF($A161="","",Aturan!$A$22)</f>
        <v>Desain grafis</v>
      </c>
      <c r="C161" s="69" t="n">
        <f aca="false">IF($A161="","",IFERROR(IF(ISNUMBER(INDEX(CPU!$J$4:$J$64,MATCH(Varian!$J36,CPU!$A$4:$A$64,0))),INDEX(CPU!$J$4:$J$64,MATCH(Varian!$J36,CPU!$A$4:$A$64,0)),""),""))</f>
        <v>2</v>
      </c>
      <c r="D161" s="69" t="n">
        <f aca="false">IF($A161="","",IFERROR(IF(ISNUMBER(INDEX(GPU!$G$4:$G$64,MATCH(Varian!$K36,GPU!$A$4:$A$64,0))),INDEX(GPU!$G$4:$G$64,MATCH(Varian!$K36,GPU!$A$4:$A$64,0)),""),""))</f>
        <v>1</v>
      </c>
      <c r="E161" s="69" t="n">
        <f aca="false">IF($A161="","",IF(ISNUMBER(Varian!$M36),Varian!$M36,""))</f>
        <v>8</v>
      </c>
      <c r="F161" s="69" t="n">
        <f aca="false">IF($A161="","",IF(ISNUMBER(Varian!$V36),Varian!$V36,""))</f>
        <v>256</v>
      </c>
      <c r="G161" s="69" t="n">
        <f aca="false">IF($A161="","",IFERROR(INDEX(Aturan!$B$63:$B$66,MATCH(Varian!$AG36,Aturan!$A$63:$A$66,0)),""))</f>
        <v>3</v>
      </c>
      <c r="H161" s="69" t="str">
        <f aca="false">IF($A161="","",IF(ISNUMBER(Varian!$AI36),Varian!$AI36,""))</f>
        <v/>
      </c>
      <c r="I161" s="33" t="str">
        <f aca="false">IF($A161="","",IF(Varian!$Q36="disolder","menempel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1" s="33" t="str">
        <f aca="false">IF($A161="","",IF(Varian!$Z36="ya","bisa diganti dengan yang lebih besar",IF(Varian!$Z36="tidak","menempel, tidak bisa diganti","belum diketahui apakah bisa diganti")))</f>
        <v>bisa diganti dengan yang lebih besar</v>
      </c>
      <c r="K161" s="70" t="str">
        <f aca="false">IF($A161="","",IF(AND(Aturan!$C$36="",Aturan!$D$36=""),"Tidak dinilai",IF(C161="","Belum ada data",IF(C161&lt;IF(Aturan!$C$36="",0,Aturan!$C$36),"Kurang",IF(C161&gt;=IF(Aturan!$D$36="",Aturan!$C$36,Aturan!$D$36),"Nyaman","Cukup")))))</f>
        <v>Cukup</v>
      </c>
      <c r="L161" s="70" t="str">
        <f aca="false">IF($A161="","",IF(AND(Aturan!$C$37="",Aturan!$D$37=""),"Tidak dinilai",IF(D161="","Belum ada data",IF(D161&lt;IF(Aturan!$C$37="",0,Aturan!$C$37),"Kurang",IF(D161&gt;=IF(Aturan!$D$37="",Aturan!$C$37,Aturan!$D$37),"Nyaman","Cukup")))))</f>
        <v>Cukup</v>
      </c>
      <c r="M161" s="70" t="str">
        <f aca="false">IF($A161="","",IF(AND(Aturan!$C$38="",Aturan!$D$38=""),"Tidak dinilai",IF(E161="","Belum ada data",IF(E161&lt;IF(Aturan!$C$38="",0,Aturan!$C$38),"Kurang",IF(E161&gt;=IF(Aturan!$D$38="",Aturan!$C$38,Aturan!$D$38),"Nyaman","Cukup")))))</f>
        <v>Cukup</v>
      </c>
      <c r="N161" s="70" t="str">
        <f aca="false">IF($A161="","",IF(AND(Aturan!$C$39="",Aturan!$D$39=""),"Tidak dinilai",IF(F161="","Belum ada data",IF(F161&lt;IF(Aturan!$C$39="",0,Aturan!$C$39),"Kurang",IF(F161&gt;=IF(Aturan!$D$39="",Aturan!$C$39,Aturan!$D$39),"Nyaman","Cukup")))))</f>
        <v>Cukup</v>
      </c>
      <c r="O161" s="70" t="str">
        <f aca="false">IF($A161="","",IF(AND(Aturan!$C$40="",Aturan!$D$40=""),"Tidak dinilai",IF(G161="","Belum ada data",IF(G161&lt;IF(Aturan!$C$40="",0,Aturan!$C$40),"Kurang",IF(G161&gt;=IF(Aturan!$D$40="",Aturan!$C$40,Aturan!$D$40),"Nyaman","Cukup")))))</f>
        <v>Cukup</v>
      </c>
      <c r="P161" s="70" t="str">
        <f aca="false">IF($A161="","",IF(AND(Aturan!$C$41="",Aturan!$D$41=""),"Tidak dinilai",IF(H161="","Belum ada data",IF(H161&lt;IF(Aturan!$C$41="",0,Aturan!$C$41),"Kurang",IF(H161&gt;=IF(Aturan!$D$41="",Aturan!$C$41,Aturan!$D$41),"Nyaman","Cukup")))))</f>
        <v>Tidak dinilai</v>
      </c>
      <c r="Q161" s="70" t="str">
        <f aca="false">IF($A161="","",IF(COUNTIF(K161:P161,"Tidak dinilai")=6,"Tidak dinilai",IF(COUNTIF(K161:P161,"Kurang")&gt;0,"Kurang cocok",IF(COUNTIF(K161:P161,"Belum ada data")&gt;0,"Data belum lengkap",IF(COUNTIF(K161:P161,"Cukup")&gt;0,"Bisa, dengan catatan","Cocok")))))</f>
        <v>Bisa, dengan catatan</v>
      </c>
      <c r="R161" s="33" t="str">
        <f aca="false">IF($A161="","",IF(K161="Kurang","prosesor tingkat "&amp;C161&amp;" dari 5, di bawah batas minimal (tingkat "&amp;Aturan!$C$36&amp;")",IF(K161="Cukup","prosesor tingkat "&amp;C161&amp;" dari 5 cukup, nyamannya mulai tingkat "&amp;Aturan!$D$36,IF(K161="Belum ada data","tingkat prosesor belum diisi",""))))</f>
        <v>prosesor tingkat 2 dari 5 cukup, nyamannya mulai tingkat 3</v>
      </c>
      <c r="S161" s="33" t="str">
        <f aca="false">IF($A161="","",IF(L161="Kurang","grafis tingkat "&amp;D161&amp;" dari 5, di bawah batas minimal (tingkat "&amp;Aturan!$C$37&amp;")",IF(L161="Cukup","grafis tingkat "&amp;D161&amp;" dari 5 cukup, nyamannya mulai tingkat "&amp;Aturan!$D$37,IF(L161="Belum ada data","tingkat grafis belum diisi",""))))</f>
        <v>grafis tingkat 1 dari 5 cukup, nyamannya mulai tingkat 2</v>
      </c>
      <c r="T161" s="33" t="str">
        <f aca="false">IF($A161="","",IF(M161="Kurang","RAM "&amp;E161&amp;" GB, di bawah batas minimal "&amp;Aturan!$C$38&amp;" GB ("&amp;I161&amp;")",IF(M161="Cukup","RAM "&amp;E161&amp;" GB cukup, nyamannya "&amp;Aturan!$D$38&amp;" GB atau lebih ("&amp;I161&amp;")",IF(M161="Belum ada data","ukuran RAM belum diisi",""))))</f>
        <v>RAM 8 GB cukup, nyamannya 16 GB atau lebih (bisa dinaikkan lewat slot sampai 32 GB)</v>
      </c>
      <c r="U161" s="33" t="str">
        <f aca="false">IF($A161="","",IF(N161="Kurang","penyimpanan "&amp;F161&amp;" GB, di bawah batas minimal "&amp;Aturan!$C$39&amp;" GB ("&amp;J161&amp;")",IF(N161="Cukup","penyimpanan "&amp;F161&amp;" GB cukup, nyamannya "&amp;Aturan!$D$39&amp;" GB atau lebih ("&amp;J161&amp;")",IF(N161="Belum ada data","ukuran penyimpanan belum diisi",""))))</f>
        <v>penyimpanan 256 GB cukup, nyamannya 512 GB atau lebih (bisa diganti dengan yang lebih besar)</v>
      </c>
      <c r="V161" s="33" t="str">
        <f aca="false">IF($A161="","",IF(O161="Kurang","layar "&amp;Varian!$AG36&amp;", di bawah batas minimal ("&amp;IFERROR(INDEX(Aturan!$A$63:$A$66,MATCH(Aturan!$C$40,Aturan!$B$63:$B$66,0)),"peringkat "&amp;Aturan!$C$40)&amp;")",IF(O161="Cukup","layar "&amp;Varian!$AG36&amp;" cukup, nyamannya "&amp;IFERROR(INDEX(Aturan!$A$63:$A$66,MATCH(Aturan!$D$40,Aturan!$B$63:$B$66,0)),"peringkat "&amp;Aturan!$D$40),IF(O161="Belum ada data","jenis layar belum diketahui",""))))</f>
        <v>layar IPS cukup, nyamannya OLED</v>
      </c>
      <c r="W161" s="33" t="str">
        <f aca="false">IF($A161="","",IF(P161="Kurang","layar "&amp;H161&amp;" Hz, di bawah batas minimal "&amp;Aturan!$C$41&amp;" Hz",IF(P161="Cukup","layar "&amp;H161&amp;" Hz cukup, nyamannya "&amp;Aturan!$D$41&amp;" Hz atau lebih",IF(P161="Belum ada data","refresh rate belum diketahui",""))))</f>
        <v/>
      </c>
      <c r="X161" s="33" t="str">
        <f aca="false">IF($A161="","",IF(K161="Kurang",R161&amp;"; ","")&amp;IF(L161="Kurang",S161&amp;"; ","")&amp;IF(M161="Kurang",T161&amp;"; ","")&amp;IF(N161="Kurang",U161&amp;"; ","")&amp;IF(O161="Kurang",V161&amp;"; ","")&amp;IF(P161="Kurang",W161&amp;"; ","")&amp;IF(K161="Belum ada data",R161&amp;"; ","")&amp;IF(L161="Belum ada data",S161&amp;"; ","")&amp;IF(M161="Belum ada data",T161&amp;"; ","")&amp;IF(N161="Belum ada data",U161&amp;"; ","")&amp;IF(O161="Belum ada data",V161&amp;"; ","")&amp;IF(P161="Belum ada data",W161&amp;"; ","")&amp;IF(K161="Cukup",R161&amp;"; ","")&amp;IF(L161="Cukup",S161&amp;"; ","")&amp;IF(M161="Cukup",T161&amp;"; ","")&amp;IF(N161="Cukup",U161&amp;"; ","")&amp;IF(O161="Cukup",V161&amp;"; ","")&amp;IF(P161="Cukup",W161&amp;"; ",""))</f>
        <v>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layar IPS cukup, nyamannya OLED; </v>
      </c>
      <c r="Y161" s="33" t="str">
        <f aca="false">IF($A161="","",IF(K161="Nyaman","prosesor, ","")&amp;IF(L161="Nyaman","grafis, ","")&amp;IF(M161="Nyaman","RAM, ","")&amp;IF(N161="Nyaman","penyimpanan, ","")&amp;IF(O161="Nyaman","layar, ","")&amp;IF(P161="Nyaman","refresh rate, ",""))</f>
        <v/>
      </c>
      <c r="Z161" s="33" t="str">
        <f aca="false">IF($A161="","",IF(Q161="Tidak dinilai","Belum ada kriteria yang dinilai untuk kebutuhan ini.",IF(Q161="Cocok","Semua kriteria yang dinilai sudah nyaman: "&amp;LEFT(Y161,LEN(Y161)-2)&amp;".",UPPER(LEFT(X161,1))&amp;MID(X161,2,LEN(X161)-3)&amp;"."&amp;IF(Y161="",""," Sudah nyaman: "&amp;LEFT(Y161,LEN(Y161)-2)&amp;"."))))</f>
        <v>Prosesor tingkat 2 dari 5 cukup, nyamannya mulai tingkat 3; grafis tingkat 1 dari 5 cukup, nyamannya mulai tingkat 2; RAM 8 GB cukup, nyamannya 16 GB atau lebih (bisa dinaikkan lewat slot sampai 32 GB); penyimpanan 256 GB cukup, nyamannya 512 GB atau lebih (bisa diganti dengan yang lebih besar); layar IPS cukup, nyamannya OLED.</v>
      </c>
      <c r="AA161" s="33"/>
      <c r="AB161" s="33"/>
      <c r="AC161" s="69"/>
    </row>
    <row r="162" customFormat="false" ht="15" hidden="false" customHeight="true" outlineLevel="0" collapsed="false">
      <c r="A162" s="33" t="str">
        <f aca="false">IF(Varian!$A36="","",Varian!$A36)</f>
        <v>hp-elitebook-840-g6-i5-8365u-8-256</v>
      </c>
      <c r="B162" s="33" t="str">
        <f aca="false">IF($A162="","",Aturan!$A$23)</f>
        <v>Pemrograman</v>
      </c>
      <c r="C162" s="69" t="n">
        <f aca="false">IF($A162="","",IFERROR(IF(ISNUMBER(INDEX(CPU!$J$4:$J$64,MATCH(Varian!$J36,CPU!$A$4:$A$64,0))),INDEX(CPU!$J$4:$J$64,MATCH(Varian!$J36,CPU!$A$4:$A$64,0)),""),""))</f>
        <v>2</v>
      </c>
      <c r="D162" s="69" t="n">
        <f aca="false">IF($A162="","",IFERROR(IF(ISNUMBER(INDEX(GPU!$G$4:$G$64,MATCH(Varian!$K36,GPU!$A$4:$A$64,0))),INDEX(GPU!$G$4:$G$64,MATCH(Varian!$K36,GPU!$A$4:$A$64,0)),""),""))</f>
        <v>1</v>
      </c>
      <c r="E162" s="69" t="n">
        <f aca="false">IF($A162="","",IF(ISNUMBER(Varian!$M36),Varian!$M36,""))</f>
        <v>8</v>
      </c>
      <c r="F162" s="69" t="n">
        <f aca="false">IF($A162="","",IF(ISNUMBER(Varian!$V36),Varian!$V36,""))</f>
        <v>256</v>
      </c>
      <c r="G162" s="69" t="n">
        <f aca="false">IF($A162="","",IFERROR(INDEX(Aturan!$B$63:$B$66,MATCH(Varian!$AG36,Aturan!$A$63:$A$66,0)),""))</f>
        <v>3</v>
      </c>
      <c r="H162" s="69" t="str">
        <f aca="false">IF($A162="","",IF(ISNUMBER(Varian!$AI36),Varian!$AI36,""))</f>
        <v/>
      </c>
      <c r="I162" s="33" t="str">
        <f aca="false">IF($A162="","",IF(Varian!$Q36="disolder","menempel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2" s="33" t="str">
        <f aca="false">IF($A162="","",IF(Varian!$Z36="ya","bisa diganti dengan yang lebih besar",IF(Varian!$Z36="tidak","menempel, tidak bisa diganti","belum diketahui apakah bisa diganti")))</f>
        <v>bisa diganti dengan yang lebih besar</v>
      </c>
      <c r="K162" s="70" t="str">
        <f aca="false">IF($A162="","",IF(AND(Aturan!$C$42="",Aturan!$D$42=""),"Tidak dinilai",IF(C162="","Belum ada data",IF(C162&lt;IF(Aturan!$C$42="",0,Aturan!$C$42),"Kurang",IF(C162&gt;=IF(Aturan!$D$42="",Aturan!$C$42,Aturan!$D$42),"Nyaman","Cukup")))))</f>
        <v>Cukup</v>
      </c>
      <c r="L162" s="70" t="str">
        <f aca="false">IF($A162="","",IF(AND(Aturan!$C$43="",Aturan!$D$43=""),"Tidak dinilai",IF(D162="","Belum ada data",IF(D162&lt;IF(Aturan!$C$43="",0,Aturan!$C$43),"Kurang",IF(D162&gt;=IF(Aturan!$D$43="",Aturan!$C$43,Aturan!$D$43),"Nyaman","Cukup")))))</f>
        <v>Tidak dinilai</v>
      </c>
      <c r="M162" s="70" t="str">
        <f aca="false">IF($A162="","",IF(AND(Aturan!$C$44="",Aturan!$D$44=""),"Tidak dinilai",IF(E162="","Belum ada data",IF(E162&lt;IF(Aturan!$C$44="",0,Aturan!$C$44),"Kurang",IF(E162&gt;=IF(Aturan!$D$44="",Aturan!$C$44,Aturan!$D$44),"Nyaman","Cukup")))))</f>
        <v>Cukup</v>
      </c>
      <c r="N162" s="70" t="str">
        <f aca="false">IF($A162="","",IF(AND(Aturan!$C$45="",Aturan!$D$45=""),"Tidak dinilai",IF(F162="","Belum ada data",IF(F162&lt;IF(Aturan!$C$45="",0,Aturan!$C$45),"Kurang",IF(F162&gt;=IF(Aturan!$D$45="",Aturan!$C$45,Aturan!$D$45),"Nyaman","Cukup")))))</f>
        <v>Cukup</v>
      </c>
      <c r="O162" s="70" t="str">
        <f aca="false">IF($A162="","",IF(AND(Aturan!$C$46="",Aturan!$D$46=""),"Tidak dinilai",IF(G162="","Belum ada data",IF(G162&lt;IF(Aturan!$C$46="",0,Aturan!$C$46),"Kurang",IF(G162&gt;=IF(Aturan!$D$46="",Aturan!$C$46,Aturan!$D$46),"Nyaman","Cukup")))))</f>
        <v>Tidak dinilai</v>
      </c>
      <c r="P162" s="70" t="str">
        <f aca="false">IF($A162="","",IF(AND(Aturan!$C$47="",Aturan!$D$47=""),"Tidak dinilai",IF(H162="","Belum ada data",IF(H162&lt;IF(Aturan!$C$47="",0,Aturan!$C$47),"Kurang",IF(H162&gt;=IF(Aturan!$D$47="",Aturan!$C$47,Aturan!$D$47),"Nyaman","Cukup")))))</f>
        <v>Tidak dinilai</v>
      </c>
      <c r="Q162" s="70" t="str">
        <f aca="false">IF($A162="","",IF(COUNTIF(K162:P162,"Tidak dinilai")=6,"Tidak dinilai",IF(COUNTIF(K162:P162,"Kurang")&gt;0,"Kurang cocok",IF(COUNTIF(K162:P162,"Belum ada data")&gt;0,"Data belum lengkap",IF(COUNTIF(K162:P162,"Cukup")&gt;0,"Bisa, dengan catatan","Cocok")))))</f>
        <v>Bisa, dengan catatan</v>
      </c>
      <c r="R162" s="33" t="str">
        <f aca="false">IF($A162="","",IF(K162="Kurang","prosesor tingkat "&amp;C162&amp;" dari 5, di bawah batas minimal (tingkat "&amp;Aturan!$C$42&amp;")",IF(K162="Cukup","prosesor tingkat "&amp;C162&amp;" dari 5 cukup, nyamannya mulai tingkat "&amp;Aturan!$D$42,IF(K162="Belum ada data","tingkat prosesor belum diisi",""))))</f>
        <v>prosesor tingkat 2 dari 5 cukup, nyamannya mulai tingkat 3</v>
      </c>
      <c r="S162" s="33" t="str">
        <f aca="false">IF($A162="","",IF(L162="Kurang","grafis tingkat "&amp;D162&amp;" dari 5, di bawah batas minimal (tingkat "&amp;Aturan!$C$43&amp;")",IF(L162="Cukup","grafis tingkat "&amp;D162&amp;" dari 5 cukup, nyamannya mulai tingkat "&amp;Aturan!$D$43,IF(L162="Belum ada data","tingkat grafis belum diisi",""))))</f>
        <v/>
      </c>
      <c r="T162" s="33" t="str">
        <f aca="false">IF($A162="","",IF(M162="Kurang","RAM "&amp;E162&amp;" GB, di bawah batas minimal "&amp;Aturan!$C$44&amp;" GB ("&amp;I162&amp;")",IF(M162="Cukup","RAM "&amp;E162&amp;" GB cukup, nyamannya "&amp;Aturan!$D$44&amp;" GB atau lebih ("&amp;I162&amp;")",IF(M162="Belum ada data","ukuran RAM belum diisi",""))))</f>
        <v>RAM 8 GB cukup, nyamannya 16 GB atau lebih (bisa dinaikkan lewat slot sampai 32 GB)</v>
      </c>
      <c r="U162" s="33" t="str">
        <f aca="false">IF($A162="","",IF(N162="Kurang","penyimpanan "&amp;F162&amp;" GB, di bawah batas minimal "&amp;Aturan!$C$45&amp;" GB ("&amp;J162&amp;")",IF(N162="Cukup","penyimpanan "&amp;F162&amp;" GB cukup, nyamannya "&amp;Aturan!$D$45&amp;" GB atau lebih ("&amp;J162&amp;")",IF(N162="Belum ada data","ukuran penyimpanan belum diisi",""))))</f>
        <v>penyimpanan 256 GB cukup, nyamannya 512 GB atau lebih (bisa diganti dengan yang lebih besar)</v>
      </c>
      <c r="V162" s="33" t="str">
        <f aca="false">IF($A162="","",IF(O162="Kurang","layar "&amp;Varian!$AG36&amp;", di bawah batas minimal ("&amp;IFERROR(INDEX(Aturan!$A$63:$A$66,MATCH(Aturan!$C$46,Aturan!$B$63:$B$66,0)),"peringkat "&amp;Aturan!$C$46)&amp;")",IF(O162="Cukup","layar "&amp;Varian!$AG36&amp;" cukup, nyamannya "&amp;IFERROR(INDEX(Aturan!$A$63:$A$66,MATCH(Aturan!$D$46,Aturan!$B$63:$B$66,0)),"peringkat "&amp;Aturan!$D$46),IF(O162="Belum ada data","jenis layar belum diketahui",""))))</f>
        <v/>
      </c>
      <c r="W162" s="33" t="str">
        <f aca="false">IF($A162="","",IF(P162="Kurang","layar "&amp;H162&amp;" Hz, di bawah batas minimal "&amp;Aturan!$C$47&amp;" Hz",IF(P162="Cukup","layar "&amp;H162&amp;" Hz cukup, nyamannya "&amp;Aturan!$D$47&amp;" Hz atau lebih",IF(P162="Belum ada data","refresh rate belum diketahui",""))))</f>
        <v/>
      </c>
      <c r="X162" s="33" t="str">
        <f aca="false">IF($A162="","",IF(K162="Kurang",R162&amp;"; ","")&amp;IF(L162="Kurang",S162&amp;"; ","")&amp;IF(M162="Kurang",T162&amp;"; ","")&amp;IF(N162="Kurang",U162&amp;"; ","")&amp;IF(O162="Kurang",V162&amp;"; ","")&amp;IF(P162="Kurang",W162&amp;"; ","")&amp;IF(K162="Belum ada data",R162&amp;"; ","")&amp;IF(L162="Belum ada data",S162&amp;"; ","")&amp;IF(M162="Belum ada data",T162&amp;"; ","")&amp;IF(N162="Belum ada data",U162&amp;"; ","")&amp;IF(O162="Belum ada data",V162&amp;"; ","")&amp;IF(P162="Belum ada data",W162&amp;"; ","")&amp;IF(K162="Cukup",R162&amp;"; ","")&amp;IF(L162="Cukup",S162&amp;"; ","")&amp;IF(M162="Cukup",T162&amp;"; ","")&amp;IF(N162="Cukup",U162&amp;"; ","")&amp;IF(O162="Cukup",V162&amp;"; ","")&amp;IF(P162="Cukup",W162&amp;"; ",""))</f>
        <v>prosesor tingkat 2 dari 5 cukup, nyamannya mulai tingkat 3; RAM 8 GB cukup, nyamannya 16 GB atau lebih (bisa dinaikkan lewat slot sampai 32 GB); penyimpanan 256 GB cukup, nyamannya 512 GB atau lebih (bisa diganti dengan yang lebih besar); </v>
      </c>
      <c r="Y162" s="33" t="str">
        <f aca="false">IF($A162="","",IF(K162="Nyaman","prosesor, ","")&amp;IF(L162="Nyaman","grafis, ","")&amp;IF(M162="Nyaman","RAM, ","")&amp;IF(N162="Nyaman","penyimpanan, ","")&amp;IF(O162="Nyaman","layar, ","")&amp;IF(P162="Nyaman","refresh rate, ",""))</f>
        <v/>
      </c>
      <c r="Z162" s="33" t="str">
        <f aca="false">IF($A162="","",IF(Q162="Tidak dinilai","Belum ada kriteria yang dinilai untuk kebutuhan ini.",IF(Q162="Cocok","Semua kriteria yang dinilai sudah nyaman: "&amp;LEFT(Y162,LEN(Y162)-2)&amp;".",UPPER(LEFT(X162,1))&amp;MID(X162,2,LEN(X162)-3)&amp;"."&amp;IF(Y162="",""," Sudah nyaman: "&amp;LEFT(Y162,LEN(Y162)-2)&amp;"."))))</f>
        <v>Prosesor tingkat 2 dari 5 cukup, nyamannya mulai tingkat 3; RAM 8 GB cukup, nyamannya 16 GB atau lebih (bisa dinaikkan lewat slot sampai 32 GB); penyimpanan 256 GB cukup, nyamannya 512 GB atau lebih (bisa diganti dengan yang lebih besar).</v>
      </c>
      <c r="AA162" s="33"/>
      <c r="AB162" s="33"/>
      <c r="AC162" s="69"/>
    </row>
    <row r="163" customFormat="false" ht="15" hidden="false" customHeight="true" outlineLevel="0" collapsed="false">
      <c r="A163" s="33" t="str">
        <f aca="false">IF(Varian!$A36="","",Varian!$A36)</f>
        <v>hp-elitebook-840-g6-i5-8365u-8-256</v>
      </c>
      <c r="B163" s="33" t="str">
        <f aca="false">IF($A163="","",Aturan!$A$24)</f>
        <v>Game ringan</v>
      </c>
      <c r="C163" s="69" t="n">
        <f aca="false">IF($A163="","",IFERROR(IF(ISNUMBER(INDEX(CPU!$J$4:$J$64,MATCH(Varian!$J36,CPU!$A$4:$A$64,0))),INDEX(CPU!$J$4:$J$64,MATCH(Varian!$J36,CPU!$A$4:$A$64,0)),""),""))</f>
        <v>2</v>
      </c>
      <c r="D163" s="69" t="n">
        <f aca="false">IF($A163="","",IFERROR(IF(ISNUMBER(INDEX(GPU!$G$4:$G$64,MATCH(Varian!$K36,GPU!$A$4:$A$64,0))),INDEX(GPU!$G$4:$G$64,MATCH(Varian!$K36,GPU!$A$4:$A$64,0)),""),""))</f>
        <v>1</v>
      </c>
      <c r="E163" s="69" t="n">
        <f aca="false">IF($A163="","",IF(ISNUMBER(Varian!$M36),Varian!$M36,""))</f>
        <v>8</v>
      </c>
      <c r="F163" s="69" t="n">
        <f aca="false">IF($A163="","",IF(ISNUMBER(Varian!$V36),Varian!$V36,""))</f>
        <v>256</v>
      </c>
      <c r="G163" s="69" t="n">
        <f aca="false">IF($A163="","",IFERROR(INDEX(Aturan!$B$63:$B$66,MATCH(Varian!$AG36,Aturan!$A$63:$A$66,0)),""))</f>
        <v>3</v>
      </c>
      <c r="H163" s="69" t="str">
        <f aca="false">IF($A163="","",IF(ISNUMBER(Varian!$AI36),Varian!$AI36,""))</f>
        <v/>
      </c>
      <c r="I163" s="33" t="str">
        <f aca="false">IF($A163="","",IF(Varian!$Q36="disolder","menempel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3" s="33" t="str">
        <f aca="false">IF($A163="","",IF(Varian!$Z36="ya","bisa diganti dengan yang lebih besar",IF(Varian!$Z36="tidak","menempel, tidak bisa diganti","belum diketahui apakah bisa diganti")))</f>
        <v>bisa diganti dengan yang lebih besar</v>
      </c>
      <c r="K163" s="70" t="str">
        <f aca="false">IF($A163="","",IF(AND(Aturan!$C$48="",Aturan!$D$48=""),"Tidak dinilai",IF(C163="","Belum ada data",IF(C163&lt;IF(Aturan!$C$48="",0,Aturan!$C$48),"Kurang",IF(C163&gt;=IF(Aturan!$D$48="",Aturan!$C$48,Aturan!$D$48),"Nyaman","Cukup")))))</f>
        <v>Cukup</v>
      </c>
      <c r="L163" s="70" t="str">
        <f aca="false">IF($A163="","",IF(AND(Aturan!$C$49="",Aturan!$D$49=""),"Tidak dinilai",IF(D163="","Belum ada data",IF(D163&lt;IF(Aturan!$C$49="",0,Aturan!$C$49),"Kurang",IF(D163&gt;=IF(Aturan!$D$49="",Aturan!$C$49,Aturan!$D$49),"Nyaman","Cukup")))))</f>
        <v>Cukup</v>
      </c>
      <c r="M163" s="70" t="str">
        <f aca="false">IF($A163="","",IF(AND(Aturan!$C$50="",Aturan!$D$50=""),"Tidak dinilai",IF(E163="","Belum ada data",IF(E163&lt;IF(Aturan!$C$50="",0,Aturan!$C$50),"Kurang",IF(E163&gt;=IF(Aturan!$D$50="",Aturan!$C$50,Aturan!$D$50),"Nyaman","Cukup")))))</f>
        <v>Nyaman</v>
      </c>
      <c r="N163" s="70" t="str">
        <f aca="false">IF($A163="","",IF(AND(Aturan!$C$51="",Aturan!$D$51=""),"Tidak dinilai",IF(F163="","Belum ada data",IF(F163&lt;IF(Aturan!$C$51="",0,Aturan!$C$51),"Kurang",IF(F163&gt;=IF(Aturan!$D$51="",Aturan!$C$51,Aturan!$D$51),"Nyaman","Cukup")))))</f>
        <v>Nyaman</v>
      </c>
      <c r="O163" s="70" t="str">
        <f aca="false">IF($A163="","",IF(AND(Aturan!$C$52="",Aturan!$D$52=""),"Tidak dinilai",IF(G163="","Belum ada data",IF(G163&lt;IF(Aturan!$C$52="",0,Aturan!$C$52),"Kurang",IF(G163&gt;=IF(Aturan!$D$52="",Aturan!$C$52,Aturan!$D$52),"Nyaman","Cukup")))))</f>
        <v>Tidak dinilai</v>
      </c>
      <c r="P163" s="70" t="str">
        <f aca="false">IF($A163="","",IF(AND(Aturan!$C$53="",Aturan!$D$53=""),"Tidak dinilai",IF(H163="","Belum ada data",IF(H163&lt;IF(Aturan!$C$53="",0,Aturan!$C$53),"Kurang",IF(H163&gt;=IF(Aturan!$D$53="",Aturan!$C$53,Aturan!$D$53),"Nyaman","Cukup")))))</f>
        <v>Tidak dinilai</v>
      </c>
      <c r="Q163" s="70" t="str">
        <f aca="false">IF($A163="","",IF(COUNTIF(K163:P163,"Tidak dinilai")=6,"Tidak dinilai",IF(COUNTIF(K163:P163,"Kurang")&gt;0,"Kurang cocok",IF(COUNTIF(K163:P163,"Belum ada data")&gt;0,"Data belum lengkap",IF(COUNTIF(K163:P163,"Cukup")&gt;0,"Bisa, dengan catatan","Cocok")))))</f>
        <v>Bisa, dengan catatan</v>
      </c>
      <c r="R163" s="33" t="str">
        <f aca="false">IF($A163="","",IF(K163="Kurang","prosesor tingkat "&amp;C163&amp;" dari 5, di bawah batas minimal (tingkat "&amp;Aturan!$C$48&amp;")",IF(K163="Cukup","prosesor tingkat "&amp;C163&amp;" dari 5 cukup, nyamannya mulai tingkat "&amp;Aturan!$D$48,IF(K163="Belum ada data","tingkat prosesor belum diisi",""))))</f>
        <v>prosesor tingkat 2 dari 5 cukup, nyamannya mulai tingkat 3</v>
      </c>
      <c r="S163" s="33" t="str">
        <f aca="false">IF($A163="","",IF(L163="Kurang","grafis tingkat "&amp;D163&amp;" dari 5, di bawah batas minimal (tingkat "&amp;Aturan!$C$49&amp;")",IF(L163="Cukup","grafis tingkat "&amp;D163&amp;" dari 5 cukup, nyamannya mulai tingkat "&amp;Aturan!$D$49,IF(L163="Belum ada data","tingkat grafis belum diisi",""))))</f>
        <v>grafis tingkat 1 dari 5 cukup, nyamannya mulai tingkat 2</v>
      </c>
      <c r="T163" s="33" t="str">
        <f aca="false">IF($A163="","",IF(M163="Kurang","RAM "&amp;E163&amp;" GB, di bawah batas minimal "&amp;Aturan!$C$50&amp;" GB ("&amp;I163&amp;")",IF(M163="Cukup","RAM "&amp;E163&amp;" GB cukup, nyamannya "&amp;Aturan!$D$50&amp;" GB atau lebih ("&amp;I163&amp;")",IF(M163="Belum ada data","ukuran RAM belum diisi",""))))</f>
        <v/>
      </c>
      <c r="U163" s="33" t="str">
        <f aca="false">IF($A163="","",IF(N163="Kurang","penyimpanan "&amp;F163&amp;" GB, di bawah batas minimal "&amp;Aturan!$C$51&amp;" GB ("&amp;J163&amp;")",IF(N163="Cukup","penyimpanan "&amp;F163&amp;" GB cukup, nyamannya "&amp;Aturan!$D$51&amp;" GB atau lebih ("&amp;J163&amp;")",IF(N163="Belum ada data","ukuran penyimpanan belum diisi",""))))</f>
        <v/>
      </c>
      <c r="V163" s="33" t="str">
        <f aca="false">IF($A163="","",IF(O163="Kurang","layar "&amp;Varian!$AG36&amp;", di bawah batas minimal ("&amp;IFERROR(INDEX(Aturan!$A$63:$A$66,MATCH(Aturan!$C$52,Aturan!$B$63:$B$66,0)),"peringkat "&amp;Aturan!$C$52)&amp;")",IF(O163="Cukup","layar "&amp;Varian!$AG36&amp;" cukup, nyamannya "&amp;IFERROR(INDEX(Aturan!$A$63:$A$66,MATCH(Aturan!$D$52,Aturan!$B$63:$B$66,0)),"peringkat "&amp;Aturan!$D$52),IF(O163="Belum ada data","jenis layar belum diketahui",""))))</f>
        <v/>
      </c>
      <c r="W163" s="33" t="str">
        <f aca="false">IF($A163="","",IF(P163="Kurang","layar "&amp;H163&amp;" Hz, di bawah batas minimal "&amp;Aturan!$C$53&amp;" Hz",IF(P163="Cukup","layar "&amp;H163&amp;" Hz cukup, nyamannya "&amp;Aturan!$D$53&amp;" Hz atau lebih",IF(P163="Belum ada data","refresh rate belum diketahui",""))))</f>
        <v/>
      </c>
      <c r="X163" s="33" t="str">
        <f aca="false">IF($A163="","",IF(K163="Kurang",R163&amp;"; ","")&amp;IF(L163="Kurang",S163&amp;"; ","")&amp;IF(M163="Kurang",T163&amp;"; ","")&amp;IF(N163="Kurang",U163&amp;"; ","")&amp;IF(O163="Kurang",V163&amp;"; ","")&amp;IF(P163="Kurang",W163&amp;"; ","")&amp;IF(K163="Belum ada data",R163&amp;"; ","")&amp;IF(L163="Belum ada data",S163&amp;"; ","")&amp;IF(M163="Belum ada data",T163&amp;"; ","")&amp;IF(N163="Belum ada data",U163&amp;"; ","")&amp;IF(O163="Belum ada data",V163&amp;"; ","")&amp;IF(P163="Belum ada data",W163&amp;"; ","")&amp;IF(K163="Cukup",R163&amp;"; ","")&amp;IF(L163="Cukup",S163&amp;"; ","")&amp;IF(M163="Cukup",T163&amp;"; ","")&amp;IF(N163="Cukup",U163&amp;"; ","")&amp;IF(O163="Cukup",V163&amp;"; ","")&amp;IF(P163="Cukup",W163&amp;"; ",""))</f>
        <v>prosesor tingkat 2 dari 5 cukup, nyamannya mulai tingkat 3; grafis tingkat 1 dari 5 cukup, nyamannya mulai tingkat 2; </v>
      </c>
      <c r="Y163" s="33" t="str">
        <f aca="false">IF($A163="","",IF(K163="Nyaman","prosesor, ","")&amp;IF(L163="Nyaman","grafis, ","")&amp;IF(M163="Nyaman","RAM, ","")&amp;IF(N163="Nyaman","penyimpanan, ","")&amp;IF(O163="Nyaman","layar, ","")&amp;IF(P163="Nyaman","refresh rate, ",""))</f>
        <v>RAM, penyimpanan, </v>
      </c>
      <c r="Z163" s="33" t="str">
        <f aca="false">IF($A163="","",IF(Q163="Tidak dinilai","Belum ada kriteria yang dinilai untuk kebutuhan ini.",IF(Q163="Cocok","Semua kriteria yang dinilai sudah nyaman: "&amp;LEFT(Y163,LEN(Y163)-2)&amp;".",UPPER(LEFT(X163,1))&amp;MID(X163,2,LEN(X163)-3)&amp;"."&amp;IF(Y163="",""," Sudah nyaman: "&amp;LEFT(Y163,LEN(Y163)-2)&amp;"."))))</f>
        <v>Prosesor tingkat 2 dari 5 cukup, nyamannya mulai tingkat 3; grafis tingkat 1 dari 5 cukup, nyamannya mulai tingkat 2. Sudah nyaman: RAM, penyimpanan.</v>
      </c>
      <c r="AA163" s="33"/>
      <c r="AB163" s="33"/>
      <c r="AC163" s="69"/>
    </row>
    <row r="164" customFormat="false" ht="15" hidden="false" customHeight="true" outlineLevel="0" collapsed="false">
      <c r="A164" s="33" t="str">
        <f aca="false">IF(Varian!$A36="","",Varian!$A36)</f>
        <v>hp-elitebook-840-g6-i5-8365u-8-256</v>
      </c>
      <c r="B164" s="33" t="str">
        <f aca="false">IF($A164="","",Aturan!$A$25)</f>
        <v>Game berat</v>
      </c>
      <c r="C164" s="69" t="n">
        <f aca="false">IF($A164="","",IFERROR(IF(ISNUMBER(INDEX(CPU!$J$4:$J$64,MATCH(Varian!$J36,CPU!$A$4:$A$64,0))),INDEX(CPU!$J$4:$J$64,MATCH(Varian!$J36,CPU!$A$4:$A$64,0)),""),""))</f>
        <v>2</v>
      </c>
      <c r="D164" s="69" t="n">
        <f aca="false">IF($A164="","",IFERROR(IF(ISNUMBER(INDEX(GPU!$G$4:$G$64,MATCH(Varian!$K36,GPU!$A$4:$A$64,0))),INDEX(GPU!$G$4:$G$64,MATCH(Varian!$K36,GPU!$A$4:$A$64,0)),""),""))</f>
        <v>1</v>
      </c>
      <c r="E164" s="69" t="n">
        <f aca="false">IF($A164="","",IF(ISNUMBER(Varian!$M36),Varian!$M36,""))</f>
        <v>8</v>
      </c>
      <c r="F164" s="69" t="n">
        <f aca="false">IF($A164="","",IF(ISNUMBER(Varian!$V36),Varian!$V36,""))</f>
        <v>256</v>
      </c>
      <c r="G164" s="69" t="n">
        <f aca="false">IF($A164="","",IFERROR(INDEX(Aturan!$B$63:$B$66,MATCH(Varian!$AG36,Aturan!$A$63:$A$66,0)),""))</f>
        <v>3</v>
      </c>
      <c r="H164" s="69" t="str">
        <f aca="false">IF($A164="","",IF(ISNUMBER(Varian!$AI36),Varian!$AI36,""))</f>
        <v/>
      </c>
      <c r="I164" s="33" t="str">
        <f aca="false">IF($A164="","",IF(Varian!$Q36="disolder","menempel di papan utama, tidak bisa ditambah",IF(OR(Varian!$Q36="slot",Varian!$Q36="setengah_disolder"),IF(Varian!$Q36="setengah_disolder","sebagian menempel, ","")&amp;IF(ISNUMBER(Varian!$U36),IF(AND(ISNUMBER(Varian!$M36),Varian!$U36&gt;Varian!$M36),"bisa dinaikkan lewat slot sampai "&amp;Varian!$U36&amp;" GB","sudah di batas maksimal "&amp;Varian!$U36&amp;" GB"),"ada slot, batas maksimalnya belum diketahui"),"belum diketahui apakah bisa ditambah")))</f>
        <v>bisa dinaikkan lewat slot sampai 32 GB</v>
      </c>
      <c r="J164" s="33" t="str">
        <f aca="false">IF($A164="","",IF(Varian!$Z36="ya","bisa diganti dengan yang lebih besar",IF(Varian!$Z36="tidak","menempel, tidak bisa diganti","belum diketahui apakah bisa diganti")))</f>
        <v>bisa diganti dengan yang lebih besar</v>
      </c>
      <c r="K164" s="70" t="str">
        <f aca="false">IF($A164="","",IF(AND(Aturan!$C$54="",Aturan!$D$54=""),"Tidak dinilai",IF(C164="","Belum ada data",IF(C164&lt;IF(Aturan!$C$54="",0,Aturan!$C$54),"Kurang",IF(C164&gt;=IF(Aturan!$D$54="",Aturan!$C$54,Aturan!$D$54),"Nyaman","Cukup")))))</f>
        <v>Kurang</v>
      </c>
      <c r="L164" s="70" t="str">
        <f aca="false">IF($A164="","",IF(AND(Aturan!$C$55="",Aturan!$D$55=""),"Tidak dinilai",IF(D164="","Belum ada data",IF(D164&lt;IF(Aturan!$C$55="",0,Aturan!$C$55),"Kurang",IF(D164&gt;=IF(Aturan!$D$55="",Aturan!$C$55,Aturan!$D$55),"Nyaman","Cukup")))))</f>
        <v>Kurang</v>
      </c>
      <c r="M164" s="70" t="str">
        <f aca="false">IF($A164="","",IF(AND(Aturan!$C$56="",Aturan!$D$56=""),"Tidak dinilai",IF(E164="","Belum ada data",IF(E164&lt;IF(Aturan!$C$56="",0,Aturan!$C$56),"Kurang",IF(E164&gt;=IF(Aturan!$D$56="",Aturan!$C$56,Aturan!$D$56),"Nyaman","Cukup")))))</f>
        <v>Cukup</v>
      </c>
      <c r="N164" s="70" t="str">
        <f aca="false">IF($A164="","",IF(AND(Aturan!$C$57="",Aturan!$D$57=""),"Tidak dinilai",IF(F164="","Belum ada data",IF(F164&lt;IF(Aturan!$C$57="",0,Aturan!$C$57),"Kurang",IF(F164&gt;=IF(Aturan!$D$57="",Aturan!$C$57,Aturan!$D$57),"Nyaman","Cukup")))))</f>
        <v>Kurang</v>
      </c>
      <c r="O164" s="70" t="str">
        <f aca="false">IF($A164="","",IF(AND(Aturan!$C$58="",Aturan!$D$58=""),"Tidak dinilai",IF(G164="","Belum ada data",IF(G164&lt;IF(Aturan!$C$58="",0,Aturan!$C$58),"Kurang",IF(G164&gt;=IF(Aturan!$D$58="",Aturan!$C$58,Aturan!$D$58),"Nyaman","Cukup")))))</f>
        <v>Tidak dinilai</v>
      </c>
      <c r="P164" s="70" t="str">
        <f aca="false">IF($A164="","",IF(AND(Aturan!$C$59="",Aturan!$D$59=""),"Tidak dinilai",IF(H164="","Belum ada data",IF(H164&lt;IF(Aturan!$C$59="",0,Aturan!$C$59),"Kurang",IF(H164&gt;=IF(Aturan!$D$59="",Aturan!$C$59,Aturan!$D$59),"Nyaman","Cukup")))))</f>
        <v>Belum ada data</v>
      </c>
      <c r="Q164" s="70" t="str">
        <f aca="false">IF($A164="","",IF(COUNTIF(K164:P164,"Tidak dinilai")=6,"Tidak dinilai",IF(COUNTIF(K164:P164,"Kurang")&gt;0,"Kurang cocok",IF(COUNTIF(K164:P164,"Belum ada data")&gt;0,"Data belum lengkap",IF(COUNTIF(K164:P164,"Cukup")&gt;0,"Bisa, dengan catatan","Cocok")))))</f>
        <v>Kurang cocok</v>
      </c>
      <c r="R164" s="33" t="str">
        <f aca="false">IF($A164="","",IF(K164="Kurang","prosesor tingkat "&amp;C164&amp;" dari 5, di bawah batas minimal (tingkat "&amp;Aturan!$C$54&amp;")",IF(K164="Cukup","prosesor tingkat "&amp;C164&amp;" dari 5 cukup, nyamannya mulai tingkat "&amp;Aturan!$D$54,IF(K164="Belum ada data","tingkat prosesor belum diisi",""))))</f>
        <v>prosesor tingkat 2 dari 5, di bawah batas minimal (tingkat 3)</v>
      </c>
      <c r="S164" s="33" t="str">
        <f aca="false">IF($A164="","",IF(L164="Kurang","grafis tingkat "&amp;D164&amp;" dari 5, di bawah batas minimal (tingkat "&amp;Aturan!$C$55&amp;")",IF(L164="Cukup","grafis tingkat "&amp;D164&amp;" dari 5 cukup, nyamannya mulai tingkat "&amp;Aturan!$D$55,IF(L164="Belum ada data","tingkat grafis belum diisi",""))))</f>
        <v>grafis tingkat 1 dari 5, di bawah batas minimal (tingkat 3)</v>
      </c>
      <c r="T164" s="33" t="str">
        <f aca="false">IF($A164="","",IF(M164="Kurang","RAM "&amp;E164&amp;" GB, di bawah batas minimal "&amp;Aturan!$C$56&amp;" GB ("&amp;I164&amp;")",IF(M164="Cukup","RAM "&amp;E164&amp;" GB cukup, nyamannya "&amp;Aturan!$D$56&amp;" GB atau lebih ("&amp;I164&amp;")",IF(M164="Belum ada data","ukuran RAM belum diisi",""))))</f>
        <v>RAM 8 GB cukup, nyamannya 16 GB atau lebih (bisa dinaikkan lewat slot sampai 32 GB)</v>
      </c>
      <c r="U164" s="33" t="str">
        <f aca="false">IF($A164="","",IF(N164="Kurang","penyimpanan "&amp;F164&amp;" GB, di bawah batas minimal "&amp;Aturan!$C$57&amp;" GB ("&amp;J164&amp;")",IF(N164="Cukup","penyimpanan "&amp;F164&amp;" GB cukup, nyamannya "&amp;Aturan!$D$57&amp;" GB atau lebih ("&amp;J164&amp;")",IF(N164="Belum ada data","ukuran penyimpanan belum diisi",""))))</f>
        <v>penyimpanan 256 GB, di bawah batas minimal 512 GB (bisa diganti dengan yang lebih besar)</v>
      </c>
      <c r="V164" s="33" t="str">
        <f aca="false">IF($A164="","",IF(O164="Kurang","layar "&amp;Varian!$AG36&amp;", di bawah batas minimal ("&amp;IFERROR(INDEX(Aturan!$A$63:$A$66,MATCH(Aturan!$C$58,Aturan!$B$63:$B$66,0)),"peringkat "&amp;Aturan!$C$58)&amp;")",IF(O164="Cukup","layar "&amp;Varian!$AG36&amp;" cukup, nyamannya "&amp;IFERROR(INDEX(Aturan!$A$63:$A$66,MATCH(Aturan!$D$58,Aturan!$B$63:$B$66,0)),"peringkat "&amp;Aturan!$D$58),IF(O164="Belum ada data","jenis layar belum diketahui",""))))</f>
        <v/>
      </c>
      <c r="W164" s="33" t="str">
        <f aca="false">IF($A164="","",IF(P164="Kurang","layar "&amp;H164&amp;" Hz, di bawah batas minimal "&amp;Aturan!$C$59&amp;" Hz",IF(P164="Cukup","layar "&amp;H164&amp;" Hz cukup, nyamannya "&amp;Aturan!$D$59&amp;" Hz atau lebih",IF(P164="Belum ada data","refresh rate belum diketahui",""))))</f>
        <v>refresh rate belum diketahui</v>
      </c>
      <c r="X164" s="33" t="str">
        <f aca="false">IF($A164="","",IF(K164="Kurang",R164&amp;"; ","")&amp;IF(L164="Kurang",S164&amp;"; ","")&amp;IF(M164="Kurang",T164&amp;"; ","")&amp;IF(N164="Kurang",U164&amp;"; ","")&amp;IF(O164="Kurang",V164&amp;"; ","")&amp;IF(P164="Kurang",W164&amp;"; ","")&amp;IF(K164="Belum ada data",R164&amp;"; ","")&amp;IF(L164="Belum ada data",S164&amp;"; ","")&amp;IF(M164="Belum ada data",T164&amp;"; ","")&amp;IF(N164="Belum ada data",U164&amp;"; ","")&amp;IF(O164="Belum ada data",V164&amp;"; ","")&amp;IF(P164="Belum ada data",W164&amp;"; ","")&amp;IF(K164="Cukup",R164&amp;"; ","")&amp;IF(L164="Cukup",S164&amp;"; ","")&amp;IF(M164="Cukup",T164&amp;"; ","")&amp;IF(N164="Cukup",U164&amp;"; ","")&amp;IF(O164="Cukup",V164&amp;"; ","")&amp;IF(P164="Cukup",W164&amp;"; ",""))</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 </v>
      </c>
      <c r="Y164" s="33" t="str">
        <f aca="false">IF($A164="","",IF(K164="Nyaman","prosesor, ","")&amp;IF(L164="Nyaman","grafis, ","")&amp;IF(M164="Nyaman","RAM, ","")&amp;IF(N164="Nyaman","penyimpanan, ","")&amp;IF(O164="Nyaman","layar, ","")&amp;IF(P164="Nyaman","refresh rate, ",""))</f>
        <v/>
      </c>
      <c r="Z164" s="33" t="str">
        <f aca="false">IF($A164="","",IF(Q164="Tidak dinilai","Belum ada kriteria yang dinilai untuk kebutuhan ini.",IF(Q164="Cocok","Semua kriteria yang dinilai sudah nyaman: "&amp;LEFT(Y164,LEN(Y164)-2)&amp;".",UPPER(LEFT(X164,1))&amp;MID(X164,2,LEN(X164)-3)&amp;"."&amp;IF(Y164="",""," Sudah nyaman: "&amp;LEFT(Y164,LEN(Y164)-2)&amp;"."))))</f>
        <v>Prosesor tingkat 2 dari 5, di bawah batas minimal (tingkat 3); grafis tingkat 1 dari 5, di bawah batas minimal (tingkat 3); penyimpanan 256 GB, di bawah batas minimal 512 GB (bisa diganti dengan yang lebih besar); refresh rate belum diketahui; RAM 8 GB cukup, nyamannya 16 GB atau lebih (bisa dinaikkan lewat slot sampai 32 GB).</v>
      </c>
      <c r="AA164" s="33"/>
      <c r="AB164" s="33"/>
      <c r="AC164" s="69"/>
    </row>
    <row r="165" customFormat="false" ht="15" hidden="false" customHeight="true" outlineLevel="0" collapsed="false">
      <c r="A165" s="66" t="str">
        <f aca="false">IF(Varian!$A37="","",Varian!$A37)</f>
        <v>hp-elitebook-840-g6-i5-8265u-16-512</v>
      </c>
      <c r="B165" s="66" t="str">
        <f aca="false">IF($A165="","",Aturan!$A$21)</f>
        <v>Kuliah dan kantor</v>
      </c>
      <c r="C165" s="67" t="n">
        <f aca="false">IF($A165="","",IFERROR(IF(ISNUMBER(INDEX(CPU!$J$4:$J$64,MATCH(Varian!$J37,CPU!$A$4:$A$64,0))),INDEX(CPU!$J$4:$J$64,MATCH(Varian!$J37,CPU!$A$4:$A$64,0)),""),""))</f>
        <v>2</v>
      </c>
      <c r="D165" s="67" t="n">
        <f aca="false">IF($A165="","",IFERROR(IF(ISNUMBER(INDEX(GPU!$G$4:$G$64,MATCH(Varian!$K37,GPU!$A$4:$A$64,0))),INDEX(GPU!$G$4:$G$64,MATCH(Varian!$K37,GPU!$A$4:$A$64,0)),""),""))</f>
        <v>1</v>
      </c>
      <c r="E165" s="67" t="n">
        <f aca="false">IF($A165="","",IF(ISNUMBER(Varian!$M37),Varian!$M37,""))</f>
        <v>16</v>
      </c>
      <c r="F165" s="67" t="n">
        <f aca="false">IF($A165="","",IF(ISNUMBER(Varian!$V37),Varian!$V37,""))</f>
        <v>512</v>
      </c>
      <c r="G165" s="67" t="n">
        <f aca="false">IF($A165="","",IFERROR(INDEX(Aturan!$B$63:$B$66,MATCH(Varian!$AG37,Aturan!$A$63:$A$66,0)),""))</f>
        <v>3</v>
      </c>
      <c r="H165" s="67" t="str">
        <f aca="false">IF($A165="","",IF(ISNUMBER(Varian!$AI37),Varian!$AI37,""))</f>
        <v/>
      </c>
      <c r="I165" s="66" t="str">
        <f aca="false">IF($A165="","",IF(Varian!$Q37="disolder","menempel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5" s="66" t="str">
        <f aca="false">IF($A165="","",IF(Varian!$Z37="ya","bisa diganti dengan yang lebih besar",IF(Varian!$Z37="tidak","menempel, tidak bisa diganti","belum diketahui apakah bisa diganti")))</f>
        <v>bisa diganti dengan yang lebih besar</v>
      </c>
      <c r="K165" s="68" t="str">
        <f aca="false">IF($A165="","",IF(AND(Aturan!$C$30="",Aturan!$D$30=""),"Tidak dinilai",IF(C165="","Belum ada data",IF(C165&lt;IF(Aturan!$C$30="",0,Aturan!$C$30),"Kurang",IF(C165&gt;=IF(Aturan!$D$30="",Aturan!$C$30,Aturan!$D$30),"Nyaman","Cukup")))))</f>
        <v>Nyaman</v>
      </c>
      <c r="L165" s="68" t="str">
        <f aca="false">IF($A165="","",IF(AND(Aturan!$C$31="",Aturan!$D$31=""),"Tidak dinilai",IF(D165="","Belum ada data",IF(D165&lt;IF(Aturan!$C$31="",0,Aturan!$C$31),"Kurang",IF(D165&gt;=IF(Aturan!$D$31="",Aturan!$C$31,Aturan!$D$31),"Nyaman","Cukup")))))</f>
        <v>Tidak dinilai</v>
      </c>
      <c r="M165" s="68" t="str">
        <f aca="false">IF($A165="","",IF(AND(Aturan!$C$32="",Aturan!$D$32=""),"Tidak dinilai",IF(E165="","Belum ada data",IF(E165&lt;IF(Aturan!$C$32="",0,Aturan!$C$32),"Kurang",IF(E165&gt;=IF(Aturan!$D$32="",Aturan!$C$32,Aturan!$D$32),"Nyaman","Cukup")))))</f>
        <v>Nyaman</v>
      </c>
      <c r="N165" s="68" t="str">
        <f aca="false">IF($A165="","",IF(AND(Aturan!$C$33="",Aturan!$D$33=""),"Tidak dinilai",IF(F165="","Belum ada data",IF(F165&lt;IF(Aturan!$C$33="",0,Aturan!$C$33),"Kurang",IF(F165&gt;=IF(Aturan!$D$33="",Aturan!$C$33,Aturan!$D$33),"Nyaman","Cukup")))))</f>
        <v>Nyaman</v>
      </c>
      <c r="O165" s="68" t="str">
        <f aca="false">IF($A165="","",IF(AND(Aturan!$C$34="",Aturan!$D$34=""),"Tidak dinilai",IF(G165="","Belum ada data",IF(G165&lt;IF(Aturan!$C$34="",0,Aturan!$C$34),"Kurang",IF(G165&gt;=IF(Aturan!$D$34="",Aturan!$C$34,Aturan!$D$34),"Nyaman","Cukup")))))</f>
        <v>Tidak dinilai</v>
      </c>
      <c r="P165" s="68" t="str">
        <f aca="false">IF($A165="","",IF(AND(Aturan!$C$35="",Aturan!$D$35=""),"Tidak dinilai",IF(H165="","Belum ada data",IF(H165&lt;IF(Aturan!$C$35="",0,Aturan!$C$35),"Kurang",IF(H165&gt;=IF(Aturan!$D$35="",Aturan!$C$35,Aturan!$D$35),"Nyaman","Cukup")))))</f>
        <v>Tidak dinilai</v>
      </c>
      <c r="Q165" s="68" t="str">
        <f aca="false">IF($A165="","",IF(COUNTIF(K165:P165,"Tidak dinilai")=6,"Tidak dinilai",IF(COUNTIF(K165:P165,"Kurang")&gt;0,"Kurang cocok",IF(COUNTIF(K165:P165,"Belum ada data")&gt;0,"Data belum lengkap",IF(COUNTIF(K165:P165,"Cukup")&gt;0,"Bisa, dengan catatan","Cocok")))))</f>
        <v>Cocok</v>
      </c>
      <c r="R165" s="66" t="str">
        <f aca="false">IF($A165="","",IF(K165="Kurang","prosesor tingkat "&amp;C165&amp;" dari 5, di bawah batas minimal (tingkat "&amp;Aturan!$C$30&amp;")",IF(K165="Cukup","prosesor tingkat "&amp;C165&amp;" dari 5 cukup, nyamannya mulai tingkat "&amp;Aturan!$D$30,IF(K165="Belum ada data","tingkat prosesor belum diisi",""))))</f>
        <v/>
      </c>
      <c r="S165" s="66" t="str">
        <f aca="false">IF($A165="","",IF(L165="Kurang","grafis tingkat "&amp;D165&amp;" dari 5, di bawah batas minimal (tingkat "&amp;Aturan!$C$31&amp;")",IF(L165="Cukup","grafis tingkat "&amp;D165&amp;" dari 5 cukup, nyamannya mulai tingkat "&amp;Aturan!$D$31,IF(L165="Belum ada data","tingkat grafis belum diisi",""))))</f>
        <v/>
      </c>
      <c r="T165" s="66" t="str">
        <f aca="false">IF($A165="","",IF(M165="Kurang","RAM "&amp;E165&amp;" GB, di bawah batas minimal "&amp;Aturan!$C$32&amp;" GB ("&amp;I165&amp;")",IF(M165="Cukup","RAM "&amp;E165&amp;" GB cukup, nyamannya "&amp;Aturan!$D$32&amp;" GB atau lebih ("&amp;I165&amp;")",IF(M165="Belum ada data","ukuran RAM belum diisi",""))))</f>
        <v/>
      </c>
      <c r="U165" s="66" t="str">
        <f aca="false">IF($A165="","",IF(N165="Kurang","penyimpanan "&amp;F165&amp;" GB, di bawah batas minimal "&amp;Aturan!$C$33&amp;" GB ("&amp;J165&amp;")",IF(N165="Cukup","penyimpanan "&amp;F165&amp;" GB cukup, nyamannya "&amp;Aturan!$D$33&amp;" GB atau lebih ("&amp;J165&amp;")",IF(N165="Belum ada data","ukuran penyimpanan belum diisi",""))))</f>
        <v/>
      </c>
      <c r="V165" s="66" t="str">
        <f aca="false">IF($A165="","",IF(O165="Kurang","layar "&amp;Varian!$AG37&amp;", di bawah batas minimal ("&amp;IFERROR(INDEX(Aturan!$A$63:$A$66,MATCH(Aturan!$C$34,Aturan!$B$63:$B$66,0)),"peringkat "&amp;Aturan!$C$34)&amp;")",IF(O165="Cukup","layar "&amp;Varian!$AG37&amp;" cukup, nyamannya "&amp;IFERROR(INDEX(Aturan!$A$63:$A$66,MATCH(Aturan!$D$34,Aturan!$B$63:$B$66,0)),"peringkat "&amp;Aturan!$D$34),IF(O165="Belum ada data","jenis layar belum diketahui",""))))</f>
        <v/>
      </c>
      <c r="W165" s="66" t="str">
        <f aca="false">IF($A165="","",IF(P165="Kurang","layar "&amp;H165&amp;" Hz, di bawah batas minimal "&amp;Aturan!$C$35&amp;" Hz",IF(P165="Cukup","layar "&amp;H165&amp;" Hz cukup, nyamannya "&amp;Aturan!$D$35&amp;" Hz atau lebih",IF(P165="Belum ada data","refresh rate belum diketahui",""))))</f>
        <v/>
      </c>
      <c r="X165" s="66" t="str">
        <f aca="false">IF($A165="","",IF(K165="Kurang",R165&amp;"; ","")&amp;IF(L165="Kurang",S165&amp;"; ","")&amp;IF(M165="Kurang",T165&amp;"; ","")&amp;IF(N165="Kurang",U165&amp;"; ","")&amp;IF(O165="Kurang",V165&amp;"; ","")&amp;IF(P165="Kurang",W165&amp;"; ","")&amp;IF(K165="Belum ada data",R165&amp;"; ","")&amp;IF(L165="Belum ada data",S165&amp;"; ","")&amp;IF(M165="Belum ada data",T165&amp;"; ","")&amp;IF(N165="Belum ada data",U165&amp;"; ","")&amp;IF(O165="Belum ada data",V165&amp;"; ","")&amp;IF(P165="Belum ada data",W165&amp;"; ","")&amp;IF(K165="Cukup",R165&amp;"; ","")&amp;IF(L165="Cukup",S165&amp;"; ","")&amp;IF(M165="Cukup",T165&amp;"; ","")&amp;IF(N165="Cukup",U165&amp;"; ","")&amp;IF(O165="Cukup",V165&amp;"; ","")&amp;IF(P165="Cukup",W165&amp;"; ",""))</f>
        <v/>
      </c>
      <c r="Y165" s="66" t="str">
        <f aca="false">IF($A165="","",IF(K165="Nyaman","prosesor, ","")&amp;IF(L165="Nyaman","grafis, ","")&amp;IF(M165="Nyaman","RAM, ","")&amp;IF(N165="Nyaman","penyimpanan, ","")&amp;IF(O165="Nyaman","layar, ","")&amp;IF(P165="Nyaman","refresh rate, ",""))</f>
        <v>prosesor, RAM, penyimpanan, </v>
      </c>
      <c r="Z165" s="66" t="str">
        <f aca="false">IF($A165="","",IF(Q165="Tidak dinilai","Belum ada kriteria yang dinilai untuk kebutuhan ini.",IF(Q165="Cocok","Semua kriteria yang dinilai sudah nyaman: "&amp;LEFT(Y165,LEN(Y165)-2)&amp;".",UPPER(LEFT(X165,1))&amp;MID(X165,2,LEN(X165)-3)&amp;"."&amp;IF(Y165="",""," Sudah nyaman: "&amp;LEFT(Y165,LEN(Y165)-2)&amp;"."))))</f>
        <v>Semua kriteria yang dinilai sudah nyaman: prosesor, RAM, penyimpanan.</v>
      </c>
      <c r="AA165" s="66" t="str">
        <f aca="false">IF($A165="","",IF(Varian!$AR37="Windows 10","• "&amp;Aturan!$E$71&amp;CHAR(10),"")&amp;IF(Varian!$BB37="tidak","• "&amp;Aturan!$E$72&amp;CHAR(10),"")&amp;IF(OR(Varian!$AD37="belum terverifikasi",Varian!$AD37="tidak diketahui"),"• "&amp;Aturan!$E$73&amp;CHAR(10),"")&amp;IF(Varian!$AH37="1366x768","• "&amp;Aturan!$E$74&amp;CHAR(10),"")&amp;IF(Varian!$AG37="TN","• "&amp;Aturan!$E$75&amp;CHAR(10),"")&amp;IF(AND(Varian!$Q37="disolder",ISNUMBER(Varian!$M37),Varian!$M37&lt;=8),"• "&amp;Aturan!$E$76&amp;CHAR(10),""))</f>
        <v/>
      </c>
      <c r="AB165" s="66" t="str">
        <f aca="false">IF($A165="","",IF(AA165="","",LEFT(AA165,LEN(AA165)-1)))</f>
        <v/>
      </c>
      <c r="AC165" s="67" t="n">
        <f aca="false">IF($A165="","",IF(AA165="",0,LEN(AA165)-LEN(SUBSTITUTE(AA165,CHAR(10),""))))</f>
        <v>0</v>
      </c>
    </row>
    <row r="166" customFormat="false" ht="15" hidden="false" customHeight="true" outlineLevel="0" collapsed="false">
      <c r="A166" s="33" t="str">
        <f aca="false">IF(Varian!$A37="","",Varian!$A37)</f>
        <v>hp-elitebook-840-g6-i5-8265u-16-512</v>
      </c>
      <c r="B166" s="33" t="str">
        <f aca="false">IF($A166="","",Aturan!$A$22)</f>
        <v>Desain grafis</v>
      </c>
      <c r="C166" s="69" t="n">
        <f aca="false">IF($A166="","",IFERROR(IF(ISNUMBER(INDEX(CPU!$J$4:$J$64,MATCH(Varian!$J37,CPU!$A$4:$A$64,0))),INDEX(CPU!$J$4:$J$64,MATCH(Varian!$J37,CPU!$A$4:$A$64,0)),""),""))</f>
        <v>2</v>
      </c>
      <c r="D166" s="69" t="n">
        <f aca="false">IF($A166="","",IFERROR(IF(ISNUMBER(INDEX(GPU!$G$4:$G$64,MATCH(Varian!$K37,GPU!$A$4:$A$64,0))),INDEX(GPU!$G$4:$G$64,MATCH(Varian!$K37,GPU!$A$4:$A$64,0)),""),""))</f>
        <v>1</v>
      </c>
      <c r="E166" s="69" t="n">
        <f aca="false">IF($A166="","",IF(ISNUMBER(Varian!$M37),Varian!$M37,""))</f>
        <v>16</v>
      </c>
      <c r="F166" s="69" t="n">
        <f aca="false">IF($A166="","",IF(ISNUMBER(Varian!$V37),Varian!$V37,""))</f>
        <v>512</v>
      </c>
      <c r="G166" s="69" t="n">
        <f aca="false">IF($A166="","",IFERROR(INDEX(Aturan!$B$63:$B$66,MATCH(Varian!$AG37,Aturan!$A$63:$A$66,0)),""))</f>
        <v>3</v>
      </c>
      <c r="H166" s="69" t="str">
        <f aca="false">IF($A166="","",IF(ISNUMBER(Varian!$AI37),Varian!$AI37,""))</f>
        <v/>
      </c>
      <c r="I166" s="33" t="str">
        <f aca="false">IF($A166="","",IF(Varian!$Q37="disolder","menempel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6" s="33" t="str">
        <f aca="false">IF($A166="","",IF(Varian!$Z37="ya","bisa diganti dengan yang lebih besar",IF(Varian!$Z37="tidak","menempel, tidak bisa diganti","belum diketahui apakah bisa diganti")))</f>
        <v>bisa diganti dengan yang lebih besar</v>
      </c>
      <c r="K166" s="70" t="str">
        <f aca="false">IF($A166="","",IF(AND(Aturan!$C$36="",Aturan!$D$36=""),"Tidak dinilai",IF(C166="","Belum ada data",IF(C166&lt;IF(Aturan!$C$36="",0,Aturan!$C$36),"Kurang",IF(C166&gt;=IF(Aturan!$D$36="",Aturan!$C$36,Aturan!$D$36),"Nyaman","Cukup")))))</f>
        <v>Cukup</v>
      </c>
      <c r="L166" s="70" t="str">
        <f aca="false">IF($A166="","",IF(AND(Aturan!$C$37="",Aturan!$D$37=""),"Tidak dinilai",IF(D166="","Belum ada data",IF(D166&lt;IF(Aturan!$C$37="",0,Aturan!$C$37),"Kurang",IF(D166&gt;=IF(Aturan!$D$37="",Aturan!$C$37,Aturan!$D$37),"Nyaman","Cukup")))))</f>
        <v>Cukup</v>
      </c>
      <c r="M166" s="70" t="str">
        <f aca="false">IF($A166="","",IF(AND(Aturan!$C$38="",Aturan!$D$38=""),"Tidak dinilai",IF(E166="","Belum ada data",IF(E166&lt;IF(Aturan!$C$38="",0,Aturan!$C$38),"Kurang",IF(E166&gt;=IF(Aturan!$D$38="",Aturan!$C$38,Aturan!$D$38),"Nyaman","Cukup")))))</f>
        <v>Nyaman</v>
      </c>
      <c r="N166" s="70" t="str">
        <f aca="false">IF($A166="","",IF(AND(Aturan!$C$39="",Aturan!$D$39=""),"Tidak dinilai",IF(F166="","Belum ada data",IF(F166&lt;IF(Aturan!$C$39="",0,Aturan!$C$39),"Kurang",IF(F166&gt;=IF(Aturan!$D$39="",Aturan!$C$39,Aturan!$D$39),"Nyaman","Cukup")))))</f>
        <v>Nyaman</v>
      </c>
      <c r="O166" s="70" t="str">
        <f aca="false">IF($A166="","",IF(AND(Aturan!$C$40="",Aturan!$D$40=""),"Tidak dinilai",IF(G166="","Belum ada data",IF(G166&lt;IF(Aturan!$C$40="",0,Aturan!$C$40),"Kurang",IF(G166&gt;=IF(Aturan!$D$40="",Aturan!$C$40,Aturan!$D$40),"Nyaman","Cukup")))))</f>
        <v>Cukup</v>
      </c>
      <c r="P166" s="70" t="str">
        <f aca="false">IF($A166="","",IF(AND(Aturan!$C$41="",Aturan!$D$41=""),"Tidak dinilai",IF(H166="","Belum ada data",IF(H166&lt;IF(Aturan!$C$41="",0,Aturan!$C$41),"Kurang",IF(H166&gt;=IF(Aturan!$D$41="",Aturan!$C$41,Aturan!$D$41),"Nyaman","Cukup")))))</f>
        <v>Tidak dinilai</v>
      </c>
      <c r="Q166" s="70" t="str">
        <f aca="false">IF($A166="","",IF(COUNTIF(K166:P166,"Tidak dinilai")=6,"Tidak dinilai",IF(COUNTIF(K166:P166,"Kurang")&gt;0,"Kurang cocok",IF(COUNTIF(K166:P166,"Belum ada data")&gt;0,"Data belum lengkap",IF(COUNTIF(K166:P166,"Cukup")&gt;0,"Bisa, dengan catatan","Cocok")))))</f>
        <v>Bisa, dengan catatan</v>
      </c>
      <c r="R166" s="33" t="str">
        <f aca="false">IF($A166="","",IF(K166="Kurang","prosesor tingkat "&amp;C166&amp;" dari 5, di bawah batas minimal (tingkat "&amp;Aturan!$C$36&amp;")",IF(K166="Cukup","prosesor tingkat "&amp;C166&amp;" dari 5 cukup, nyamannya mulai tingkat "&amp;Aturan!$D$36,IF(K166="Belum ada data","tingkat prosesor belum diisi",""))))</f>
        <v>prosesor tingkat 2 dari 5 cukup, nyamannya mulai tingkat 3</v>
      </c>
      <c r="S166" s="33" t="str">
        <f aca="false">IF($A166="","",IF(L166="Kurang","grafis tingkat "&amp;D166&amp;" dari 5, di bawah batas minimal (tingkat "&amp;Aturan!$C$37&amp;")",IF(L166="Cukup","grafis tingkat "&amp;D166&amp;" dari 5 cukup, nyamannya mulai tingkat "&amp;Aturan!$D$37,IF(L166="Belum ada data","tingkat grafis belum diisi",""))))</f>
        <v>grafis tingkat 1 dari 5 cukup, nyamannya mulai tingkat 2</v>
      </c>
      <c r="T166" s="33" t="str">
        <f aca="false">IF($A166="","",IF(M166="Kurang","RAM "&amp;E166&amp;" GB, di bawah batas minimal "&amp;Aturan!$C$38&amp;" GB ("&amp;I166&amp;")",IF(M166="Cukup","RAM "&amp;E166&amp;" GB cukup, nyamannya "&amp;Aturan!$D$38&amp;" GB atau lebih ("&amp;I166&amp;")",IF(M166="Belum ada data","ukuran RAM belum diisi",""))))</f>
        <v/>
      </c>
      <c r="U166" s="33" t="str">
        <f aca="false">IF($A166="","",IF(N166="Kurang","penyimpanan "&amp;F166&amp;" GB, di bawah batas minimal "&amp;Aturan!$C$39&amp;" GB ("&amp;J166&amp;")",IF(N166="Cukup","penyimpanan "&amp;F166&amp;" GB cukup, nyamannya "&amp;Aturan!$D$39&amp;" GB atau lebih ("&amp;J166&amp;")",IF(N166="Belum ada data","ukuran penyimpanan belum diisi",""))))</f>
        <v/>
      </c>
      <c r="V166" s="33" t="str">
        <f aca="false">IF($A166="","",IF(O166="Kurang","layar "&amp;Varian!$AG37&amp;", di bawah batas minimal ("&amp;IFERROR(INDEX(Aturan!$A$63:$A$66,MATCH(Aturan!$C$40,Aturan!$B$63:$B$66,0)),"peringkat "&amp;Aturan!$C$40)&amp;")",IF(O166="Cukup","layar "&amp;Varian!$AG37&amp;" cukup, nyamannya "&amp;IFERROR(INDEX(Aturan!$A$63:$A$66,MATCH(Aturan!$D$40,Aturan!$B$63:$B$66,0)),"peringkat "&amp;Aturan!$D$40),IF(O166="Belum ada data","jenis layar belum diketahui",""))))</f>
        <v>layar IPS cukup, nyamannya OLED</v>
      </c>
      <c r="W166" s="33" t="str">
        <f aca="false">IF($A166="","",IF(P166="Kurang","layar "&amp;H166&amp;" Hz, di bawah batas minimal "&amp;Aturan!$C$41&amp;" Hz",IF(P166="Cukup","layar "&amp;H166&amp;" Hz cukup, nyamannya "&amp;Aturan!$D$41&amp;" Hz atau lebih",IF(P166="Belum ada data","refresh rate belum diketahui",""))))</f>
        <v/>
      </c>
      <c r="X166" s="33" t="str">
        <f aca="false">IF($A166="","",IF(K166="Kurang",R166&amp;"; ","")&amp;IF(L166="Kurang",S166&amp;"; ","")&amp;IF(M166="Kurang",T166&amp;"; ","")&amp;IF(N166="Kurang",U166&amp;"; ","")&amp;IF(O166="Kurang",V166&amp;"; ","")&amp;IF(P166="Kurang",W166&amp;"; ","")&amp;IF(K166="Belum ada data",R166&amp;"; ","")&amp;IF(L166="Belum ada data",S166&amp;"; ","")&amp;IF(M166="Belum ada data",T166&amp;"; ","")&amp;IF(N166="Belum ada data",U166&amp;"; ","")&amp;IF(O166="Belum ada data",V166&amp;"; ","")&amp;IF(P166="Belum ada data",W166&amp;"; ","")&amp;IF(K166="Cukup",R166&amp;"; ","")&amp;IF(L166="Cukup",S166&amp;"; ","")&amp;IF(M166="Cukup",T166&amp;"; ","")&amp;IF(N166="Cukup",U166&amp;"; ","")&amp;IF(O166="Cukup",V166&amp;"; ","")&amp;IF(P166="Cukup",W166&amp;"; ",""))</f>
        <v>prosesor tingkat 2 dari 5 cukup, nyamannya mulai tingkat 3; grafis tingkat 1 dari 5 cukup, nyamannya mulai tingkat 2; layar IPS cukup, nyamannya OLED; </v>
      </c>
      <c r="Y166" s="33" t="str">
        <f aca="false">IF($A166="","",IF(K166="Nyaman","prosesor, ","")&amp;IF(L166="Nyaman","grafis, ","")&amp;IF(M166="Nyaman","RAM, ","")&amp;IF(N166="Nyaman","penyimpanan, ","")&amp;IF(O166="Nyaman","layar, ","")&amp;IF(P166="Nyaman","refresh rate, ",""))</f>
        <v>RAM, penyimpanan, </v>
      </c>
      <c r="Z166" s="33" t="str">
        <f aca="false">IF($A166="","",IF(Q166="Tidak dinilai","Belum ada kriteria yang dinilai untuk kebutuhan ini.",IF(Q166="Cocok","Semua kriteria yang dinilai sudah nyaman: "&amp;LEFT(Y166,LEN(Y166)-2)&amp;".",UPPER(LEFT(X166,1))&amp;MID(X166,2,LEN(X166)-3)&amp;"."&amp;IF(Y166="",""," Sudah nyaman: "&amp;LEFT(Y166,LEN(Y166)-2)&amp;"."))))</f>
        <v>Prosesor tingkat 2 dari 5 cukup, nyamannya mulai tingkat 3; grafis tingkat 1 dari 5 cukup, nyamannya mulai tingkat 2; layar IPS cukup, nyamannya OLED. Sudah nyaman: RAM, penyimpanan.</v>
      </c>
      <c r="AA166" s="33"/>
      <c r="AB166" s="33"/>
      <c r="AC166" s="69"/>
    </row>
    <row r="167" customFormat="false" ht="15" hidden="false" customHeight="true" outlineLevel="0" collapsed="false">
      <c r="A167" s="33" t="str">
        <f aca="false">IF(Varian!$A37="","",Varian!$A37)</f>
        <v>hp-elitebook-840-g6-i5-8265u-16-512</v>
      </c>
      <c r="B167" s="33" t="str">
        <f aca="false">IF($A167="","",Aturan!$A$23)</f>
        <v>Pemrograman</v>
      </c>
      <c r="C167" s="69" t="n">
        <f aca="false">IF($A167="","",IFERROR(IF(ISNUMBER(INDEX(CPU!$J$4:$J$64,MATCH(Varian!$J37,CPU!$A$4:$A$64,0))),INDEX(CPU!$J$4:$J$64,MATCH(Varian!$J37,CPU!$A$4:$A$64,0)),""),""))</f>
        <v>2</v>
      </c>
      <c r="D167" s="69" t="n">
        <f aca="false">IF($A167="","",IFERROR(IF(ISNUMBER(INDEX(GPU!$G$4:$G$64,MATCH(Varian!$K37,GPU!$A$4:$A$64,0))),INDEX(GPU!$G$4:$G$64,MATCH(Varian!$K37,GPU!$A$4:$A$64,0)),""),""))</f>
        <v>1</v>
      </c>
      <c r="E167" s="69" t="n">
        <f aca="false">IF($A167="","",IF(ISNUMBER(Varian!$M37),Varian!$M37,""))</f>
        <v>16</v>
      </c>
      <c r="F167" s="69" t="n">
        <f aca="false">IF($A167="","",IF(ISNUMBER(Varian!$V37),Varian!$V37,""))</f>
        <v>512</v>
      </c>
      <c r="G167" s="69" t="n">
        <f aca="false">IF($A167="","",IFERROR(INDEX(Aturan!$B$63:$B$66,MATCH(Varian!$AG37,Aturan!$A$63:$A$66,0)),""))</f>
        <v>3</v>
      </c>
      <c r="H167" s="69" t="str">
        <f aca="false">IF($A167="","",IF(ISNUMBER(Varian!$AI37),Varian!$AI37,""))</f>
        <v/>
      </c>
      <c r="I167" s="33" t="str">
        <f aca="false">IF($A167="","",IF(Varian!$Q37="disolder","menempel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7" s="33" t="str">
        <f aca="false">IF($A167="","",IF(Varian!$Z37="ya","bisa diganti dengan yang lebih besar",IF(Varian!$Z37="tidak","menempel, tidak bisa diganti","belum diketahui apakah bisa diganti")))</f>
        <v>bisa diganti dengan yang lebih besar</v>
      </c>
      <c r="K167" s="70" t="str">
        <f aca="false">IF($A167="","",IF(AND(Aturan!$C$42="",Aturan!$D$42=""),"Tidak dinilai",IF(C167="","Belum ada data",IF(C167&lt;IF(Aturan!$C$42="",0,Aturan!$C$42),"Kurang",IF(C167&gt;=IF(Aturan!$D$42="",Aturan!$C$42,Aturan!$D$42),"Nyaman","Cukup")))))</f>
        <v>Cukup</v>
      </c>
      <c r="L167" s="70" t="str">
        <f aca="false">IF($A167="","",IF(AND(Aturan!$C$43="",Aturan!$D$43=""),"Tidak dinilai",IF(D167="","Belum ada data",IF(D167&lt;IF(Aturan!$C$43="",0,Aturan!$C$43),"Kurang",IF(D167&gt;=IF(Aturan!$D$43="",Aturan!$C$43,Aturan!$D$43),"Nyaman","Cukup")))))</f>
        <v>Tidak dinilai</v>
      </c>
      <c r="M167" s="70" t="str">
        <f aca="false">IF($A167="","",IF(AND(Aturan!$C$44="",Aturan!$D$44=""),"Tidak dinilai",IF(E167="","Belum ada data",IF(E167&lt;IF(Aturan!$C$44="",0,Aturan!$C$44),"Kurang",IF(E167&gt;=IF(Aturan!$D$44="",Aturan!$C$44,Aturan!$D$44),"Nyaman","Cukup")))))</f>
        <v>Nyaman</v>
      </c>
      <c r="N167" s="70" t="str">
        <f aca="false">IF($A167="","",IF(AND(Aturan!$C$45="",Aturan!$D$45=""),"Tidak dinilai",IF(F167="","Belum ada data",IF(F167&lt;IF(Aturan!$C$45="",0,Aturan!$C$45),"Kurang",IF(F167&gt;=IF(Aturan!$D$45="",Aturan!$C$45,Aturan!$D$45),"Nyaman","Cukup")))))</f>
        <v>Nyaman</v>
      </c>
      <c r="O167" s="70" t="str">
        <f aca="false">IF($A167="","",IF(AND(Aturan!$C$46="",Aturan!$D$46=""),"Tidak dinilai",IF(G167="","Belum ada data",IF(G167&lt;IF(Aturan!$C$46="",0,Aturan!$C$46),"Kurang",IF(G167&gt;=IF(Aturan!$D$46="",Aturan!$C$46,Aturan!$D$46),"Nyaman","Cukup")))))</f>
        <v>Tidak dinilai</v>
      </c>
      <c r="P167" s="70" t="str">
        <f aca="false">IF($A167="","",IF(AND(Aturan!$C$47="",Aturan!$D$47=""),"Tidak dinilai",IF(H167="","Belum ada data",IF(H167&lt;IF(Aturan!$C$47="",0,Aturan!$C$47),"Kurang",IF(H167&gt;=IF(Aturan!$D$47="",Aturan!$C$47,Aturan!$D$47),"Nyaman","Cukup")))))</f>
        <v>Tidak dinilai</v>
      </c>
      <c r="Q167" s="70" t="str">
        <f aca="false">IF($A167="","",IF(COUNTIF(K167:P167,"Tidak dinilai")=6,"Tidak dinilai",IF(COUNTIF(K167:P167,"Kurang")&gt;0,"Kurang cocok",IF(COUNTIF(K167:P167,"Belum ada data")&gt;0,"Data belum lengkap",IF(COUNTIF(K167:P167,"Cukup")&gt;0,"Bisa, dengan catatan","Cocok")))))</f>
        <v>Bisa, dengan catatan</v>
      </c>
      <c r="R167" s="33" t="str">
        <f aca="false">IF($A167="","",IF(K167="Kurang","prosesor tingkat "&amp;C167&amp;" dari 5, di bawah batas minimal (tingkat "&amp;Aturan!$C$42&amp;")",IF(K167="Cukup","prosesor tingkat "&amp;C167&amp;" dari 5 cukup, nyamannya mulai tingkat "&amp;Aturan!$D$42,IF(K167="Belum ada data","tingkat prosesor belum diisi",""))))</f>
        <v>prosesor tingkat 2 dari 5 cukup, nyamannya mulai tingkat 3</v>
      </c>
      <c r="S167" s="33" t="str">
        <f aca="false">IF($A167="","",IF(L167="Kurang","grafis tingkat "&amp;D167&amp;" dari 5, di bawah batas minimal (tingkat "&amp;Aturan!$C$43&amp;")",IF(L167="Cukup","grafis tingkat "&amp;D167&amp;" dari 5 cukup, nyamannya mulai tingkat "&amp;Aturan!$D$43,IF(L167="Belum ada data","tingkat grafis belum diisi",""))))</f>
        <v/>
      </c>
      <c r="T167" s="33" t="str">
        <f aca="false">IF($A167="","",IF(M167="Kurang","RAM "&amp;E167&amp;" GB, di bawah batas minimal "&amp;Aturan!$C$44&amp;" GB ("&amp;I167&amp;")",IF(M167="Cukup","RAM "&amp;E167&amp;" GB cukup, nyamannya "&amp;Aturan!$D$44&amp;" GB atau lebih ("&amp;I167&amp;")",IF(M167="Belum ada data","ukuran RAM belum diisi",""))))</f>
        <v/>
      </c>
      <c r="U167" s="33" t="str">
        <f aca="false">IF($A167="","",IF(N167="Kurang","penyimpanan "&amp;F167&amp;" GB, di bawah batas minimal "&amp;Aturan!$C$45&amp;" GB ("&amp;J167&amp;")",IF(N167="Cukup","penyimpanan "&amp;F167&amp;" GB cukup, nyamannya "&amp;Aturan!$D$45&amp;" GB atau lebih ("&amp;J167&amp;")",IF(N167="Belum ada data","ukuran penyimpanan belum diisi",""))))</f>
        <v/>
      </c>
      <c r="V167" s="33" t="str">
        <f aca="false">IF($A167="","",IF(O167="Kurang","layar "&amp;Varian!$AG37&amp;", di bawah batas minimal ("&amp;IFERROR(INDEX(Aturan!$A$63:$A$66,MATCH(Aturan!$C$46,Aturan!$B$63:$B$66,0)),"peringkat "&amp;Aturan!$C$46)&amp;")",IF(O167="Cukup","layar "&amp;Varian!$AG37&amp;" cukup, nyamannya "&amp;IFERROR(INDEX(Aturan!$A$63:$A$66,MATCH(Aturan!$D$46,Aturan!$B$63:$B$66,0)),"peringkat "&amp;Aturan!$D$46),IF(O167="Belum ada data","jenis layar belum diketahui",""))))</f>
        <v/>
      </c>
      <c r="W167" s="33" t="str">
        <f aca="false">IF($A167="","",IF(P167="Kurang","layar "&amp;H167&amp;" Hz, di bawah batas minimal "&amp;Aturan!$C$47&amp;" Hz",IF(P167="Cukup","layar "&amp;H167&amp;" Hz cukup, nyamannya "&amp;Aturan!$D$47&amp;" Hz atau lebih",IF(P167="Belum ada data","refresh rate belum diketahui",""))))</f>
        <v/>
      </c>
      <c r="X167" s="33" t="str">
        <f aca="false">IF($A167="","",IF(K167="Kurang",R167&amp;"; ","")&amp;IF(L167="Kurang",S167&amp;"; ","")&amp;IF(M167="Kurang",T167&amp;"; ","")&amp;IF(N167="Kurang",U167&amp;"; ","")&amp;IF(O167="Kurang",V167&amp;"; ","")&amp;IF(P167="Kurang",W167&amp;"; ","")&amp;IF(K167="Belum ada data",R167&amp;"; ","")&amp;IF(L167="Belum ada data",S167&amp;"; ","")&amp;IF(M167="Belum ada data",T167&amp;"; ","")&amp;IF(N167="Belum ada data",U167&amp;"; ","")&amp;IF(O167="Belum ada data",V167&amp;"; ","")&amp;IF(P167="Belum ada data",W167&amp;"; ","")&amp;IF(K167="Cukup",R167&amp;"; ","")&amp;IF(L167="Cukup",S167&amp;"; ","")&amp;IF(M167="Cukup",T167&amp;"; ","")&amp;IF(N167="Cukup",U167&amp;"; ","")&amp;IF(O167="Cukup",V167&amp;"; ","")&amp;IF(P167="Cukup",W167&amp;"; ",""))</f>
        <v>prosesor tingkat 2 dari 5 cukup, nyamannya mulai tingkat 3; </v>
      </c>
      <c r="Y167" s="33" t="str">
        <f aca="false">IF($A167="","",IF(K167="Nyaman","prosesor, ","")&amp;IF(L167="Nyaman","grafis, ","")&amp;IF(M167="Nyaman","RAM, ","")&amp;IF(N167="Nyaman","penyimpanan, ","")&amp;IF(O167="Nyaman","layar, ","")&amp;IF(P167="Nyaman","refresh rate, ",""))</f>
        <v>RAM, penyimpanan, </v>
      </c>
      <c r="Z167" s="33" t="str">
        <f aca="false">IF($A167="","",IF(Q167="Tidak dinilai","Belum ada kriteria yang dinilai untuk kebutuhan ini.",IF(Q167="Cocok","Semua kriteria yang dinilai sudah nyaman: "&amp;LEFT(Y167,LEN(Y167)-2)&amp;".",UPPER(LEFT(X167,1))&amp;MID(X167,2,LEN(X167)-3)&amp;"."&amp;IF(Y167="",""," Sudah nyaman: "&amp;LEFT(Y167,LEN(Y167)-2)&amp;"."))))</f>
        <v>Prosesor tingkat 2 dari 5 cukup, nyamannya mulai tingkat 3. Sudah nyaman: RAM, penyimpanan.</v>
      </c>
      <c r="AA167" s="33"/>
      <c r="AB167" s="33"/>
      <c r="AC167" s="69"/>
    </row>
    <row r="168" customFormat="false" ht="15" hidden="false" customHeight="true" outlineLevel="0" collapsed="false">
      <c r="A168" s="33" t="str">
        <f aca="false">IF(Varian!$A37="","",Varian!$A37)</f>
        <v>hp-elitebook-840-g6-i5-8265u-16-512</v>
      </c>
      <c r="B168" s="33" t="str">
        <f aca="false">IF($A168="","",Aturan!$A$24)</f>
        <v>Game ringan</v>
      </c>
      <c r="C168" s="69" t="n">
        <f aca="false">IF($A168="","",IFERROR(IF(ISNUMBER(INDEX(CPU!$J$4:$J$64,MATCH(Varian!$J37,CPU!$A$4:$A$64,0))),INDEX(CPU!$J$4:$J$64,MATCH(Varian!$J37,CPU!$A$4:$A$64,0)),""),""))</f>
        <v>2</v>
      </c>
      <c r="D168" s="69" t="n">
        <f aca="false">IF($A168="","",IFERROR(IF(ISNUMBER(INDEX(GPU!$G$4:$G$64,MATCH(Varian!$K37,GPU!$A$4:$A$64,0))),INDEX(GPU!$G$4:$G$64,MATCH(Varian!$K37,GPU!$A$4:$A$64,0)),""),""))</f>
        <v>1</v>
      </c>
      <c r="E168" s="69" t="n">
        <f aca="false">IF($A168="","",IF(ISNUMBER(Varian!$M37),Varian!$M37,""))</f>
        <v>16</v>
      </c>
      <c r="F168" s="69" t="n">
        <f aca="false">IF($A168="","",IF(ISNUMBER(Varian!$V37),Varian!$V37,""))</f>
        <v>512</v>
      </c>
      <c r="G168" s="69" t="n">
        <f aca="false">IF($A168="","",IFERROR(INDEX(Aturan!$B$63:$B$66,MATCH(Varian!$AG37,Aturan!$A$63:$A$66,0)),""))</f>
        <v>3</v>
      </c>
      <c r="H168" s="69" t="str">
        <f aca="false">IF($A168="","",IF(ISNUMBER(Varian!$AI37),Varian!$AI37,""))</f>
        <v/>
      </c>
      <c r="I168" s="33" t="str">
        <f aca="false">IF($A168="","",IF(Varian!$Q37="disolder","menempel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8" s="33" t="str">
        <f aca="false">IF($A168="","",IF(Varian!$Z37="ya","bisa diganti dengan yang lebih besar",IF(Varian!$Z37="tidak","menempel, tidak bisa diganti","belum diketahui apakah bisa diganti")))</f>
        <v>bisa diganti dengan yang lebih besar</v>
      </c>
      <c r="K168" s="70" t="str">
        <f aca="false">IF($A168="","",IF(AND(Aturan!$C$48="",Aturan!$D$48=""),"Tidak dinilai",IF(C168="","Belum ada data",IF(C168&lt;IF(Aturan!$C$48="",0,Aturan!$C$48),"Kurang",IF(C168&gt;=IF(Aturan!$D$48="",Aturan!$C$48,Aturan!$D$48),"Nyaman","Cukup")))))</f>
        <v>Cukup</v>
      </c>
      <c r="L168" s="70" t="str">
        <f aca="false">IF($A168="","",IF(AND(Aturan!$C$49="",Aturan!$D$49=""),"Tidak dinilai",IF(D168="","Belum ada data",IF(D168&lt;IF(Aturan!$C$49="",0,Aturan!$C$49),"Kurang",IF(D168&gt;=IF(Aturan!$D$49="",Aturan!$C$49,Aturan!$D$49),"Nyaman","Cukup")))))</f>
        <v>Cukup</v>
      </c>
      <c r="M168" s="70" t="str">
        <f aca="false">IF($A168="","",IF(AND(Aturan!$C$50="",Aturan!$D$50=""),"Tidak dinilai",IF(E168="","Belum ada data",IF(E168&lt;IF(Aturan!$C$50="",0,Aturan!$C$50),"Kurang",IF(E168&gt;=IF(Aturan!$D$50="",Aturan!$C$50,Aturan!$D$50),"Nyaman","Cukup")))))</f>
        <v>Nyaman</v>
      </c>
      <c r="N168" s="70" t="str">
        <f aca="false">IF($A168="","",IF(AND(Aturan!$C$51="",Aturan!$D$51=""),"Tidak dinilai",IF(F168="","Belum ada data",IF(F168&lt;IF(Aturan!$C$51="",0,Aturan!$C$51),"Kurang",IF(F168&gt;=IF(Aturan!$D$51="",Aturan!$C$51,Aturan!$D$51),"Nyaman","Cukup")))))</f>
        <v>Nyaman</v>
      </c>
      <c r="O168" s="70" t="str">
        <f aca="false">IF($A168="","",IF(AND(Aturan!$C$52="",Aturan!$D$52=""),"Tidak dinilai",IF(G168="","Belum ada data",IF(G168&lt;IF(Aturan!$C$52="",0,Aturan!$C$52),"Kurang",IF(G168&gt;=IF(Aturan!$D$52="",Aturan!$C$52,Aturan!$D$52),"Nyaman","Cukup")))))</f>
        <v>Tidak dinilai</v>
      </c>
      <c r="P168" s="70" t="str">
        <f aca="false">IF($A168="","",IF(AND(Aturan!$C$53="",Aturan!$D$53=""),"Tidak dinilai",IF(H168="","Belum ada data",IF(H168&lt;IF(Aturan!$C$53="",0,Aturan!$C$53),"Kurang",IF(H168&gt;=IF(Aturan!$D$53="",Aturan!$C$53,Aturan!$D$53),"Nyaman","Cukup")))))</f>
        <v>Tidak dinilai</v>
      </c>
      <c r="Q168" s="70" t="str">
        <f aca="false">IF($A168="","",IF(COUNTIF(K168:P168,"Tidak dinilai")=6,"Tidak dinilai",IF(COUNTIF(K168:P168,"Kurang")&gt;0,"Kurang cocok",IF(COUNTIF(K168:P168,"Belum ada data")&gt;0,"Data belum lengkap",IF(COUNTIF(K168:P168,"Cukup")&gt;0,"Bisa, dengan catatan","Cocok")))))</f>
        <v>Bisa, dengan catatan</v>
      </c>
      <c r="R168" s="33" t="str">
        <f aca="false">IF($A168="","",IF(K168="Kurang","prosesor tingkat "&amp;C168&amp;" dari 5, di bawah batas minimal (tingkat "&amp;Aturan!$C$48&amp;")",IF(K168="Cukup","prosesor tingkat "&amp;C168&amp;" dari 5 cukup, nyamannya mulai tingkat "&amp;Aturan!$D$48,IF(K168="Belum ada data","tingkat prosesor belum diisi",""))))</f>
        <v>prosesor tingkat 2 dari 5 cukup, nyamannya mulai tingkat 3</v>
      </c>
      <c r="S168" s="33" t="str">
        <f aca="false">IF($A168="","",IF(L168="Kurang","grafis tingkat "&amp;D168&amp;" dari 5, di bawah batas minimal (tingkat "&amp;Aturan!$C$49&amp;")",IF(L168="Cukup","grafis tingkat "&amp;D168&amp;" dari 5 cukup, nyamannya mulai tingkat "&amp;Aturan!$D$49,IF(L168="Belum ada data","tingkat grafis belum diisi",""))))</f>
        <v>grafis tingkat 1 dari 5 cukup, nyamannya mulai tingkat 2</v>
      </c>
      <c r="T168" s="33" t="str">
        <f aca="false">IF($A168="","",IF(M168="Kurang","RAM "&amp;E168&amp;" GB, di bawah batas minimal "&amp;Aturan!$C$50&amp;" GB ("&amp;I168&amp;")",IF(M168="Cukup","RAM "&amp;E168&amp;" GB cukup, nyamannya "&amp;Aturan!$D$50&amp;" GB atau lebih ("&amp;I168&amp;")",IF(M168="Belum ada data","ukuran RAM belum diisi",""))))</f>
        <v/>
      </c>
      <c r="U168" s="33" t="str">
        <f aca="false">IF($A168="","",IF(N168="Kurang","penyimpanan "&amp;F168&amp;" GB, di bawah batas minimal "&amp;Aturan!$C$51&amp;" GB ("&amp;J168&amp;")",IF(N168="Cukup","penyimpanan "&amp;F168&amp;" GB cukup, nyamannya "&amp;Aturan!$D$51&amp;" GB atau lebih ("&amp;J168&amp;")",IF(N168="Belum ada data","ukuran penyimpanan belum diisi",""))))</f>
        <v/>
      </c>
      <c r="V168" s="33" t="str">
        <f aca="false">IF($A168="","",IF(O168="Kurang","layar "&amp;Varian!$AG37&amp;", di bawah batas minimal ("&amp;IFERROR(INDEX(Aturan!$A$63:$A$66,MATCH(Aturan!$C$52,Aturan!$B$63:$B$66,0)),"peringkat "&amp;Aturan!$C$52)&amp;")",IF(O168="Cukup","layar "&amp;Varian!$AG37&amp;" cukup, nyamannya "&amp;IFERROR(INDEX(Aturan!$A$63:$A$66,MATCH(Aturan!$D$52,Aturan!$B$63:$B$66,0)),"peringkat "&amp;Aturan!$D$52),IF(O168="Belum ada data","jenis layar belum diketahui",""))))</f>
        <v/>
      </c>
      <c r="W168" s="33" t="str">
        <f aca="false">IF($A168="","",IF(P168="Kurang","layar "&amp;H168&amp;" Hz, di bawah batas minimal "&amp;Aturan!$C$53&amp;" Hz",IF(P168="Cukup","layar "&amp;H168&amp;" Hz cukup, nyamannya "&amp;Aturan!$D$53&amp;" Hz atau lebih",IF(P168="Belum ada data","refresh rate belum diketahui",""))))</f>
        <v/>
      </c>
      <c r="X168" s="33" t="str">
        <f aca="false">IF($A168="","",IF(K168="Kurang",R168&amp;"; ","")&amp;IF(L168="Kurang",S168&amp;"; ","")&amp;IF(M168="Kurang",T168&amp;"; ","")&amp;IF(N168="Kurang",U168&amp;"; ","")&amp;IF(O168="Kurang",V168&amp;"; ","")&amp;IF(P168="Kurang",W168&amp;"; ","")&amp;IF(K168="Belum ada data",R168&amp;"; ","")&amp;IF(L168="Belum ada data",S168&amp;"; ","")&amp;IF(M168="Belum ada data",T168&amp;"; ","")&amp;IF(N168="Belum ada data",U168&amp;"; ","")&amp;IF(O168="Belum ada data",V168&amp;"; ","")&amp;IF(P168="Belum ada data",W168&amp;"; ","")&amp;IF(K168="Cukup",R168&amp;"; ","")&amp;IF(L168="Cukup",S168&amp;"; ","")&amp;IF(M168="Cukup",T168&amp;"; ","")&amp;IF(N168="Cukup",U168&amp;"; ","")&amp;IF(O168="Cukup",V168&amp;"; ","")&amp;IF(P168="Cukup",W168&amp;"; ",""))</f>
        <v>prosesor tingkat 2 dari 5 cukup, nyamannya mulai tingkat 3; grafis tingkat 1 dari 5 cukup, nyamannya mulai tingkat 2; </v>
      </c>
      <c r="Y168" s="33" t="str">
        <f aca="false">IF($A168="","",IF(K168="Nyaman","prosesor, ","")&amp;IF(L168="Nyaman","grafis, ","")&amp;IF(M168="Nyaman","RAM, ","")&amp;IF(N168="Nyaman","penyimpanan, ","")&amp;IF(O168="Nyaman","layar, ","")&amp;IF(P168="Nyaman","refresh rate, ",""))</f>
        <v>RAM, penyimpanan, </v>
      </c>
      <c r="Z168" s="33" t="str">
        <f aca="false">IF($A168="","",IF(Q168="Tidak dinilai","Belum ada kriteria yang dinilai untuk kebutuhan ini.",IF(Q168="Cocok","Semua kriteria yang dinilai sudah nyaman: "&amp;LEFT(Y168,LEN(Y168)-2)&amp;".",UPPER(LEFT(X168,1))&amp;MID(X168,2,LEN(X168)-3)&amp;"."&amp;IF(Y168="",""," Sudah nyaman: "&amp;LEFT(Y168,LEN(Y168)-2)&amp;"."))))</f>
        <v>Prosesor tingkat 2 dari 5 cukup, nyamannya mulai tingkat 3; grafis tingkat 1 dari 5 cukup, nyamannya mulai tingkat 2. Sudah nyaman: RAM, penyimpanan.</v>
      </c>
      <c r="AA168" s="33"/>
      <c r="AB168" s="33"/>
      <c r="AC168" s="69"/>
    </row>
    <row r="169" customFormat="false" ht="15" hidden="false" customHeight="true" outlineLevel="0" collapsed="false">
      <c r="A169" s="33" t="str">
        <f aca="false">IF(Varian!$A37="","",Varian!$A37)</f>
        <v>hp-elitebook-840-g6-i5-8265u-16-512</v>
      </c>
      <c r="B169" s="33" t="str">
        <f aca="false">IF($A169="","",Aturan!$A$25)</f>
        <v>Game berat</v>
      </c>
      <c r="C169" s="69" t="n">
        <f aca="false">IF($A169="","",IFERROR(IF(ISNUMBER(INDEX(CPU!$J$4:$J$64,MATCH(Varian!$J37,CPU!$A$4:$A$64,0))),INDEX(CPU!$J$4:$J$64,MATCH(Varian!$J37,CPU!$A$4:$A$64,0)),""),""))</f>
        <v>2</v>
      </c>
      <c r="D169" s="69" t="n">
        <f aca="false">IF($A169="","",IFERROR(IF(ISNUMBER(INDEX(GPU!$G$4:$G$64,MATCH(Varian!$K37,GPU!$A$4:$A$64,0))),INDEX(GPU!$G$4:$G$64,MATCH(Varian!$K37,GPU!$A$4:$A$64,0)),""),""))</f>
        <v>1</v>
      </c>
      <c r="E169" s="69" t="n">
        <f aca="false">IF($A169="","",IF(ISNUMBER(Varian!$M37),Varian!$M37,""))</f>
        <v>16</v>
      </c>
      <c r="F169" s="69" t="n">
        <f aca="false">IF($A169="","",IF(ISNUMBER(Varian!$V37),Varian!$V37,""))</f>
        <v>512</v>
      </c>
      <c r="G169" s="69" t="n">
        <f aca="false">IF($A169="","",IFERROR(INDEX(Aturan!$B$63:$B$66,MATCH(Varian!$AG37,Aturan!$A$63:$A$66,0)),""))</f>
        <v>3</v>
      </c>
      <c r="H169" s="69" t="str">
        <f aca="false">IF($A169="","",IF(ISNUMBER(Varian!$AI37),Varian!$AI37,""))</f>
        <v/>
      </c>
      <c r="I169" s="33" t="str">
        <f aca="false">IF($A169="","",IF(Varian!$Q37="disolder","menempel di papan utama, tidak bisa ditambah",IF(OR(Varian!$Q37="slot",Varian!$Q37="setengah_disolder"),IF(Varian!$Q37="setengah_disolder","sebagian menempel, ","")&amp;IF(ISNUMBER(Varian!$U37),IF(AND(ISNUMBER(Varian!$M37),Varian!$U37&gt;Varian!$M37),"bisa dinaikkan lewat slot sampai "&amp;Varian!$U37&amp;" GB","sudah di batas maksimal "&amp;Varian!$U37&amp;" GB"),"ada slot, batas maksimalnya belum diketahui"),"belum diketahui apakah bisa ditambah")))</f>
        <v>bisa dinaikkan lewat slot sampai 32 GB</v>
      </c>
      <c r="J169" s="33" t="str">
        <f aca="false">IF($A169="","",IF(Varian!$Z37="ya","bisa diganti dengan yang lebih besar",IF(Varian!$Z37="tidak","menempel, tidak bisa diganti","belum diketahui apakah bisa diganti")))</f>
        <v>bisa diganti dengan yang lebih besar</v>
      </c>
      <c r="K169" s="70" t="str">
        <f aca="false">IF($A169="","",IF(AND(Aturan!$C$54="",Aturan!$D$54=""),"Tidak dinilai",IF(C169="","Belum ada data",IF(C169&lt;IF(Aturan!$C$54="",0,Aturan!$C$54),"Kurang",IF(C169&gt;=IF(Aturan!$D$54="",Aturan!$C$54,Aturan!$D$54),"Nyaman","Cukup")))))</f>
        <v>Kurang</v>
      </c>
      <c r="L169" s="70" t="str">
        <f aca="false">IF($A169="","",IF(AND(Aturan!$C$55="",Aturan!$D$55=""),"Tidak dinilai",IF(D169="","Belum ada data",IF(D169&lt;IF(Aturan!$C$55="",0,Aturan!$C$55),"Kurang",IF(D169&gt;=IF(Aturan!$D$55="",Aturan!$C$55,Aturan!$D$55),"Nyaman","Cukup")))))</f>
        <v>Kurang</v>
      </c>
      <c r="M169" s="70" t="str">
        <f aca="false">IF($A169="","",IF(AND(Aturan!$C$56="",Aturan!$D$56=""),"Tidak dinilai",IF(E169="","Belum ada data",IF(E169&lt;IF(Aturan!$C$56="",0,Aturan!$C$56),"Kurang",IF(E169&gt;=IF(Aturan!$D$56="",Aturan!$C$56,Aturan!$D$56),"Nyaman","Cukup")))))</f>
        <v>Nyaman</v>
      </c>
      <c r="N169" s="70" t="str">
        <f aca="false">IF($A169="","",IF(AND(Aturan!$C$57="",Aturan!$D$57=""),"Tidak dinilai",IF(F169="","Belum ada data",IF(F169&lt;IF(Aturan!$C$57="",0,Aturan!$C$57),"Kurang",IF(F169&gt;=IF(Aturan!$D$57="",Aturan!$C$57,Aturan!$D$57),"Nyaman","Cukup")))))</f>
        <v>Cukup</v>
      </c>
      <c r="O169" s="70" t="str">
        <f aca="false">IF($A169="","",IF(AND(Aturan!$C$58="",Aturan!$D$58=""),"Tidak dinilai",IF(G169="","Belum ada data",IF(G169&lt;IF(Aturan!$C$58="",0,Aturan!$C$58),"Kurang",IF(G169&gt;=IF(Aturan!$D$58="",Aturan!$C$58,Aturan!$D$58),"Nyaman","Cukup")))))</f>
        <v>Tidak dinilai</v>
      </c>
      <c r="P169" s="70" t="str">
        <f aca="false">IF($A169="","",IF(AND(Aturan!$C$59="",Aturan!$D$59=""),"Tidak dinilai",IF(H169="","Belum ada data",IF(H169&lt;IF(Aturan!$C$59="",0,Aturan!$C$59),"Kurang",IF(H169&gt;=IF(Aturan!$D$59="",Aturan!$C$59,Aturan!$D$59),"Nyaman","Cukup")))))</f>
        <v>Belum ada data</v>
      </c>
      <c r="Q169" s="70" t="str">
        <f aca="false">IF($A169="","",IF(COUNTIF(K169:P169,"Tidak dinilai")=6,"Tidak dinilai",IF(COUNTIF(K169:P169,"Kurang")&gt;0,"Kurang cocok",IF(COUNTIF(K169:P169,"Belum ada data")&gt;0,"Data belum lengkap",IF(COUNTIF(K169:P169,"Cukup")&gt;0,"Bisa, dengan catatan","Cocok")))))</f>
        <v>Kurang cocok</v>
      </c>
      <c r="R169" s="33" t="str">
        <f aca="false">IF($A169="","",IF(K169="Kurang","prosesor tingkat "&amp;C169&amp;" dari 5, di bawah batas minimal (tingkat "&amp;Aturan!$C$54&amp;")",IF(K169="Cukup","prosesor tingkat "&amp;C169&amp;" dari 5 cukup, nyamannya mulai tingkat "&amp;Aturan!$D$54,IF(K169="Belum ada data","tingkat prosesor belum diisi",""))))</f>
        <v>prosesor tingkat 2 dari 5, di bawah batas minimal (tingkat 3)</v>
      </c>
      <c r="S169" s="33" t="str">
        <f aca="false">IF($A169="","",IF(L169="Kurang","grafis tingkat "&amp;D169&amp;" dari 5, di bawah batas minimal (tingkat "&amp;Aturan!$C$55&amp;")",IF(L169="Cukup","grafis tingkat "&amp;D169&amp;" dari 5 cukup, nyamannya mulai tingkat "&amp;Aturan!$D$55,IF(L169="Belum ada data","tingkat grafis belum diisi",""))))</f>
        <v>grafis tingkat 1 dari 5, di bawah batas minimal (tingkat 3)</v>
      </c>
      <c r="T169" s="33" t="str">
        <f aca="false">IF($A169="","",IF(M169="Kurang","RAM "&amp;E169&amp;" GB, di bawah batas minimal "&amp;Aturan!$C$56&amp;" GB ("&amp;I169&amp;")",IF(M169="Cukup","RAM "&amp;E169&amp;" GB cukup, nyamannya "&amp;Aturan!$D$56&amp;" GB atau lebih ("&amp;I169&amp;")",IF(M169="Belum ada data","ukuran RAM belum diisi",""))))</f>
        <v/>
      </c>
      <c r="U169" s="33" t="str">
        <f aca="false">IF($A169="","",IF(N169="Kurang","penyimpanan "&amp;F169&amp;" GB, di bawah batas minimal "&amp;Aturan!$C$57&amp;" GB ("&amp;J169&amp;")",IF(N169="Cukup","penyimpanan "&amp;F169&amp;" GB cukup, nyamannya "&amp;Aturan!$D$57&amp;" GB atau lebih ("&amp;J169&amp;")",IF(N169="Belum ada data","ukuran penyimpanan belum diisi",""))))</f>
        <v>penyimpanan 512 GB cukup, nyamannya 1000 GB atau lebih (bisa diganti dengan yang lebih besar)</v>
      </c>
      <c r="V169" s="33" t="str">
        <f aca="false">IF($A169="","",IF(O169="Kurang","layar "&amp;Varian!$AG37&amp;", di bawah batas minimal ("&amp;IFERROR(INDEX(Aturan!$A$63:$A$66,MATCH(Aturan!$C$58,Aturan!$B$63:$B$66,0)),"peringkat "&amp;Aturan!$C$58)&amp;")",IF(O169="Cukup","layar "&amp;Varian!$AG37&amp;" cukup, nyamannya "&amp;IFERROR(INDEX(Aturan!$A$63:$A$66,MATCH(Aturan!$D$58,Aturan!$B$63:$B$66,0)),"peringkat "&amp;Aturan!$D$58),IF(O169="Belum ada data","jenis layar belum diketahui",""))))</f>
        <v/>
      </c>
      <c r="W169" s="33" t="str">
        <f aca="false">IF($A169="","",IF(P169="Kurang","layar "&amp;H169&amp;" Hz, di bawah batas minimal "&amp;Aturan!$C$59&amp;" Hz",IF(P169="Cukup","layar "&amp;H169&amp;" Hz cukup, nyamannya "&amp;Aturan!$D$59&amp;" Hz atau lebih",IF(P169="Belum ada data","refresh rate belum diketahui",""))))</f>
        <v>refresh rate belum diketahui</v>
      </c>
      <c r="X169" s="33" t="str">
        <f aca="false">IF($A169="","",IF(K169="Kurang",R169&amp;"; ","")&amp;IF(L169="Kurang",S169&amp;"; ","")&amp;IF(M169="Kurang",T169&amp;"; ","")&amp;IF(N169="Kurang",U169&amp;"; ","")&amp;IF(O169="Kurang",V169&amp;"; ","")&amp;IF(P169="Kurang",W169&amp;"; ","")&amp;IF(K169="Belum ada data",R169&amp;"; ","")&amp;IF(L169="Belum ada data",S169&amp;"; ","")&amp;IF(M169="Belum ada data",T169&amp;"; ","")&amp;IF(N169="Belum ada data",U169&amp;"; ","")&amp;IF(O169="Belum ada data",V169&amp;"; ","")&amp;IF(P169="Belum ada data",W169&amp;"; ","")&amp;IF(K169="Cukup",R169&amp;"; ","")&amp;IF(L169="Cukup",S169&amp;"; ","")&amp;IF(M169="Cukup",T169&amp;"; ","")&amp;IF(N169="Cukup",U169&amp;"; ","")&amp;IF(O169="Cukup",V169&amp;"; ","")&amp;IF(P169="Cukup",W169&amp;"; ",""))</f>
        <v>prosesor tingkat 2 dari 5, di bawah batas minimal (tingkat 3); grafis tingkat 1 dari 5, di bawah batas minimal (tingkat 3); refresh rate belum diketahui; penyimpanan 512 GB cukup, nyamannya 1000 GB atau lebih (bisa diganti dengan yang lebih besar); </v>
      </c>
      <c r="Y169" s="33" t="str">
        <f aca="false">IF($A169="","",IF(K169="Nyaman","prosesor, ","")&amp;IF(L169="Nyaman","grafis, ","")&amp;IF(M169="Nyaman","RAM, ","")&amp;IF(N169="Nyaman","penyimpanan, ","")&amp;IF(O169="Nyaman","layar, ","")&amp;IF(P169="Nyaman","refresh rate, ",""))</f>
        <v>RAM, </v>
      </c>
      <c r="Z169" s="33" t="str">
        <f aca="false">IF($A169="","",IF(Q169="Tidak dinilai","Belum ada kriteria yang dinilai untuk kebutuhan ini.",IF(Q169="Cocok","Semua kriteria yang dinilai sudah nyaman: "&amp;LEFT(Y169,LEN(Y169)-2)&amp;".",UPPER(LEFT(X169,1))&amp;MID(X169,2,LEN(X169)-3)&amp;"."&amp;IF(Y169="",""," Sudah nyaman: "&amp;LEFT(Y169,LEN(Y169)-2)&amp;"."))))</f>
        <v>Prosesor tingkat 2 dari 5, di bawah batas minimal (tingkat 3); grafis tingkat 1 dari 5, di bawah batas minimal (tingkat 3); refresh rate belum diketahui; penyimpanan 512 GB cukup, nyamannya 1000 GB atau lebih (bisa diganti dengan yang lebih besar). Sudah nyaman: RAM.</v>
      </c>
      <c r="AA169" s="33"/>
      <c r="AB169" s="33"/>
      <c r="AC169" s="69"/>
    </row>
    <row r="170" customFormat="false" ht="15" hidden="false" customHeight="true" outlineLevel="0" collapsed="false">
      <c r="A170" s="66" t="str">
        <f aca="false">IF(Varian!$A38="","",Varian!$A38)</f>
        <v>hp-victus-15-fa2666tx-i5-13420h-rtx3050-16-512</v>
      </c>
      <c r="B170" s="66" t="str">
        <f aca="false">IF($A170="","",Aturan!$A$21)</f>
        <v>Kuliah dan kantor</v>
      </c>
      <c r="C170" s="67" t="n">
        <f aca="false">IF($A170="","",IFERROR(IF(ISNUMBER(INDEX(CPU!$J$4:$J$64,MATCH(Varian!$J38,CPU!$A$4:$A$64,0))),INDEX(CPU!$J$4:$J$64,MATCH(Varian!$J38,CPU!$A$4:$A$64,0)),""),""))</f>
        <v>3</v>
      </c>
      <c r="D170" s="67" t="n">
        <f aca="false">IF($A170="","",IFERROR(IF(ISNUMBER(INDEX(GPU!$G$4:$G$64,MATCH(Varian!$K38,GPU!$A$4:$A$64,0))),INDEX(GPU!$G$4:$G$64,MATCH(Varian!$K38,GPU!$A$4:$A$64,0)),""),""))</f>
        <v>3</v>
      </c>
      <c r="E170" s="67" t="n">
        <f aca="false">IF($A170="","",IF(ISNUMBER(Varian!$M38),Varian!$M38,""))</f>
        <v>16</v>
      </c>
      <c r="F170" s="67" t="n">
        <f aca="false">IF($A170="","",IF(ISNUMBER(Varian!$V38),Varian!$V38,""))</f>
        <v>512</v>
      </c>
      <c r="G170" s="67" t="n">
        <f aca="false">IF($A170="","",IFERROR(INDEX(Aturan!$B$63:$B$66,MATCH(Varian!$AG38,Aturan!$A$63:$A$66,0)),""))</f>
        <v>3</v>
      </c>
      <c r="H170" s="67" t="n">
        <f aca="false">IF($A170="","",IF(ISNUMBER(Varian!$AI38),Varian!$AI38,""))</f>
        <v>144</v>
      </c>
      <c r="I170" s="66" t="str">
        <f aca="false">IF($A170="","",IF(Varian!$Q38="disolder","menempel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ada slot, batas maksimalnya belum diketahui</v>
      </c>
      <c r="J170" s="66" t="str">
        <f aca="false">IF($A170="","",IF(Varian!$Z38="ya","bisa diganti dengan yang lebih besar",IF(Varian!$Z38="tidak","menempel, tidak bisa diganti","belum diketahui apakah bisa diganti")))</f>
        <v>bisa diganti dengan yang lebih besar</v>
      </c>
      <c r="K170" s="68" t="str">
        <f aca="false">IF($A170="","",IF(AND(Aturan!$C$30="",Aturan!$D$30=""),"Tidak dinilai",IF(C170="","Belum ada data",IF(C170&lt;IF(Aturan!$C$30="",0,Aturan!$C$30),"Kurang",IF(C170&gt;=IF(Aturan!$D$30="",Aturan!$C$30,Aturan!$D$30),"Nyaman","Cukup")))))</f>
        <v>Nyaman</v>
      </c>
      <c r="L170" s="68" t="str">
        <f aca="false">IF($A170="","",IF(AND(Aturan!$C$31="",Aturan!$D$31=""),"Tidak dinilai",IF(D170="","Belum ada data",IF(D170&lt;IF(Aturan!$C$31="",0,Aturan!$C$31),"Kurang",IF(D170&gt;=IF(Aturan!$D$31="",Aturan!$C$31,Aturan!$D$31),"Nyaman","Cukup")))))</f>
        <v>Tidak dinilai</v>
      </c>
      <c r="M170" s="68" t="str">
        <f aca="false">IF($A170="","",IF(AND(Aturan!$C$32="",Aturan!$D$32=""),"Tidak dinilai",IF(E170="","Belum ada data",IF(E170&lt;IF(Aturan!$C$32="",0,Aturan!$C$32),"Kurang",IF(E170&gt;=IF(Aturan!$D$32="",Aturan!$C$32,Aturan!$D$32),"Nyaman","Cukup")))))</f>
        <v>Nyaman</v>
      </c>
      <c r="N170" s="68" t="str">
        <f aca="false">IF($A170="","",IF(AND(Aturan!$C$33="",Aturan!$D$33=""),"Tidak dinilai",IF(F170="","Belum ada data",IF(F170&lt;IF(Aturan!$C$33="",0,Aturan!$C$33),"Kurang",IF(F170&gt;=IF(Aturan!$D$33="",Aturan!$C$33,Aturan!$D$33),"Nyaman","Cukup")))))</f>
        <v>Nyaman</v>
      </c>
      <c r="O170" s="68" t="str">
        <f aca="false">IF($A170="","",IF(AND(Aturan!$C$34="",Aturan!$D$34=""),"Tidak dinilai",IF(G170="","Belum ada data",IF(G170&lt;IF(Aturan!$C$34="",0,Aturan!$C$34),"Kurang",IF(G170&gt;=IF(Aturan!$D$34="",Aturan!$C$34,Aturan!$D$34),"Nyaman","Cukup")))))</f>
        <v>Tidak dinilai</v>
      </c>
      <c r="P170" s="68" t="str">
        <f aca="false">IF($A170="","",IF(AND(Aturan!$C$35="",Aturan!$D$35=""),"Tidak dinilai",IF(H170="","Belum ada data",IF(H170&lt;IF(Aturan!$C$35="",0,Aturan!$C$35),"Kurang",IF(H170&gt;=IF(Aturan!$D$35="",Aturan!$C$35,Aturan!$D$35),"Nyaman","Cukup")))))</f>
        <v>Tidak dinilai</v>
      </c>
      <c r="Q170" s="68" t="str">
        <f aca="false">IF($A170="","",IF(COUNTIF(K170:P170,"Tidak dinilai")=6,"Tidak dinilai",IF(COUNTIF(K170:P170,"Kurang")&gt;0,"Kurang cocok",IF(COUNTIF(K170:P170,"Belum ada data")&gt;0,"Data belum lengkap",IF(COUNTIF(K170:P170,"Cukup")&gt;0,"Bisa, dengan catatan","Cocok")))))</f>
        <v>Cocok</v>
      </c>
      <c r="R170" s="66" t="str">
        <f aca="false">IF($A170="","",IF(K170="Kurang","prosesor tingkat "&amp;C170&amp;" dari 5, di bawah batas minimal (tingkat "&amp;Aturan!$C$30&amp;")",IF(K170="Cukup","prosesor tingkat "&amp;C170&amp;" dari 5 cukup, nyamannya mulai tingkat "&amp;Aturan!$D$30,IF(K170="Belum ada data","tingkat prosesor belum diisi",""))))</f>
        <v/>
      </c>
      <c r="S170" s="66" t="str">
        <f aca="false">IF($A170="","",IF(L170="Kurang","grafis tingkat "&amp;D170&amp;" dari 5, di bawah batas minimal (tingkat "&amp;Aturan!$C$31&amp;")",IF(L170="Cukup","grafis tingkat "&amp;D170&amp;" dari 5 cukup, nyamannya mulai tingkat "&amp;Aturan!$D$31,IF(L170="Belum ada data","tingkat grafis belum diisi",""))))</f>
        <v/>
      </c>
      <c r="T170" s="66" t="str">
        <f aca="false">IF($A170="","",IF(M170="Kurang","RAM "&amp;E170&amp;" GB, di bawah batas minimal "&amp;Aturan!$C$32&amp;" GB ("&amp;I170&amp;")",IF(M170="Cukup","RAM "&amp;E170&amp;" GB cukup, nyamannya "&amp;Aturan!$D$32&amp;" GB atau lebih ("&amp;I170&amp;")",IF(M170="Belum ada data","ukuran RAM belum diisi",""))))</f>
        <v/>
      </c>
      <c r="U170" s="66" t="str">
        <f aca="false">IF($A170="","",IF(N170="Kurang","penyimpanan "&amp;F170&amp;" GB, di bawah batas minimal "&amp;Aturan!$C$33&amp;" GB ("&amp;J170&amp;")",IF(N170="Cukup","penyimpanan "&amp;F170&amp;" GB cukup, nyamannya "&amp;Aturan!$D$33&amp;" GB atau lebih ("&amp;J170&amp;")",IF(N170="Belum ada data","ukuran penyimpanan belum diisi",""))))</f>
        <v/>
      </c>
      <c r="V170" s="66" t="str">
        <f aca="false">IF($A170="","",IF(O170="Kurang","layar "&amp;Varian!$AG38&amp;", di bawah batas minimal ("&amp;IFERROR(INDEX(Aturan!$A$63:$A$66,MATCH(Aturan!$C$34,Aturan!$B$63:$B$66,0)),"peringkat "&amp;Aturan!$C$34)&amp;")",IF(O170="Cukup","layar "&amp;Varian!$AG38&amp;" cukup, nyamannya "&amp;IFERROR(INDEX(Aturan!$A$63:$A$66,MATCH(Aturan!$D$34,Aturan!$B$63:$B$66,0)),"peringkat "&amp;Aturan!$D$34),IF(O170="Belum ada data","jenis layar belum diketahui",""))))</f>
        <v/>
      </c>
      <c r="W170" s="66" t="str">
        <f aca="false">IF($A170="","",IF(P170="Kurang","layar "&amp;H170&amp;" Hz, di bawah batas minimal "&amp;Aturan!$C$35&amp;" Hz",IF(P170="Cukup","layar "&amp;H170&amp;" Hz cukup, nyamannya "&amp;Aturan!$D$35&amp;" Hz atau lebih",IF(P170="Belum ada data","refresh rate belum diketahui",""))))</f>
        <v/>
      </c>
      <c r="X170" s="66" t="str">
        <f aca="false">IF($A170="","",IF(K170="Kurang",R170&amp;"; ","")&amp;IF(L170="Kurang",S170&amp;"; ","")&amp;IF(M170="Kurang",T170&amp;"; ","")&amp;IF(N170="Kurang",U170&amp;"; ","")&amp;IF(O170="Kurang",V170&amp;"; ","")&amp;IF(P170="Kurang",W170&amp;"; ","")&amp;IF(K170="Belum ada data",R170&amp;"; ","")&amp;IF(L170="Belum ada data",S170&amp;"; ","")&amp;IF(M170="Belum ada data",T170&amp;"; ","")&amp;IF(N170="Belum ada data",U170&amp;"; ","")&amp;IF(O170="Belum ada data",V170&amp;"; ","")&amp;IF(P170="Belum ada data",W170&amp;"; ","")&amp;IF(K170="Cukup",R170&amp;"; ","")&amp;IF(L170="Cukup",S170&amp;"; ","")&amp;IF(M170="Cukup",T170&amp;"; ","")&amp;IF(N170="Cukup",U170&amp;"; ","")&amp;IF(O170="Cukup",V170&amp;"; ","")&amp;IF(P170="Cukup",W170&amp;"; ",""))</f>
        <v/>
      </c>
      <c r="Y170" s="66" t="str">
        <f aca="false">IF($A170="","",IF(K170="Nyaman","prosesor, ","")&amp;IF(L170="Nyaman","grafis, ","")&amp;IF(M170="Nyaman","RAM, ","")&amp;IF(N170="Nyaman","penyimpanan, ","")&amp;IF(O170="Nyaman","layar, ","")&amp;IF(P170="Nyaman","refresh rate, ",""))</f>
        <v>prosesor, RAM, penyimpanan, </v>
      </c>
      <c r="Z170" s="66" t="str">
        <f aca="false">IF($A170="","",IF(Q170="Tidak dinilai","Belum ada kriteria yang dinilai untuk kebutuhan ini.",IF(Q170="Cocok","Semua kriteria yang dinilai sudah nyaman: "&amp;LEFT(Y170,LEN(Y170)-2)&amp;".",UPPER(LEFT(X170,1))&amp;MID(X170,2,LEN(X170)-3)&amp;"."&amp;IF(Y170="",""," Sudah nyaman: "&amp;LEFT(Y170,LEN(Y170)-2)&amp;"."))))</f>
        <v>Semua kriteria yang dinilai sudah nyaman: prosesor, RAM, penyimpanan.</v>
      </c>
      <c r="AA170" s="66" t="str">
        <f aca="false">IF($A170="","",IF(Varian!$AR38="Windows 10","• "&amp;Aturan!$E$71&amp;CHAR(10),"")&amp;IF(Varian!$BB38="tidak","• "&amp;Aturan!$E$72&amp;CHAR(10),"")&amp;IF(OR(Varian!$AD38="belum terverifikasi",Varian!$AD38="tidak diketahui"),"• "&amp;Aturan!$E$73&amp;CHAR(10),"")&amp;IF(Varian!$AH38="1366x768","• "&amp;Aturan!$E$74&amp;CHAR(10),"")&amp;IF(Varian!$AG38="TN","• "&amp;Aturan!$E$75&amp;CHAR(10),"")&amp;IF(AND(Varian!$Q38="disolder",ISNUMBER(Varian!$M38),Varian!$M38&lt;=8),"• "&amp;Aturan!$E$76&amp;CHAR(10),""))</f>
        <v/>
      </c>
      <c r="AB170" s="66" t="str">
        <f aca="false">IF($A170="","",IF(AA170="","",LEFT(AA170,LEN(AA170)-1)))</f>
        <v/>
      </c>
      <c r="AC170" s="67" t="n">
        <f aca="false">IF($A170="","",IF(AA170="",0,LEN(AA170)-LEN(SUBSTITUTE(AA170,CHAR(10),""))))</f>
        <v>0</v>
      </c>
    </row>
    <row r="171" customFormat="false" ht="15" hidden="false" customHeight="true" outlineLevel="0" collapsed="false">
      <c r="A171" s="33" t="str">
        <f aca="false">IF(Varian!$A38="","",Varian!$A38)</f>
        <v>hp-victus-15-fa2666tx-i5-13420h-rtx3050-16-512</v>
      </c>
      <c r="B171" s="33" t="str">
        <f aca="false">IF($A171="","",Aturan!$A$22)</f>
        <v>Desain grafis</v>
      </c>
      <c r="C171" s="69" t="n">
        <f aca="false">IF($A171="","",IFERROR(IF(ISNUMBER(INDEX(CPU!$J$4:$J$64,MATCH(Varian!$J38,CPU!$A$4:$A$64,0))),INDEX(CPU!$J$4:$J$64,MATCH(Varian!$J38,CPU!$A$4:$A$64,0)),""),""))</f>
        <v>3</v>
      </c>
      <c r="D171" s="69" t="n">
        <f aca="false">IF($A171="","",IFERROR(IF(ISNUMBER(INDEX(GPU!$G$4:$G$64,MATCH(Varian!$K38,GPU!$A$4:$A$64,0))),INDEX(GPU!$G$4:$G$64,MATCH(Varian!$K38,GPU!$A$4:$A$64,0)),""),""))</f>
        <v>3</v>
      </c>
      <c r="E171" s="69" t="n">
        <f aca="false">IF($A171="","",IF(ISNUMBER(Varian!$M38),Varian!$M38,""))</f>
        <v>16</v>
      </c>
      <c r="F171" s="69" t="n">
        <f aca="false">IF($A171="","",IF(ISNUMBER(Varian!$V38),Varian!$V38,""))</f>
        <v>512</v>
      </c>
      <c r="G171" s="69" t="n">
        <f aca="false">IF($A171="","",IFERROR(INDEX(Aturan!$B$63:$B$66,MATCH(Varian!$AG38,Aturan!$A$63:$A$66,0)),""))</f>
        <v>3</v>
      </c>
      <c r="H171" s="69" t="n">
        <f aca="false">IF($A171="","",IF(ISNUMBER(Varian!$AI38),Varian!$AI38,""))</f>
        <v>144</v>
      </c>
      <c r="I171" s="33" t="str">
        <f aca="false">IF($A171="","",IF(Varian!$Q38="disolder","menempel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ada slot, batas maksimalnya belum diketahui</v>
      </c>
      <c r="J171" s="33" t="str">
        <f aca="false">IF($A171="","",IF(Varian!$Z38="ya","bisa diganti dengan yang lebih besar",IF(Varian!$Z38="tidak","menempel, tidak bisa diganti","belum diketahui apakah bisa diganti")))</f>
        <v>bisa diganti dengan yang lebih besar</v>
      </c>
      <c r="K171" s="70" t="str">
        <f aca="false">IF($A171="","",IF(AND(Aturan!$C$36="",Aturan!$D$36=""),"Tidak dinilai",IF(C171="","Belum ada data",IF(C171&lt;IF(Aturan!$C$36="",0,Aturan!$C$36),"Kurang",IF(C171&gt;=IF(Aturan!$D$36="",Aturan!$C$36,Aturan!$D$36),"Nyaman","Cukup")))))</f>
        <v>Nyaman</v>
      </c>
      <c r="L171" s="70" t="str">
        <f aca="false">IF($A171="","",IF(AND(Aturan!$C$37="",Aturan!$D$37=""),"Tidak dinilai",IF(D171="","Belum ada data",IF(D171&lt;IF(Aturan!$C$37="",0,Aturan!$C$37),"Kurang",IF(D171&gt;=IF(Aturan!$D$37="",Aturan!$C$37,Aturan!$D$37),"Nyaman","Cukup")))))</f>
        <v>Nyaman</v>
      </c>
      <c r="M171" s="70" t="str">
        <f aca="false">IF($A171="","",IF(AND(Aturan!$C$38="",Aturan!$D$38=""),"Tidak dinilai",IF(E171="","Belum ada data",IF(E171&lt;IF(Aturan!$C$38="",0,Aturan!$C$38),"Kurang",IF(E171&gt;=IF(Aturan!$D$38="",Aturan!$C$38,Aturan!$D$38),"Nyaman","Cukup")))))</f>
        <v>Nyaman</v>
      </c>
      <c r="N171" s="70" t="str">
        <f aca="false">IF($A171="","",IF(AND(Aturan!$C$39="",Aturan!$D$39=""),"Tidak dinilai",IF(F171="","Belum ada data",IF(F171&lt;IF(Aturan!$C$39="",0,Aturan!$C$39),"Kurang",IF(F171&gt;=IF(Aturan!$D$39="",Aturan!$C$39,Aturan!$D$39),"Nyaman","Cukup")))))</f>
        <v>Nyaman</v>
      </c>
      <c r="O171" s="70" t="str">
        <f aca="false">IF($A171="","",IF(AND(Aturan!$C$40="",Aturan!$D$40=""),"Tidak dinilai",IF(G171="","Belum ada data",IF(G171&lt;IF(Aturan!$C$40="",0,Aturan!$C$40),"Kurang",IF(G171&gt;=IF(Aturan!$D$40="",Aturan!$C$40,Aturan!$D$40),"Nyaman","Cukup")))))</f>
        <v>Cukup</v>
      </c>
      <c r="P171" s="70" t="str">
        <f aca="false">IF($A171="","",IF(AND(Aturan!$C$41="",Aturan!$D$41=""),"Tidak dinilai",IF(H171="","Belum ada data",IF(H171&lt;IF(Aturan!$C$41="",0,Aturan!$C$41),"Kurang",IF(H171&gt;=IF(Aturan!$D$41="",Aturan!$C$41,Aturan!$D$41),"Nyaman","Cukup")))))</f>
        <v>Tidak dinilai</v>
      </c>
      <c r="Q171" s="70" t="str">
        <f aca="false">IF($A171="","",IF(COUNTIF(K171:P171,"Tidak dinilai")=6,"Tidak dinilai",IF(COUNTIF(K171:P171,"Kurang")&gt;0,"Kurang cocok",IF(COUNTIF(K171:P171,"Belum ada data")&gt;0,"Data belum lengkap",IF(COUNTIF(K171:P171,"Cukup")&gt;0,"Bisa, dengan catatan","Cocok")))))</f>
        <v>Bisa, dengan catatan</v>
      </c>
      <c r="R171" s="33" t="str">
        <f aca="false">IF($A171="","",IF(K171="Kurang","prosesor tingkat "&amp;C171&amp;" dari 5, di bawah batas minimal (tingkat "&amp;Aturan!$C$36&amp;")",IF(K171="Cukup","prosesor tingkat "&amp;C171&amp;" dari 5 cukup, nyamannya mulai tingkat "&amp;Aturan!$D$36,IF(K171="Belum ada data","tingkat prosesor belum diisi",""))))</f>
        <v/>
      </c>
      <c r="S171" s="33" t="str">
        <f aca="false">IF($A171="","",IF(L171="Kurang","grafis tingkat "&amp;D171&amp;" dari 5, di bawah batas minimal (tingkat "&amp;Aturan!$C$37&amp;")",IF(L171="Cukup","grafis tingkat "&amp;D171&amp;" dari 5 cukup, nyamannya mulai tingkat "&amp;Aturan!$D$37,IF(L171="Belum ada data","tingkat grafis belum diisi",""))))</f>
        <v/>
      </c>
      <c r="T171" s="33" t="str">
        <f aca="false">IF($A171="","",IF(M171="Kurang","RAM "&amp;E171&amp;" GB, di bawah batas minimal "&amp;Aturan!$C$38&amp;" GB ("&amp;I171&amp;")",IF(M171="Cukup","RAM "&amp;E171&amp;" GB cukup, nyamannya "&amp;Aturan!$D$38&amp;" GB atau lebih ("&amp;I171&amp;")",IF(M171="Belum ada data","ukuran RAM belum diisi",""))))</f>
        <v/>
      </c>
      <c r="U171" s="33" t="str">
        <f aca="false">IF($A171="","",IF(N171="Kurang","penyimpanan "&amp;F171&amp;" GB, di bawah batas minimal "&amp;Aturan!$C$39&amp;" GB ("&amp;J171&amp;")",IF(N171="Cukup","penyimpanan "&amp;F171&amp;" GB cukup, nyamannya "&amp;Aturan!$D$39&amp;" GB atau lebih ("&amp;J171&amp;")",IF(N171="Belum ada data","ukuran penyimpanan belum diisi",""))))</f>
        <v/>
      </c>
      <c r="V171" s="33" t="str">
        <f aca="false">IF($A171="","",IF(O171="Kurang","layar "&amp;Varian!$AG38&amp;", di bawah batas minimal ("&amp;IFERROR(INDEX(Aturan!$A$63:$A$66,MATCH(Aturan!$C$40,Aturan!$B$63:$B$66,0)),"peringkat "&amp;Aturan!$C$40)&amp;")",IF(O171="Cukup","layar "&amp;Varian!$AG38&amp;" cukup, nyamannya "&amp;IFERROR(INDEX(Aturan!$A$63:$A$66,MATCH(Aturan!$D$40,Aturan!$B$63:$B$66,0)),"peringkat "&amp;Aturan!$D$40),IF(O171="Belum ada data","jenis layar belum diketahui",""))))</f>
        <v>layar IPS cukup, nyamannya OLED</v>
      </c>
      <c r="W171" s="33" t="str">
        <f aca="false">IF($A171="","",IF(P171="Kurang","layar "&amp;H171&amp;" Hz, di bawah batas minimal "&amp;Aturan!$C$41&amp;" Hz",IF(P171="Cukup","layar "&amp;H171&amp;" Hz cukup, nyamannya "&amp;Aturan!$D$41&amp;" Hz atau lebih",IF(P171="Belum ada data","refresh rate belum diketahui",""))))</f>
        <v/>
      </c>
      <c r="X171" s="33" t="str">
        <f aca="false">IF($A171="","",IF(K171="Kurang",R171&amp;"; ","")&amp;IF(L171="Kurang",S171&amp;"; ","")&amp;IF(M171="Kurang",T171&amp;"; ","")&amp;IF(N171="Kurang",U171&amp;"; ","")&amp;IF(O171="Kurang",V171&amp;"; ","")&amp;IF(P171="Kurang",W171&amp;"; ","")&amp;IF(K171="Belum ada data",R171&amp;"; ","")&amp;IF(L171="Belum ada data",S171&amp;"; ","")&amp;IF(M171="Belum ada data",T171&amp;"; ","")&amp;IF(N171="Belum ada data",U171&amp;"; ","")&amp;IF(O171="Belum ada data",V171&amp;"; ","")&amp;IF(P171="Belum ada data",W171&amp;"; ","")&amp;IF(K171="Cukup",R171&amp;"; ","")&amp;IF(L171="Cukup",S171&amp;"; ","")&amp;IF(M171="Cukup",T171&amp;"; ","")&amp;IF(N171="Cukup",U171&amp;"; ","")&amp;IF(O171="Cukup",V171&amp;"; ","")&amp;IF(P171="Cukup",W171&amp;"; ",""))</f>
        <v>layar IPS cukup, nyamannya OLED; </v>
      </c>
      <c r="Y171" s="33" t="str">
        <f aca="false">IF($A171="","",IF(K171="Nyaman","prosesor, ","")&amp;IF(L171="Nyaman","grafis, ","")&amp;IF(M171="Nyaman","RAM, ","")&amp;IF(N171="Nyaman","penyimpanan, ","")&amp;IF(O171="Nyaman","layar, ","")&amp;IF(P171="Nyaman","refresh rate, ",""))</f>
        <v>prosesor, grafis, RAM, penyimpanan, </v>
      </c>
      <c r="Z171" s="33" t="str">
        <f aca="false">IF($A171="","",IF(Q171="Tidak dinilai","Belum ada kriteria yang dinilai untuk kebutuhan ini.",IF(Q171="Cocok","Semua kriteria yang dinilai sudah nyaman: "&amp;LEFT(Y171,LEN(Y171)-2)&amp;".",UPPER(LEFT(X171,1))&amp;MID(X171,2,LEN(X171)-3)&amp;"."&amp;IF(Y171="",""," Sudah nyaman: "&amp;LEFT(Y171,LEN(Y171)-2)&amp;"."))))</f>
        <v>Layar IPS cukup, nyamannya OLED. Sudah nyaman: prosesor, grafis, RAM, penyimpanan.</v>
      </c>
      <c r="AA171" s="33"/>
      <c r="AB171" s="33"/>
      <c r="AC171" s="69"/>
    </row>
    <row r="172" customFormat="false" ht="15" hidden="false" customHeight="true" outlineLevel="0" collapsed="false">
      <c r="A172" s="33" t="str">
        <f aca="false">IF(Varian!$A38="","",Varian!$A38)</f>
        <v>hp-victus-15-fa2666tx-i5-13420h-rtx3050-16-512</v>
      </c>
      <c r="B172" s="33" t="str">
        <f aca="false">IF($A172="","",Aturan!$A$23)</f>
        <v>Pemrograman</v>
      </c>
      <c r="C172" s="69" t="n">
        <f aca="false">IF($A172="","",IFERROR(IF(ISNUMBER(INDEX(CPU!$J$4:$J$64,MATCH(Varian!$J38,CPU!$A$4:$A$64,0))),INDEX(CPU!$J$4:$J$64,MATCH(Varian!$J38,CPU!$A$4:$A$64,0)),""),""))</f>
        <v>3</v>
      </c>
      <c r="D172" s="69" t="n">
        <f aca="false">IF($A172="","",IFERROR(IF(ISNUMBER(INDEX(GPU!$G$4:$G$64,MATCH(Varian!$K38,GPU!$A$4:$A$64,0))),INDEX(GPU!$G$4:$G$64,MATCH(Varian!$K38,GPU!$A$4:$A$64,0)),""),""))</f>
        <v>3</v>
      </c>
      <c r="E172" s="69" t="n">
        <f aca="false">IF($A172="","",IF(ISNUMBER(Varian!$M38),Varian!$M38,""))</f>
        <v>16</v>
      </c>
      <c r="F172" s="69" t="n">
        <f aca="false">IF($A172="","",IF(ISNUMBER(Varian!$V38),Varian!$V38,""))</f>
        <v>512</v>
      </c>
      <c r="G172" s="69" t="n">
        <f aca="false">IF($A172="","",IFERROR(INDEX(Aturan!$B$63:$B$66,MATCH(Varian!$AG38,Aturan!$A$63:$A$66,0)),""))</f>
        <v>3</v>
      </c>
      <c r="H172" s="69" t="n">
        <f aca="false">IF($A172="","",IF(ISNUMBER(Varian!$AI38),Varian!$AI38,""))</f>
        <v>144</v>
      </c>
      <c r="I172" s="33" t="str">
        <f aca="false">IF($A172="","",IF(Varian!$Q38="disolder","menempel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ada slot, batas maksimalnya belum diketahui</v>
      </c>
      <c r="J172" s="33" t="str">
        <f aca="false">IF($A172="","",IF(Varian!$Z38="ya","bisa diganti dengan yang lebih besar",IF(Varian!$Z38="tidak","menempel, tidak bisa diganti","belum diketahui apakah bisa diganti")))</f>
        <v>bisa diganti dengan yang lebih besar</v>
      </c>
      <c r="K172" s="70" t="str">
        <f aca="false">IF($A172="","",IF(AND(Aturan!$C$42="",Aturan!$D$42=""),"Tidak dinilai",IF(C172="","Belum ada data",IF(C172&lt;IF(Aturan!$C$42="",0,Aturan!$C$42),"Kurang",IF(C172&gt;=IF(Aturan!$D$42="",Aturan!$C$42,Aturan!$D$42),"Nyaman","Cukup")))))</f>
        <v>Nyaman</v>
      </c>
      <c r="L172" s="70" t="str">
        <f aca="false">IF($A172="","",IF(AND(Aturan!$C$43="",Aturan!$D$43=""),"Tidak dinilai",IF(D172="","Belum ada data",IF(D172&lt;IF(Aturan!$C$43="",0,Aturan!$C$43),"Kurang",IF(D172&gt;=IF(Aturan!$D$43="",Aturan!$C$43,Aturan!$D$43),"Nyaman","Cukup")))))</f>
        <v>Tidak dinilai</v>
      </c>
      <c r="M172" s="70" t="str">
        <f aca="false">IF($A172="","",IF(AND(Aturan!$C$44="",Aturan!$D$44=""),"Tidak dinilai",IF(E172="","Belum ada data",IF(E172&lt;IF(Aturan!$C$44="",0,Aturan!$C$44),"Kurang",IF(E172&gt;=IF(Aturan!$D$44="",Aturan!$C$44,Aturan!$D$44),"Nyaman","Cukup")))))</f>
        <v>Nyaman</v>
      </c>
      <c r="N172" s="70" t="str">
        <f aca="false">IF($A172="","",IF(AND(Aturan!$C$45="",Aturan!$D$45=""),"Tidak dinilai",IF(F172="","Belum ada data",IF(F172&lt;IF(Aturan!$C$45="",0,Aturan!$C$45),"Kurang",IF(F172&gt;=IF(Aturan!$D$45="",Aturan!$C$45,Aturan!$D$45),"Nyaman","Cukup")))))</f>
        <v>Nyaman</v>
      </c>
      <c r="O172" s="70" t="str">
        <f aca="false">IF($A172="","",IF(AND(Aturan!$C$46="",Aturan!$D$46=""),"Tidak dinilai",IF(G172="","Belum ada data",IF(G172&lt;IF(Aturan!$C$46="",0,Aturan!$C$46),"Kurang",IF(G172&gt;=IF(Aturan!$D$46="",Aturan!$C$46,Aturan!$D$46),"Nyaman","Cukup")))))</f>
        <v>Tidak dinilai</v>
      </c>
      <c r="P172" s="70" t="str">
        <f aca="false">IF($A172="","",IF(AND(Aturan!$C$47="",Aturan!$D$47=""),"Tidak dinilai",IF(H172="","Belum ada data",IF(H172&lt;IF(Aturan!$C$47="",0,Aturan!$C$47),"Kurang",IF(H172&gt;=IF(Aturan!$D$47="",Aturan!$C$47,Aturan!$D$47),"Nyaman","Cukup")))))</f>
        <v>Tidak dinilai</v>
      </c>
      <c r="Q172" s="70" t="str">
        <f aca="false">IF($A172="","",IF(COUNTIF(K172:P172,"Tidak dinilai")=6,"Tidak dinilai",IF(COUNTIF(K172:P172,"Kurang")&gt;0,"Kurang cocok",IF(COUNTIF(K172:P172,"Belum ada data")&gt;0,"Data belum lengkap",IF(COUNTIF(K172:P172,"Cukup")&gt;0,"Bisa, dengan catatan","Cocok")))))</f>
        <v>Cocok</v>
      </c>
      <c r="R172" s="33" t="str">
        <f aca="false">IF($A172="","",IF(K172="Kurang","prosesor tingkat "&amp;C172&amp;" dari 5, di bawah batas minimal (tingkat "&amp;Aturan!$C$42&amp;")",IF(K172="Cukup","prosesor tingkat "&amp;C172&amp;" dari 5 cukup, nyamannya mulai tingkat "&amp;Aturan!$D$42,IF(K172="Belum ada data","tingkat prosesor belum diisi",""))))</f>
        <v/>
      </c>
      <c r="S172" s="33" t="str">
        <f aca="false">IF($A172="","",IF(L172="Kurang","grafis tingkat "&amp;D172&amp;" dari 5, di bawah batas minimal (tingkat "&amp;Aturan!$C$43&amp;")",IF(L172="Cukup","grafis tingkat "&amp;D172&amp;" dari 5 cukup, nyamannya mulai tingkat "&amp;Aturan!$D$43,IF(L172="Belum ada data","tingkat grafis belum diisi",""))))</f>
        <v/>
      </c>
      <c r="T172" s="33" t="str">
        <f aca="false">IF($A172="","",IF(M172="Kurang","RAM "&amp;E172&amp;" GB, di bawah batas minimal "&amp;Aturan!$C$44&amp;" GB ("&amp;I172&amp;")",IF(M172="Cukup","RAM "&amp;E172&amp;" GB cukup, nyamannya "&amp;Aturan!$D$44&amp;" GB atau lebih ("&amp;I172&amp;")",IF(M172="Belum ada data","ukuran RAM belum diisi",""))))</f>
        <v/>
      </c>
      <c r="U172" s="33" t="str">
        <f aca="false">IF($A172="","",IF(N172="Kurang","penyimpanan "&amp;F172&amp;" GB, di bawah batas minimal "&amp;Aturan!$C$45&amp;" GB ("&amp;J172&amp;")",IF(N172="Cukup","penyimpanan "&amp;F172&amp;" GB cukup, nyamannya "&amp;Aturan!$D$45&amp;" GB atau lebih ("&amp;J172&amp;")",IF(N172="Belum ada data","ukuran penyimpanan belum diisi",""))))</f>
        <v/>
      </c>
      <c r="V172" s="33" t="str">
        <f aca="false">IF($A172="","",IF(O172="Kurang","layar "&amp;Varian!$AG38&amp;", di bawah batas minimal ("&amp;IFERROR(INDEX(Aturan!$A$63:$A$66,MATCH(Aturan!$C$46,Aturan!$B$63:$B$66,0)),"peringkat "&amp;Aturan!$C$46)&amp;")",IF(O172="Cukup","layar "&amp;Varian!$AG38&amp;" cukup, nyamannya "&amp;IFERROR(INDEX(Aturan!$A$63:$A$66,MATCH(Aturan!$D$46,Aturan!$B$63:$B$66,0)),"peringkat "&amp;Aturan!$D$46),IF(O172="Belum ada data","jenis layar belum diketahui",""))))</f>
        <v/>
      </c>
      <c r="W172" s="33" t="str">
        <f aca="false">IF($A172="","",IF(P172="Kurang","layar "&amp;H172&amp;" Hz, di bawah batas minimal "&amp;Aturan!$C$47&amp;" Hz",IF(P172="Cukup","layar "&amp;H172&amp;" Hz cukup, nyamannya "&amp;Aturan!$D$47&amp;" Hz atau lebih",IF(P172="Belum ada data","refresh rate belum diketahui",""))))</f>
        <v/>
      </c>
      <c r="X172" s="33" t="str">
        <f aca="false">IF($A172="","",IF(K172="Kurang",R172&amp;"; ","")&amp;IF(L172="Kurang",S172&amp;"; ","")&amp;IF(M172="Kurang",T172&amp;"; ","")&amp;IF(N172="Kurang",U172&amp;"; ","")&amp;IF(O172="Kurang",V172&amp;"; ","")&amp;IF(P172="Kurang",W172&amp;"; ","")&amp;IF(K172="Belum ada data",R172&amp;"; ","")&amp;IF(L172="Belum ada data",S172&amp;"; ","")&amp;IF(M172="Belum ada data",T172&amp;"; ","")&amp;IF(N172="Belum ada data",U172&amp;"; ","")&amp;IF(O172="Belum ada data",V172&amp;"; ","")&amp;IF(P172="Belum ada data",W172&amp;"; ","")&amp;IF(K172="Cukup",R172&amp;"; ","")&amp;IF(L172="Cukup",S172&amp;"; ","")&amp;IF(M172="Cukup",T172&amp;"; ","")&amp;IF(N172="Cukup",U172&amp;"; ","")&amp;IF(O172="Cukup",V172&amp;"; ","")&amp;IF(P172="Cukup",W172&amp;"; ",""))</f>
        <v/>
      </c>
      <c r="Y172" s="33" t="str">
        <f aca="false">IF($A172="","",IF(K172="Nyaman","prosesor, ","")&amp;IF(L172="Nyaman","grafis, ","")&amp;IF(M172="Nyaman","RAM, ","")&amp;IF(N172="Nyaman","penyimpanan, ","")&amp;IF(O172="Nyaman","layar, ","")&amp;IF(P172="Nyaman","refresh rate, ",""))</f>
        <v>prosesor, RAM, penyimpanan, </v>
      </c>
      <c r="Z172" s="33" t="str">
        <f aca="false">IF($A172="","",IF(Q172="Tidak dinilai","Belum ada kriteria yang dinilai untuk kebutuhan ini.",IF(Q172="Cocok","Semua kriteria yang dinilai sudah nyaman: "&amp;LEFT(Y172,LEN(Y172)-2)&amp;".",UPPER(LEFT(X172,1))&amp;MID(X172,2,LEN(X172)-3)&amp;"."&amp;IF(Y172="",""," Sudah nyaman: "&amp;LEFT(Y172,LEN(Y172)-2)&amp;"."))))</f>
        <v>Semua kriteria yang dinilai sudah nyaman: prosesor, RAM, penyimpanan.</v>
      </c>
      <c r="AA172" s="33"/>
      <c r="AB172" s="33"/>
      <c r="AC172" s="69"/>
    </row>
    <row r="173" customFormat="false" ht="15" hidden="false" customHeight="true" outlineLevel="0" collapsed="false">
      <c r="A173" s="33" t="str">
        <f aca="false">IF(Varian!$A38="","",Varian!$A38)</f>
        <v>hp-victus-15-fa2666tx-i5-13420h-rtx3050-16-512</v>
      </c>
      <c r="B173" s="33" t="str">
        <f aca="false">IF($A173="","",Aturan!$A$24)</f>
        <v>Game ringan</v>
      </c>
      <c r="C173" s="69" t="n">
        <f aca="false">IF($A173="","",IFERROR(IF(ISNUMBER(INDEX(CPU!$J$4:$J$64,MATCH(Varian!$J38,CPU!$A$4:$A$64,0))),INDEX(CPU!$J$4:$J$64,MATCH(Varian!$J38,CPU!$A$4:$A$64,0)),""),""))</f>
        <v>3</v>
      </c>
      <c r="D173" s="69" t="n">
        <f aca="false">IF($A173="","",IFERROR(IF(ISNUMBER(INDEX(GPU!$G$4:$G$64,MATCH(Varian!$K38,GPU!$A$4:$A$64,0))),INDEX(GPU!$G$4:$G$64,MATCH(Varian!$K38,GPU!$A$4:$A$64,0)),""),""))</f>
        <v>3</v>
      </c>
      <c r="E173" s="69" t="n">
        <f aca="false">IF($A173="","",IF(ISNUMBER(Varian!$M38),Varian!$M38,""))</f>
        <v>16</v>
      </c>
      <c r="F173" s="69" t="n">
        <f aca="false">IF($A173="","",IF(ISNUMBER(Varian!$V38),Varian!$V38,""))</f>
        <v>512</v>
      </c>
      <c r="G173" s="69" t="n">
        <f aca="false">IF($A173="","",IFERROR(INDEX(Aturan!$B$63:$B$66,MATCH(Varian!$AG38,Aturan!$A$63:$A$66,0)),""))</f>
        <v>3</v>
      </c>
      <c r="H173" s="69" t="n">
        <f aca="false">IF($A173="","",IF(ISNUMBER(Varian!$AI38),Varian!$AI38,""))</f>
        <v>144</v>
      </c>
      <c r="I173" s="33" t="str">
        <f aca="false">IF($A173="","",IF(Varian!$Q38="disolder","menempel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ada slot, batas maksimalnya belum diketahui</v>
      </c>
      <c r="J173" s="33" t="str">
        <f aca="false">IF($A173="","",IF(Varian!$Z38="ya","bisa diganti dengan yang lebih besar",IF(Varian!$Z38="tidak","menempel, tidak bisa diganti","belum diketahui apakah bisa diganti")))</f>
        <v>bisa diganti dengan yang lebih besar</v>
      </c>
      <c r="K173" s="70" t="str">
        <f aca="false">IF($A173="","",IF(AND(Aturan!$C$48="",Aturan!$D$48=""),"Tidak dinilai",IF(C173="","Belum ada data",IF(C173&lt;IF(Aturan!$C$48="",0,Aturan!$C$48),"Kurang",IF(C173&gt;=IF(Aturan!$D$48="",Aturan!$C$48,Aturan!$D$48),"Nyaman","Cukup")))))</f>
        <v>Nyaman</v>
      </c>
      <c r="L173" s="70" t="str">
        <f aca="false">IF($A173="","",IF(AND(Aturan!$C$49="",Aturan!$D$49=""),"Tidak dinilai",IF(D173="","Belum ada data",IF(D173&lt;IF(Aturan!$C$49="",0,Aturan!$C$49),"Kurang",IF(D173&gt;=IF(Aturan!$D$49="",Aturan!$C$49,Aturan!$D$49),"Nyaman","Cukup")))))</f>
        <v>Nyaman</v>
      </c>
      <c r="M173" s="70" t="str">
        <f aca="false">IF($A173="","",IF(AND(Aturan!$C$50="",Aturan!$D$50=""),"Tidak dinilai",IF(E173="","Belum ada data",IF(E173&lt;IF(Aturan!$C$50="",0,Aturan!$C$50),"Kurang",IF(E173&gt;=IF(Aturan!$D$50="",Aturan!$C$50,Aturan!$D$50),"Nyaman","Cukup")))))</f>
        <v>Nyaman</v>
      </c>
      <c r="N173" s="70" t="str">
        <f aca="false">IF($A173="","",IF(AND(Aturan!$C$51="",Aturan!$D$51=""),"Tidak dinilai",IF(F173="","Belum ada data",IF(F173&lt;IF(Aturan!$C$51="",0,Aturan!$C$51),"Kurang",IF(F173&gt;=IF(Aturan!$D$51="",Aturan!$C$51,Aturan!$D$51),"Nyaman","Cukup")))))</f>
        <v>Nyaman</v>
      </c>
      <c r="O173" s="70" t="str">
        <f aca="false">IF($A173="","",IF(AND(Aturan!$C$52="",Aturan!$D$52=""),"Tidak dinilai",IF(G173="","Belum ada data",IF(G173&lt;IF(Aturan!$C$52="",0,Aturan!$C$52),"Kurang",IF(G173&gt;=IF(Aturan!$D$52="",Aturan!$C$52,Aturan!$D$52),"Nyaman","Cukup")))))</f>
        <v>Tidak dinilai</v>
      </c>
      <c r="P173" s="70" t="str">
        <f aca="false">IF($A173="","",IF(AND(Aturan!$C$53="",Aturan!$D$53=""),"Tidak dinilai",IF(H173="","Belum ada data",IF(H173&lt;IF(Aturan!$C$53="",0,Aturan!$C$53),"Kurang",IF(H173&gt;=IF(Aturan!$D$53="",Aturan!$C$53,Aturan!$D$53),"Nyaman","Cukup")))))</f>
        <v>Tidak dinilai</v>
      </c>
      <c r="Q173" s="70" t="str">
        <f aca="false">IF($A173="","",IF(COUNTIF(K173:P173,"Tidak dinilai")=6,"Tidak dinilai",IF(COUNTIF(K173:P173,"Kurang")&gt;0,"Kurang cocok",IF(COUNTIF(K173:P173,"Belum ada data")&gt;0,"Data belum lengkap",IF(COUNTIF(K173:P173,"Cukup")&gt;0,"Bisa, dengan catatan","Cocok")))))</f>
        <v>Cocok</v>
      </c>
      <c r="R173" s="33" t="str">
        <f aca="false">IF($A173="","",IF(K173="Kurang","prosesor tingkat "&amp;C173&amp;" dari 5, di bawah batas minimal (tingkat "&amp;Aturan!$C$48&amp;")",IF(K173="Cukup","prosesor tingkat "&amp;C173&amp;" dari 5 cukup, nyamannya mulai tingkat "&amp;Aturan!$D$48,IF(K173="Belum ada data","tingkat prosesor belum diisi",""))))</f>
        <v/>
      </c>
      <c r="S173" s="33" t="str">
        <f aca="false">IF($A173="","",IF(L173="Kurang","grafis tingkat "&amp;D173&amp;" dari 5, di bawah batas minimal (tingkat "&amp;Aturan!$C$49&amp;")",IF(L173="Cukup","grafis tingkat "&amp;D173&amp;" dari 5 cukup, nyamannya mulai tingkat "&amp;Aturan!$D$49,IF(L173="Belum ada data","tingkat grafis belum diisi",""))))</f>
        <v/>
      </c>
      <c r="T173" s="33" t="str">
        <f aca="false">IF($A173="","",IF(M173="Kurang","RAM "&amp;E173&amp;" GB, di bawah batas minimal "&amp;Aturan!$C$50&amp;" GB ("&amp;I173&amp;")",IF(M173="Cukup","RAM "&amp;E173&amp;" GB cukup, nyamannya "&amp;Aturan!$D$50&amp;" GB atau lebih ("&amp;I173&amp;")",IF(M173="Belum ada data","ukuran RAM belum diisi",""))))</f>
        <v/>
      </c>
      <c r="U173" s="33" t="str">
        <f aca="false">IF($A173="","",IF(N173="Kurang","penyimpanan "&amp;F173&amp;" GB, di bawah batas minimal "&amp;Aturan!$C$51&amp;" GB ("&amp;J173&amp;")",IF(N173="Cukup","penyimpanan "&amp;F173&amp;" GB cukup, nyamannya "&amp;Aturan!$D$51&amp;" GB atau lebih ("&amp;J173&amp;")",IF(N173="Belum ada data","ukuran penyimpanan belum diisi",""))))</f>
        <v/>
      </c>
      <c r="V173" s="33" t="str">
        <f aca="false">IF($A173="","",IF(O173="Kurang","layar "&amp;Varian!$AG38&amp;", di bawah batas minimal ("&amp;IFERROR(INDEX(Aturan!$A$63:$A$66,MATCH(Aturan!$C$52,Aturan!$B$63:$B$66,0)),"peringkat "&amp;Aturan!$C$52)&amp;")",IF(O173="Cukup","layar "&amp;Varian!$AG38&amp;" cukup, nyamannya "&amp;IFERROR(INDEX(Aturan!$A$63:$A$66,MATCH(Aturan!$D$52,Aturan!$B$63:$B$66,0)),"peringkat "&amp;Aturan!$D$52),IF(O173="Belum ada data","jenis layar belum diketahui",""))))</f>
        <v/>
      </c>
      <c r="W173" s="33" t="str">
        <f aca="false">IF($A173="","",IF(P173="Kurang","layar "&amp;H173&amp;" Hz, di bawah batas minimal "&amp;Aturan!$C$53&amp;" Hz",IF(P173="Cukup","layar "&amp;H173&amp;" Hz cukup, nyamannya "&amp;Aturan!$D$53&amp;" Hz atau lebih",IF(P173="Belum ada data","refresh rate belum diketahui",""))))</f>
        <v/>
      </c>
      <c r="X173" s="33" t="str">
        <f aca="false">IF($A173="","",IF(K173="Kurang",R173&amp;"; ","")&amp;IF(L173="Kurang",S173&amp;"; ","")&amp;IF(M173="Kurang",T173&amp;"; ","")&amp;IF(N173="Kurang",U173&amp;"; ","")&amp;IF(O173="Kurang",V173&amp;"; ","")&amp;IF(P173="Kurang",W173&amp;"; ","")&amp;IF(K173="Belum ada data",R173&amp;"; ","")&amp;IF(L173="Belum ada data",S173&amp;"; ","")&amp;IF(M173="Belum ada data",T173&amp;"; ","")&amp;IF(N173="Belum ada data",U173&amp;"; ","")&amp;IF(O173="Belum ada data",V173&amp;"; ","")&amp;IF(P173="Belum ada data",W173&amp;"; ","")&amp;IF(K173="Cukup",R173&amp;"; ","")&amp;IF(L173="Cukup",S173&amp;"; ","")&amp;IF(M173="Cukup",T173&amp;"; ","")&amp;IF(N173="Cukup",U173&amp;"; ","")&amp;IF(O173="Cukup",V173&amp;"; ","")&amp;IF(P173="Cukup",W173&amp;"; ",""))</f>
        <v/>
      </c>
      <c r="Y173" s="33" t="str">
        <f aca="false">IF($A173="","",IF(K173="Nyaman","prosesor, ","")&amp;IF(L173="Nyaman","grafis, ","")&amp;IF(M173="Nyaman","RAM, ","")&amp;IF(N173="Nyaman","penyimpanan, ","")&amp;IF(O173="Nyaman","layar, ","")&amp;IF(P173="Nyaman","refresh rate, ",""))</f>
        <v>prosesor, grafis, RAM, penyimpanan, </v>
      </c>
      <c r="Z173" s="33" t="str">
        <f aca="false">IF($A173="","",IF(Q173="Tidak dinilai","Belum ada kriteria yang dinilai untuk kebutuhan ini.",IF(Q173="Cocok","Semua kriteria yang dinilai sudah nyaman: "&amp;LEFT(Y173,LEN(Y173)-2)&amp;".",UPPER(LEFT(X173,1))&amp;MID(X173,2,LEN(X173)-3)&amp;"."&amp;IF(Y173="",""," Sudah nyaman: "&amp;LEFT(Y173,LEN(Y173)-2)&amp;"."))))</f>
        <v>Semua kriteria yang dinilai sudah nyaman: prosesor, grafis, RAM, penyimpanan.</v>
      </c>
      <c r="AA173" s="33"/>
      <c r="AB173" s="33"/>
      <c r="AC173" s="69"/>
    </row>
    <row r="174" customFormat="false" ht="15" hidden="false" customHeight="true" outlineLevel="0" collapsed="false">
      <c r="A174" s="33" t="str">
        <f aca="false">IF(Varian!$A38="","",Varian!$A38)</f>
        <v>hp-victus-15-fa2666tx-i5-13420h-rtx3050-16-512</v>
      </c>
      <c r="B174" s="33" t="str">
        <f aca="false">IF($A174="","",Aturan!$A$25)</f>
        <v>Game berat</v>
      </c>
      <c r="C174" s="69" t="n">
        <f aca="false">IF($A174="","",IFERROR(IF(ISNUMBER(INDEX(CPU!$J$4:$J$64,MATCH(Varian!$J38,CPU!$A$4:$A$64,0))),INDEX(CPU!$J$4:$J$64,MATCH(Varian!$J38,CPU!$A$4:$A$64,0)),""),""))</f>
        <v>3</v>
      </c>
      <c r="D174" s="69" t="n">
        <f aca="false">IF($A174="","",IFERROR(IF(ISNUMBER(INDEX(GPU!$G$4:$G$64,MATCH(Varian!$K38,GPU!$A$4:$A$64,0))),INDEX(GPU!$G$4:$G$64,MATCH(Varian!$K38,GPU!$A$4:$A$64,0)),""),""))</f>
        <v>3</v>
      </c>
      <c r="E174" s="69" t="n">
        <f aca="false">IF($A174="","",IF(ISNUMBER(Varian!$M38),Varian!$M38,""))</f>
        <v>16</v>
      </c>
      <c r="F174" s="69" t="n">
        <f aca="false">IF($A174="","",IF(ISNUMBER(Varian!$V38),Varian!$V38,""))</f>
        <v>512</v>
      </c>
      <c r="G174" s="69" t="n">
        <f aca="false">IF($A174="","",IFERROR(INDEX(Aturan!$B$63:$B$66,MATCH(Varian!$AG38,Aturan!$A$63:$A$66,0)),""))</f>
        <v>3</v>
      </c>
      <c r="H174" s="69" t="n">
        <f aca="false">IF($A174="","",IF(ISNUMBER(Varian!$AI38),Varian!$AI38,""))</f>
        <v>144</v>
      </c>
      <c r="I174" s="33" t="str">
        <f aca="false">IF($A174="","",IF(Varian!$Q38="disolder","menempel di papan utama, tidak bisa ditambah",IF(OR(Varian!$Q38="slot",Varian!$Q38="setengah_disolder"),IF(Varian!$Q38="setengah_disolder","sebagian menempel, ","")&amp;IF(ISNUMBER(Varian!$U38),IF(AND(ISNUMBER(Varian!$M38),Varian!$U38&gt;Varian!$M38),"bisa dinaikkan lewat slot sampai "&amp;Varian!$U38&amp;" GB","sudah di batas maksimal "&amp;Varian!$U38&amp;" GB"),"ada slot, batas maksimalnya belum diketahui"),"belum diketahui apakah bisa ditambah")))</f>
        <v>ada slot, batas maksimalnya belum diketahui</v>
      </c>
      <c r="J174" s="33" t="str">
        <f aca="false">IF($A174="","",IF(Varian!$Z38="ya","bisa diganti dengan yang lebih besar",IF(Varian!$Z38="tidak","menempel, tidak bisa diganti","belum diketahui apakah bisa diganti")))</f>
        <v>bisa diganti dengan yang lebih besar</v>
      </c>
      <c r="K174" s="70" t="str">
        <f aca="false">IF($A174="","",IF(AND(Aturan!$C$54="",Aturan!$D$54=""),"Tidak dinilai",IF(C174="","Belum ada data",IF(C174&lt;IF(Aturan!$C$54="",0,Aturan!$C$54),"Kurang",IF(C174&gt;=IF(Aturan!$D$54="",Aturan!$C$54,Aturan!$D$54),"Nyaman","Cukup")))))</f>
        <v>Cukup</v>
      </c>
      <c r="L174" s="70" t="str">
        <f aca="false">IF($A174="","",IF(AND(Aturan!$C$55="",Aturan!$D$55=""),"Tidak dinilai",IF(D174="","Belum ada data",IF(D174&lt;IF(Aturan!$C$55="",0,Aturan!$C$55),"Kurang",IF(D174&gt;=IF(Aturan!$D$55="",Aturan!$C$55,Aturan!$D$55),"Nyaman","Cukup")))))</f>
        <v>Cukup</v>
      </c>
      <c r="M174" s="70" t="str">
        <f aca="false">IF($A174="","",IF(AND(Aturan!$C$56="",Aturan!$D$56=""),"Tidak dinilai",IF(E174="","Belum ada data",IF(E174&lt;IF(Aturan!$C$56="",0,Aturan!$C$56),"Kurang",IF(E174&gt;=IF(Aturan!$D$56="",Aturan!$C$56,Aturan!$D$56),"Nyaman","Cukup")))))</f>
        <v>Nyaman</v>
      </c>
      <c r="N174" s="70" t="str">
        <f aca="false">IF($A174="","",IF(AND(Aturan!$C$57="",Aturan!$D$57=""),"Tidak dinilai",IF(F174="","Belum ada data",IF(F174&lt;IF(Aturan!$C$57="",0,Aturan!$C$57),"Kurang",IF(F174&gt;=IF(Aturan!$D$57="",Aturan!$C$57,Aturan!$D$57),"Nyaman","Cukup")))))</f>
        <v>Cukup</v>
      </c>
      <c r="O174" s="70" t="str">
        <f aca="false">IF($A174="","",IF(AND(Aturan!$C$58="",Aturan!$D$58=""),"Tidak dinilai",IF(G174="","Belum ada data",IF(G174&lt;IF(Aturan!$C$58="",0,Aturan!$C$58),"Kurang",IF(G174&gt;=IF(Aturan!$D$58="",Aturan!$C$58,Aturan!$D$58),"Nyaman","Cukup")))))</f>
        <v>Tidak dinilai</v>
      </c>
      <c r="P174" s="70" t="str">
        <f aca="false">IF($A174="","",IF(AND(Aturan!$C$59="",Aturan!$D$59=""),"Tidak dinilai",IF(H174="","Belum ada data",IF(H174&lt;IF(Aturan!$C$59="",0,Aturan!$C$59),"Kurang",IF(H174&gt;=IF(Aturan!$D$59="",Aturan!$C$59,Aturan!$D$59),"Nyaman","Cukup")))))</f>
        <v>Nyaman</v>
      </c>
      <c r="Q174" s="70" t="str">
        <f aca="false">IF($A174="","",IF(COUNTIF(K174:P174,"Tidak dinilai")=6,"Tidak dinilai",IF(COUNTIF(K174:P174,"Kurang")&gt;0,"Kurang cocok",IF(COUNTIF(K174:P174,"Belum ada data")&gt;0,"Data belum lengkap",IF(COUNTIF(K174:P174,"Cukup")&gt;0,"Bisa, dengan catatan","Cocok")))))</f>
        <v>Bisa, dengan catatan</v>
      </c>
      <c r="R174" s="33" t="str">
        <f aca="false">IF($A174="","",IF(K174="Kurang","prosesor tingkat "&amp;C174&amp;" dari 5, di bawah batas minimal (tingkat "&amp;Aturan!$C$54&amp;")",IF(K174="Cukup","prosesor tingkat "&amp;C174&amp;" dari 5 cukup, nyamannya mulai tingkat "&amp;Aturan!$D$54,IF(K174="Belum ada data","tingkat prosesor belum diisi",""))))</f>
        <v>prosesor tingkat 3 dari 5 cukup, nyamannya mulai tingkat 4</v>
      </c>
      <c r="S174" s="33" t="str">
        <f aca="false">IF($A174="","",IF(L174="Kurang","grafis tingkat "&amp;D174&amp;" dari 5, di bawah batas minimal (tingkat "&amp;Aturan!$C$55&amp;")",IF(L174="Cukup","grafis tingkat "&amp;D174&amp;" dari 5 cukup, nyamannya mulai tingkat "&amp;Aturan!$D$55,IF(L174="Belum ada data","tingkat grafis belum diisi",""))))</f>
        <v>grafis tingkat 3 dari 5 cukup, nyamannya mulai tingkat 4</v>
      </c>
      <c r="T174" s="33" t="str">
        <f aca="false">IF($A174="","",IF(M174="Kurang","RAM "&amp;E174&amp;" GB, di bawah batas minimal "&amp;Aturan!$C$56&amp;" GB ("&amp;I174&amp;")",IF(M174="Cukup","RAM "&amp;E174&amp;" GB cukup, nyamannya "&amp;Aturan!$D$56&amp;" GB atau lebih ("&amp;I174&amp;")",IF(M174="Belum ada data","ukuran RAM belum diisi",""))))</f>
        <v/>
      </c>
      <c r="U174" s="33" t="str">
        <f aca="false">IF($A174="","",IF(N174="Kurang","penyimpanan "&amp;F174&amp;" GB, di bawah batas minimal "&amp;Aturan!$C$57&amp;" GB ("&amp;J174&amp;")",IF(N174="Cukup","penyimpanan "&amp;F174&amp;" GB cukup, nyamannya "&amp;Aturan!$D$57&amp;" GB atau lebih ("&amp;J174&amp;")",IF(N174="Belum ada data","ukuran penyimpanan belum diisi",""))))</f>
        <v>penyimpanan 512 GB cukup, nyamannya 1000 GB atau lebih (bisa diganti dengan yang lebih besar)</v>
      </c>
      <c r="V174" s="33" t="str">
        <f aca="false">IF($A174="","",IF(O174="Kurang","layar "&amp;Varian!$AG38&amp;", di bawah batas minimal ("&amp;IFERROR(INDEX(Aturan!$A$63:$A$66,MATCH(Aturan!$C$58,Aturan!$B$63:$B$66,0)),"peringkat "&amp;Aturan!$C$58)&amp;")",IF(O174="Cukup","layar "&amp;Varian!$AG38&amp;" cukup, nyamannya "&amp;IFERROR(INDEX(Aturan!$A$63:$A$66,MATCH(Aturan!$D$58,Aturan!$B$63:$B$66,0)),"peringkat "&amp;Aturan!$D$58),IF(O174="Belum ada data","jenis layar belum diketahui",""))))</f>
        <v/>
      </c>
      <c r="W174" s="33" t="str">
        <f aca="false">IF($A174="","",IF(P174="Kurang","layar "&amp;H174&amp;" Hz, di bawah batas minimal "&amp;Aturan!$C$59&amp;" Hz",IF(P174="Cukup","layar "&amp;H174&amp;" Hz cukup, nyamannya "&amp;Aturan!$D$59&amp;" Hz atau lebih",IF(P174="Belum ada data","refresh rate belum diketahui",""))))</f>
        <v/>
      </c>
      <c r="X174" s="33" t="str">
        <f aca="false">IF($A174="","",IF(K174="Kurang",R174&amp;"; ","")&amp;IF(L174="Kurang",S174&amp;"; ","")&amp;IF(M174="Kurang",T174&amp;"; ","")&amp;IF(N174="Kurang",U174&amp;"; ","")&amp;IF(O174="Kurang",V174&amp;"; ","")&amp;IF(P174="Kurang",W174&amp;"; ","")&amp;IF(K174="Belum ada data",R174&amp;"; ","")&amp;IF(L174="Belum ada data",S174&amp;"; ","")&amp;IF(M174="Belum ada data",T174&amp;"; ","")&amp;IF(N174="Belum ada data",U174&amp;"; ","")&amp;IF(O174="Belum ada data",V174&amp;"; ","")&amp;IF(P174="Belum ada data",W174&amp;"; ","")&amp;IF(K174="Cukup",R174&amp;"; ","")&amp;IF(L174="Cukup",S174&amp;"; ","")&amp;IF(M174="Cukup",T174&amp;"; ","")&amp;IF(N174="Cukup",U174&amp;"; ","")&amp;IF(O174="Cukup",V174&amp;"; ","")&amp;IF(P174="Cukup",W174&amp;"; ",""))</f>
        <v>prosesor tingkat 3 dari 5 cukup, nyamannya mulai tingkat 4; grafis tingkat 3 dari 5 cukup, nyamannya mulai tingkat 4; penyimpanan 512 GB cukup, nyamannya 1000 GB atau lebih (bisa diganti dengan yang lebih besar); </v>
      </c>
      <c r="Y174" s="33" t="str">
        <f aca="false">IF($A174="","",IF(K174="Nyaman","prosesor, ","")&amp;IF(L174="Nyaman","grafis, ","")&amp;IF(M174="Nyaman","RAM, ","")&amp;IF(N174="Nyaman","penyimpanan, ","")&amp;IF(O174="Nyaman","layar, ","")&amp;IF(P174="Nyaman","refresh rate, ",""))</f>
        <v>RAM, refresh rate, </v>
      </c>
      <c r="Z174" s="33" t="str">
        <f aca="false">IF($A174="","",IF(Q174="Tidak dinilai","Belum ada kriteria yang dinilai untuk kebutuhan ini.",IF(Q174="Cocok","Semua kriteria yang dinilai sudah nyaman: "&amp;LEFT(Y174,LEN(Y174)-2)&amp;".",UPPER(LEFT(X174,1))&amp;MID(X174,2,LEN(X174)-3)&amp;"."&amp;IF(Y174="",""," Sudah nyaman: "&amp;LEFT(Y174,LEN(Y174)-2)&amp;"."))))</f>
        <v>Prosesor tingkat 3 dari 5 cukup, nyamannya mulai tingkat 4; grafis tingkat 3 dari 5 cukup, nyamannya mulai tingkat 4; penyimpanan 512 GB cukup, nyamannya 1000 GB atau lebih (bisa diganti dengan yang lebih besar). Sudah nyaman: RAM, refresh rate.</v>
      </c>
      <c r="AA174" s="33"/>
      <c r="AB174" s="33"/>
      <c r="AC174" s="69"/>
    </row>
    <row r="175" customFormat="false" ht="15" hidden="false" customHeight="true" outlineLevel="0" collapsed="false">
      <c r="A175" s="66" t="str">
        <f aca="false">IF(Varian!$A39="","",Varian!$A39)</f>
        <v>msi-thin-15-b13uc-i7-13620h-rtx3050-8-512</v>
      </c>
      <c r="B175" s="66" t="str">
        <f aca="false">IF($A175="","",Aturan!$A$21)</f>
        <v>Kuliah dan kantor</v>
      </c>
      <c r="C175" s="67" t="n">
        <f aca="false">IF($A175="","",IFERROR(IF(ISNUMBER(INDEX(CPU!$J$4:$J$64,MATCH(Varian!$J39,CPU!$A$4:$A$64,0))),INDEX(CPU!$J$4:$J$64,MATCH(Varian!$J39,CPU!$A$4:$A$64,0)),""),""))</f>
        <v>4</v>
      </c>
      <c r="D175" s="67" t="n">
        <f aca="false">IF($A175="","",IFERROR(IF(ISNUMBER(INDEX(GPU!$G$4:$G$64,MATCH(Varian!$K39,GPU!$A$4:$A$64,0))),INDEX(GPU!$G$4:$G$64,MATCH(Varian!$K39,GPU!$A$4:$A$64,0)),""),""))</f>
        <v>3</v>
      </c>
      <c r="E175" s="67" t="n">
        <f aca="false">IF($A175="","",IF(ISNUMBER(Varian!$M39),Varian!$M39,""))</f>
        <v>8</v>
      </c>
      <c r="F175" s="67" t="n">
        <f aca="false">IF($A175="","",IF(ISNUMBER(Varian!$V39),Varian!$V39,""))</f>
        <v>512</v>
      </c>
      <c r="G175" s="67" t="n">
        <f aca="false">IF($A175="","",IFERROR(INDEX(Aturan!$B$63:$B$66,MATCH(Varian!$AG39,Aturan!$A$63:$A$66,0)),""))</f>
        <v>3</v>
      </c>
      <c r="H175" s="67" t="n">
        <f aca="false">IF($A175="","",IF(ISNUMBER(Varian!$AI39),Varian!$AI39,""))</f>
        <v>144</v>
      </c>
      <c r="I175" s="66" t="str">
        <f aca="false">IF($A175="","",IF(Varian!$Q39="disolder","menempel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bisa dinaikkan lewat slot sampai 64 GB</v>
      </c>
      <c r="J175" s="66" t="str">
        <f aca="false">IF($A175="","",IF(Varian!$Z39="ya","bisa diganti dengan yang lebih besar",IF(Varian!$Z39="tidak","menempel, tidak bisa diganti","belum diketahui apakah bisa diganti")))</f>
        <v>bisa diganti dengan yang lebih besar</v>
      </c>
      <c r="K175" s="68" t="str">
        <f aca="false">IF($A175="","",IF(AND(Aturan!$C$30="",Aturan!$D$30=""),"Tidak dinilai",IF(C175="","Belum ada data",IF(C175&lt;IF(Aturan!$C$30="",0,Aturan!$C$30),"Kurang",IF(C175&gt;=IF(Aturan!$D$30="",Aturan!$C$30,Aturan!$D$30),"Nyaman","Cukup")))))</f>
        <v>Nyaman</v>
      </c>
      <c r="L175" s="68" t="str">
        <f aca="false">IF($A175="","",IF(AND(Aturan!$C$31="",Aturan!$D$31=""),"Tidak dinilai",IF(D175="","Belum ada data",IF(D175&lt;IF(Aturan!$C$31="",0,Aturan!$C$31),"Kurang",IF(D175&gt;=IF(Aturan!$D$31="",Aturan!$C$31,Aturan!$D$31),"Nyaman","Cukup")))))</f>
        <v>Tidak dinilai</v>
      </c>
      <c r="M175" s="68" t="str">
        <f aca="false">IF($A175="","",IF(AND(Aturan!$C$32="",Aturan!$D$32=""),"Tidak dinilai",IF(E175="","Belum ada data",IF(E175&lt;IF(Aturan!$C$32="",0,Aturan!$C$32),"Kurang",IF(E175&gt;=IF(Aturan!$D$32="",Aturan!$C$32,Aturan!$D$32),"Nyaman","Cukup")))))</f>
        <v>Nyaman</v>
      </c>
      <c r="N175" s="68" t="str">
        <f aca="false">IF($A175="","",IF(AND(Aturan!$C$33="",Aturan!$D$33=""),"Tidak dinilai",IF(F175="","Belum ada data",IF(F175&lt;IF(Aturan!$C$33="",0,Aturan!$C$33),"Kurang",IF(F175&gt;=IF(Aturan!$D$33="",Aturan!$C$33,Aturan!$D$33),"Nyaman","Cukup")))))</f>
        <v>Nyaman</v>
      </c>
      <c r="O175" s="68" t="str">
        <f aca="false">IF($A175="","",IF(AND(Aturan!$C$34="",Aturan!$D$34=""),"Tidak dinilai",IF(G175="","Belum ada data",IF(G175&lt;IF(Aturan!$C$34="",0,Aturan!$C$34),"Kurang",IF(G175&gt;=IF(Aturan!$D$34="",Aturan!$C$34,Aturan!$D$34),"Nyaman","Cukup")))))</f>
        <v>Tidak dinilai</v>
      </c>
      <c r="P175" s="68" t="str">
        <f aca="false">IF($A175="","",IF(AND(Aturan!$C$35="",Aturan!$D$35=""),"Tidak dinilai",IF(H175="","Belum ada data",IF(H175&lt;IF(Aturan!$C$35="",0,Aturan!$C$35),"Kurang",IF(H175&gt;=IF(Aturan!$D$35="",Aturan!$C$35,Aturan!$D$35),"Nyaman","Cukup")))))</f>
        <v>Tidak dinilai</v>
      </c>
      <c r="Q175" s="68" t="str">
        <f aca="false">IF($A175="","",IF(COUNTIF(K175:P175,"Tidak dinilai")=6,"Tidak dinilai",IF(COUNTIF(K175:P175,"Kurang")&gt;0,"Kurang cocok",IF(COUNTIF(K175:P175,"Belum ada data")&gt;0,"Data belum lengkap",IF(COUNTIF(K175:P175,"Cukup")&gt;0,"Bisa, dengan catatan","Cocok")))))</f>
        <v>Cocok</v>
      </c>
      <c r="R175" s="66" t="str">
        <f aca="false">IF($A175="","",IF(K175="Kurang","prosesor tingkat "&amp;C175&amp;" dari 5, di bawah batas minimal (tingkat "&amp;Aturan!$C$30&amp;")",IF(K175="Cukup","prosesor tingkat "&amp;C175&amp;" dari 5 cukup, nyamannya mulai tingkat "&amp;Aturan!$D$30,IF(K175="Belum ada data","tingkat prosesor belum diisi",""))))</f>
        <v/>
      </c>
      <c r="S175" s="66" t="str">
        <f aca="false">IF($A175="","",IF(L175="Kurang","grafis tingkat "&amp;D175&amp;" dari 5, di bawah batas minimal (tingkat "&amp;Aturan!$C$31&amp;")",IF(L175="Cukup","grafis tingkat "&amp;D175&amp;" dari 5 cukup, nyamannya mulai tingkat "&amp;Aturan!$D$31,IF(L175="Belum ada data","tingkat grafis belum diisi",""))))</f>
        <v/>
      </c>
      <c r="T175" s="66" t="str">
        <f aca="false">IF($A175="","",IF(M175="Kurang","RAM "&amp;E175&amp;" GB, di bawah batas minimal "&amp;Aturan!$C$32&amp;" GB ("&amp;I175&amp;")",IF(M175="Cukup","RAM "&amp;E175&amp;" GB cukup, nyamannya "&amp;Aturan!$D$32&amp;" GB atau lebih ("&amp;I175&amp;")",IF(M175="Belum ada data","ukuran RAM belum diisi",""))))</f>
        <v/>
      </c>
      <c r="U175" s="66" t="str">
        <f aca="false">IF($A175="","",IF(N175="Kurang","penyimpanan "&amp;F175&amp;" GB, di bawah batas minimal "&amp;Aturan!$C$33&amp;" GB ("&amp;J175&amp;")",IF(N175="Cukup","penyimpanan "&amp;F175&amp;" GB cukup, nyamannya "&amp;Aturan!$D$33&amp;" GB atau lebih ("&amp;J175&amp;")",IF(N175="Belum ada data","ukuran penyimpanan belum diisi",""))))</f>
        <v/>
      </c>
      <c r="V175" s="66" t="str">
        <f aca="false">IF($A175="","",IF(O175="Kurang","layar "&amp;Varian!$AG39&amp;", di bawah batas minimal ("&amp;IFERROR(INDEX(Aturan!$A$63:$A$66,MATCH(Aturan!$C$34,Aturan!$B$63:$B$66,0)),"peringkat "&amp;Aturan!$C$34)&amp;")",IF(O175="Cukup","layar "&amp;Varian!$AG39&amp;" cukup, nyamannya "&amp;IFERROR(INDEX(Aturan!$A$63:$A$66,MATCH(Aturan!$D$34,Aturan!$B$63:$B$66,0)),"peringkat "&amp;Aturan!$D$34),IF(O175="Belum ada data","jenis layar belum diketahui",""))))</f>
        <v/>
      </c>
      <c r="W175" s="66" t="str">
        <f aca="false">IF($A175="","",IF(P175="Kurang","layar "&amp;H175&amp;" Hz, di bawah batas minimal "&amp;Aturan!$C$35&amp;" Hz",IF(P175="Cukup","layar "&amp;H175&amp;" Hz cukup, nyamannya "&amp;Aturan!$D$35&amp;" Hz atau lebih",IF(P175="Belum ada data","refresh rate belum diketahui",""))))</f>
        <v/>
      </c>
      <c r="X175" s="66" t="str">
        <f aca="false">IF($A175="","",IF(K175="Kurang",R175&amp;"; ","")&amp;IF(L175="Kurang",S175&amp;"; ","")&amp;IF(M175="Kurang",T175&amp;"; ","")&amp;IF(N175="Kurang",U175&amp;"; ","")&amp;IF(O175="Kurang",V175&amp;"; ","")&amp;IF(P175="Kurang",W175&amp;"; ","")&amp;IF(K175="Belum ada data",R175&amp;"; ","")&amp;IF(L175="Belum ada data",S175&amp;"; ","")&amp;IF(M175="Belum ada data",T175&amp;"; ","")&amp;IF(N175="Belum ada data",U175&amp;"; ","")&amp;IF(O175="Belum ada data",V175&amp;"; ","")&amp;IF(P175="Belum ada data",W175&amp;"; ","")&amp;IF(K175="Cukup",R175&amp;"; ","")&amp;IF(L175="Cukup",S175&amp;"; ","")&amp;IF(M175="Cukup",T175&amp;"; ","")&amp;IF(N175="Cukup",U175&amp;"; ","")&amp;IF(O175="Cukup",V175&amp;"; ","")&amp;IF(P175="Cukup",W175&amp;"; ",""))</f>
        <v/>
      </c>
      <c r="Y175" s="66" t="str">
        <f aca="false">IF($A175="","",IF(K175="Nyaman","prosesor, ","")&amp;IF(L175="Nyaman","grafis, ","")&amp;IF(M175="Nyaman","RAM, ","")&amp;IF(N175="Nyaman","penyimpanan, ","")&amp;IF(O175="Nyaman","layar, ","")&amp;IF(P175="Nyaman","refresh rate, ",""))</f>
        <v>prosesor, RAM, penyimpanan, </v>
      </c>
      <c r="Z175" s="66" t="str">
        <f aca="false">IF($A175="","",IF(Q175="Tidak dinilai","Belum ada kriteria yang dinilai untuk kebutuhan ini.",IF(Q175="Cocok","Semua kriteria yang dinilai sudah nyaman: "&amp;LEFT(Y175,LEN(Y175)-2)&amp;".",UPPER(LEFT(X175,1))&amp;MID(X175,2,LEN(X175)-3)&amp;"."&amp;IF(Y175="",""," Sudah nyaman: "&amp;LEFT(Y175,LEN(Y175)-2)&amp;"."))))</f>
        <v>Semua kriteria yang dinilai sudah nyaman: prosesor, RAM, penyimpanan.</v>
      </c>
      <c r="AA175" s="66" t="str">
        <f aca="false">IF($A175="","",IF(Varian!$AR39="Windows 10","• "&amp;Aturan!$E$71&amp;CHAR(10),"")&amp;IF(Varian!$BB39="tidak","• "&amp;Aturan!$E$72&amp;CHAR(10),"")&amp;IF(OR(Varian!$AD39="belum terverifikasi",Varian!$AD39="tidak diketahui"),"• "&amp;Aturan!$E$73&amp;CHAR(10),"")&amp;IF(Varian!$AH39="1366x768","• "&amp;Aturan!$E$74&amp;CHAR(10),"")&amp;IF(Varian!$AG39="TN","• "&amp;Aturan!$E$75&amp;CHAR(10),"")&amp;IF(AND(Varian!$Q39="disolder",ISNUMBER(Varian!$M39),Varian!$M39&lt;=8),"• "&amp;Aturan!$E$76&amp;CHAR(10),""))</f>
        <v/>
      </c>
      <c r="AB175" s="66" t="str">
        <f aca="false">IF($A175="","",IF(AA175="","",LEFT(AA175,LEN(AA175)-1)))</f>
        <v/>
      </c>
      <c r="AC175" s="67" t="n">
        <f aca="false">IF($A175="","",IF(AA175="",0,LEN(AA175)-LEN(SUBSTITUTE(AA175,CHAR(10),""))))</f>
        <v>0</v>
      </c>
    </row>
    <row r="176" customFormat="false" ht="15" hidden="false" customHeight="true" outlineLevel="0" collapsed="false">
      <c r="A176" s="33" t="str">
        <f aca="false">IF(Varian!$A39="","",Varian!$A39)</f>
        <v>msi-thin-15-b13uc-i7-13620h-rtx3050-8-512</v>
      </c>
      <c r="B176" s="33" t="str">
        <f aca="false">IF($A176="","",Aturan!$A$22)</f>
        <v>Desain grafis</v>
      </c>
      <c r="C176" s="69" t="n">
        <f aca="false">IF($A176="","",IFERROR(IF(ISNUMBER(INDEX(CPU!$J$4:$J$64,MATCH(Varian!$J39,CPU!$A$4:$A$64,0))),INDEX(CPU!$J$4:$J$64,MATCH(Varian!$J39,CPU!$A$4:$A$64,0)),""),""))</f>
        <v>4</v>
      </c>
      <c r="D176" s="69" t="n">
        <f aca="false">IF($A176="","",IFERROR(IF(ISNUMBER(INDEX(GPU!$G$4:$G$64,MATCH(Varian!$K39,GPU!$A$4:$A$64,0))),INDEX(GPU!$G$4:$G$64,MATCH(Varian!$K39,GPU!$A$4:$A$64,0)),""),""))</f>
        <v>3</v>
      </c>
      <c r="E176" s="69" t="n">
        <f aca="false">IF($A176="","",IF(ISNUMBER(Varian!$M39),Varian!$M39,""))</f>
        <v>8</v>
      </c>
      <c r="F176" s="69" t="n">
        <f aca="false">IF($A176="","",IF(ISNUMBER(Varian!$V39),Varian!$V39,""))</f>
        <v>512</v>
      </c>
      <c r="G176" s="69" t="n">
        <f aca="false">IF($A176="","",IFERROR(INDEX(Aturan!$B$63:$B$66,MATCH(Varian!$AG39,Aturan!$A$63:$A$66,0)),""))</f>
        <v>3</v>
      </c>
      <c r="H176" s="69" t="n">
        <f aca="false">IF($A176="","",IF(ISNUMBER(Varian!$AI39),Varian!$AI39,""))</f>
        <v>144</v>
      </c>
      <c r="I176" s="33" t="str">
        <f aca="false">IF($A176="","",IF(Varian!$Q39="disolder","menempel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bisa dinaikkan lewat slot sampai 64 GB</v>
      </c>
      <c r="J176" s="33" t="str">
        <f aca="false">IF($A176="","",IF(Varian!$Z39="ya","bisa diganti dengan yang lebih besar",IF(Varian!$Z39="tidak","menempel, tidak bisa diganti","belum diketahui apakah bisa diganti")))</f>
        <v>bisa diganti dengan yang lebih besar</v>
      </c>
      <c r="K176" s="70" t="str">
        <f aca="false">IF($A176="","",IF(AND(Aturan!$C$36="",Aturan!$D$36=""),"Tidak dinilai",IF(C176="","Belum ada data",IF(C176&lt;IF(Aturan!$C$36="",0,Aturan!$C$36),"Kurang",IF(C176&gt;=IF(Aturan!$D$36="",Aturan!$C$36,Aturan!$D$36),"Nyaman","Cukup")))))</f>
        <v>Nyaman</v>
      </c>
      <c r="L176" s="70" t="str">
        <f aca="false">IF($A176="","",IF(AND(Aturan!$C$37="",Aturan!$D$37=""),"Tidak dinilai",IF(D176="","Belum ada data",IF(D176&lt;IF(Aturan!$C$37="",0,Aturan!$C$37),"Kurang",IF(D176&gt;=IF(Aturan!$D$37="",Aturan!$C$37,Aturan!$D$37),"Nyaman","Cukup")))))</f>
        <v>Nyaman</v>
      </c>
      <c r="M176" s="70" t="str">
        <f aca="false">IF($A176="","",IF(AND(Aturan!$C$38="",Aturan!$D$38=""),"Tidak dinilai",IF(E176="","Belum ada data",IF(E176&lt;IF(Aturan!$C$38="",0,Aturan!$C$38),"Kurang",IF(E176&gt;=IF(Aturan!$D$38="",Aturan!$C$38,Aturan!$D$38),"Nyaman","Cukup")))))</f>
        <v>Cukup</v>
      </c>
      <c r="N176" s="70" t="str">
        <f aca="false">IF($A176="","",IF(AND(Aturan!$C$39="",Aturan!$D$39=""),"Tidak dinilai",IF(F176="","Belum ada data",IF(F176&lt;IF(Aturan!$C$39="",0,Aturan!$C$39),"Kurang",IF(F176&gt;=IF(Aturan!$D$39="",Aturan!$C$39,Aturan!$D$39),"Nyaman","Cukup")))))</f>
        <v>Nyaman</v>
      </c>
      <c r="O176" s="70" t="str">
        <f aca="false">IF($A176="","",IF(AND(Aturan!$C$40="",Aturan!$D$40=""),"Tidak dinilai",IF(G176="","Belum ada data",IF(G176&lt;IF(Aturan!$C$40="",0,Aturan!$C$40),"Kurang",IF(G176&gt;=IF(Aturan!$D$40="",Aturan!$C$40,Aturan!$D$40),"Nyaman","Cukup")))))</f>
        <v>Cukup</v>
      </c>
      <c r="P176" s="70" t="str">
        <f aca="false">IF($A176="","",IF(AND(Aturan!$C$41="",Aturan!$D$41=""),"Tidak dinilai",IF(H176="","Belum ada data",IF(H176&lt;IF(Aturan!$C$41="",0,Aturan!$C$41),"Kurang",IF(H176&gt;=IF(Aturan!$D$41="",Aturan!$C$41,Aturan!$D$41),"Nyaman","Cukup")))))</f>
        <v>Tidak dinilai</v>
      </c>
      <c r="Q176" s="70" t="str">
        <f aca="false">IF($A176="","",IF(COUNTIF(K176:P176,"Tidak dinilai")=6,"Tidak dinilai",IF(COUNTIF(K176:P176,"Kurang")&gt;0,"Kurang cocok",IF(COUNTIF(K176:P176,"Belum ada data")&gt;0,"Data belum lengkap",IF(COUNTIF(K176:P176,"Cukup")&gt;0,"Bisa, dengan catatan","Cocok")))))</f>
        <v>Bisa, dengan catatan</v>
      </c>
      <c r="R176" s="33" t="str">
        <f aca="false">IF($A176="","",IF(K176="Kurang","prosesor tingkat "&amp;C176&amp;" dari 5, di bawah batas minimal (tingkat "&amp;Aturan!$C$36&amp;")",IF(K176="Cukup","prosesor tingkat "&amp;C176&amp;" dari 5 cukup, nyamannya mulai tingkat "&amp;Aturan!$D$36,IF(K176="Belum ada data","tingkat prosesor belum diisi",""))))</f>
        <v/>
      </c>
      <c r="S176" s="33" t="str">
        <f aca="false">IF($A176="","",IF(L176="Kurang","grafis tingkat "&amp;D176&amp;" dari 5, di bawah batas minimal (tingkat "&amp;Aturan!$C$37&amp;")",IF(L176="Cukup","grafis tingkat "&amp;D176&amp;" dari 5 cukup, nyamannya mulai tingkat "&amp;Aturan!$D$37,IF(L176="Belum ada data","tingkat grafis belum diisi",""))))</f>
        <v/>
      </c>
      <c r="T176" s="33" t="str">
        <f aca="false">IF($A176="","",IF(M176="Kurang","RAM "&amp;E176&amp;" GB, di bawah batas minimal "&amp;Aturan!$C$38&amp;" GB ("&amp;I176&amp;")",IF(M176="Cukup","RAM "&amp;E176&amp;" GB cukup, nyamannya "&amp;Aturan!$D$38&amp;" GB atau lebih ("&amp;I176&amp;")",IF(M176="Belum ada data","ukuran RAM belum diisi",""))))</f>
        <v>RAM 8 GB cukup, nyamannya 16 GB atau lebih (bisa dinaikkan lewat slot sampai 64 GB)</v>
      </c>
      <c r="U176" s="33" t="str">
        <f aca="false">IF($A176="","",IF(N176="Kurang","penyimpanan "&amp;F176&amp;" GB, di bawah batas minimal "&amp;Aturan!$C$39&amp;" GB ("&amp;J176&amp;")",IF(N176="Cukup","penyimpanan "&amp;F176&amp;" GB cukup, nyamannya "&amp;Aturan!$D$39&amp;" GB atau lebih ("&amp;J176&amp;")",IF(N176="Belum ada data","ukuran penyimpanan belum diisi",""))))</f>
        <v/>
      </c>
      <c r="V176" s="33" t="str">
        <f aca="false">IF($A176="","",IF(O176="Kurang","layar "&amp;Varian!$AG39&amp;", di bawah batas minimal ("&amp;IFERROR(INDEX(Aturan!$A$63:$A$66,MATCH(Aturan!$C$40,Aturan!$B$63:$B$66,0)),"peringkat "&amp;Aturan!$C$40)&amp;")",IF(O176="Cukup","layar "&amp;Varian!$AG39&amp;" cukup, nyamannya "&amp;IFERROR(INDEX(Aturan!$A$63:$A$66,MATCH(Aturan!$D$40,Aturan!$B$63:$B$66,0)),"peringkat "&amp;Aturan!$D$40),IF(O176="Belum ada data","jenis layar belum diketahui",""))))</f>
        <v>layar IPS cukup, nyamannya OLED</v>
      </c>
      <c r="W176" s="33" t="str">
        <f aca="false">IF($A176="","",IF(P176="Kurang","layar "&amp;H176&amp;" Hz, di bawah batas minimal "&amp;Aturan!$C$41&amp;" Hz",IF(P176="Cukup","layar "&amp;H176&amp;" Hz cukup, nyamannya "&amp;Aturan!$D$41&amp;" Hz atau lebih",IF(P176="Belum ada data","refresh rate belum diketahui",""))))</f>
        <v/>
      </c>
      <c r="X176" s="33" t="str">
        <f aca="false">IF($A176="","",IF(K176="Kurang",R176&amp;"; ","")&amp;IF(L176="Kurang",S176&amp;"; ","")&amp;IF(M176="Kurang",T176&amp;"; ","")&amp;IF(N176="Kurang",U176&amp;"; ","")&amp;IF(O176="Kurang",V176&amp;"; ","")&amp;IF(P176="Kurang",W176&amp;"; ","")&amp;IF(K176="Belum ada data",R176&amp;"; ","")&amp;IF(L176="Belum ada data",S176&amp;"; ","")&amp;IF(M176="Belum ada data",T176&amp;"; ","")&amp;IF(N176="Belum ada data",U176&amp;"; ","")&amp;IF(O176="Belum ada data",V176&amp;"; ","")&amp;IF(P176="Belum ada data",W176&amp;"; ","")&amp;IF(K176="Cukup",R176&amp;"; ","")&amp;IF(L176="Cukup",S176&amp;"; ","")&amp;IF(M176="Cukup",T176&amp;"; ","")&amp;IF(N176="Cukup",U176&amp;"; ","")&amp;IF(O176="Cukup",V176&amp;"; ","")&amp;IF(P176="Cukup",W176&amp;"; ",""))</f>
        <v>RAM 8 GB cukup, nyamannya 16 GB atau lebih (bisa dinaikkan lewat slot sampai 64 GB); layar IPS cukup, nyamannya OLED; </v>
      </c>
      <c r="Y176" s="33" t="str">
        <f aca="false">IF($A176="","",IF(K176="Nyaman","prosesor, ","")&amp;IF(L176="Nyaman","grafis, ","")&amp;IF(M176="Nyaman","RAM, ","")&amp;IF(N176="Nyaman","penyimpanan, ","")&amp;IF(O176="Nyaman","layar, ","")&amp;IF(P176="Nyaman","refresh rate, ",""))</f>
        <v>prosesor, grafis, penyimpanan, </v>
      </c>
      <c r="Z176" s="33" t="str">
        <f aca="false">IF($A176="","",IF(Q176="Tidak dinilai","Belum ada kriteria yang dinilai untuk kebutuhan ini.",IF(Q176="Cocok","Semua kriteria yang dinilai sudah nyaman: "&amp;LEFT(Y176,LEN(Y176)-2)&amp;".",UPPER(LEFT(X176,1))&amp;MID(X176,2,LEN(X176)-3)&amp;"."&amp;IF(Y176="",""," Sudah nyaman: "&amp;LEFT(Y176,LEN(Y176)-2)&amp;"."))))</f>
        <v>RAM 8 GB cukup, nyamannya 16 GB atau lebih (bisa dinaikkan lewat slot sampai 64 GB); layar IPS cukup, nyamannya OLED. Sudah nyaman: prosesor, grafis, penyimpanan.</v>
      </c>
      <c r="AA176" s="33"/>
      <c r="AB176" s="33"/>
      <c r="AC176" s="69"/>
    </row>
    <row r="177" customFormat="false" ht="15" hidden="false" customHeight="true" outlineLevel="0" collapsed="false">
      <c r="A177" s="33" t="str">
        <f aca="false">IF(Varian!$A39="","",Varian!$A39)</f>
        <v>msi-thin-15-b13uc-i7-13620h-rtx3050-8-512</v>
      </c>
      <c r="B177" s="33" t="str">
        <f aca="false">IF($A177="","",Aturan!$A$23)</f>
        <v>Pemrograman</v>
      </c>
      <c r="C177" s="69" t="n">
        <f aca="false">IF($A177="","",IFERROR(IF(ISNUMBER(INDEX(CPU!$J$4:$J$64,MATCH(Varian!$J39,CPU!$A$4:$A$64,0))),INDEX(CPU!$J$4:$J$64,MATCH(Varian!$J39,CPU!$A$4:$A$64,0)),""),""))</f>
        <v>4</v>
      </c>
      <c r="D177" s="69" t="n">
        <f aca="false">IF($A177="","",IFERROR(IF(ISNUMBER(INDEX(GPU!$G$4:$G$64,MATCH(Varian!$K39,GPU!$A$4:$A$64,0))),INDEX(GPU!$G$4:$G$64,MATCH(Varian!$K39,GPU!$A$4:$A$64,0)),""),""))</f>
        <v>3</v>
      </c>
      <c r="E177" s="69" t="n">
        <f aca="false">IF($A177="","",IF(ISNUMBER(Varian!$M39),Varian!$M39,""))</f>
        <v>8</v>
      </c>
      <c r="F177" s="69" t="n">
        <f aca="false">IF($A177="","",IF(ISNUMBER(Varian!$V39),Varian!$V39,""))</f>
        <v>512</v>
      </c>
      <c r="G177" s="69" t="n">
        <f aca="false">IF($A177="","",IFERROR(INDEX(Aturan!$B$63:$B$66,MATCH(Varian!$AG39,Aturan!$A$63:$A$66,0)),""))</f>
        <v>3</v>
      </c>
      <c r="H177" s="69" t="n">
        <f aca="false">IF($A177="","",IF(ISNUMBER(Varian!$AI39),Varian!$AI39,""))</f>
        <v>144</v>
      </c>
      <c r="I177" s="33" t="str">
        <f aca="false">IF($A177="","",IF(Varian!$Q39="disolder","menempel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bisa dinaikkan lewat slot sampai 64 GB</v>
      </c>
      <c r="J177" s="33" t="str">
        <f aca="false">IF($A177="","",IF(Varian!$Z39="ya","bisa diganti dengan yang lebih besar",IF(Varian!$Z39="tidak","menempel, tidak bisa diganti","belum diketahui apakah bisa diganti")))</f>
        <v>bisa diganti dengan yang lebih besar</v>
      </c>
      <c r="K177" s="70" t="str">
        <f aca="false">IF($A177="","",IF(AND(Aturan!$C$42="",Aturan!$D$42=""),"Tidak dinilai",IF(C177="","Belum ada data",IF(C177&lt;IF(Aturan!$C$42="",0,Aturan!$C$42),"Kurang",IF(C177&gt;=IF(Aturan!$D$42="",Aturan!$C$42,Aturan!$D$42),"Nyaman","Cukup")))))</f>
        <v>Nyaman</v>
      </c>
      <c r="L177" s="70" t="str">
        <f aca="false">IF($A177="","",IF(AND(Aturan!$C$43="",Aturan!$D$43=""),"Tidak dinilai",IF(D177="","Belum ada data",IF(D177&lt;IF(Aturan!$C$43="",0,Aturan!$C$43),"Kurang",IF(D177&gt;=IF(Aturan!$D$43="",Aturan!$C$43,Aturan!$D$43),"Nyaman","Cukup")))))</f>
        <v>Tidak dinilai</v>
      </c>
      <c r="M177" s="70" t="str">
        <f aca="false">IF($A177="","",IF(AND(Aturan!$C$44="",Aturan!$D$44=""),"Tidak dinilai",IF(E177="","Belum ada data",IF(E177&lt;IF(Aturan!$C$44="",0,Aturan!$C$44),"Kurang",IF(E177&gt;=IF(Aturan!$D$44="",Aturan!$C$44,Aturan!$D$44),"Nyaman","Cukup")))))</f>
        <v>Cukup</v>
      </c>
      <c r="N177" s="70" t="str">
        <f aca="false">IF($A177="","",IF(AND(Aturan!$C$45="",Aturan!$D$45=""),"Tidak dinilai",IF(F177="","Belum ada data",IF(F177&lt;IF(Aturan!$C$45="",0,Aturan!$C$45),"Kurang",IF(F177&gt;=IF(Aturan!$D$45="",Aturan!$C$45,Aturan!$D$45),"Nyaman","Cukup")))))</f>
        <v>Nyaman</v>
      </c>
      <c r="O177" s="70" t="str">
        <f aca="false">IF($A177="","",IF(AND(Aturan!$C$46="",Aturan!$D$46=""),"Tidak dinilai",IF(G177="","Belum ada data",IF(G177&lt;IF(Aturan!$C$46="",0,Aturan!$C$46),"Kurang",IF(G177&gt;=IF(Aturan!$D$46="",Aturan!$C$46,Aturan!$D$46),"Nyaman","Cukup")))))</f>
        <v>Tidak dinilai</v>
      </c>
      <c r="P177" s="70" t="str">
        <f aca="false">IF($A177="","",IF(AND(Aturan!$C$47="",Aturan!$D$47=""),"Tidak dinilai",IF(H177="","Belum ada data",IF(H177&lt;IF(Aturan!$C$47="",0,Aturan!$C$47),"Kurang",IF(H177&gt;=IF(Aturan!$D$47="",Aturan!$C$47,Aturan!$D$47),"Nyaman","Cukup")))))</f>
        <v>Tidak dinilai</v>
      </c>
      <c r="Q177" s="70" t="str">
        <f aca="false">IF($A177="","",IF(COUNTIF(K177:P177,"Tidak dinilai")=6,"Tidak dinilai",IF(COUNTIF(K177:P177,"Kurang")&gt;0,"Kurang cocok",IF(COUNTIF(K177:P177,"Belum ada data")&gt;0,"Data belum lengkap",IF(COUNTIF(K177:P177,"Cukup")&gt;0,"Bisa, dengan catatan","Cocok")))))</f>
        <v>Bisa, dengan catatan</v>
      </c>
      <c r="R177" s="33" t="str">
        <f aca="false">IF($A177="","",IF(K177="Kurang","prosesor tingkat "&amp;C177&amp;" dari 5, di bawah batas minimal (tingkat "&amp;Aturan!$C$42&amp;")",IF(K177="Cukup","prosesor tingkat "&amp;C177&amp;" dari 5 cukup, nyamannya mulai tingkat "&amp;Aturan!$D$42,IF(K177="Belum ada data","tingkat prosesor belum diisi",""))))</f>
        <v/>
      </c>
      <c r="S177" s="33" t="str">
        <f aca="false">IF($A177="","",IF(L177="Kurang","grafis tingkat "&amp;D177&amp;" dari 5, di bawah batas minimal (tingkat "&amp;Aturan!$C$43&amp;")",IF(L177="Cukup","grafis tingkat "&amp;D177&amp;" dari 5 cukup, nyamannya mulai tingkat "&amp;Aturan!$D$43,IF(L177="Belum ada data","tingkat grafis belum diisi",""))))</f>
        <v/>
      </c>
      <c r="T177" s="33" t="str">
        <f aca="false">IF($A177="","",IF(M177="Kurang","RAM "&amp;E177&amp;" GB, di bawah batas minimal "&amp;Aturan!$C$44&amp;" GB ("&amp;I177&amp;")",IF(M177="Cukup","RAM "&amp;E177&amp;" GB cukup, nyamannya "&amp;Aturan!$D$44&amp;" GB atau lebih ("&amp;I177&amp;")",IF(M177="Belum ada data","ukuran RAM belum diisi",""))))</f>
        <v>RAM 8 GB cukup, nyamannya 16 GB atau lebih (bisa dinaikkan lewat slot sampai 64 GB)</v>
      </c>
      <c r="U177" s="33" t="str">
        <f aca="false">IF($A177="","",IF(N177="Kurang","penyimpanan "&amp;F177&amp;" GB, di bawah batas minimal "&amp;Aturan!$C$45&amp;" GB ("&amp;J177&amp;")",IF(N177="Cukup","penyimpanan "&amp;F177&amp;" GB cukup, nyamannya "&amp;Aturan!$D$45&amp;" GB atau lebih ("&amp;J177&amp;")",IF(N177="Belum ada data","ukuran penyimpanan belum diisi",""))))</f>
        <v/>
      </c>
      <c r="V177" s="33" t="str">
        <f aca="false">IF($A177="","",IF(O177="Kurang","layar "&amp;Varian!$AG39&amp;", di bawah batas minimal ("&amp;IFERROR(INDEX(Aturan!$A$63:$A$66,MATCH(Aturan!$C$46,Aturan!$B$63:$B$66,0)),"peringkat "&amp;Aturan!$C$46)&amp;")",IF(O177="Cukup","layar "&amp;Varian!$AG39&amp;" cukup, nyamannya "&amp;IFERROR(INDEX(Aturan!$A$63:$A$66,MATCH(Aturan!$D$46,Aturan!$B$63:$B$66,0)),"peringkat "&amp;Aturan!$D$46),IF(O177="Belum ada data","jenis layar belum diketahui",""))))</f>
        <v/>
      </c>
      <c r="W177" s="33" t="str">
        <f aca="false">IF($A177="","",IF(P177="Kurang","layar "&amp;H177&amp;" Hz, di bawah batas minimal "&amp;Aturan!$C$47&amp;" Hz",IF(P177="Cukup","layar "&amp;H177&amp;" Hz cukup, nyamannya "&amp;Aturan!$D$47&amp;" Hz atau lebih",IF(P177="Belum ada data","refresh rate belum diketahui",""))))</f>
        <v/>
      </c>
      <c r="X177" s="33" t="str">
        <f aca="false">IF($A177="","",IF(K177="Kurang",R177&amp;"; ","")&amp;IF(L177="Kurang",S177&amp;"; ","")&amp;IF(M177="Kurang",T177&amp;"; ","")&amp;IF(N177="Kurang",U177&amp;"; ","")&amp;IF(O177="Kurang",V177&amp;"; ","")&amp;IF(P177="Kurang",W177&amp;"; ","")&amp;IF(K177="Belum ada data",R177&amp;"; ","")&amp;IF(L177="Belum ada data",S177&amp;"; ","")&amp;IF(M177="Belum ada data",T177&amp;"; ","")&amp;IF(N177="Belum ada data",U177&amp;"; ","")&amp;IF(O177="Belum ada data",V177&amp;"; ","")&amp;IF(P177="Belum ada data",W177&amp;"; ","")&amp;IF(K177="Cukup",R177&amp;"; ","")&amp;IF(L177="Cukup",S177&amp;"; ","")&amp;IF(M177="Cukup",T177&amp;"; ","")&amp;IF(N177="Cukup",U177&amp;"; ","")&amp;IF(O177="Cukup",V177&amp;"; ","")&amp;IF(P177="Cukup",W177&amp;"; ",""))</f>
        <v>RAM 8 GB cukup, nyamannya 16 GB atau lebih (bisa dinaikkan lewat slot sampai 64 GB); </v>
      </c>
      <c r="Y177" s="33" t="str">
        <f aca="false">IF($A177="","",IF(K177="Nyaman","prosesor, ","")&amp;IF(L177="Nyaman","grafis, ","")&amp;IF(M177="Nyaman","RAM, ","")&amp;IF(N177="Nyaman","penyimpanan, ","")&amp;IF(O177="Nyaman","layar, ","")&amp;IF(P177="Nyaman","refresh rate, ",""))</f>
        <v>prosesor, penyimpanan, </v>
      </c>
      <c r="Z177" s="33" t="str">
        <f aca="false">IF($A177="","",IF(Q177="Tidak dinilai","Belum ada kriteria yang dinilai untuk kebutuhan ini.",IF(Q177="Cocok","Semua kriteria yang dinilai sudah nyaman: "&amp;LEFT(Y177,LEN(Y177)-2)&amp;".",UPPER(LEFT(X177,1))&amp;MID(X177,2,LEN(X177)-3)&amp;"."&amp;IF(Y177="",""," Sudah nyaman: "&amp;LEFT(Y177,LEN(Y177)-2)&amp;"."))))</f>
        <v>RAM 8 GB cukup, nyamannya 16 GB atau lebih (bisa dinaikkan lewat slot sampai 64 GB). Sudah nyaman: prosesor, penyimpanan.</v>
      </c>
      <c r="AA177" s="33"/>
      <c r="AB177" s="33"/>
      <c r="AC177" s="69"/>
    </row>
    <row r="178" customFormat="false" ht="15" hidden="false" customHeight="true" outlineLevel="0" collapsed="false">
      <c r="A178" s="33" t="str">
        <f aca="false">IF(Varian!$A39="","",Varian!$A39)</f>
        <v>msi-thin-15-b13uc-i7-13620h-rtx3050-8-512</v>
      </c>
      <c r="B178" s="33" t="str">
        <f aca="false">IF($A178="","",Aturan!$A$24)</f>
        <v>Game ringan</v>
      </c>
      <c r="C178" s="69" t="n">
        <f aca="false">IF($A178="","",IFERROR(IF(ISNUMBER(INDEX(CPU!$J$4:$J$64,MATCH(Varian!$J39,CPU!$A$4:$A$64,0))),INDEX(CPU!$J$4:$J$64,MATCH(Varian!$J39,CPU!$A$4:$A$64,0)),""),""))</f>
        <v>4</v>
      </c>
      <c r="D178" s="69" t="n">
        <f aca="false">IF($A178="","",IFERROR(IF(ISNUMBER(INDEX(GPU!$G$4:$G$64,MATCH(Varian!$K39,GPU!$A$4:$A$64,0))),INDEX(GPU!$G$4:$G$64,MATCH(Varian!$K39,GPU!$A$4:$A$64,0)),""),""))</f>
        <v>3</v>
      </c>
      <c r="E178" s="69" t="n">
        <f aca="false">IF($A178="","",IF(ISNUMBER(Varian!$M39),Varian!$M39,""))</f>
        <v>8</v>
      </c>
      <c r="F178" s="69" t="n">
        <f aca="false">IF($A178="","",IF(ISNUMBER(Varian!$V39),Varian!$V39,""))</f>
        <v>512</v>
      </c>
      <c r="G178" s="69" t="n">
        <f aca="false">IF($A178="","",IFERROR(INDEX(Aturan!$B$63:$B$66,MATCH(Varian!$AG39,Aturan!$A$63:$A$66,0)),""))</f>
        <v>3</v>
      </c>
      <c r="H178" s="69" t="n">
        <f aca="false">IF($A178="","",IF(ISNUMBER(Varian!$AI39),Varian!$AI39,""))</f>
        <v>144</v>
      </c>
      <c r="I178" s="33" t="str">
        <f aca="false">IF($A178="","",IF(Varian!$Q39="disolder","menempel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bisa dinaikkan lewat slot sampai 64 GB</v>
      </c>
      <c r="J178" s="33" t="str">
        <f aca="false">IF($A178="","",IF(Varian!$Z39="ya","bisa diganti dengan yang lebih besar",IF(Varian!$Z39="tidak","menempel, tidak bisa diganti","belum diketahui apakah bisa diganti")))</f>
        <v>bisa diganti dengan yang lebih besar</v>
      </c>
      <c r="K178" s="70" t="str">
        <f aca="false">IF($A178="","",IF(AND(Aturan!$C$48="",Aturan!$D$48=""),"Tidak dinilai",IF(C178="","Belum ada data",IF(C178&lt;IF(Aturan!$C$48="",0,Aturan!$C$48),"Kurang",IF(C178&gt;=IF(Aturan!$D$48="",Aturan!$C$48,Aturan!$D$48),"Nyaman","Cukup")))))</f>
        <v>Nyaman</v>
      </c>
      <c r="L178" s="70" t="str">
        <f aca="false">IF($A178="","",IF(AND(Aturan!$C$49="",Aturan!$D$49=""),"Tidak dinilai",IF(D178="","Belum ada data",IF(D178&lt;IF(Aturan!$C$49="",0,Aturan!$C$49),"Kurang",IF(D178&gt;=IF(Aturan!$D$49="",Aturan!$C$49,Aturan!$D$49),"Nyaman","Cukup")))))</f>
        <v>Nyaman</v>
      </c>
      <c r="M178" s="70" t="str">
        <f aca="false">IF($A178="","",IF(AND(Aturan!$C$50="",Aturan!$D$50=""),"Tidak dinilai",IF(E178="","Belum ada data",IF(E178&lt;IF(Aturan!$C$50="",0,Aturan!$C$50),"Kurang",IF(E178&gt;=IF(Aturan!$D$50="",Aturan!$C$50,Aturan!$D$50),"Nyaman","Cukup")))))</f>
        <v>Nyaman</v>
      </c>
      <c r="N178" s="70" t="str">
        <f aca="false">IF($A178="","",IF(AND(Aturan!$C$51="",Aturan!$D$51=""),"Tidak dinilai",IF(F178="","Belum ada data",IF(F178&lt;IF(Aturan!$C$51="",0,Aturan!$C$51),"Kurang",IF(F178&gt;=IF(Aturan!$D$51="",Aturan!$C$51,Aturan!$D$51),"Nyaman","Cukup")))))</f>
        <v>Nyaman</v>
      </c>
      <c r="O178" s="70" t="str">
        <f aca="false">IF($A178="","",IF(AND(Aturan!$C$52="",Aturan!$D$52=""),"Tidak dinilai",IF(G178="","Belum ada data",IF(G178&lt;IF(Aturan!$C$52="",0,Aturan!$C$52),"Kurang",IF(G178&gt;=IF(Aturan!$D$52="",Aturan!$C$52,Aturan!$D$52),"Nyaman","Cukup")))))</f>
        <v>Tidak dinilai</v>
      </c>
      <c r="P178" s="70" t="str">
        <f aca="false">IF($A178="","",IF(AND(Aturan!$C$53="",Aturan!$D$53=""),"Tidak dinilai",IF(H178="","Belum ada data",IF(H178&lt;IF(Aturan!$C$53="",0,Aturan!$C$53),"Kurang",IF(H178&gt;=IF(Aturan!$D$53="",Aturan!$C$53,Aturan!$D$53),"Nyaman","Cukup")))))</f>
        <v>Tidak dinilai</v>
      </c>
      <c r="Q178" s="70" t="str">
        <f aca="false">IF($A178="","",IF(COUNTIF(K178:P178,"Tidak dinilai")=6,"Tidak dinilai",IF(COUNTIF(K178:P178,"Kurang")&gt;0,"Kurang cocok",IF(COUNTIF(K178:P178,"Belum ada data")&gt;0,"Data belum lengkap",IF(COUNTIF(K178:P178,"Cukup")&gt;0,"Bisa, dengan catatan","Cocok")))))</f>
        <v>Cocok</v>
      </c>
      <c r="R178" s="33" t="str">
        <f aca="false">IF($A178="","",IF(K178="Kurang","prosesor tingkat "&amp;C178&amp;" dari 5, di bawah batas minimal (tingkat "&amp;Aturan!$C$48&amp;")",IF(K178="Cukup","prosesor tingkat "&amp;C178&amp;" dari 5 cukup, nyamannya mulai tingkat "&amp;Aturan!$D$48,IF(K178="Belum ada data","tingkat prosesor belum diisi",""))))</f>
        <v/>
      </c>
      <c r="S178" s="33" t="str">
        <f aca="false">IF($A178="","",IF(L178="Kurang","grafis tingkat "&amp;D178&amp;" dari 5, di bawah batas minimal (tingkat "&amp;Aturan!$C$49&amp;")",IF(L178="Cukup","grafis tingkat "&amp;D178&amp;" dari 5 cukup, nyamannya mulai tingkat "&amp;Aturan!$D$49,IF(L178="Belum ada data","tingkat grafis belum diisi",""))))</f>
        <v/>
      </c>
      <c r="T178" s="33" t="str">
        <f aca="false">IF($A178="","",IF(M178="Kurang","RAM "&amp;E178&amp;" GB, di bawah batas minimal "&amp;Aturan!$C$50&amp;" GB ("&amp;I178&amp;")",IF(M178="Cukup","RAM "&amp;E178&amp;" GB cukup, nyamannya "&amp;Aturan!$D$50&amp;" GB atau lebih ("&amp;I178&amp;")",IF(M178="Belum ada data","ukuran RAM belum diisi",""))))</f>
        <v/>
      </c>
      <c r="U178" s="33" t="str">
        <f aca="false">IF($A178="","",IF(N178="Kurang","penyimpanan "&amp;F178&amp;" GB, di bawah batas minimal "&amp;Aturan!$C$51&amp;" GB ("&amp;J178&amp;")",IF(N178="Cukup","penyimpanan "&amp;F178&amp;" GB cukup, nyamannya "&amp;Aturan!$D$51&amp;" GB atau lebih ("&amp;J178&amp;")",IF(N178="Belum ada data","ukuran penyimpanan belum diisi",""))))</f>
        <v/>
      </c>
      <c r="V178" s="33" t="str">
        <f aca="false">IF($A178="","",IF(O178="Kurang","layar "&amp;Varian!$AG39&amp;", di bawah batas minimal ("&amp;IFERROR(INDEX(Aturan!$A$63:$A$66,MATCH(Aturan!$C$52,Aturan!$B$63:$B$66,0)),"peringkat "&amp;Aturan!$C$52)&amp;")",IF(O178="Cukup","layar "&amp;Varian!$AG39&amp;" cukup, nyamannya "&amp;IFERROR(INDEX(Aturan!$A$63:$A$66,MATCH(Aturan!$D$52,Aturan!$B$63:$B$66,0)),"peringkat "&amp;Aturan!$D$52),IF(O178="Belum ada data","jenis layar belum diketahui",""))))</f>
        <v/>
      </c>
      <c r="W178" s="33" t="str">
        <f aca="false">IF($A178="","",IF(P178="Kurang","layar "&amp;H178&amp;" Hz, di bawah batas minimal "&amp;Aturan!$C$53&amp;" Hz",IF(P178="Cukup","layar "&amp;H178&amp;" Hz cukup, nyamannya "&amp;Aturan!$D$53&amp;" Hz atau lebih",IF(P178="Belum ada data","refresh rate belum diketahui",""))))</f>
        <v/>
      </c>
      <c r="X178" s="33" t="str">
        <f aca="false">IF($A178="","",IF(K178="Kurang",R178&amp;"; ","")&amp;IF(L178="Kurang",S178&amp;"; ","")&amp;IF(M178="Kurang",T178&amp;"; ","")&amp;IF(N178="Kurang",U178&amp;"; ","")&amp;IF(O178="Kurang",V178&amp;"; ","")&amp;IF(P178="Kurang",W178&amp;"; ","")&amp;IF(K178="Belum ada data",R178&amp;"; ","")&amp;IF(L178="Belum ada data",S178&amp;"; ","")&amp;IF(M178="Belum ada data",T178&amp;"; ","")&amp;IF(N178="Belum ada data",U178&amp;"; ","")&amp;IF(O178="Belum ada data",V178&amp;"; ","")&amp;IF(P178="Belum ada data",W178&amp;"; ","")&amp;IF(K178="Cukup",R178&amp;"; ","")&amp;IF(L178="Cukup",S178&amp;"; ","")&amp;IF(M178="Cukup",T178&amp;"; ","")&amp;IF(N178="Cukup",U178&amp;"; ","")&amp;IF(O178="Cukup",V178&amp;"; ","")&amp;IF(P178="Cukup",W178&amp;"; ",""))</f>
        <v/>
      </c>
      <c r="Y178" s="33" t="str">
        <f aca="false">IF($A178="","",IF(K178="Nyaman","prosesor, ","")&amp;IF(L178="Nyaman","grafis, ","")&amp;IF(M178="Nyaman","RAM, ","")&amp;IF(N178="Nyaman","penyimpanan, ","")&amp;IF(O178="Nyaman","layar, ","")&amp;IF(P178="Nyaman","refresh rate, ",""))</f>
        <v>prosesor, grafis, RAM, penyimpanan, </v>
      </c>
      <c r="Z178" s="33" t="str">
        <f aca="false">IF($A178="","",IF(Q178="Tidak dinilai","Belum ada kriteria yang dinilai untuk kebutuhan ini.",IF(Q178="Cocok","Semua kriteria yang dinilai sudah nyaman: "&amp;LEFT(Y178,LEN(Y178)-2)&amp;".",UPPER(LEFT(X178,1))&amp;MID(X178,2,LEN(X178)-3)&amp;"."&amp;IF(Y178="",""," Sudah nyaman: "&amp;LEFT(Y178,LEN(Y178)-2)&amp;"."))))</f>
        <v>Semua kriteria yang dinilai sudah nyaman: prosesor, grafis, RAM, penyimpanan.</v>
      </c>
      <c r="AA178" s="33"/>
      <c r="AB178" s="33"/>
      <c r="AC178" s="69"/>
    </row>
    <row r="179" customFormat="false" ht="15" hidden="false" customHeight="true" outlineLevel="0" collapsed="false">
      <c r="A179" s="33" t="str">
        <f aca="false">IF(Varian!$A39="","",Varian!$A39)</f>
        <v>msi-thin-15-b13uc-i7-13620h-rtx3050-8-512</v>
      </c>
      <c r="B179" s="33" t="str">
        <f aca="false">IF($A179="","",Aturan!$A$25)</f>
        <v>Game berat</v>
      </c>
      <c r="C179" s="69" t="n">
        <f aca="false">IF($A179="","",IFERROR(IF(ISNUMBER(INDEX(CPU!$J$4:$J$64,MATCH(Varian!$J39,CPU!$A$4:$A$64,0))),INDEX(CPU!$J$4:$J$64,MATCH(Varian!$J39,CPU!$A$4:$A$64,0)),""),""))</f>
        <v>4</v>
      </c>
      <c r="D179" s="69" t="n">
        <f aca="false">IF($A179="","",IFERROR(IF(ISNUMBER(INDEX(GPU!$G$4:$G$64,MATCH(Varian!$K39,GPU!$A$4:$A$64,0))),INDEX(GPU!$G$4:$G$64,MATCH(Varian!$K39,GPU!$A$4:$A$64,0)),""),""))</f>
        <v>3</v>
      </c>
      <c r="E179" s="69" t="n">
        <f aca="false">IF($A179="","",IF(ISNUMBER(Varian!$M39),Varian!$M39,""))</f>
        <v>8</v>
      </c>
      <c r="F179" s="69" t="n">
        <f aca="false">IF($A179="","",IF(ISNUMBER(Varian!$V39),Varian!$V39,""))</f>
        <v>512</v>
      </c>
      <c r="G179" s="69" t="n">
        <f aca="false">IF($A179="","",IFERROR(INDEX(Aturan!$B$63:$B$66,MATCH(Varian!$AG39,Aturan!$A$63:$A$66,0)),""))</f>
        <v>3</v>
      </c>
      <c r="H179" s="69" t="n">
        <f aca="false">IF($A179="","",IF(ISNUMBER(Varian!$AI39),Varian!$AI39,""))</f>
        <v>144</v>
      </c>
      <c r="I179" s="33" t="str">
        <f aca="false">IF($A179="","",IF(Varian!$Q39="disolder","menempel di papan utama, tidak bisa ditambah",IF(OR(Varian!$Q39="slot",Varian!$Q39="setengah_disolder"),IF(Varian!$Q39="setengah_disolder","sebagian menempel, ","")&amp;IF(ISNUMBER(Varian!$U39),IF(AND(ISNUMBER(Varian!$M39),Varian!$U39&gt;Varian!$M39),"bisa dinaikkan lewat slot sampai "&amp;Varian!$U39&amp;" GB","sudah di batas maksimal "&amp;Varian!$U39&amp;" GB"),"ada slot, batas maksimalnya belum diketahui"),"belum diketahui apakah bisa ditambah")))</f>
        <v>bisa dinaikkan lewat slot sampai 64 GB</v>
      </c>
      <c r="J179" s="33" t="str">
        <f aca="false">IF($A179="","",IF(Varian!$Z39="ya","bisa diganti dengan yang lebih besar",IF(Varian!$Z39="tidak","menempel, tidak bisa diganti","belum diketahui apakah bisa diganti")))</f>
        <v>bisa diganti dengan yang lebih besar</v>
      </c>
      <c r="K179" s="70" t="str">
        <f aca="false">IF($A179="","",IF(AND(Aturan!$C$54="",Aturan!$D$54=""),"Tidak dinilai",IF(C179="","Belum ada data",IF(C179&lt;IF(Aturan!$C$54="",0,Aturan!$C$54),"Kurang",IF(C179&gt;=IF(Aturan!$D$54="",Aturan!$C$54,Aturan!$D$54),"Nyaman","Cukup")))))</f>
        <v>Nyaman</v>
      </c>
      <c r="L179" s="70" t="str">
        <f aca="false">IF($A179="","",IF(AND(Aturan!$C$55="",Aturan!$D$55=""),"Tidak dinilai",IF(D179="","Belum ada data",IF(D179&lt;IF(Aturan!$C$55="",0,Aturan!$C$55),"Kurang",IF(D179&gt;=IF(Aturan!$D$55="",Aturan!$C$55,Aturan!$D$55),"Nyaman","Cukup")))))</f>
        <v>Cukup</v>
      </c>
      <c r="M179" s="70" t="str">
        <f aca="false">IF($A179="","",IF(AND(Aturan!$C$56="",Aturan!$D$56=""),"Tidak dinilai",IF(E179="","Belum ada data",IF(E179&lt;IF(Aturan!$C$56="",0,Aturan!$C$56),"Kurang",IF(E179&gt;=IF(Aturan!$D$56="",Aturan!$C$56,Aturan!$D$56),"Nyaman","Cukup")))))</f>
        <v>Cukup</v>
      </c>
      <c r="N179" s="70" t="str">
        <f aca="false">IF($A179="","",IF(AND(Aturan!$C$57="",Aturan!$D$57=""),"Tidak dinilai",IF(F179="","Belum ada data",IF(F179&lt;IF(Aturan!$C$57="",0,Aturan!$C$57),"Kurang",IF(F179&gt;=IF(Aturan!$D$57="",Aturan!$C$57,Aturan!$D$57),"Nyaman","Cukup")))))</f>
        <v>Cukup</v>
      </c>
      <c r="O179" s="70" t="str">
        <f aca="false">IF($A179="","",IF(AND(Aturan!$C$58="",Aturan!$D$58=""),"Tidak dinilai",IF(G179="","Belum ada data",IF(G179&lt;IF(Aturan!$C$58="",0,Aturan!$C$58),"Kurang",IF(G179&gt;=IF(Aturan!$D$58="",Aturan!$C$58,Aturan!$D$58),"Nyaman","Cukup")))))</f>
        <v>Tidak dinilai</v>
      </c>
      <c r="P179" s="70" t="str">
        <f aca="false">IF($A179="","",IF(AND(Aturan!$C$59="",Aturan!$D$59=""),"Tidak dinilai",IF(H179="","Belum ada data",IF(H179&lt;IF(Aturan!$C$59="",0,Aturan!$C$59),"Kurang",IF(H179&gt;=IF(Aturan!$D$59="",Aturan!$C$59,Aturan!$D$59),"Nyaman","Cukup")))))</f>
        <v>Nyaman</v>
      </c>
      <c r="Q179" s="70" t="str">
        <f aca="false">IF($A179="","",IF(COUNTIF(K179:P179,"Tidak dinilai")=6,"Tidak dinilai",IF(COUNTIF(K179:P179,"Kurang")&gt;0,"Kurang cocok",IF(COUNTIF(K179:P179,"Belum ada data")&gt;0,"Data belum lengkap",IF(COUNTIF(K179:P179,"Cukup")&gt;0,"Bisa, dengan catatan","Cocok")))))</f>
        <v>Bisa, dengan catatan</v>
      </c>
      <c r="R179" s="33" t="str">
        <f aca="false">IF($A179="","",IF(K179="Kurang","prosesor tingkat "&amp;C179&amp;" dari 5, di bawah batas minimal (tingkat "&amp;Aturan!$C$54&amp;")",IF(K179="Cukup","prosesor tingkat "&amp;C179&amp;" dari 5 cukup, nyamannya mulai tingkat "&amp;Aturan!$D$54,IF(K179="Belum ada data","tingkat prosesor belum diisi",""))))</f>
        <v/>
      </c>
      <c r="S179" s="33" t="str">
        <f aca="false">IF($A179="","",IF(L179="Kurang","grafis tingkat "&amp;D179&amp;" dari 5, di bawah batas minimal (tingkat "&amp;Aturan!$C$55&amp;")",IF(L179="Cukup","grafis tingkat "&amp;D179&amp;" dari 5 cukup, nyamannya mulai tingkat "&amp;Aturan!$D$55,IF(L179="Belum ada data","tingkat grafis belum diisi",""))))</f>
        <v>grafis tingkat 3 dari 5 cukup, nyamannya mulai tingkat 4</v>
      </c>
      <c r="T179" s="33" t="str">
        <f aca="false">IF($A179="","",IF(M179="Kurang","RAM "&amp;E179&amp;" GB, di bawah batas minimal "&amp;Aturan!$C$56&amp;" GB ("&amp;I179&amp;")",IF(M179="Cukup","RAM "&amp;E179&amp;" GB cukup, nyamannya "&amp;Aturan!$D$56&amp;" GB atau lebih ("&amp;I179&amp;")",IF(M179="Belum ada data","ukuran RAM belum diisi",""))))</f>
        <v>RAM 8 GB cukup, nyamannya 16 GB atau lebih (bisa dinaikkan lewat slot sampai 64 GB)</v>
      </c>
      <c r="U179" s="33" t="str">
        <f aca="false">IF($A179="","",IF(N179="Kurang","penyimpanan "&amp;F179&amp;" GB, di bawah batas minimal "&amp;Aturan!$C$57&amp;" GB ("&amp;J179&amp;")",IF(N179="Cukup","penyimpanan "&amp;F179&amp;" GB cukup, nyamannya "&amp;Aturan!$D$57&amp;" GB atau lebih ("&amp;J179&amp;")",IF(N179="Belum ada data","ukuran penyimpanan belum diisi",""))))</f>
        <v>penyimpanan 512 GB cukup, nyamannya 1000 GB atau lebih (bisa diganti dengan yang lebih besar)</v>
      </c>
      <c r="V179" s="33" t="str">
        <f aca="false">IF($A179="","",IF(O179="Kurang","layar "&amp;Varian!$AG39&amp;", di bawah batas minimal ("&amp;IFERROR(INDEX(Aturan!$A$63:$A$66,MATCH(Aturan!$C$58,Aturan!$B$63:$B$66,0)),"peringkat "&amp;Aturan!$C$58)&amp;")",IF(O179="Cukup","layar "&amp;Varian!$AG39&amp;" cukup, nyamannya "&amp;IFERROR(INDEX(Aturan!$A$63:$A$66,MATCH(Aturan!$D$58,Aturan!$B$63:$B$66,0)),"peringkat "&amp;Aturan!$D$58),IF(O179="Belum ada data","jenis layar belum diketahui",""))))</f>
        <v/>
      </c>
      <c r="W179" s="33" t="str">
        <f aca="false">IF($A179="","",IF(P179="Kurang","layar "&amp;H179&amp;" Hz, di bawah batas minimal "&amp;Aturan!$C$59&amp;" Hz",IF(P179="Cukup","layar "&amp;H179&amp;" Hz cukup, nyamannya "&amp;Aturan!$D$59&amp;" Hz atau lebih",IF(P179="Belum ada data","refresh rate belum diketahui",""))))</f>
        <v/>
      </c>
      <c r="X179" s="33" t="str">
        <f aca="false">IF($A179="","",IF(K179="Kurang",R179&amp;"; ","")&amp;IF(L179="Kurang",S179&amp;"; ","")&amp;IF(M179="Kurang",T179&amp;"; ","")&amp;IF(N179="Kurang",U179&amp;"; ","")&amp;IF(O179="Kurang",V179&amp;"; ","")&amp;IF(P179="Kurang",W179&amp;"; ","")&amp;IF(K179="Belum ada data",R179&amp;"; ","")&amp;IF(L179="Belum ada data",S179&amp;"; ","")&amp;IF(M179="Belum ada data",T179&amp;"; ","")&amp;IF(N179="Belum ada data",U179&amp;"; ","")&amp;IF(O179="Belum ada data",V179&amp;"; ","")&amp;IF(P179="Belum ada data",W179&amp;"; ","")&amp;IF(K179="Cukup",R179&amp;"; ","")&amp;IF(L179="Cukup",S179&amp;"; ","")&amp;IF(M179="Cukup",T179&amp;"; ","")&amp;IF(N179="Cukup",U179&amp;"; ","")&amp;IF(O179="Cukup",V179&amp;"; ","")&amp;IF(P179="Cukup",W179&amp;"; ",""))</f>
        <v>grafis tingkat 3 dari 5 cukup, nyamannya mulai tingkat 4; RAM 8 GB cukup, nyamannya 16 GB atau lebih (bisa dinaikkan lewat slot sampai 64 GB); penyimpanan 512 GB cukup, nyamannya 1000 GB atau lebih (bisa diganti dengan yang lebih besar); </v>
      </c>
      <c r="Y179" s="33" t="str">
        <f aca="false">IF($A179="","",IF(K179="Nyaman","prosesor, ","")&amp;IF(L179="Nyaman","grafis, ","")&amp;IF(M179="Nyaman","RAM, ","")&amp;IF(N179="Nyaman","penyimpanan, ","")&amp;IF(O179="Nyaman","layar, ","")&amp;IF(P179="Nyaman","refresh rate, ",""))</f>
        <v>prosesor, refresh rate, </v>
      </c>
      <c r="Z179" s="33" t="str">
        <f aca="false">IF($A179="","",IF(Q179="Tidak dinilai","Belum ada kriteria yang dinilai untuk kebutuhan ini.",IF(Q179="Cocok","Semua kriteria yang dinilai sudah nyaman: "&amp;LEFT(Y179,LEN(Y179)-2)&amp;".",UPPER(LEFT(X179,1))&amp;MID(X179,2,LEN(X179)-3)&amp;"."&amp;IF(Y179="",""," Sudah nyaman: "&amp;LEFT(Y179,LEN(Y179)-2)&amp;"."))))</f>
        <v>Grafis tingkat 3 dari 5 cukup, nyamannya mulai tingkat 4; RAM 8 GB cukup, nyamannya 16 GB atau lebih (bisa dinaikkan lewat slot sampai 64 GB); penyimpanan 512 GB cukup, nyamannya 1000 GB atau lebih (bisa diganti dengan yang lebih besar). Sudah nyaman: prosesor, refresh rate.</v>
      </c>
      <c r="AA179" s="33"/>
      <c r="AB179" s="33"/>
      <c r="AC179" s="69"/>
    </row>
    <row r="180" customFormat="false" ht="15" hidden="false" customHeight="true" outlineLevel="0" collapsed="false">
      <c r="A180" s="66" t="str">
        <f aca="false">IF(Varian!$A40="","",Varian!$A40)</f>
        <v>asus-rog-strix-g16-g614pm-r9-8940hx-rtx5060-16-1tb</v>
      </c>
      <c r="B180" s="66" t="str">
        <f aca="false">IF($A180="","",Aturan!$A$21)</f>
        <v>Kuliah dan kantor</v>
      </c>
      <c r="C180" s="67" t="n">
        <f aca="false">IF($A180="","",IFERROR(IF(ISNUMBER(INDEX(CPU!$J$4:$J$64,MATCH(Varian!$J40,CPU!$A$4:$A$64,0))),INDEX(CPU!$J$4:$J$64,MATCH(Varian!$J40,CPU!$A$4:$A$64,0)),""),""))</f>
        <v>5</v>
      </c>
      <c r="D180" s="67" t="n">
        <f aca="false">IF($A180="","",IFERROR(IF(ISNUMBER(INDEX(GPU!$G$4:$G$64,MATCH(Varian!$K40,GPU!$A$4:$A$64,0))),INDEX(GPU!$G$4:$G$64,MATCH(Varian!$K40,GPU!$A$4:$A$64,0)),""),""))</f>
        <v>4</v>
      </c>
      <c r="E180" s="67" t="n">
        <f aca="false">IF($A180="","",IF(ISNUMBER(Varian!$M40),Varian!$M40,""))</f>
        <v>16</v>
      </c>
      <c r="F180" s="67" t="n">
        <f aca="false">IF($A180="","",IF(ISNUMBER(Varian!$V40),Varian!$V40,""))</f>
        <v>1024</v>
      </c>
      <c r="G180" s="67" t="n">
        <f aca="false">IF($A180="","",IFERROR(INDEX(Aturan!$B$63:$B$66,MATCH(Varian!$AG40,Aturan!$A$63:$A$66,0)),""))</f>
        <v>3</v>
      </c>
      <c r="H180" s="67" t="n">
        <f aca="false">IF($A180="","",IF(ISNUMBER(Varian!$AI40),Varian!$AI40,""))</f>
        <v>240</v>
      </c>
      <c r="I180" s="66" t="str">
        <f aca="false">IF($A180="","",IF(Varian!$Q40="disolder","menempel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bisa dinaikkan lewat slot sampai 64 GB</v>
      </c>
      <c r="J180" s="66" t="str">
        <f aca="false">IF($A180="","",IF(Varian!$Z40="ya","bisa diganti dengan yang lebih besar",IF(Varian!$Z40="tidak","menempel, tidak bisa diganti","belum diketahui apakah bisa diganti")))</f>
        <v>bisa diganti dengan yang lebih besar</v>
      </c>
      <c r="K180" s="68" t="str">
        <f aca="false">IF($A180="","",IF(AND(Aturan!$C$30="",Aturan!$D$30=""),"Tidak dinilai",IF(C180="","Belum ada data",IF(C180&lt;IF(Aturan!$C$30="",0,Aturan!$C$30),"Kurang",IF(C180&gt;=IF(Aturan!$D$30="",Aturan!$C$30,Aturan!$D$30),"Nyaman","Cukup")))))</f>
        <v>Nyaman</v>
      </c>
      <c r="L180" s="68" t="str">
        <f aca="false">IF($A180="","",IF(AND(Aturan!$C$31="",Aturan!$D$31=""),"Tidak dinilai",IF(D180="","Belum ada data",IF(D180&lt;IF(Aturan!$C$31="",0,Aturan!$C$31),"Kurang",IF(D180&gt;=IF(Aturan!$D$31="",Aturan!$C$31,Aturan!$D$31),"Nyaman","Cukup")))))</f>
        <v>Tidak dinilai</v>
      </c>
      <c r="M180" s="68" t="str">
        <f aca="false">IF($A180="","",IF(AND(Aturan!$C$32="",Aturan!$D$32=""),"Tidak dinilai",IF(E180="","Belum ada data",IF(E180&lt;IF(Aturan!$C$32="",0,Aturan!$C$32),"Kurang",IF(E180&gt;=IF(Aturan!$D$32="",Aturan!$C$32,Aturan!$D$32),"Nyaman","Cukup")))))</f>
        <v>Nyaman</v>
      </c>
      <c r="N180" s="68" t="str">
        <f aca="false">IF($A180="","",IF(AND(Aturan!$C$33="",Aturan!$D$33=""),"Tidak dinilai",IF(F180="","Belum ada data",IF(F180&lt;IF(Aturan!$C$33="",0,Aturan!$C$33),"Kurang",IF(F180&gt;=IF(Aturan!$D$33="",Aturan!$C$33,Aturan!$D$33),"Nyaman","Cukup")))))</f>
        <v>Nyaman</v>
      </c>
      <c r="O180" s="68" t="str">
        <f aca="false">IF($A180="","",IF(AND(Aturan!$C$34="",Aturan!$D$34=""),"Tidak dinilai",IF(G180="","Belum ada data",IF(G180&lt;IF(Aturan!$C$34="",0,Aturan!$C$34),"Kurang",IF(G180&gt;=IF(Aturan!$D$34="",Aturan!$C$34,Aturan!$D$34),"Nyaman","Cukup")))))</f>
        <v>Tidak dinilai</v>
      </c>
      <c r="P180" s="68" t="str">
        <f aca="false">IF($A180="","",IF(AND(Aturan!$C$35="",Aturan!$D$35=""),"Tidak dinilai",IF(H180="","Belum ada data",IF(H180&lt;IF(Aturan!$C$35="",0,Aturan!$C$35),"Kurang",IF(H180&gt;=IF(Aturan!$D$35="",Aturan!$C$35,Aturan!$D$35),"Nyaman","Cukup")))))</f>
        <v>Tidak dinilai</v>
      </c>
      <c r="Q180" s="68" t="str">
        <f aca="false">IF($A180="","",IF(COUNTIF(K180:P180,"Tidak dinilai")=6,"Tidak dinilai",IF(COUNTIF(K180:P180,"Kurang")&gt;0,"Kurang cocok",IF(COUNTIF(K180:P180,"Belum ada data")&gt;0,"Data belum lengkap",IF(COUNTIF(K180:P180,"Cukup")&gt;0,"Bisa, dengan catatan","Cocok")))))</f>
        <v>Cocok</v>
      </c>
      <c r="R180" s="66" t="str">
        <f aca="false">IF($A180="","",IF(K180="Kurang","prosesor tingkat "&amp;C180&amp;" dari 5, di bawah batas minimal (tingkat "&amp;Aturan!$C$30&amp;")",IF(K180="Cukup","prosesor tingkat "&amp;C180&amp;" dari 5 cukup, nyamannya mulai tingkat "&amp;Aturan!$D$30,IF(K180="Belum ada data","tingkat prosesor belum diisi",""))))</f>
        <v/>
      </c>
      <c r="S180" s="66" t="str">
        <f aca="false">IF($A180="","",IF(L180="Kurang","grafis tingkat "&amp;D180&amp;" dari 5, di bawah batas minimal (tingkat "&amp;Aturan!$C$31&amp;")",IF(L180="Cukup","grafis tingkat "&amp;D180&amp;" dari 5 cukup, nyamannya mulai tingkat "&amp;Aturan!$D$31,IF(L180="Belum ada data","tingkat grafis belum diisi",""))))</f>
        <v/>
      </c>
      <c r="T180" s="66" t="str">
        <f aca="false">IF($A180="","",IF(M180="Kurang","RAM "&amp;E180&amp;" GB, di bawah batas minimal "&amp;Aturan!$C$32&amp;" GB ("&amp;I180&amp;")",IF(M180="Cukup","RAM "&amp;E180&amp;" GB cukup, nyamannya "&amp;Aturan!$D$32&amp;" GB atau lebih ("&amp;I180&amp;")",IF(M180="Belum ada data","ukuran RAM belum diisi",""))))</f>
        <v/>
      </c>
      <c r="U180" s="66" t="str">
        <f aca="false">IF($A180="","",IF(N180="Kurang","penyimpanan "&amp;F180&amp;" GB, di bawah batas minimal "&amp;Aturan!$C$33&amp;" GB ("&amp;J180&amp;")",IF(N180="Cukup","penyimpanan "&amp;F180&amp;" GB cukup, nyamannya "&amp;Aturan!$D$33&amp;" GB atau lebih ("&amp;J180&amp;")",IF(N180="Belum ada data","ukuran penyimpanan belum diisi",""))))</f>
        <v/>
      </c>
      <c r="V180" s="66" t="str">
        <f aca="false">IF($A180="","",IF(O180="Kurang","layar "&amp;Varian!$AG40&amp;", di bawah batas minimal ("&amp;IFERROR(INDEX(Aturan!$A$63:$A$66,MATCH(Aturan!$C$34,Aturan!$B$63:$B$66,0)),"peringkat "&amp;Aturan!$C$34)&amp;")",IF(O180="Cukup","layar "&amp;Varian!$AG40&amp;" cukup, nyamannya "&amp;IFERROR(INDEX(Aturan!$A$63:$A$66,MATCH(Aturan!$D$34,Aturan!$B$63:$B$66,0)),"peringkat "&amp;Aturan!$D$34),IF(O180="Belum ada data","jenis layar belum diketahui",""))))</f>
        <v/>
      </c>
      <c r="W180" s="66" t="str">
        <f aca="false">IF($A180="","",IF(P180="Kurang","layar "&amp;H180&amp;" Hz, di bawah batas minimal "&amp;Aturan!$C$35&amp;" Hz",IF(P180="Cukup","layar "&amp;H180&amp;" Hz cukup, nyamannya "&amp;Aturan!$D$35&amp;" Hz atau lebih",IF(P180="Belum ada data","refresh rate belum diketahui",""))))</f>
        <v/>
      </c>
      <c r="X180" s="66" t="str">
        <f aca="false">IF($A180="","",IF(K180="Kurang",R180&amp;"; ","")&amp;IF(L180="Kurang",S180&amp;"; ","")&amp;IF(M180="Kurang",T180&amp;"; ","")&amp;IF(N180="Kurang",U180&amp;"; ","")&amp;IF(O180="Kurang",V180&amp;"; ","")&amp;IF(P180="Kurang",W180&amp;"; ","")&amp;IF(K180="Belum ada data",R180&amp;"; ","")&amp;IF(L180="Belum ada data",S180&amp;"; ","")&amp;IF(M180="Belum ada data",T180&amp;"; ","")&amp;IF(N180="Belum ada data",U180&amp;"; ","")&amp;IF(O180="Belum ada data",V180&amp;"; ","")&amp;IF(P180="Belum ada data",W180&amp;"; ","")&amp;IF(K180="Cukup",R180&amp;"; ","")&amp;IF(L180="Cukup",S180&amp;"; ","")&amp;IF(M180="Cukup",T180&amp;"; ","")&amp;IF(N180="Cukup",U180&amp;"; ","")&amp;IF(O180="Cukup",V180&amp;"; ","")&amp;IF(P180="Cukup",W180&amp;"; ",""))</f>
        <v/>
      </c>
      <c r="Y180" s="66" t="str">
        <f aca="false">IF($A180="","",IF(K180="Nyaman","prosesor, ","")&amp;IF(L180="Nyaman","grafis, ","")&amp;IF(M180="Nyaman","RAM, ","")&amp;IF(N180="Nyaman","penyimpanan, ","")&amp;IF(O180="Nyaman","layar, ","")&amp;IF(P180="Nyaman","refresh rate, ",""))</f>
        <v>prosesor, RAM, penyimpanan, </v>
      </c>
      <c r="Z180" s="66" t="str">
        <f aca="false">IF($A180="","",IF(Q180="Tidak dinilai","Belum ada kriteria yang dinilai untuk kebutuhan ini.",IF(Q180="Cocok","Semua kriteria yang dinilai sudah nyaman: "&amp;LEFT(Y180,LEN(Y180)-2)&amp;".",UPPER(LEFT(X180,1))&amp;MID(X180,2,LEN(X180)-3)&amp;"."&amp;IF(Y180="",""," Sudah nyaman: "&amp;LEFT(Y180,LEN(Y180)-2)&amp;"."))))</f>
        <v>Semua kriteria yang dinilai sudah nyaman: prosesor, RAM, penyimpanan.</v>
      </c>
      <c r="AA180" s="66" t="str">
        <f aca="false">IF($A180="","",IF(Varian!$AR40="Windows 10","• "&amp;Aturan!$E$71&amp;CHAR(10),"")&amp;IF(Varian!$BB40="tidak","• "&amp;Aturan!$E$72&amp;CHAR(10),"")&amp;IF(OR(Varian!$AD40="belum terverifikasi",Varian!$AD40="tidak diketahui"),"• "&amp;Aturan!$E$73&amp;CHAR(10),"")&amp;IF(Varian!$AH40="1366x768","• "&amp;Aturan!$E$74&amp;CHAR(10),"")&amp;IF(Varian!$AG40="TN","• "&amp;Aturan!$E$75&amp;CHAR(10),"")&amp;IF(AND(Varian!$Q40="disolder",ISNUMBER(Varian!$M40),Varian!$M40&lt;=8),"• "&amp;Aturan!$E$76&amp;CHAR(10),""))</f>
        <v/>
      </c>
      <c r="AB180" s="66" t="str">
        <f aca="false">IF($A180="","",IF(AA180="","",LEFT(AA180,LEN(AA180)-1)))</f>
        <v/>
      </c>
      <c r="AC180" s="67" t="n">
        <f aca="false">IF($A180="","",IF(AA180="",0,LEN(AA180)-LEN(SUBSTITUTE(AA180,CHAR(10),""))))</f>
        <v>0</v>
      </c>
    </row>
    <row r="181" customFormat="false" ht="15" hidden="false" customHeight="true" outlineLevel="0" collapsed="false">
      <c r="A181" s="33" t="str">
        <f aca="false">IF(Varian!$A40="","",Varian!$A40)</f>
        <v>asus-rog-strix-g16-g614pm-r9-8940hx-rtx5060-16-1tb</v>
      </c>
      <c r="B181" s="33" t="str">
        <f aca="false">IF($A181="","",Aturan!$A$22)</f>
        <v>Desain grafis</v>
      </c>
      <c r="C181" s="69" t="n">
        <f aca="false">IF($A181="","",IFERROR(IF(ISNUMBER(INDEX(CPU!$J$4:$J$64,MATCH(Varian!$J40,CPU!$A$4:$A$64,0))),INDEX(CPU!$J$4:$J$64,MATCH(Varian!$J40,CPU!$A$4:$A$64,0)),""),""))</f>
        <v>5</v>
      </c>
      <c r="D181" s="69" t="n">
        <f aca="false">IF($A181="","",IFERROR(IF(ISNUMBER(INDEX(GPU!$G$4:$G$64,MATCH(Varian!$K40,GPU!$A$4:$A$64,0))),INDEX(GPU!$G$4:$G$64,MATCH(Varian!$K40,GPU!$A$4:$A$64,0)),""),""))</f>
        <v>4</v>
      </c>
      <c r="E181" s="69" t="n">
        <f aca="false">IF($A181="","",IF(ISNUMBER(Varian!$M40),Varian!$M40,""))</f>
        <v>16</v>
      </c>
      <c r="F181" s="69" t="n">
        <f aca="false">IF($A181="","",IF(ISNUMBER(Varian!$V40),Varian!$V40,""))</f>
        <v>1024</v>
      </c>
      <c r="G181" s="69" t="n">
        <f aca="false">IF($A181="","",IFERROR(INDEX(Aturan!$B$63:$B$66,MATCH(Varian!$AG40,Aturan!$A$63:$A$66,0)),""))</f>
        <v>3</v>
      </c>
      <c r="H181" s="69" t="n">
        <f aca="false">IF($A181="","",IF(ISNUMBER(Varian!$AI40),Varian!$AI40,""))</f>
        <v>240</v>
      </c>
      <c r="I181" s="33" t="str">
        <f aca="false">IF($A181="","",IF(Varian!$Q40="disolder","menempel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bisa dinaikkan lewat slot sampai 64 GB</v>
      </c>
      <c r="J181" s="33" t="str">
        <f aca="false">IF($A181="","",IF(Varian!$Z40="ya","bisa diganti dengan yang lebih besar",IF(Varian!$Z40="tidak","menempel, tidak bisa diganti","belum diketahui apakah bisa diganti")))</f>
        <v>bisa diganti dengan yang lebih besar</v>
      </c>
      <c r="K181" s="70" t="str">
        <f aca="false">IF($A181="","",IF(AND(Aturan!$C$36="",Aturan!$D$36=""),"Tidak dinilai",IF(C181="","Belum ada data",IF(C181&lt;IF(Aturan!$C$36="",0,Aturan!$C$36),"Kurang",IF(C181&gt;=IF(Aturan!$D$36="",Aturan!$C$36,Aturan!$D$36),"Nyaman","Cukup")))))</f>
        <v>Nyaman</v>
      </c>
      <c r="L181" s="70" t="str">
        <f aca="false">IF($A181="","",IF(AND(Aturan!$C$37="",Aturan!$D$37=""),"Tidak dinilai",IF(D181="","Belum ada data",IF(D181&lt;IF(Aturan!$C$37="",0,Aturan!$C$37),"Kurang",IF(D181&gt;=IF(Aturan!$D$37="",Aturan!$C$37,Aturan!$D$37),"Nyaman","Cukup")))))</f>
        <v>Nyaman</v>
      </c>
      <c r="M181" s="70" t="str">
        <f aca="false">IF($A181="","",IF(AND(Aturan!$C$38="",Aturan!$D$38=""),"Tidak dinilai",IF(E181="","Belum ada data",IF(E181&lt;IF(Aturan!$C$38="",0,Aturan!$C$38),"Kurang",IF(E181&gt;=IF(Aturan!$D$38="",Aturan!$C$38,Aturan!$D$38),"Nyaman","Cukup")))))</f>
        <v>Nyaman</v>
      </c>
      <c r="N181" s="70" t="str">
        <f aca="false">IF($A181="","",IF(AND(Aturan!$C$39="",Aturan!$D$39=""),"Tidak dinilai",IF(F181="","Belum ada data",IF(F181&lt;IF(Aturan!$C$39="",0,Aturan!$C$39),"Kurang",IF(F181&gt;=IF(Aturan!$D$39="",Aturan!$C$39,Aturan!$D$39),"Nyaman","Cukup")))))</f>
        <v>Nyaman</v>
      </c>
      <c r="O181" s="70" t="str">
        <f aca="false">IF($A181="","",IF(AND(Aturan!$C$40="",Aturan!$D$40=""),"Tidak dinilai",IF(G181="","Belum ada data",IF(G181&lt;IF(Aturan!$C$40="",0,Aturan!$C$40),"Kurang",IF(G181&gt;=IF(Aturan!$D$40="",Aturan!$C$40,Aturan!$D$40),"Nyaman","Cukup")))))</f>
        <v>Cukup</v>
      </c>
      <c r="P181" s="70" t="str">
        <f aca="false">IF($A181="","",IF(AND(Aturan!$C$41="",Aturan!$D$41=""),"Tidak dinilai",IF(H181="","Belum ada data",IF(H181&lt;IF(Aturan!$C$41="",0,Aturan!$C$41),"Kurang",IF(H181&gt;=IF(Aturan!$D$41="",Aturan!$C$41,Aturan!$D$41),"Nyaman","Cukup")))))</f>
        <v>Tidak dinilai</v>
      </c>
      <c r="Q181" s="70" t="str">
        <f aca="false">IF($A181="","",IF(COUNTIF(K181:P181,"Tidak dinilai")=6,"Tidak dinilai",IF(COUNTIF(K181:P181,"Kurang")&gt;0,"Kurang cocok",IF(COUNTIF(K181:P181,"Belum ada data")&gt;0,"Data belum lengkap",IF(COUNTIF(K181:P181,"Cukup")&gt;0,"Bisa, dengan catatan","Cocok")))))</f>
        <v>Bisa, dengan catatan</v>
      </c>
      <c r="R181" s="33" t="str">
        <f aca="false">IF($A181="","",IF(K181="Kurang","prosesor tingkat "&amp;C181&amp;" dari 5, di bawah batas minimal (tingkat "&amp;Aturan!$C$36&amp;")",IF(K181="Cukup","prosesor tingkat "&amp;C181&amp;" dari 5 cukup, nyamannya mulai tingkat "&amp;Aturan!$D$36,IF(K181="Belum ada data","tingkat prosesor belum diisi",""))))</f>
        <v/>
      </c>
      <c r="S181" s="33" t="str">
        <f aca="false">IF($A181="","",IF(L181="Kurang","grafis tingkat "&amp;D181&amp;" dari 5, di bawah batas minimal (tingkat "&amp;Aturan!$C$37&amp;")",IF(L181="Cukup","grafis tingkat "&amp;D181&amp;" dari 5 cukup, nyamannya mulai tingkat "&amp;Aturan!$D$37,IF(L181="Belum ada data","tingkat grafis belum diisi",""))))</f>
        <v/>
      </c>
      <c r="T181" s="33" t="str">
        <f aca="false">IF($A181="","",IF(M181="Kurang","RAM "&amp;E181&amp;" GB, di bawah batas minimal "&amp;Aturan!$C$38&amp;" GB ("&amp;I181&amp;")",IF(M181="Cukup","RAM "&amp;E181&amp;" GB cukup, nyamannya "&amp;Aturan!$D$38&amp;" GB atau lebih ("&amp;I181&amp;")",IF(M181="Belum ada data","ukuran RAM belum diisi",""))))</f>
        <v/>
      </c>
      <c r="U181" s="33" t="str">
        <f aca="false">IF($A181="","",IF(N181="Kurang","penyimpanan "&amp;F181&amp;" GB, di bawah batas minimal "&amp;Aturan!$C$39&amp;" GB ("&amp;J181&amp;")",IF(N181="Cukup","penyimpanan "&amp;F181&amp;" GB cukup, nyamannya "&amp;Aturan!$D$39&amp;" GB atau lebih ("&amp;J181&amp;")",IF(N181="Belum ada data","ukuran penyimpanan belum diisi",""))))</f>
        <v/>
      </c>
      <c r="V181" s="33" t="str">
        <f aca="false">IF($A181="","",IF(O181="Kurang","layar "&amp;Varian!$AG40&amp;", di bawah batas minimal ("&amp;IFERROR(INDEX(Aturan!$A$63:$A$66,MATCH(Aturan!$C$40,Aturan!$B$63:$B$66,0)),"peringkat "&amp;Aturan!$C$40)&amp;")",IF(O181="Cukup","layar "&amp;Varian!$AG40&amp;" cukup, nyamannya "&amp;IFERROR(INDEX(Aturan!$A$63:$A$66,MATCH(Aturan!$D$40,Aturan!$B$63:$B$66,0)),"peringkat "&amp;Aturan!$D$40),IF(O181="Belum ada data","jenis layar belum diketahui",""))))</f>
        <v>layar IPS cukup, nyamannya OLED</v>
      </c>
      <c r="W181" s="33" t="str">
        <f aca="false">IF($A181="","",IF(P181="Kurang","layar "&amp;H181&amp;" Hz, di bawah batas minimal "&amp;Aturan!$C$41&amp;" Hz",IF(P181="Cukup","layar "&amp;H181&amp;" Hz cukup, nyamannya "&amp;Aturan!$D$41&amp;" Hz atau lebih",IF(P181="Belum ada data","refresh rate belum diketahui",""))))</f>
        <v/>
      </c>
      <c r="X181" s="33" t="str">
        <f aca="false">IF($A181="","",IF(K181="Kurang",R181&amp;"; ","")&amp;IF(L181="Kurang",S181&amp;"; ","")&amp;IF(M181="Kurang",T181&amp;"; ","")&amp;IF(N181="Kurang",U181&amp;"; ","")&amp;IF(O181="Kurang",V181&amp;"; ","")&amp;IF(P181="Kurang",W181&amp;"; ","")&amp;IF(K181="Belum ada data",R181&amp;"; ","")&amp;IF(L181="Belum ada data",S181&amp;"; ","")&amp;IF(M181="Belum ada data",T181&amp;"; ","")&amp;IF(N181="Belum ada data",U181&amp;"; ","")&amp;IF(O181="Belum ada data",V181&amp;"; ","")&amp;IF(P181="Belum ada data",W181&amp;"; ","")&amp;IF(K181="Cukup",R181&amp;"; ","")&amp;IF(L181="Cukup",S181&amp;"; ","")&amp;IF(M181="Cukup",T181&amp;"; ","")&amp;IF(N181="Cukup",U181&amp;"; ","")&amp;IF(O181="Cukup",V181&amp;"; ","")&amp;IF(P181="Cukup",W181&amp;"; ",""))</f>
        <v>layar IPS cukup, nyamannya OLED; </v>
      </c>
      <c r="Y181" s="33" t="str">
        <f aca="false">IF($A181="","",IF(K181="Nyaman","prosesor, ","")&amp;IF(L181="Nyaman","grafis, ","")&amp;IF(M181="Nyaman","RAM, ","")&amp;IF(N181="Nyaman","penyimpanan, ","")&amp;IF(O181="Nyaman","layar, ","")&amp;IF(P181="Nyaman","refresh rate, ",""))</f>
        <v>prosesor, grafis, RAM, penyimpanan, </v>
      </c>
      <c r="Z181" s="33" t="str">
        <f aca="false">IF($A181="","",IF(Q181="Tidak dinilai","Belum ada kriteria yang dinilai untuk kebutuhan ini.",IF(Q181="Cocok","Semua kriteria yang dinilai sudah nyaman: "&amp;LEFT(Y181,LEN(Y181)-2)&amp;".",UPPER(LEFT(X181,1))&amp;MID(X181,2,LEN(X181)-3)&amp;"."&amp;IF(Y181="",""," Sudah nyaman: "&amp;LEFT(Y181,LEN(Y181)-2)&amp;"."))))</f>
        <v>Layar IPS cukup, nyamannya OLED. Sudah nyaman: prosesor, grafis, RAM, penyimpanan.</v>
      </c>
      <c r="AA181" s="33"/>
      <c r="AB181" s="33"/>
      <c r="AC181" s="69"/>
    </row>
    <row r="182" customFormat="false" ht="15" hidden="false" customHeight="true" outlineLevel="0" collapsed="false">
      <c r="A182" s="33" t="str">
        <f aca="false">IF(Varian!$A40="","",Varian!$A40)</f>
        <v>asus-rog-strix-g16-g614pm-r9-8940hx-rtx5060-16-1tb</v>
      </c>
      <c r="B182" s="33" t="str">
        <f aca="false">IF($A182="","",Aturan!$A$23)</f>
        <v>Pemrograman</v>
      </c>
      <c r="C182" s="69" t="n">
        <f aca="false">IF($A182="","",IFERROR(IF(ISNUMBER(INDEX(CPU!$J$4:$J$64,MATCH(Varian!$J40,CPU!$A$4:$A$64,0))),INDEX(CPU!$J$4:$J$64,MATCH(Varian!$J40,CPU!$A$4:$A$64,0)),""),""))</f>
        <v>5</v>
      </c>
      <c r="D182" s="69" t="n">
        <f aca="false">IF($A182="","",IFERROR(IF(ISNUMBER(INDEX(GPU!$G$4:$G$64,MATCH(Varian!$K40,GPU!$A$4:$A$64,0))),INDEX(GPU!$G$4:$G$64,MATCH(Varian!$K40,GPU!$A$4:$A$64,0)),""),""))</f>
        <v>4</v>
      </c>
      <c r="E182" s="69" t="n">
        <f aca="false">IF($A182="","",IF(ISNUMBER(Varian!$M40),Varian!$M40,""))</f>
        <v>16</v>
      </c>
      <c r="F182" s="69" t="n">
        <f aca="false">IF($A182="","",IF(ISNUMBER(Varian!$V40),Varian!$V40,""))</f>
        <v>1024</v>
      </c>
      <c r="G182" s="69" t="n">
        <f aca="false">IF($A182="","",IFERROR(INDEX(Aturan!$B$63:$B$66,MATCH(Varian!$AG40,Aturan!$A$63:$A$66,0)),""))</f>
        <v>3</v>
      </c>
      <c r="H182" s="69" t="n">
        <f aca="false">IF($A182="","",IF(ISNUMBER(Varian!$AI40),Varian!$AI40,""))</f>
        <v>240</v>
      </c>
      <c r="I182" s="33" t="str">
        <f aca="false">IF($A182="","",IF(Varian!$Q40="disolder","menempel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bisa dinaikkan lewat slot sampai 64 GB</v>
      </c>
      <c r="J182" s="33" t="str">
        <f aca="false">IF($A182="","",IF(Varian!$Z40="ya","bisa diganti dengan yang lebih besar",IF(Varian!$Z40="tidak","menempel, tidak bisa diganti","belum diketahui apakah bisa diganti")))</f>
        <v>bisa diganti dengan yang lebih besar</v>
      </c>
      <c r="K182" s="70" t="str">
        <f aca="false">IF($A182="","",IF(AND(Aturan!$C$42="",Aturan!$D$42=""),"Tidak dinilai",IF(C182="","Belum ada data",IF(C182&lt;IF(Aturan!$C$42="",0,Aturan!$C$42),"Kurang",IF(C182&gt;=IF(Aturan!$D$42="",Aturan!$C$42,Aturan!$D$42),"Nyaman","Cukup")))))</f>
        <v>Nyaman</v>
      </c>
      <c r="L182" s="70" t="str">
        <f aca="false">IF($A182="","",IF(AND(Aturan!$C$43="",Aturan!$D$43=""),"Tidak dinilai",IF(D182="","Belum ada data",IF(D182&lt;IF(Aturan!$C$43="",0,Aturan!$C$43),"Kurang",IF(D182&gt;=IF(Aturan!$D$43="",Aturan!$C$43,Aturan!$D$43),"Nyaman","Cukup")))))</f>
        <v>Tidak dinilai</v>
      </c>
      <c r="M182" s="70" t="str">
        <f aca="false">IF($A182="","",IF(AND(Aturan!$C$44="",Aturan!$D$44=""),"Tidak dinilai",IF(E182="","Belum ada data",IF(E182&lt;IF(Aturan!$C$44="",0,Aturan!$C$44),"Kurang",IF(E182&gt;=IF(Aturan!$D$44="",Aturan!$C$44,Aturan!$D$44),"Nyaman","Cukup")))))</f>
        <v>Nyaman</v>
      </c>
      <c r="N182" s="70" t="str">
        <f aca="false">IF($A182="","",IF(AND(Aturan!$C$45="",Aturan!$D$45=""),"Tidak dinilai",IF(F182="","Belum ada data",IF(F182&lt;IF(Aturan!$C$45="",0,Aturan!$C$45),"Kurang",IF(F182&gt;=IF(Aturan!$D$45="",Aturan!$C$45,Aturan!$D$45),"Nyaman","Cukup")))))</f>
        <v>Nyaman</v>
      </c>
      <c r="O182" s="70" t="str">
        <f aca="false">IF($A182="","",IF(AND(Aturan!$C$46="",Aturan!$D$46=""),"Tidak dinilai",IF(G182="","Belum ada data",IF(G182&lt;IF(Aturan!$C$46="",0,Aturan!$C$46),"Kurang",IF(G182&gt;=IF(Aturan!$D$46="",Aturan!$C$46,Aturan!$D$46),"Nyaman","Cukup")))))</f>
        <v>Tidak dinilai</v>
      </c>
      <c r="P182" s="70" t="str">
        <f aca="false">IF($A182="","",IF(AND(Aturan!$C$47="",Aturan!$D$47=""),"Tidak dinilai",IF(H182="","Belum ada data",IF(H182&lt;IF(Aturan!$C$47="",0,Aturan!$C$47),"Kurang",IF(H182&gt;=IF(Aturan!$D$47="",Aturan!$C$47,Aturan!$D$47),"Nyaman","Cukup")))))</f>
        <v>Tidak dinilai</v>
      </c>
      <c r="Q182" s="70" t="str">
        <f aca="false">IF($A182="","",IF(COUNTIF(K182:P182,"Tidak dinilai")=6,"Tidak dinilai",IF(COUNTIF(K182:P182,"Kurang")&gt;0,"Kurang cocok",IF(COUNTIF(K182:P182,"Belum ada data")&gt;0,"Data belum lengkap",IF(COUNTIF(K182:P182,"Cukup")&gt;0,"Bisa, dengan catatan","Cocok")))))</f>
        <v>Cocok</v>
      </c>
      <c r="R182" s="33" t="str">
        <f aca="false">IF($A182="","",IF(K182="Kurang","prosesor tingkat "&amp;C182&amp;" dari 5, di bawah batas minimal (tingkat "&amp;Aturan!$C$42&amp;")",IF(K182="Cukup","prosesor tingkat "&amp;C182&amp;" dari 5 cukup, nyamannya mulai tingkat "&amp;Aturan!$D$42,IF(K182="Belum ada data","tingkat prosesor belum diisi",""))))</f>
        <v/>
      </c>
      <c r="S182" s="33" t="str">
        <f aca="false">IF($A182="","",IF(L182="Kurang","grafis tingkat "&amp;D182&amp;" dari 5, di bawah batas minimal (tingkat "&amp;Aturan!$C$43&amp;")",IF(L182="Cukup","grafis tingkat "&amp;D182&amp;" dari 5 cukup, nyamannya mulai tingkat "&amp;Aturan!$D$43,IF(L182="Belum ada data","tingkat grafis belum diisi",""))))</f>
        <v/>
      </c>
      <c r="T182" s="33" t="str">
        <f aca="false">IF($A182="","",IF(M182="Kurang","RAM "&amp;E182&amp;" GB, di bawah batas minimal "&amp;Aturan!$C$44&amp;" GB ("&amp;I182&amp;")",IF(M182="Cukup","RAM "&amp;E182&amp;" GB cukup, nyamannya "&amp;Aturan!$D$44&amp;" GB atau lebih ("&amp;I182&amp;")",IF(M182="Belum ada data","ukuran RAM belum diisi",""))))</f>
        <v/>
      </c>
      <c r="U182" s="33" t="str">
        <f aca="false">IF($A182="","",IF(N182="Kurang","penyimpanan "&amp;F182&amp;" GB, di bawah batas minimal "&amp;Aturan!$C$45&amp;" GB ("&amp;J182&amp;")",IF(N182="Cukup","penyimpanan "&amp;F182&amp;" GB cukup, nyamannya "&amp;Aturan!$D$45&amp;" GB atau lebih ("&amp;J182&amp;")",IF(N182="Belum ada data","ukuran penyimpanan belum diisi",""))))</f>
        <v/>
      </c>
      <c r="V182" s="33" t="str">
        <f aca="false">IF($A182="","",IF(O182="Kurang","layar "&amp;Varian!$AG40&amp;", di bawah batas minimal ("&amp;IFERROR(INDEX(Aturan!$A$63:$A$66,MATCH(Aturan!$C$46,Aturan!$B$63:$B$66,0)),"peringkat "&amp;Aturan!$C$46)&amp;")",IF(O182="Cukup","layar "&amp;Varian!$AG40&amp;" cukup, nyamannya "&amp;IFERROR(INDEX(Aturan!$A$63:$A$66,MATCH(Aturan!$D$46,Aturan!$B$63:$B$66,0)),"peringkat "&amp;Aturan!$D$46),IF(O182="Belum ada data","jenis layar belum diketahui",""))))</f>
        <v/>
      </c>
      <c r="W182" s="33" t="str">
        <f aca="false">IF($A182="","",IF(P182="Kurang","layar "&amp;H182&amp;" Hz, di bawah batas minimal "&amp;Aturan!$C$47&amp;" Hz",IF(P182="Cukup","layar "&amp;H182&amp;" Hz cukup, nyamannya "&amp;Aturan!$D$47&amp;" Hz atau lebih",IF(P182="Belum ada data","refresh rate belum diketahui",""))))</f>
        <v/>
      </c>
      <c r="X182" s="33" t="str">
        <f aca="false">IF($A182="","",IF(K182="Kurang",R182&amp;"; ","")&amp;IF(L182="Kurang",S182&amp;"; ","")&amp;IF(M182="Kurang",T182&amp;"; ","")&amp;IF(N182="Kurang",U182&amp;"; ","")&amp;IF(O182="Kurang",V182&amp;"; ","")&amp;IF(P182="Kurang",W182&amp;"; ","")&amp;IF(K182="Belum ada data",R182&amp;"; ","")&amp;IF(L182="Belum ada data",S182&amp;"; ","")&amp;IF(M182="Belum ada data",T182&amp;"; ","")&amp;IF(N182="Belum ada data",U182&amp;"; ","")&amp;IF(O182="Belum ada data",V182&amp;"; ","")&amp;IF(P182="Belum ada data",W182&amp;"; ","")&amp;IF(K182="Cukup",R182&amp;"; ","")&amp;IF(L182="Cukup",S182&amp;"; ","")&amp;IF(M182="Cukup",T182&amp;"; ","")&amp;IF(N182="Cukup",U182&amp;"; ","")&amp;IF(O182="Cukup",V182&amp;"; ","")&amp;IF(P182="Cukup",W182&amp;"; ",""))</f>
        <v/>
      </c>
      <c r="Y182" s="33" t="str">
        <f aca="false">IF($A182="","",IF(K182="Nyaman","prosesor, ","")&amp;IF(L182="Nyaman","grafis, ","")&amp;IF(M182="Nyaman","RAM, ","")&amp;IF(N182="Nyaman","penyimpanan, ","")&amp;IF(O182="Nyaman","layar, ","")&amp;IF(P182="Nyaman","refresh rate, ",""))</f>
        <v>prosesor, RAM, penyimpanan, </v>
      </c>
      <c r="Z182" s="33" t="str">
        <f aca="false">IF($A182="","",IF(Q182="Tidak dinilai","Belum ada kriteria yang dinilai untuk kebutuhan ini.",IF(Q182="Cocok","Semua kriteria yang dinilai sudah nyaman: "&amp;LEFT(Y182,LEN(Y182)-2)&amp;".",UPPER(LEFT(X182,1))&amp;MID(X182,2,LEN(X182)-3)&amp;"."&amp;IF(Y182="",""," Sudah nyaman: "&amp;LEFT(Y182,LEN(Y182)-2)&amp;"."))))</f>
        <v>Semua kriteria yang dinilai sudah nyaman: prosesor, RAM, penyimpanan.</v>
      </c>
      <c r="AA182" s="33"/>
      <c r="AB182" s="33"/>
      <c r="AC182" s="69"/>
    </row>
    <row r="183" customFormat="false" ht="15" hidden="false" customHeight="true" outlineLevel="0" collapsed="false">
      <c r="A183" s="33" t="str">
        <f aca="false">IF(Varian!$A40="","",Varian!$A40)</f>
        <v>asus-rog-strix-g16-g614pm-r9-8940hx-rtx5060-16-1tb</v>
      </c>
      <c r="B183" s="33" t="str">
        <f aca="false">IF($A183="","",Aturan!$A$24)</f>
        <v>Game ringan</v>
      </c>
      <c r="C183" s="69" t="n">
        <f aca="false">IF($A183="","",IFERROR(IF(ISNUMBER(INDEX(CPU!$J$4:$J$64,MATCH(Varian!$J40,CPU!$A$4:$A$64,0))),INDEX(CPU!$J$4:$J$64,MATCH(Varian!$J40,CPU!$A$4:$A$64,0)),""),""))</f>
        <v>5</v>
      </c>
      <c r="D183" s="69" t="n">
        <f aca="false">IF($A183="","",IFERROR(IF(ISNUMBER(INDEX(GPU!$G$4:$G$64,MATCH(Varian!$K40,GPU!$A$4:$A$64,0))),INDEX(GPU!$G$4:$G$64,MATCH(Varian!$K40,GPU!$A$4:$A$64,0)),""),""))</f>
        <v>4</v>
      </c>
      <c r="E183" s="69" t="n">
        <f aca="false">IF($A183="","",IF(ISNUMBER(Varian!$M40),Varian!$M40,""))</f>
        <v>16</v>
      </c>
      <c r="F183" s="69" t="n">
        <f aca="false">IF($A183="","",IF(ISNUMBER(Varian!$V40),Varian!$V40,""))</f>
        <v>1024</v>
      </c>
      <c r="G183" s="69" t="n">
        <f aca="false">IF($A183="","",IFERROR(INDEX(Aturan!$B$63:$B$66,MATCH(Varian!$AG40,Aturan!$A$63:$A$66,0)),""))</f>
        <v>3</v>
      </c>
      <c r="H183" s="69" t="n">
        <f aca="false">IF($A183="","",IF(ISNUMBER(Varian!$AI40),Varian!$AI40,""))</f>
        <v>240</v>
      </c>
      <c r="I183" s="33" t="str">
        <f aca="false">IF($A183="","",IF(Varian!$Q40="disolder","menempel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bisa dinaikkan lewat slot sampai 64 GB</v>
      </c>
      <c r="J183" s="33" t="str">
        <f aca="false">IF($A183="","",IF(Varian!$Z40="ya","bisa diganti dengan yang lebih besar",IF(Varian!$Z40="tidak","menempel, tidak bisa diganti","belum diketahui apakah bisa diganti")))</f>
        <v>bisa diganti dengan yang lebih besar</v>
      </c>
      <c r="K183" s="70" t="str">
        <f aca="false">IF($A183="","",IF(AND(Aturan!$C$48="",Aturan!$D$48=""),"Tidak dinilai",IF(C183="","Belum ada data",IF(C183&lt;IF(Aturan!$C$48="",0,Aturan!$C$48),"Kurang",IF(C183&gt;=IF(Aturan!$D$48="",Aturan!$C$48,Aturan!$D$48),"Nyaman","Cukup")))))</f>
        <v>Nyaman</v>
      </c>
      <c r="L183" s="70" t="str">
        <f aca="false">IF($A183="","",IF(AND(Aturan!$C$49="",Aturan!$D$49=""),"Tidak dinilai",IF(D183="","Belum ada data",IF(D183&lt;IF(Aturan!$C$49="",0,Aturan!$C$49),"Kurang",IF(D183&gt;=IF(Aturan!$D$49="",Aturan!$C$49,Aturan!$D$49),"Nyaman","Cukup")))))</f>
        <v>Nyaman</v>
      </c>
      <c r="M183" s="70" t="str">
        <f aca="false">IF($A183="","",IF(AND(Aturan!$C$50="",Aturan!$D$50=""),"Tidak dinilai",IF(E183="","Belum ada data",IF(E183&lt;IF(Aturan!$C$50="",0,Aturan!$C$50),"Kurang",IF(E183&gt;=IF(Aturan!$D$50="",Aturan!$C$50,Aturan!$D$50),"Nyaman","Cukup")))))</f>
        <v>Nyaman</v>
      </c>
      <c r="N183" s="70" t="str">
        <f aca="false">IF($A183="","",IF(AND(Aturan!$C$51="",Aturan!$D$51=""),"Tidak dinilai",IF(F183="","Belum ada data",IF(F183&lt;IF(Aturan!$C$51="",0,Aturan!$C$51),"Kurang",IF(F183&gt;=IF(Aturan!$D$51="",Aturan!$C$51,Aturan!$D$51),"Nyaman","Cukup")))))</f>
        <v>Nyaman</v>
      </c>
      <c r="O183" s="70" t="str">
        <f aca="false">IF($A183="","",IF(AND(Aturan!$C$52="",Aturan!$D$52=""),"Tidak dinilai",IF(G183="","Belum ada data",IF(G183&lt;IF(Aturan!$C$52="",0,Aturan!$C$52),"Kurang",IF(G183&gt;=IF(Aturan!$D$52="",Aturan!$C$52,Aturan!$D$52),"Nyaman","Cukup")))))</f>
        <v>Tidak dinilai</v>
      </c>
      <c r="P183" s="70" t="str">
        <f aca="false">IF($A183="","",IF(AND(Aturan!$C$53="",Aturan!$D$53=""),"Tidak dinilai",IF(H183="","Belum ada data",IF(H183&lt;IF(Aturan!$C$53="",0,Aturan!$C$53),"Kurang",IF(H183&gt;=IF(Aturan!$D$53="",Aturan!$C$53,Aturan!$D$53),"Nyaman","Cukup")))))</f>
        <v>Tidak dinilai</v>
      </c>
      <c r="Q183" s="70" t="str">
        <f aca="false">IF($A183="","",IF(COUNTIF(K183:P183,"Tidak dinilai")=6,"Tidak dinilai",IF(COUNTIF(K183:P183,"Kurang")&gt;0,"Kurang cocok",IF(COUNTIF(K183:P183,"Belum ada data")&gt;0,"Data belum lengkap",IF(COUNTIF(K183:P183,"Cukup")&gt;0,"Bisa, dengan catatan","Cocok")))))</f>
        <v>Cocok</v>
      </c>
      <c r="R183" s="33" t="str">
        <f aca="false">IF($A183="","",IF(K183="Kurang","prosesor tingkat "&amp;C183&amp;" dari 5, di bawah batas minimal (tingkat "&amp;Aturan!$C$48&amp;")",IF(K183="Cukup","prosesor tingkat "&amp;C183&amp;" dari 5 cukup, nyamannya mulai tingkat "&amp;Aturan!$D$48,IF(K183="Belum ada data","tingkat prosesor belum diisi",""))))</f>
        <v/>
      </c>
      <c r="S183" s="33" t="str">
        <f aca="false">IF($A183="","",IF(L183="Kurang","grafis tingkat "&amp;D183&amp;" dari 5, di bawah batas minimal (tingkat "&amp;Aturan!$C$49&amp;")",IF(L183="Cukup","grafis tingkat "&amp;D183&amp;" dari 5 cukup, nyamannya mulai tingkat "&amp;Aturan!$D$49,IF(L183="Belum ada data","tingkat grafis belum diisi",""))))</f>
        <v/>
      </c>
      <c r="T183" s="33" t="str">
        <f aca="false">IF($A183="","",IF(M183="Kurang","RAM "&amp;E183&amp;" GB, di bawah batas minimal "&amp;Aturan!$C$50&amp;" GB ("&amp;I183&amp;")",IF(M183="Cukup","RAM "&amp;E183&amp;" GB cukup, nyamannya "&amp;Aturan!$D$50&amp;" GB atau lebih ("&amp;I183&amp;")",IF(M183="Belum ada data","ukuran RAM belum diisi",""))))</f>
        <v/>
      </c>
      <c r="U183" s="33" t="str">
        <f aca="false">IF($A183="","",IF(N183="Kurang","penyimpanan "&amp;F183&amp;" GB, di bawah batas minimal "&amp;Aturan!$C$51&amp;" GB ("&amp;J183&amp;")",IF(N183="Cukup","penyimpanan "&amp;F183&amp;" GB cukup, nyamannya "&amp;Aturan!$D$51&amp;" GB atau lebih ("&amp;J183&amp;")",IF(N183="Belum ada data","ukuran penyimpanan belum diisi",""))))</f>
        <v/>
      </c>
      <c r="V183" s="33" t="str">
        <f aca="false">IF($A183="","",IF(O183="Kurang","layar "&amp;Varian!$AG40&amp;", di bawah batas minimal ("&amp;IFERROR(INDEX(Aturan!$A$63:$A$66,MATCH(Aturan!$C$52,Aturan!$B$63:$B$66,0)),"peringkat "&amp;Aturan!$C$52)&amp;")",IF(O183="Cukup","layar "&amp;Varian!$AG40&amp;" cukup, nyamannya "&amp;IFERROR(INDEX(Aturan!$A$63:$A$66,MATCH(Aturan!$D$52,Aturan!$B$63:$B$66,0)),"peringkat "&amp;Aturan!$D$52),IF(O183="Belum ada data","jenis layar belum diketahui",""))))</f>
        <v/>
      </c>
      <c r="W183" s="33" t="str">
        <f aca="false">IF($A183="","",IF(P183="Kurang","layar "&amp;H183&amp;" Hz, di bawah batas minimal "&amp;Aturan!$C$53&amp;" Hz",IF(P183="Cukup","layar "&amp;H183&amp;" Hz cukup, nyamannya "&amp;Aturan!$D$53&amp;" Hz atau lebih",IF(P183="Belum ada data","refresh rate belum diketahui",""))))</f>
        <v/>
      </c>
      <c r="X183" s="33" t="str">
        <f aca="false">IF($A183="","",IF(K183="Kurang",R183&amp;"; ","")&amp;IF(L183="Kurang",S183&amp;"; ","")&amp;IF(M183="Kurang",T183&amp;"; ","")&amp;IF(N183="Kurang",U183&amp;"; ","")&amp;IF(O183="Kurang",V183&amp;"; ","")&amp;IF(P183="Kurang",W183&amp;"; ","")&amp;IF(K183="Belum ada data",R183&amp;"; ","")&amp;IF(L183="Belum ada data",S183&amp;"; ","")&amp;IF(M183="Belum ada data",T183&amp;"; ","")&amp;IF(N183="Belum ada data",U183&amp;"; ","")&amp;IF(O183="Belum ada data",V183&amp;"; ","")&amp;IF(P183="Belum ada data",W183&amp;"; ","")&amp;IF(K183="Cukup",R183&amp;"; ","")&amp;IF(L183="Cukup",S183&amp;"; ","")&amp;IF(M183="Cukup",T183&amp;"; ","")&amp;IF(N183="Cukup",U183&amp;"; ","")&amp;IF(O183="Cukup",V183&amp;"; ","")&amp;IF(P183="Cukup",W183&amp;"; ",""))</f>
        <v/>
      </c>
      <c r="Y183" s="33" t="str">
        <f aca="false">IF($A183="","",IF(K183="Nyaman","prosesor, ","")&amp;IF(L183="Nyaman","grafis, ","")&amp;IF(M183="Nyaman","RAM, ","")&amp;IF(N183="Nyaman","penyimpanan, ","")&amp;IF(O183="Nyaman","layar, ","")&amp;IF(P183="Nyaman","refresh rate, ",""))</f>
        <v>prosesor, grafis, RAM, penyimpanan, </v>
      </c>
      <c r="Z183" s="33" t="str">
        <f aca="false">IF($A183="","",IF(Q183="Tidak dinilai","Belum ada kriteria yang dinilai untuk kebutuhan ini.",IF(Q183="Cocok","Semua kriteria yang dinilai sudah nyaman: "&amp;LEFT(Y183,LEN(Y183)-2)&amp;".",UPPER(LEFT(X183,1))&amp;MID(X183,2,LEN(X183)-3)&amp;"."&amp;IF(Y183="",""," Sudah nyaman: "&amp;LEFT(Y183,LEN(Y183)-2)&amp;"."))))</f>
        <v>Semua kriteria yang dinilai sudah nyaman: prosesor, grafis, RAM, penyimpanan.</v>
      </c>
      <c r="AA183" s="33"/>
      <c r="AB183" s="33"/>
      <c r="AC183" s="69"/>
    </row>
    <row r="184" customFormat="false" ht="15" hidden="false" customHeight="true" outlineLevel="0" collapsed="false">
      <c r="A184" s="33" t="str">
        <f aca="false">IF(Varian!$A40="","",Varian!$A40)</f>
        <v>asus-rog-strix-g16-g614pm-r9-8940hx-rtx5060-16-1tb</v>
      </c>
      <c r="B184" s="33" t="str">
        <f aca="false">IF($A184="","",Aturan!$A$25)</f>
        <v>Game berat</v>
      </c>
      <c r="C184" s="69" t="n">
        <f aca="false">IF($A184="","",IFERROR(IF(ISNUMBER(INDEX(CPU!$J$4:$J$64,MATCH(Varian!$J40,CPU!$A$4:$A$64,0))),INDEX(CPU!$J$4:$J$64,MATCH(Varian!$J40,CPU!$A$4:$A$64,0)),""),""))</f>
        <v>5</v>
      </c>
      <c r="D184" s="69" t="n">
        <f aca="false">IF($A184="","",IFERROR(IF(ISNUMBER(INDEX(GPU!$G$4:$G$64,MATCH(Varian!$K40,GPU!$A$4:$A$64,0))),INDEX(GPU!$G$4:$G$64,MATCH(Varian!$K40,GPU!$A$4:$A$64,0)),""),""))</f>
        <v>4</v>
      </c>
      <c r="E184" s="69" t="n">
        <f aca="false">IF($A184="","",IF(ISNUMBER(Varian!$M40),Varian!$M40,""))</f>
        <v>16</v>
      </c>
      <c r="F184" s="69" t="n">
        <f aca="false">IF($A184="","",IF(ISNUMBER(Varian!$V40),Varian!$V40,""))</f>
        <v>1024</v>
      </c>
      <c r="G184" s="69" t="n">
        <f aca="false">IF($A184="","",IFERROR(INDEX(Aturan!$B$63:$B$66,MATCH(Varian!$AG40,Aturan!$A$63:$A$66,0)),""))</f>
        <v>3</v>
      </c>
      <c r="H184" s="69" t="n">
        <f aca="false">IF($A184="","",IF(ISNUMBER(Varian!$AI40),Varian!$AI40,""))</f>
        <v>240</v>
      </c>
      <c r="I184" s="33" t="str">
        <f aca="false">IF($A184="","",IF(Varian!$Q40="disolder","menempel di papan utama, tidak bisa ditambah",IF(OR(Varian!$Q40="slot",Varian!$Q40="setengah_disolder"),IF(Varian!$Q40="setengah_disolder","sebagian menempel, ","")&amp;IF(ISNUMBER(Varian!$U40),IF(AND(ISNUMBER(Varian!$M40),Varian!$U40&gt;Varian!$M40),"bisa dinaikkan lewat slot sampai "&amp;Varian!$U40&amp;" GB","sudah di batas maksimal "&amp;Varian!$U40&amp;" GB"),"ada slot, batas maksimalnya belum diketahui"),"belum diketahui apakah bisa ditambah")))</f>
        <v>bisa dinaikkan lewat slot sampai 64 GB</v>
      </c>
      <c r="J184" s="33" t="str">
        <f aca="false">IF($A184="","",IF(Varian!$Z40="ya","bisa diganti dengan yang lebih besar",IF(Varian!$Z40="tidak","menempel, tidak bisa diganti","belum diketahui apakah bisa diganti")))</f>
        <v>bisa diganti dengan yang lebih besar</v>
      </c>
      <c r="K184" s="70" t="str">
        <f aca="false">IF($A184="","",IF(AND(Aturan!$C$54="",Aturan!$D$54=""),"Tidak dinilai",IF(C184="","Belum ada data",IF(C184&lt;IF(Aturan!$C$54="",0,Aturan!$C$54),"Kurang",IF(C184&gt;=IF(Aturan!$D$54="",Aturan!$C$54,Aturan!$D$54),"Nyaman","Cukup")))))</f>
        <v>Nyaman</v>
      </c>
      <c r="L184" s="70" t="str">
        <f aca="false">IF($A184="","",IF(AND(Aturan!$C$55="",Aturan!$D$55=""),"Tidak dinilai",IF(D184="","Belum ada data",IF(D184&lt;IF(Aturan!$C$55="",0,Aturan!$C$55),"Kurang",IF(D184&gt;=IF(Aturan!$D$55="",Aturan!$C$55,Aturan!$D$55),"Nyaman","Cukup")))))</f>
        <v>Nyaman</v>
      </c>
      <c r="M184" s="70" t="str">
        <f aca="false">IF($A184="","",IF(AND(Aturan!$C$56="",Aturan!$D$56=""),"Tidak dinilai",IF(E184="","Belum ada data",IF(E184&lt;IF(Aturan!$C$56="",0,Aturan!$C$56),"Kurang",IF(E184&gt;=IF(Aturan!$D$56="",Aturan!$C$56,Aturan!$D$56),"Nyaman","Cukup")))))</f>
        <v>Nyaman</v>
      </c>
      <c r="N184" s="70" t="str">
        <f aca="false">IF($A184="","",IF(AND(Aturan!$C$57="",Aturan!$D$57=""),"Tidak dinilai",IF(F184="","Belum ada data",IF(F184&lt;IF(Aturan!$C$57="",0,Aturan!$C$57),"Kurang",IF(F184&gt;=IF(Aturan!$D$57="",Aturan!$C$57,Aturan!$D$57),"Nyaman","Cukup")))))</f>
        <v>Nyaman</v>
      </c>
      <c r="O184" s="70" t="str">
        <f aca="false">IF($A184="","",IF(AND(Aturan!$C$58="",Aturan!$D$58=""),"Tidak dinilai",IF(G184="","Belum ada data",IF(G184&lt;IF(Aturan!$C$58="",0,Aturan!$C$58),"Kurang",IF(G184&gt;=IF(Aturan!$D$58="",Aturan!$C$58,Aturan!$D$58),"Nyaman","Cukup")))))</f>
        <v>Tidak dinilai</v>
      </c>
      <c r="P184" s="70" t="str">
        <f aca="false">IF($A184="","",IF(AND(Aturan!$C$59="",Aturan!$D$59=""),"Tidak dinilai",IF(H184="","Belum ada data",IF(H184&lt;IF(Aturan!$C$59="",0,Aturan!$C$59),"Kurang",IF(H184&gt;=IF(Aturan!$D$59="",Aturan!$C$59,Aturan!$D$59),"Nyaman","Cukup")))))</f>
        <v>Nyaman</v>
      </c>
      <c r="Q184" s="70" t="str">
        <f aca="false">IF($A184="","",IF(COUNTIF(K184:P184,"Tidak dinilai")=6,"Tidak dinilai",IF(COUNTIF(K184:P184,"Kurang")&gt;0,"Kurang cocok",IF(COUNTIF(K184:P184,"Belum ada data")&gt;0,"Data belum lengkap",IF(COUNTIF(K184:P184,"Cukup")&gt;0,"Bisa, dengan catatan","Cocok")))))</f>
        <v>Cocok</v>
      </c>
      <c r="R184" s="33" t="str">
        <f aca="false">IF($A184="","",IF(K184="Kurang","prosesor tingkat "&amp;C184&amp;" dari 5, di bawah batas minimal (tingkat "&amp;Aturan!$C$54&amp;")",IF(K184="Cukup","prosesor tingkat "&amp;C184&amp;" dari 5 cukup, nyamannya mulai tingkat "&amp;Aturan!$D$54,IF(K184="Belum ada data","tingkat prosesor belum diisi",""))))</f>
        <v/>
      </c>
      <c r="S184" s="33" t="str">
        <f aca="false">IF($A184="","",IF(L184="Kurang","grafis tingkat "&amp;D184&amp;" dari 5, di bawah batas minimal (tingkat "&amp;Aturan!$C$55&amp;")",IF(L184="Cukup","grafis tingkat "&amp;D184&amp;" dari 5 cukup, nyamannya mulai tingkat "&amp;Aturan!$D$55,IF(L184="Belum ada data","tingkat grafis belum diisi",""))))</f>
        <v/>
      </c>
      <c r="T184" s="33" t="str">
        <f aca="false">IF($A184="","",IF(M184="Kurang","RAM "&amp;E184&amp;" GB, di bawah batas minimal "&amp;Aturan!$C$56&amp;" GB ("&amp;I184&amp;")",IF(M184="Cukup","RAM "&amp;E184&amp;" GB cukup, nyamannya "&amp;Aturan!$D$56&amp;" GB atau lebih ("&amp;I184&amp;")",IF(M184="Belum ada data","ukuran RAM belum diisi",""))))</f>
        <v/>
      </c>
      <c r="U184" s="33" t="str">
        <f aca="false">IF($A184="","",IF(N184="Kurang","penyimpanan "&amp;F184&amp;" GB, di bawah batas minimal "&amp;Aturan!$C$57&amp;" GB ("&amp;J184&amp;")",IF(N184="Cukup","penyimpanan "&amp;F184&amp;" GB cukup, nyamannya "&amp;Aturan!$D$57&amp;" GB atau lebih ("&amp;J184&amp;")",IF(N184="Belum ada data","ukuran penyimpanan belum diisi",""))))</f>
        <v/>
      </c>
      <c r="V184" s="33" t="str">
        <f aca="false">IF($A184="","",IF(O184="Kurang","layar "&amp;Varian!$AG40&amp;", di bawah batas minimal ("&amp;IFERROR(INDEX(Aturan!$A$63:$A$66,MATCH(Aturan!$C$58,Aturan!$B$63:$B$66,0)),"peringkat "&amp;Aturan!$C$58)&amp;")",IF(O184="Cukup","layar "&amp;Varian!$AG40&amp;" cukup, nyamannya "&amp;IFERROR(INDEX(Aturan!$A$63:$A$66,MATCH(Aturan!$D$58,Aturan!$B$63:$B$66,0)),"peringkat "&amp;Aturan!$D$58),IF(O184="Belum ada data","jenis layar belum diketahui",""))))</f>
        <v/>
      </c>
      <c r="W184" s="33" t="str">
        <f aca="false">IF($A184="","",IF(P184="Kurang","layar "&amp;H184&amp;" Hz, di bawah batas minimal "&amp;Aturan!$C$59&amp;" Hz",IF(P184="Cukup","layar "&amp;H184&amp;" Hz cukup, nyamannya "&amp;Aturan!$D$59&amp;" Hz atau lebih",IF(P184="Belum ada data","refresh rate belum diketahui",""))))</f>
        <v/>
      </c>
      <c r="X184" s="33" t="str">
        <f aca="false">IF($A184="","",IF(K184="Kurang",R184&amp;"; ","")&amp;IF(L184="Kurang",S184&amp;"; ","")&amp;IF(M184="Kurang",T184&amp;"; ","")&amp;IF(N184="Kurang",U184&amp;"; ","")&amp;IF(O184="Kurang",V184&amp;"; ","")&amp;IF(P184="Kurang",W184&amp;"; ","")&amp;IF(K184="Belum ada data",R184&amp;"; ","")&amp;IF(L184="Belum ada data",S184&amp;"; ","")&amp;IF(M184="Belum ada data",T184&amp;"; ","")&amp;IF(N184="Belum ada data",U184&amp;"; ","")&amp;IF(O184="Belum ada data",V184&amp;"; ","")&amp;IF(P184="Belum ada data",W184&amp;"; ","")&amp;IF(K184="Cukup",R184&amp;"; ","")&amp;IF(L184="Cukup",S184&amp;"; ","")&amp;IF(M184="Cukup",T184&amp;"; ","")&amp;IF(N184="Cukup",U184&amp;"; ","")&amp;IF(O184="Cukup",V184&amp;"; ","")&amp;IF(P184="Cukup",W184&amp;"; ",""))</f>
        <v/>
      </c>
      <c r="Y184" s="33" t="str">
        <f aca="false">IF($A184="","",IF(K184="Nyaman","prosesor, ","")&amp;IF(L184="Nyaman","grafis, ","")&amp;IF(M184="Nyaman","RAM, ","")&amp;IF(N184="Nyaman","penyimpanan, ","")&amp;IF(O184="Nyaman","layar, ","")&amp;IF(P184="Nyaman","refresh rate, ",""))</f>
        <v>prosesor, grafis, RAM, penyimpanan, refresh rate, </v>
      </c>
      <c r="Z184" s="33" t="str">
        <f aca="false">IF($A184="","",IF(Q184="Tidak dinilai","Belum ada kriteria yang dinilai untuk kebutuhan ini.",IF(Q184="Cocok","Semua kriteria yang dinilai sudah nyaman: "&amp;LEFT(Y184,LEN(Y184)-2)&amp;".",UPPER(LEFT(X184,1))&amp;MID(X184,2,LEN(X184)-3)&amp;"."&amp;IF(Y184="",""," Sudah nyaman: "&amp;LEFT(Y184,LEN(Y184)-2)&amp;"."))))</f>
        <v>Semua kriteria yang dinilai sudah nyaman: prosesor, grafis, RAM, penyimpanan, refresh rate.</v>
      </c>
      <c r="AA184" s="33"/>
      <c r="AB184" s="33"/>
      <c r="AC184" s="69"/>
    </row>
    <row r="185" customFormat="false" ht="15" hidden="false" customHeight="true" outlineLevel="0" collapsed="false">
      <c r="A185" s="66" t="str">
        <f aca="false">IF(Varian!$A41="","",Varian!$A41)</f>
        <v>lenovo-legion-5-15irx10-i7-13650hx-16-512</v>
      </c>
      <c r="B185" s="66" t="str">
        <f aca="false">IF($A185="","",Aturan!$A$21)</f>
        <v>Kuliah dan kantor</v>
      </c>
      <c r="C185" s="67" t="n">
        <f aca="false">IF($A185="","",IFERROR(IF(ISNUMBER(INDEX(CPU!$J$4:$J$64,MATCH(Varian!$J41,CPU!$A$4:$A$64,0))),INDEX(CPU!$J$4:$J$64,MATCH(Varian!$J41,CPU!$A$4:$A$64,0)),""),""))</f>
        <v>4</v>
      </c>
      <c r="D185" s="67" t="n">
        <f aca="false">IF($A185="","",IFERROR(IF(ISNUMBER(INDEX(GPU!$G$4:$G$64,MATCH(Varian!$K41,GPU!$A$4:$A$64,0))),INDEX(GPU!$G$4:$G$64,MATCH(Varian!$K41,GPU!$A$4:$A$64,0)),""),""))</f>
        <v>3</v>
      </c>
      <c r="E185" s="67" t="n">
        <f aca="false">IF($A185="","",IF(ISNUMBER(Varian!$M41),Varian!$M41,""))</f>
        <v>16</v>
      </c>
      <c r="F185" s="67" t="n">
        <f aca="false">IF($A185="","",IF(ISNUMBER(Varian!$V41),Varian!$V41,""))</f>
        <v>512</v>
      </c>
      <c r="G185" s="67" t="n">
        <f aca="false">IF($A185="","",IFERROR(INDEX(Aturan!$B$63:$B$66,MATCH(Varian!$AG41,Aturan!$A$63:$A$66,0)),""))</f>
        <v>3</v>
      </c>
      <c r="H185" s="67" t="n">
        <f aca="false">IF($A185="","",IF(ISNUMBER(Varian!$AI41),Varian!$AI41,""))</f>
        <v>165</v>
      </c>
      <c r="I185" s="66" t="str">
        <f aca="false">IF($A185="","",IF(Varian!$Q41="disolder","menempel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bisa dinaikkan lewat slot sampai 32 GB</v>
      </c>
      <c r="J185" s="66" t="str">
        <f aca="false">IF($A185="","",IF(Varian!$Z41="ya","bisa diganti dengan yang lebih besar",IF(Varian!$Z41="tidak","menempel, tidak bisa diganti","belum diketahui apakah bisa diganti")))</f>
        <v>bisa diganti dengan yang lebih besar</v>
      </c>
      <c r="K185" s="68" t="str">
        <f aca="false">IF($A185="","",IF(AND(Aturan!$C$30="",Aturan!$D$30=""),"Tidak dinilai",IF(C185="","Belum ada data",IF(C185&lt;IF(Aturan!$C$30="",0,Aturan!$C$30),"Kurang",IF(C185&gt;=IF(Aturan!$D$30="",Aturan!$C$30,Aturan!$D$30),"Nyaman","Cukup")))))</f>
        <v>Nyaman</v>
      </c>
      <c r="L185" s="68" t="str">
        <f aca="false">IF($A185="","",IF(AND(Aturan!$C$31="",Aturan!$D$31=""),"Tidak dinilai",IF(D185="","Belum ada data",IF(D185&lt;IF(Aturan!$C$31="",0,Aturan!$C$31),"Kurang",IF(D185&gt;=IF(Aturan!$D$31="",Aturan!$C$31,Aturan!$D$31),"Nyaman","Cukup")))))</f>
        <v>Tidak dinilai</v>
      </c>
      <c r="M185" s="68" t="str">
        <f aca="false">IF($A185="","",IF(AND(Aturan!$C$32="",Aturan!$D$32=""),"Tidak dinilai",IF(E185="","Belum ada data",IF(E185&lt;IF(Aturan!$C$32="",0,Aturan!$C$32),"Kurang",IF(E185&gt;=IF(Aturan!$D$32="",Aturan!$C$32,Aturan!$D$32),"Nyaman","Cukup")))))</f>
        <v>Nyaman</v>
      </c>
      <c r="N185" s="68" t="str">
        <f aca="false">IF($A185="","",IF(AND(Aturan!$C$33="",Aturan!$D$33=""),"Tidak dinilai",IF(F185="","Belum ada data",IF(F185&lt;IF(Aturan!$C$33="",0,Aturan!$C$33),"Kurang",IF(F185&gt;=IF(Aturan!$D$33="",Aturan!$C$33,Aturan!$D$33),"Nyaman","Cukup")))))</f>
        <v>Nyaman</v>
      </c>
      <c r="O185" s="68" t="str">
        <f aca="false">IF($A185="","",IF(AND(Aturan!$C$34="",Aturan!$D$34=""),"Tidak dinilai",IF(G185="","Belum ada data",IF(G185&lt;IF(Aturan!$C$34="",0,Aturan!$C$34),"Kurang",IF(G185&gt;=IF(Aturan!$D$34="",Aturan!$C$34,Aturan!$D$34),"Nyaman","Cukup")))))</f>
        <v>Tidak dinilai</v>
      </c>
      <c r="P185" s="68" t="str">
        <f aca="false">IF($A185="","",IF(AND(Aturan!$C$35="",Aturan!$D$35=""),"Tidak dinilai",IF(H185="","Belum ada data",IF(H185&lt;IF(Aturan!$C$35="",0,Aturan!$C$35),"Kurang",IF(H185&gt;=IF(Aturan!$D$35="",Aturan!$C$35,Aturan!$D$35),"Nyaman","Cukup")))))</f>
        <v>Tidak dinilai</v>
      </c>
      <c r="Q185" s="68" t="str">
        <f aca="false">IF($A185="","",IF(COUNTIF(K185:P185,"Tidak dinilai")=6,"Tidak dinilai",IF(COUNTIF(K185:P185,"Kurang")&gt;0,"Kurang cocok",IF(COUNTIF(K185:P185,"Belum ada data")&gt;0,"Data belum lengkap",IF(COUNTIF(K185:P185,"Cukup")&gt;0,"Bisa, dengan catatan","Cocok")))))</f>
        <v>Cocok</v>
      </c>
      <c r="R185" s="66" t="str">
        <f aca="false">IF($A185="","",IF(K185="Kurang","prosesor tingkat "&amp;C185&amp;" dari 5, di bawah batas minimal (tingkat "&amp;Aturan!$C$30&amp;")",IF(K185="Cukup","prosesor tingkat "&amp;C185&amp;" dari 5 cukup, nyamannya mulai tingkat "&amp;Aturan!$D$30,IF(K185="Belum ada data","tingkat prosesor belum diisi",""))))</f>
        <v/>
      </c>
      <c r="S185" s="66" t="str">
        <f aca="false">IF($A185="","",IF(L185="Kurang","grafis tingkat "&amp;D185&amp;" dari 5, di bawah batas minimal (tingkat "&amp;Aturan!$C$31&amp;")",IF(L185="Cukup","grafis tingkat "&amp;D185&amp;" dari 5 cukup, nyamannya mulai tingkat "&amp;Aturan!$D$31,IF(L185="Belum ada data","tingkat grafis belum diisi",""))))</f>
        <v/>
      </c>
      <c r="T185" s="66" t="str">
        <f aca="false">IF($A185="","",IF(M185="Kurang","RAM "&amp;E185&amp;" GB, di bawah batas minimal "&amp;Aturan!$C$32&amp;" GB ("&amp;I185&amp;")",IF(M185="Cukup","RAM "&amp;E185&amp;" GB cukup, nyamannya "&amp;Aturan!$D$32&amp;" GB atau lebih ("&amp;I185&amp;")",IF(M185="Belum ada data","ukuran RAM belum diisi",""))))</f>
        <v/>
      </c>
      <c r="U185" s="66" t="str">
        <f aca="false">IF($A185="","",IF(N185="Kurang","penyimpanan "&amp;F185&amp;" GB, di bawah batas minimal "&amp;Aturan!$C$33&amp;" GB ("&amp;J185&amp;")",IF(N185="Cukup","penyimpanan "&amp;F185&amp;" GB cukup, nyamannya "&amp;Aturan!$D$33&amp;" GB atau lebih ("&amp;J185&amp;")",IF(N185="Belum ada data","ukuran penyimpanan belum diisi",""))))</f>
        <v/>
      </c>
      <c r="V185" s="66" t="str">
        <f aca="false">IF($A185="","",IF(O185="Kurang","layar "&amp;Varian!$AG41&amp;", di bawah batas minimal ("&amp;IFERROR(INDEX(Aturan!$A$63:$A$66,MATCH(Aturan!$C$34,Aturan!$B$63:$B$66,0)),"peringkat "&amp;Aturan!$C$34)&amp;")",IF(O185="Cukup","layar "&amp;Varian!$AG41&amp;" cukup, nyamannya "&amp;IFERROR(INDEX(Aturan!$A$63:$A$66,MATCH(Aturan!$D$34,Aturan!$B$63:$B$66,0)),"peringkat "&amp;Aturan!$D$34),IF(O185="Belum ada data","jenis layar belum diketahui",""))))</f>
        <v/>
      </c>
      <c r="W185" s="66" t="str">
        <f aca="false">IF($A185="","",IF(P185="Kurang","layar "&amp;H185&amp;" Hz, di bawah batas minimal "&amp;Aturan!$C$35&amp;" Hz",IF(P185="Cukup","layar "&amp;H185&amp;" Hz cukup, nyamannya "&amp;Aturan!$D$35&amp;" Hz atau lebih",IF(P185="Belum ada data","refresh rate belum diketahui",""))))</f>
        <v/>
      </c>
      <c r="X185" s="66" t="str">
        <f aca="false">IF($A185="","",IF(K185="Kurang",R185&amp;"; ","")&amp;IF(L185="Kurang",S185&amp;"; ","")&amp;IF(M185="Kurang",T185&amp;"; ","")&amp;IF(N185="Kurang",U185&amp;"; ","")&amp;IF(O185="Kurang",V185&amp;"; ","")&amp;IF(P185="Kurang",W185&amp;"; ","")&amp;IF(K185="Belum ada data",R185&amp;"; ","")&amp;IF(L185="Belum ada data",S185&amp;"; ","")&amp;IF(M185="Belum ada data",T185&amp;"; ","")&amp;IF(N185="Belum ada data",U185&amp;"; ","")&amp;IF(O185="Belum ada data",V185&amp;"; ","")&amp;IF(P185="Belum ada data",W185&amp;"; ","")&amp;IF(K185="Cukup",R185&amp;"; ","")&amp;IF(L185="Cukup",S185&amp;"; ","")&amp;IF(M185="Cukup",T185&amp;"; ","")&amp;IF(N185="Cukup",U185&amp;"; ","")&amp;IF(O185="Cukup",V185&amp;"; ","")&amp;IF(P185="Cukup",W185&amp;"; ",""))</f>
        <v/>
      </c>
      <c r="Y185" s="66" t="str">
        <f aca="false">IF($A185="","",IF(K185="Nyaman","prosesor, ","")&amp;IF(L185="Nyaman","grafis, ","")&amp;IF(M185="Nyaman","RAM, ","")&amp;IF(N185="Nyaman","penyimpanan, ","")&amp;IF(O185="Nyaman","layar, ","")&amp;IF(P185="Nyaman","refresh rate, ",""))</f>
        <v>prosesor, RAM, penyimpanan, </v>
      </c>
      <c r="Z185" s="66" t="str">
        <f aca="false">IF($A185="","",IF(Q185="Tidak dinilai","Belum ada kriteria yang dinilai untuk kebutuhan ini.",IF(Q185="Cocok","Semua kriteria yang dinilai sudah nyaman: "&amp;LEFT(Y185,LEN(Y185)-2)&amp;".",UPPER(LEFT(X185,1))&amp;MID(X185,2,LEN(X185)-3)&amp;"."&amp;IF(Y185="",""," Sudah nyaman: "&amp;LEFT(Y185,LEN(Y185)-2)&amp;"."))))</f>
        <v>Semua kriteria yang dinilai sudah nyaman: prosesor, RAM, penyimpanan.</v>
      </c>
      <c r="AA185" s="66" t="str">
        <f aca="false">IF($A185="","",IF(Varian!$AR41="Windows 10","• "&amp;Aturan!$E$71&amp;CHAR(10),"")&amp;IF(Varian!$BB41="tidak","• "&amp;Aturan!$E$72&amp;CHAR(10),"")&amp;IF(OR(Varian!$AD41="belum terverifikasi",Varian!$AD41="tidak diketahui"),"• "&amp;Aturan!$E$73&amp;CHAR(10),"")&amp;IF(Varian!$AH41="1366x768","• "&amp;Aturan!$E$74&amp;CHAR(10),"")&amp;IF(Varian!$AG41="TN","• "&amp;Aturan!$E$75&amp;CHAR(10),"")&amp;IF(AND(Varian!$Q41="disolder",ISNUMBER(Varian!$M41),Varian!$M41&lt;=8),"• "&amp;Aturan!$E$76&amp;CHAR(10),""))</f>
        <v/>
      </c>
      <c r="AB185" s="66" t="str">
        <f aca="false">IF($A185="","",IF(AA185="","",LEFT(AA185,LEN(AA185)-1)))</f>
        <v/>
      </c>
      <c r="AC185" s="67" t="n">
        <f aca="false">IF($A185="","",IF(AA185="",0,LEN(AA185)-LEN(SUBSTITUTE(AA185,CHAR(10),""))))</f>
        <v>0</v>
      </c>
    </row>
    <row r="186" customFormat="false" ht="15" hidden="false" customHeight="true" outlineLevel="0" collapsed="false">
      <c r="A186" s="33" t="str">
        <f aca="false">IF(Varian!$A41="","",Varian!$A41)</f>
        <v>lenovo-legion-5-15irx10-i7-13650hx-16-512</v>
      </c>
      <c r="B186" s="33" t="str">
        <f aca="false">IF($A186="","",Aturan!$A$22)</f>
        <v>Desain grafis</v>
      </c>
      <c r="C186" s="69" t="n">
        <f aca="false">IF($A186="","",IFERROR(IF(ISNUMBER(INDEX(CPU!$J$4:$J$64,MATCH(Varian!$J41,CPU!$A$4:$A$64,0))),INDEX(CPU!$J$4:$J$64,MATCH(Varian!$J41,CPU!$A$4:$A$64,0)),""),""))</f>
        <v>4</v>
      </c>
      <c r="D186" s="69" t="n">
        <f aca="false">IF($A186="","",IFERROR(IF(ISNUMBER(INDEX(GPU!$G$4:$G$64,MATCH(Varian!$K41,GPU!$A$4:$A$64,0))),INDEX(GPU!$G$4:$G$64,MATCH(Varian!$K41,GPU!$A$4:$A$64,0)),""),""))</f>
        <v>3</v>
      </c>
      <c r="E186" s="69" t="n">
        <f aca="false">IF($A186="","",IF(ISNUMBER(Varian!$M41),Varian!$M41,""))</f>
        <v>16</v>
      </c>
      <c r="F186" s="69" t="n">
        <f aca="false">IF($A186="","",IF(ISNUMBER(Varian!$V41),Varian!$V41,""))</f>
        <v>512</v>
      </c>
      <c r="G186" s="69" t="n">
        <f aca="false">IF($A186="","",IFERROR(INDEX(Aturan!$B$63:$B$66,MATCH(Varian!$AG41,Aturan!$A$63:$A$66,0)),""))</f>
        <v>3</v>
      </c>
      <c r="H186" s="69" t="n">
        <f aca="false">IF($A186="","",IF(ISNUMBER(Varian!$AI41),Varian!$AI41,""))</f>
        <v>165</v>
      </c>
      <c r="I186" s="33" t="str">
        <f aca="false">IF($A186="","",IF(Varian!$Q41="disolder","menempel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bisa dinaikkan lewat slot sampai 32 GB</v>
      </c>
      <c r="J186" s="33" t="str">
        <f aca="false">IF($A186="","",IF(Varian!$Z41="ya","bisa diganti dengan yang lebih besar",IF(Varian!$Z41="tidak","menempel, tidak bisa diganti","belum diketahui apakah bisa diganti")))</f>
        <v>bisa diganti dengan yang lebih besar</v>
      </c>
      <c r="K186" s="70" t="str">
        <f aca="false">IF($A186="","",IF(AND(Aturan!$C$36="",Aturan!$D$36=""),"Tidak dinilai",IF(C186="","Belum ada data",IF(C186&lt;IF(Aturan!$C$36="",0,Aturan!$C$36),"Kurang",IF(C186&gt;=IF(Aturan!$D$36="",Aturan!$C$36,Aturan!$D$36),"Nyaman","Cukup")))))</f>
        <v>Nyaman</v>
      </c>
      <c r="L186" s="70" t="str">
        <f aca="false">IF($A186="","",IF(AND(Aturan!$C$37="",Aturan!$D$37=""),"Tidak dinilai",IF(D186="","Belum ada data",IF(D186&lt;IF(Aturan!$C$37="",0,Aturan!$C$37),"Kurang",IF(D186&gt;=IF(Aturan!$D$37="",Aturan!$C$37,Aturan!$D$37),"Nyaman","Cukup")))))</f>
        <v>Nyaman</v>
      </c>
      <c r="M186" s="70" t="str">
        <f aca="false">IF($A186="","",IF(AND(Aturan!$C$38="",Aturan!$D$38=""),"Tidak dinilai",IF(E186="","Belum ada data",IF(E186&lt;IF(Aturan!$C$38="",0,Aturan!$C$38),"Kurang",IF(E186&gt;=IF(Aturan!$D$38="",Aturan!$C$38,Aturan!$D$38),"Nyaman","Cukup")))))</f>
        <v>Nyaman</v>
      </c>
      <c r="N186" s="70" t="str">
        <f aca="false">IF($A186="","",IF(AND(Aturan!$C$39="",Aturan!$D$39=""),"Tidak dinilai",IF(F186="","Belum ada data",IF(F186&lt;IF(Aturan!$C$39="",0,Aturan!$C$39),"Kurang",IF(F186&gt;=IF(Aturan!$D$39="",Aturan!$C$39,Aturan!$D$39),"Nyaman","Cukup")))))</f>
        <v>Nyaman</v>
      </c>
      <c r="O186" s="70" t="str">
        <f aca="false">IF($A186="","",IF(AND(Aturan!$C$40="",Aturan!$D$40=""),"Tidak dinilai",IF(G186="","Belum ada data",IF(G186&lt;IF(Aturan!$C$40="",0,Aturan!$C$40),"Kurang",IF(G186&gt;=IF(Aturan!$D$40="",Aturan!$C$40,Aturan!$D$40),"Nyaman","Cukup")))))</f>
        <v>Cukup</v>
      </c>
      <c r="P186" s="70" t="str">
        <f aca="false">IF($A186="","",IF(AND(Aturan!$C$41="",Aturan!$D$41=""),"Tidak dinilai",IF(H186="","Belum ada data",IF(H186&lt;IF(Aturan!$C$41="",0,Aturan!$C$41),"Kurang",IF(H186&gt;=IF(Aturan!$D$41="",Aturan!$C$41,Aturan!$D$41),"Nyaman","Cukup")))))</f>
        <v>Tidak dinilai</v>
      </c>
      <c r="Q186" s="70" t="str">
        <f aca="false">IF($A186="","",IF(COUNTIF(K186:P186,"Tidak dinilai")=6,"Tidak dinilai",IF(COUNTIF(K186:P186,"Kurang")&gt;0,"Kurang cocok",IF(COUNTIF(K186:P186,"Belum ada data")&gt;0,"Data belum lengkap",IF(COUNTIF(K186:P186,"Cukup")&gt;0,"Bisa, dengan catatan","Cocok")))))</f>
        <v>Bisa, dengan catatan</v>
      </c>
      <c r="R186" s="33" t="str">
        <f aca="false">IF($A186="","",IF(K186="Kurang","prosesor tingkat "&amp;C186&amp;" dari 5, di bawah batas minimal (tingkat "&amp;Aturan!$C$36&amp;")",IF(K186="Cukup","prosesor tingkat "&amp;C186&amp;" dari 5 cukup, nyamannya mulai tingkat "&amp;Aturan!$D$36,IF(K186="Belum ada data","tingkat prosesor belum diisi",""))))</f>
        <v/>
      </c>
      <c r="S186" s="33" t="str">
        <f aca="false">IF($A186="","",IF(L186="Kurang","grafis tingkat "&amp;D186&amp;" dari 5, di bawah batas minimal (tingkat "&amp;Aturan!$C$37&amp;")",IF(L186="Cukup","grafis tingkat "&amp;D186&amp;" dari 5 cukup, nyamannya mulai tingkat "&amp;Aturan!$D$37,IF(L186="Belum ada data","tingkat grafis belum diisi",""))))</f>
        <v/>
      </c>
      <c r="T186" s="33" t="str">
        <f aca="false">IF($A186="","",IF(M186="Kurang","RAM "&amp;E186&amp;" GB, di bawah batas minimal "&amp;Aturan!$C$38&amp;" GB ("&amp;I186&amp;")",IF(M186="Cukup","RAM "&amp;E186&amp;" GB cukup, nyamannya "&amp;Aturan!$D$38&amp;" GB atau lebih ("&amp;I186&amp;")",IF(M186="Belum ada data","ukuran RAM belum diisi",""))))</f>
        <v/>
      </c>
      <c r="U186" s="33" t="str">
        <f aca="false">IF($A186="","",IF(N186="Kurang","penyimpanan "&amp;F186&amp;" GB, di bawah batas minimal "&amp;Aturan!$C$39&amp;" GB ("&amp;J186&amp;")",IF(N186="Cukup","penyimpanan "&amp;F186&amp;" GB cukup, nyamannya "&amp;Aturan!$D$39&amp;" GB atau lebih ("&amp;J186&amp;")",IF(N186="Belum ada data","ukuran penyimpanan belum diisi",""))))</f>
        <v/>
      </c>
      <c r="V186" s="33" t="str">
        <f aca="false">IF($A186="","",IF(O186="Kurang","layar "&amp;Varian!$AG41&amp;", di bawah batas minimal ("&amp;IFERROR(INDEX(Aturan!$A$63:$A$66,MATCH(Aturan!$C$40,Aturan!$B$63:$B$66,0)),"peringkat "&amp;Aturan!$C$40)&amp;")",IF(O186="Cukup","layar "&amp;Varian!$AG41&amp;" cukup, nyamannya "&amp;IFERROR(INDEX(Aturan!$A$63:$A$66,MATCH(Aturan!$D$40,Aturan!$B$63:$B$66,0)),"peringkat "&amp;Aturan!$D$40),IF(O186="Belum ada data","jenis layar belum diketahui",""))))</f>
        <v>layar IPS cukup, nyamannya OLED</v>
      </c>
      <c r="W186" s="33" t="str">
        <f aca="false">IF($A186="","",IF(P186="Kurang","layar "&amp;H186&amp;" Hz, di bawah batas minimal "&amp;Aturan!$C$41&amp;" Hz",IF(P186="Cukup","layar "&amp;H186&amp;" Hz cukup, nyamannya "&amp;Aturan!$D$41&amp;" Hz atau lebih",IF(P186="Belum ada data","refresh rate belum diketahui",""))))</f>
        <v/>
      </c>
      <c r="X186" s="33" t="str">
        <f aca="false">IF($A186="","",IF(K186="Kurang",R186&amp;"; ","")&amp;IF(L186="Kurang",S186&amp;"; ","")&amp;IF(M186="Kurang",T186&amp;"; ","")&amp;IF(N186="Kurang",U186&amp;"; ","")&amp;IF(O186="Kurang",V186&amp;"; ","")&amp;IF(P186="Kurang",W186&amp;"; ","")&amp;IF(K186="Belum ada data",R186&amp;"; ","")&amp;IF(L186="Belum ada data",S186&amp;"; ","")&amp;IF(M186="Belum ada data",T186&amp;"; ","")&amp;IF(N186="Belum ada data",U186&amp;"; ","")&amp;IF(O186="Belum ada data",V186&amp;"; ","")&amp;IF(P186="Belum ada data",W186&amp;"; ","")&amp;IF(K186="Cukup",R186&amp;"; ","")&amp;IF(L186="Cukup",S186&amp;"; ","")&amp;IF(M186="Cukup",T186&amp;"; ","")&amp;IF(N186="Cukup",U186&amp;"; ","")&amp;IF(O186="Cukup",V186&amp;"; ","")&amp;IF(P186="Cukup",W186&amp;"; ",""))</f>
        <v>layar IPS cukup, nyamannya OLED; </v>
      </c>
      <c r="Y186" s="33" t="str">
        <f aca="false">IF($A186="","",IF(K186="Nyaman","prosesor, ","")&amp;IF(L186="Nyaman","grafis, ","")&amp;IF(M186="Nyaman","RAM, ","")&amp;IF(N186="Nyaman","penyimpanan, ","")&amp;IF(O186="Nyaman","layar, ","")&amp;IF(P186="Nyaman","refresh rate, ",""))</f>
        <v>prosesor, grafis, RAM, penyimpanan, </v>
      </c>
      <c r="Z186" s="33" t="str">
        <f aca="false">IF($A186="","",IF(Q186="Tidak dinilai","Belum ada kriteria yang dinilai untuk kebutuhan ini.",IF(Q186="Cocok","Semua kriteria yang dinilai sudah nyaman: "&amp;LEFT(Y186,LEN(Y186)-2)&amp;".",UPPER(LEFT(X186,1))&amp;MID(X186,2,LEN(X186)-3)&amp;"."&amp;IF(Y186="",""," Sudah nyaman: "&amp;LEFT(Y186,LEN(Y186)-2)&amp;"."))))</f>
        <v>Layar IPS cukup, nyamannya OLED. Sudah nyaman: prosesor, grafis, RAM, penyimpanan.</v>
      </c>
      <c r="AA186" s="33"/>
      <c r="AB186" s="33"/>
      <c r="AC186" s="69"/>
    </row>
    <row r="187" customFormat="false" ht="15" hidden="false" customHeight="true" outlineLevel="0" collapsed="false">
      <c r="A187" s="33" t="str">
        <f aca="false">IF(Varian!$A41="","",Varian!$A41)</f>
        <v>lenovo-legion-5-15irx10-i7-13650hx-16-512</v>
      </c>
      <c r="B187" s="33" t="str">
        <f aca="false">IF($A187="","",Aturan!$A$23)</f>
        <v>Pemrograman</v>
      </c>
      <c r="C187" s="69" t="n">
        <f aca="false">IF($A187="","",IFERROR(IF(ISNUMBER(INDEX(CPU!$J$4:$J$64,MATCH(Varian!$J41,CPU!$A$4:$A$64,0))),INDEX(CPU!$J$4:$J$64,MATCH(Varian!$J41,CPU!$A$4:$A$64,0)),""),""))</f>
        <v>4</v>
      </c>
      <c r="D187" s="69" t="n">
        <f aca="false">IF($A187="","",IFERROR(IF(ISNUMBER(INDEX(GPU!$G$4:$G$64,MATCH(Varian!$K41,GPU!$A$4:$A$64,0))),INDEX(GPU!$G$4:$G$64,MATCH(Varian!$K41,GPU!$A$4:$A$64,0)),""),""))</f>
        <v>3</v>
      </c>
      <c r="E187" s="69" t="n">
        <f aca="false">IF($A187="","",IF(ISNUMBER(Varian!$M41),Varian!$M41,""))</f>
        <v>16</v>
      </c>
      <c r="F187" s="69" t="n">
        <f aca="false">IF($A187="","",IF(ISNUMBER(Varian!$V41),Varian!$V41,""))</f>
        <v>512</v>
      </c>
      <c r="G187" s="69" t="n">
        <f aca="false">IF($A187="","",IFERROR(INDEX(Aturan!$B$63:$B$66,MATCH(Varian!$AG41,Aturan!$A$63:$A$66,0)),""))</f>
        <v>3</v>
      </c>
      <c r="H187" s="69" t="n">
        <f aca="false">IF($A187="","",IF(ISNUMBER(Varian!$AI41),Varian!$AI41,""))</f>
        <v>165</v>
      </c>
      <c r="I187" s="33" t="str">
        <f aca="false">IF($A187="","",IF(Varian!$Q41="disolder","menempel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bisa dinaikkan lewat slot sampai 32 GB</v>
      </c>
      <c r="J187" s="33" t="str">
        <f aca="false">IF($A187="","",IF(Varian!$Z41="ya","bisa diganti dengan yang lebih besar",IF(Varian!$Z41="tidak","menempel, tidak bisa diganti","belum diketahui apakah bisa diganti")))</f>
        <v>bisa diganti dengan yang lebih besar</v>
      </c>
      <c r="K187" s="70" t="str">
        <f aca="false">IF($A187="","",IF(AND(Aturan!$C$42="",Aturan!$D$42=""),"Tidak dinilai",IF(C187="","Belum ada data",IF(C187&lt;IF(Aturan!$C$42="",0,Aturan!$C$42),"Kurang",IF(C187&gt;=IF(Aturan!$D$42="",Aturan!$C$42,Aturan!$D$42),"Nyaman","Cukup")))))</f>
        <v>Nyaman</v>
      </c>
      <c r="L187" s="70" t="str">
        <f aca="false">IF($A187="","",IF(AND(Aturan!$C$43="",Aturan!$D$43=""),"Tidak dinilai",IF(D187="","Belum ada data",IF(D187&lt;IF(Aturan!$C$43="",0,Aturan!$C$43),"Kurang",IF(D187&gt;=IF(Aturan!$D$43="",Aturan!$C$43,Aturan!$D$43),"Nyaman","Cukup")))))</f>
        <v>Tidak dinilai</v>
      </c>
      <c r="M187" s="70" t="str">
        <f aca="false">IF($A187="","",IF(AND(Aturan!$C$44="",Aturan!$D$44=""),"Tidak dinilai",IF(E187="","Belum ada data",IF(E187&lt;IF(Aturan!$C$44="",0,Aturan!$C$44),"Kurang",IF(E187&gt;=IF(Aturan!$D$44="",Aturan!$C$44,Aturan!$D$44),"Nyaman","Cukup")))))</f>
        <v>Nyaman</v>
      </c>
      <c r="N187" s="70" t="str">
        <f aca="false">IF($A187="","",IF(AND(Aturan!$C$45="",Aturan!$D$45=""),"Tidak dinilai",IF(F187="","Belum ada data",IF(F187&lt;IF(Aturan!$C$45="",0,Aturan!$C$45),"Kurang",IF(F187&gt;=IF(Aturan!$D$45="",Aturan!$C$45,Aturan!$D$45),"Nyaman","Cukup")))))</f>
        <v>Nyaman</v>
      </c>
      <c r="O187" s="70" t="str">
        <f aca="false">IF($A187="","",IF(AND(Aturan!$C$46="",Aturan!$D$46=""),"Tidak dinilai",IF(G187="","Belum ada data",IF(G187&lt;IF(Aturan!$C$46="",0,Aturan!$C$46),"Kurang",IF(G187&gt;=IF(Aturan!$D$46="",Aturan!$C$46,Aturan!$D$46),"Nyaman","Cukup")))))</f>
        <v>Tidak dinilai</v>
      </c>
      <c r="P187" s="70" t="str">
        <f aca="false">IF($A187="","",IF(AND(Aturan!$C$47="",Aturan!$D$47=""),"Tidak dinilai",IF(H187="","Belum ada data",IF(H187&lt;IF(Aturan!$C$47="",0,Aturan!$C$47),"Kurang",IF(H187&gt;=IF(Aturan!$D$47="",Aturan!$C$47,Aturan!$D$47),"Nyaman","Cukup")))))</f>
        <v>Tidak dinilai</v>
      </c>
      <c r="Q187" s="70" t="str">
        <f aca="false">IF($A187="","",IF(COUNTIF(K187:P187,"Tidak dinilai")=6,"Tidak dinilai",IF(COUNTIF(K187:P187,"Kurang")&gt;0,"Kurang cocok",IF(COUNTIF(K187:P187,"Belum ada data")&gt;0,"Data belum lengkap",IF(COUNTIF(K187:P187,"Cukup")&gt;0,"Bisa, dengan catatan","Cocok")))))</f>
        <v>Cocok</v>
      </c>
      <c r="R187" s="33" t="str">
        <f aca="false">IF($A187="","",IF(K187="Kurang","prosesor tingkat "&amp;C187&amp;" dari 5, di bawah batas minimal (tingkat "&amp;Aturan!$C$42&amp;")",IF(K187="Cukup","prosesor tingkat "&amp;C187&amp;" dari 5 cukup, nyamannya mulai tingkat "&amp;Aturan!$D$42,IF(K187="Belum ada data","tingkat prosesor belum diisi",""))))</f>
        <v/>
      </c>
      <c r="S187" s="33" t="str">
        <f aca="false">IF($A187="","",IF(L187="Kurang","grafis tingkat "&amp;D187&amp;" dari 5, di bawah batas minimal (tingkat "&amp;Aturan!$C$43&amp;")",IF(L187="Cukup","grafis tingkat "&amp;D187&amp;" dari 5 cukup, nyamannya mulai tingkat "&amp;Aturan!$D$43,IF(L187="Belum ada data","tingkat grafis belum diisi",""))))</f>
        <v/>
      </c>
      <c r="T187" s="33" t="str">
        <f aca="false">IF($A187="","",IF(M187="Kurang","RAM "&amp;E187&amp;" GB, di bawah batas minimal "&amp;Aturan!$C$44&amp;" GB ("&amp;I187&amp;")",IF(M187="Cukup","RAM "&amp;E187&amp;" GB cukup, nyamannya "&amp;Aturan!$D$44&amp;" GB atau lebih ("&amp;I187&amp;")",IF(M187="Belum ada data","ukuran RAM belum diisi",""))))</f>
        <v/>
      </c>
      <c r="U187" s="33" t="str">
        <f aca="false">IF($A187="","",IF(N187="Kurang","penyimpanan "&amp;F187&amp;" GB, di bawah batas minimal "&amp;Aturan!$C$45&amp;" GB ("&amp;J187&amp;")",IF(N187="Cukup","penyimpanan "&amp;F187&amp;" GB cukup, nyamannya "&amp;Aturan!$D$45&amp;" GB atau lebih ("&amp;J187&amp;")",IF(N187="Belum ada data","ukuran penyimpanan belum diisi",""))))</f>
        <v/>
      </c>
      <c r="V187" s="33" t="str">
        <f aca="false">IF($A187="","",IF(O187="Kurang","layar "&amp;Varian!$AG41&amp;", di bawah batas minimal ("&amp;IFERROR(INDEX(Aturan!$A$63:$A$66,MATCH(Aturan!$C$46,Aturan!$B$63:$B$66,0)),"peringkat "&amp;Aturan!$C$46)&amp;")",IF(O187="Cukup","layar "&amp;Varian!$AG41&amp;" cukup, nyamannya "&amp;IFERROR(INDEX(Aturan!$A$63:$A$66,MATCH(Aturan!$D$46,Aturan!$B$63:$B$66,0)),"peringkat "&amp;Aturan!$D$46),IF(O187="Belum ada data","jenis layar belum diketahui",""))))</f>
        <v/>
      </c>
      <c r="W187" s="33" t="str">
        <f aca="false">IF($A187="","",IF(P187="Kurang","layar "&amp;H187&amp;" Hz, di bawah batas minimal "&amp;Aturan!$C$47&amp;" Hz",IF(P187="Cukup","layar "&amp;H187&amp;" Hz cukup, nyamannya "&amp;Aturan!$D$47&amp;" Hz atau lebih",IF(P187="Belum ada data","refresh rate belum diketahui",""))))</f>
        <v/>
      </c>
      <c r="X187" s="33" t="str">
        <f aca="false">IF($A187="","",IF(K187="Kurang",R187&amp;"; ","")&amp;IF(L187="Kurang",S187&amp;"; ","")&amp;IF(M187="Kurang",T187&amp;"; ","")&amp;IF(N187="Kurang",U187&amp;"; ","")&amp;IF(O187="Kurang",V187&amp;"; ","")&amp;IF(P187="Kurang",W187&amp;"; ","")&amp;IF(K187="Belum ada data",R187&amp;"; ","")&amp;IF(L187="Belum ada data",S187&amp;"; ","")&amp;IF(M187="Belum ada data",T187&amp;"; ","")&amp;IF(N187="Belum ada data",U187&amp;"; ","")&amp;IF(O187="Belum ada data",V187&amp;"; ","")&amp;IF(P187="Belum ada data",W187&amp;"; ","")&amp;IF(K187="Cukup",R187&amp;"; ","")&amp;IF(L187="Cukup",S187&amp;"; ","")&amp;IF(M187="Cukup",T187&amp;"; ","")&amp;IF(N187="Cukup",U187&amp;"; ","")&amp;IF(O187="Cukup",V187&amp;"; ","")&amp;IF(P187="Cukup",W187&amp;"; ",""))</f>
        <v/>
      </c>
      <c r="Y187" s="33" t="str">
        <f aca="false">IF($A187="","",IF(K187="Nyaman","prosesor, ","")&amp;IF(L187="Nyaman","grafis, ","")&amp;IF(M187="Nyaman","RAM, ","")&amp;IF(N187="Nyaman","penyimpanan, ","")&amp;IF(O187="Nyaman","layar, ","")&amp;IF(P187="Nyaman","refresh rate, ",""))</f>
        <v>prosesor, RAM, penyimpanan, </v>
      </c>
      <c r="Z187" s="33" t="str">
        <f aca="false">IF($A187="","",IF(Q187="Tidak dinilai","Belum ada kriteria yang dinilai untuk kebutuhan ini.",IF(Q187="Cocok","Semua kriteria yang dinilai sudah nyaman: "&amp;LEFT(Y187,LEN(Y187)-2)&amp;".",UPPER(LEFT(X187,1))&amp;MID(X187,2,LEN(X187)-3)&amp;"."&amp;IF(Y187="",""," Sudah nyaman: "&amp;LEFT(Y187,LEN(Y187)-2)&amp;"."))))</f>
        <v>Semua kriteria yang dinilai sudah nyaman: prosesor, RAM, penyimpanan.</v>
      </c>
      <c r="AA187" s="33"/>
      <c r="AB187" s="33"/>
      <c r="AC187" s="69"/>
    </row>
    <row r="188" customFormat="false" ht="15" hidden="false" customHeight="true" outlineLevel="0" collapsed="false">
      <c r="A188" s="33" t="str">
        <f aca="false">IF(Varian!$A41="","",Varian!$A41)</f>
        <v>lenovo-legion-5-15irx10-i7-13650hx-16-512</v>
      </c>
      <c r="B188" s="33" t="str">
        <f aca="false">IF($A188="","",Aturan!$A$24)</f>
        <v>Game ringan</v>
      </c>
      <c r="C188" s="69" t="n">
        <f aca="false">IF($A188="","",IFERROR(IF(ISNUMBER(INDEX(CPU!$J$4:$J$64,MATCH(Varian!$J41,CPU!$A$4:$A$64,0))),INDEX(CPU!$J$4:$J$64,MATCH(Varian!$J41,CPU!$A$4:$A$64,0)),""),""))</f>
        <v>4</v>
      </c>
      <c r="D188" s="69" t="n">
        <f aca="false">IF($A188="","",IFERROR(IF(ISNUMBER(INDEX(GPU!$G$4:$G$64,MATCH(Varian!$K41,GPU!$A$4:$A$64,0))),INDEX(GPU!$G$4:$G$64,MATCH(Varian!$K41,GPU!$A$4:$A$64,0)),""),""))</f>
        <v>3</v>
      </c>
      <c r="E188" s="69" t="n">
        <f aca="false">IF($A188="","",IF(ISNUMBER(Varian!$M41),Varian!$M41,""))</f>
        <v>16</v>
      </c>
      <c r="F188" s="69" t="n">
        <f aca="false">IF($A188="","",IF(ISNUMBER(Varian!$V41),Varian!$V41,""))</f>
        <v>512</v>
      </c>
      <c r="G188" s="69" t="n">
        <f aca="false">IF($A188="","",IFERROR(INDEX(Aturan!$B$63:$B$66,MATCH(Varian!$AG41,Aturan!$A$63:$A$66,0)),""))</f>
        <v>3</v>
      </c>
      <c r="H188" s="69" t="n">
        <f aca="false">IF($A188="","",IF(ISNUMBER(Varian!$AI41),Varian!$AI41,""))</f>
        <v>165</v>
      </c>
      <c r="I188" s="33" t="str">
        <f aca="false">IF($A188="","",IF(Varian!$Q41="disolder","menempel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bisa dinaikkan lewat slot sampai 32 GB</v>
      </c>
      <c r="J188" s="33" t="str">
        <f aca="false">IF($A188="","",IF(Varian!$Z41="ya","bisa diganti dengan yang lebih besar",IF(Varian!$Z41="tidak","menempel, tidak bisa diganti","belum diketahui apakah bisa diganti")))</f>
        <v>bisa diganti dengan yang lebih besar</v>
      </c>
      <c r="K188" s="70" t="str">
        <f aca="false">IF($A188="","",IF(AND(Aturan!$C$48="",Aturan!$D$48=""),"Tidak dinilai",IF(C188="","Belum ada data",IF(C188&lt;IF(Aturan!$C$48="",0,Aturan!$C$48),"Kurang",IF(C188&gt;=IF(Aturan!$D$48="",Aturan!$C$48,Aturan!$D$48),"Nyaman","Cukup")))))</f>
        <v>Nyaman</v>
      </c>
      <c r="L188" s="70" t="str">
        <f aca="false">IF($A188="","",IF(AND(Aturan!$C$49="",Aturan!$D$49=""),"Tidak dinilai",IF(D188="","Belum ada data",IF(D188&lt;IF(Aturan!$C$49="",0,Aturan!$C$49),"Kurang",IF(D188&gt;=IF(Aturan!$D$49="",Aturan!$C$49,Aturan!$D$49),"Nyaman","Cukup")))))</f>
        <v>Nyaman</v>
      </c>
      <c r="M188" s="70" t="str">
        <f aca="false">IF($A188="","",IF(AND(Aturan!$C$50="",Aturan!$D$50=""),"Tidak dinilai",IF(E188="","Belum ada data",IF(E188&lt;IF(Aturan!$C$50="",0,Aturan!$C$50),"Kurang",IF(E188&gt;=IF(Aturan!$D$50="",Aturan!$C$50,Aturan!$D$50),"Nyaman","Cukup")))))</f>
        <v>Nyaman</v>
      </c>
      <c r="N188" s="70" t="str">
        <f aca="false">IF($A188="","",IF(AND(Aturan!$C$51="",Aturan!$D$51=""),"Tidak dinilai",IF(F188="","Belum ada data",IF(F188&lt;IF(Aturan!$C$51="",0,Aturan!$C$51),"Kurang",IF(F188&gt;=IF(Aturan!$D$51="",Aturan!$C$51,Aturan!$D$51),"Nyaman","Cukup")))))</f>
        <v>Nyaman</v>
      </c>
      <c r="O188" s="70" t="str">
        <f aca="false">IF($A188="","",IF(AND(Aturan!$C$52="",Aturan!$D$52=""),"Tidak dinilai",IF(G188="","Belum ada data",IF(G188&lt;IF(Aturan!$C$52="",0,Aturan!$C$52),"Kurang",IF(G188&gt;=IF(Aturan!$D$52="",Aturan!$C$52,Aturan!$D$52),"Nyaman","Cukup")))))</f>
        <v>Tidak dinilai</v>
      </c>
      <c r="P188" s="70" t="str">
        <f aca="false">IF($A188="","",IF(AND(Aturan!$C$53="",Aturan!$D$53=""),"Tidak dinilai",IF(H188="","Belum ada data",IF(H188&lt;IF(Aturan!$C$53="",0,Aturan!$C$53),"Kurang",IF(H188&gt;=IF(Aturan!$D$53="",Aturan!$C$53,Aturan!$D$53),"Nyaman","Cukup")))))</f>
        <v>Tidak dinilai</v>
      </c>
      <c r="Q188" s="70" t="str">
        <f aca="false">IF($A188="","",IF(COUNTIF(K188:P188,"Tidak dinilai")=6,"Tidak dinilai",IF(COUNTIF(K188:P188,"Kurang")&gt;0,"Kurang cocok",IF(COUNTIF(K188:P188,"Belum ada data")&gt;0,"Data belum lengkap",IF(COUNTIF(K188:P188,"Cukup")&gt;0,"Bisa, dengan catatan","Cocok")))))</f>
        <v>Cocok</v>
      </c>
      <c r="R188" s="33" t="str">
        <f aca="false">IF($A188="","",IF(K188="Kurang","prosesor tingkat "&amp;C188&amp;" dari 5, di bawah batas minimal (tingkat "&amp;Aturan!$C$48&amp;")",IF(K188="Cukup","prosesor tingkat "&amp;C188&amp;" dari 5 cukup, nyamannya mulai tingkat "&amp;Aturan!$D$48,IF(K188="Belum ada data","tingkat prosesor belum diisi",""))))</f>
        <v/>
      </c>
      <c r="S188" s="33" t="str">
        <f aca="false">IF($A188="","",IF(L188="Kurang","grafis tingkat "&amp;D188&amp;" dari 5, di bawah batas minimal (tingkat "&amp;Aturan!$C$49&amp;")",IF(L188="Cukup","grafis tingkat "&amp;D188&amp;" dari 5 cukup, nyamannya mulai tingkat "&amp;Aturan!$D$49,IF(L188="Belum ada data","tingkat grafis belum diisi",""))))</f>
        <v/>
      </c>
      <c r="T188" s="33" t="str">
        <f aca="false">IF($A188="","",IF(M188="Kurang","RAM "&amp;E188&amp;" GB, di bawah batas minimal "&amp;Aturan!$C$50&amp;" GB ("&amp;I188&amp;")",IF(M188="Cukup","RAM "&amp;E188&amp;" GB cukup, nyamannya "&amp;Aturan!$D$50&amp;" GB atau lebih ("&amp;I188&amp;")",IF(M188="Belum ada data","ukuran RAM belum diisi",""))))</f>
        <v/>
      </c>
      <c r="U188" s="33" t="str">
        <f aca="false">IF($A188="","",IF(N188="Kurang","penyimpanan "&amp;F188&amp;" GB, di bawah batas minimal "&amp;Aturan!$C$51&amp;" GB ("&amp;J188&amp;")",IF(N188="Cukup","penyimpanan "&amp;F188&amp;" GB cukup, nyamannya "&amp;Aturan!$D$51&amp;" GB atau lebih ("&amp;J188&amp;")",IF(N188="Belum ada data","ukuran penyimpanan belum diisi",""))))</f>
        <v/>
      </c>
      <c r="V188" s="33" t="str">
        <f aca="false">IF($A188="","",IF(O188="Kurang","layar "&amp;Varian!$AG41&amp;", di bawah batas minimal ("&amp;IFERROR(INDEX(Aturan!$A$63:$A$66,MATCH(Aturan!$C$52,Aturan!$B$63:$B$66,0)),"peringkat "&amp;Aturan!$C$52)&amp;")",IF(O188="Cukup","layar "&amp;Varian!$AG41&amp;" cukup, nyamannya "&amp;IFERROR(INDEX(Aturan!$A$63:$A$66,MATCH(Aturan!$D$52,Aturan!$B$63:$B$66,0)),"peringkat "&amp;Aturan!$D$52),IF(O188="Belum ada data","jenis layar belum diketahui",""))))</f>
        <v/>
      </c>
      <c r="W188" s="33" t="str">
        <f aca="false">IF($A188="","",IF(P188="Kurang","layar "&amp;H188&amp;" Hz, di bawah batas minimal "&amp;Aturan!$C$53&amp;" Hz",IF(P188="Cukup","layar "&amp;H188&amp;" Hz cukup, nyamannya "&amp;Aturan!$D$53&amp;" Hz atau lebih",IF(P188="Belum ada data","refresh rate belum diketahui",""))))</f>
        <v/>
      </c>
      <c r="X188" s="33" t="str">
        <f aca="false">IF($A188="","",IF(K188="Kurang",R188&amp;"; ","")&amp;IF(L188="Kurang",S188&amp;"; ","")&amp;IF(M188="Kurang",T188&amp;"; ","")&amp;IF(N188="Kurang",U188&amp;"; ","")&amp;IF(O188="Kurang",V188&amp;"; ","")&amp;IF(P188="Kurang",W188&amp;"; ","")&amp;IF(K188="Belum ada data",R188&amp;"; ","")&amp;IF(L188="Belum ada data",S188&amp;"; ","")&amp;IF(M188="Belum ada data",T188&amp;"; ","")&amp;IF(N188="Belum ada data",U188&amp;"; ","")&amp;IF(O188="Belum ada data",V188&amp;"; ","")&amp;IF(P188="Belum ada data",W188&amp;"; ","")&amp;IF(K188="Cukup",R188&amp;"; ","")&amp;IF(L188="Cukup",S188&amp;"; ","")&amp;IF(M188="Cukup",T188&amp;"; ","")&amp;IF(N188="Cukup",U188&amp;"; ","")&amp;IF(O188="Cukup",V188&amp;"; ","")&amp;IF(P188="Cukup",W188&amp;"; ",""))</f>
        <v/>
      </c>
      <c r="Y188" s="33" t="str">
        <f aca="false">IF($A188="","",IF(K188="Nyaman","prosesor, ","")&amp;IF(L188="Nyaman","grafis, ","")&amp;IF(M188="Nyaman","RAM, ","")&amp;IF(N188="Nyaman","penyimpanan, ","")&amp;IF(O188="Nyaman","layar, ","")&amp;IF(P188="Nyaman","refresh rate, ",""))</f>
        <v>prosesor, grafis, RAM, penyimpanan, </v>
      </c>
      <c r="Z188" s="33" t="str">
        <f aca="false">IF($A188="","",IF(Q188="Tidak dinilai","Belum ada kriteria yang dinilai untuk kebutuhan ini.",IF(Q188="Cocok","Semua kriteria yang dinilai sudah nyaman: "&amp;LEFT(Y188,LEN(Y188)-2)&amp;".",UPPER(LEFT(X188,1))&amp;MID(X188,2,LEN(X188)-3)&amp;"."&amp;IF(Y188="",""," Sudah nyaman: "&amp;LEFT(Y188,LEN(Y188)-2)&amp;"."))))</f>
        <v>Semua kriteria yang dinilai sudah nyaman: prosesor, grafis, RAM, penyimpanan.</v>
      </c>
      <c r="AA188" s="33"/>
      <c r="AB188" s="33"/>
      <c r="AC188" s="69"/>
    </row>
    <row r="189" customFormat="false" ht="15" hidden="false" customHeight="true" outlineLevel="0" collapsed="false">
      <c r="A189" s="33" t="str">
        <f aca="false">IF(Varian!$A41="","",Varian!$A41)</f>
        <v>lenovo-legion-5-15irx10-i7-13650hx-16-512</v>
      </c>
      <c r="B189" s="33" t="str">
        <f aca="false">IF($A189="","",Aturan!$A$25)</f>
        <v>Game berat</v>
      </c>
      <c r="C189" s="69" t="n">
        <f aca="false">IF($A189="","",IFERROR(IF(ISNUMBER(INDEX(CPU!$J$4:$J$64,MATCH(Varian!$J41,CPU!$A$4:$A$64,0))),INDEX(CPU!$J$4:$J$64,MATCH(Varian!$J41,CPU!$A$4:$A$64,0)),""),""))</f>
        <v>4</v>
      </c>
      <c r="D189" s="69" t="n">
        <f aca="false">IF($A189="","",IFERROR(IF(ISNUMBER(INDEX(GPU!$G$4:$G$64,MATCH(Varian!$K41,GPU!$A$4:$A$64,0))),INDEX(GPU!$G$4:$G$64,MATCH(Varian!$K41,GPU!$A$4:$A$64,0)),""),""))</f>
        <v>3</v>
      </c>
      <c r="E189" s="69" t="n">
        <f aca="false">IF($A189="","",IF(ISNUMBER(Varian!$M41),Varian!$M41,""))</f>
        <v>16</v>
      </c>
      <c r="F189" s="69" t="n">
        <f aca="false">IF($A189="","",IF(ISNUMBER(Varian!$V41),Varian!$V41,""))</f>
        <v>512</v>
      </c>
      <c r="G189" s="69" t="n">
        <f aca="false">IF($A189="","",IFERROR(INDEX(Aturan!$B$63:$B$66,MATCH(Varian!$AG41,Aturan!$A$63:$A$66,0)),""))</f>
        <v>3</v>
      </c>
      <c r="H189" s="69" t="n">
        <f aca="false">IF($A189="","",IF(ISNUMBER(Varian!$AI41),Varian!$AI41,""))</f>
        <v>165</v>
      </c>
      <c r="I189" s="33" t="str">
        <f aca="false">IF($A189="","",IF(Varian!$Q41="disolder","menempel di papan utama, tidak bisa ditambah",IF(OR(Varian!$Q41="slot",Varian!$Q41="setengah_disolder"),IF(Varian!$Q41="setengah_disolder","sebagian menempel, ","")&amp;IF(ISNUMBER(Varian!$U41),IF(AND(ISNUMBER(Varian!$M41),Varian!$U41&gt;Varian!$M41),"bisa dinaikkan lewat slot sampai "&amp;Varian!$U41&amp;" GB","sudah di batas maksimal "&amp;Varian!$U41&amp;" GB"),"ada slot, batas maksimalnya belum diketahui"),"belum diketahui apakah bisa ditambah")))</f>
        <v>bisa dinaikkan lewat slot sampai 32 GB</v>
      </c>
      <c r="J189" s="33" t="str">
        <f aca="false">IF($A189="","",IF(Varian!$Z41="ya","bisa diganti dengan yang lebih besar",IF(Varian!$Z41="tidak","menempel, tidak bisa diganti","belum diketahui apakah bisa diganti")))</f>
        <v>bisa diganti dengan yang lebih besar</v>
      </c>
      <c r="K189" s="70" t="str">
        <f aca="false">IF($A189="","",IF(AND(Aturan!$C$54="",Aturan!$D$54=""),"Tidak dinilai",IF(C189="","Belum ada data",IF(C189&lt;IF(Aturan!$C$54="",0,Aturan!$C$54),"Kurang",IF(C189&gt;=IF(Aturan!$D$54="",Aturan!$C$54,Aturan!$D$54),"Nyaman","Cukup")))))</f>
        <v>Nyaman</v>
      </c>
      <c r="L189" s="70" t="str">
        <f aca="false">IF($A189="","",IF(AND(Aturan!$C$55="",Aturan!$D$55=""),"Tidak dinilai",IF(D189="","Belum ada data",IF(D189&lt;IF(Aturan!$C$55="",0,Aturan!$C$55),"Kurang",IF(D189&gt;=IF(Aturan!$D$55="",Aturan!$C$55,Aturan!$D$55),"Nyaman","Cukup")))))</f>
        <v>Cukup</v>
      </c>
      <c r="M189" s="70" t="str">
        <f aca="false">IF($A189="","",IF(AND(Aturan!$C$56="",Aturan!$D$56=""),"Tidak dinilai",IF(E189="","Belum ada data",IF(E189&lt;IF(Aturan!$C$56="",0,Aturan!$C$56),"Kurang",IF(E189&gt;=IF(Aturan!$D$56="",Aturan!$C$56,Aturan!$D$56),"Nyaman","Cukup")))))</f>
        <v>Nyaman</v>
      </c>
      <c r="N189" s="70" t="str">
        <f aca="false">IF($A189="","",IF(AND(Aturan!$C$57="",Aturan!$D$57=""),"Tidak dinilai",IF(F189="","Belum ada data",IF(F189&lt;IF(Aturan!$C$57="",0,Aturan!$C$57),"Kurang",IF(F189&gt;=IF(Aturan!$D$57="",Aturan!$C$57,Aturan!$D$57),"Nyaman","Cukup")))))</f>
        <v>Cukup</v>
      </c>
      <c r="O189" s="70" t="str">
        <f aca="false">IF($A189="","",IF(AND(Aturan!$C$58="",Aturan!$D$58=""),"Tidak dinilai",IF(G189="","Belum ada data",IF(G189&lt;IF(Aturan!$C$58="",0,Aturan!$C$58),"Kurang",IF(G189&gt;=IF(Aturan!$D$58="",Aturan!$C$58,Aturan!$D$58),"Nyaman","Cukup")))))</f>
        <v>Tidak dinilai</v>
      </c>
      <c r="P189" s="70" t="str">
        <f aca="false">IF($A189="","",IF(AND(Aturan!$C$59="",Aturan!$D$59=""),"Tidak dinilai",IF(H189="","Belum ada data",IF(H189&lt;IF(Aturan!$C$59="",0,Aturan!$C$59),"Kurang",IF(H189&gt;=IF(Aturan!$D$59="",Aturan!$C$59,Aturan!$D$59),"Nyaman","Cukup")))))</f>
        <v>Nyaman</v>
      </c>
      <c r="Q189" s="70" t="str">
        <f aca="false">IF($A189="","",IF(COUNTIF(K189:P189,"Tidak dinilai")=6,"Tidak dinilai",IF(COUNTIF(K189:P189,"Kurang")&gt;0,"Kurang cocok",IF(COUNTIF(K189:P189,"Belum ada data")&gt;0,"Data belum lengkap",IF(COUNTIF(K189:P189,"Cukup")&gt;0,"Bisa, dengan catatan","Cocok")))))</f>
        <v>Bisa, dengan catatan</v>
      </c>
      <c r="R189" s="33" t="str">
        <f aca="false">IF($A189="","",IF(K189="Kurang","prosesor tingkat "&amp;C189&amp;" dari 5, di bawah batas minimal (tingkat "&amp;Aturan!$C$54&amp;")",IF(K189="Cukup","prosesor tingkat "&amp;C189&amp;" dari 5 cukup, nyamannya mulai tingkat "&amp;Aturan!$D$54,IF(K189="Belum ada data","tingkat prosesor belum diisi",""))))</f>
        <v/>
      </c>
      <c r="S189" s="33" t="str">
        <f aca="false">IF($A189="","",IF(L189="Kurang","grafis tingkat "&amp;D189&amp;" dari 5, di bawah batas minimal (tingkat "&amp;Aturan!$C$55&amp;")",IF(L189="Cukup","grafis tingkat "&amp;D189&amp;" dari 5 cukup, nyamannya mulai tingkat "&amp;Aturan!$D$55,IF(L189="Belum ada data","tingkat grafis belum diisi",""))))</f>
        <v>grafis tingkat 3 dari 5 cukup, nyamannya mulai tingkat 4</v>
      </c>
      <c r="T189" s="33" t="str">
        <f aca="false">IF($A189="","",IF(M189="Kurang","RAM "&amp;E189&amp;" GB, di bawah batas minimal "&amp;Aturan!$C$56&amp;" GB ("&amp;I189&amp;")",IF(M189="Cukup","RAM "&amp;E189&amp;" GB cukup, nyamannya "&amp;Aturan!$D$56&amp;" GB atau lebih ("&amp;I189&amp;")",IF(M189="Belum ada data","ukuran RAM belum diisi",""))))</f>
        <v/>
      </c>
      <c r="U189" s="33" t="str">
        <f aca="false">IF($A189="","",IF(N189="Kurang","penyimpanan "&amp;F189&amp;" GB, di bawah batas minimal "&amp;Aturan!$C$57&amp;" GB ("&amp;J189&amp;")",IF(N189="Cukup","penyimpanan "&amp;F189&amp;" GB cukup, nyamannya "&amp;Aturan!$D$57&amp;" GB atau lebih ("&amp;J189&amp;")",IF(N189="Belum ada data","ukuran penyimpanan belum diisi",""))))</f>
        <v>penyimpanan 512 GB cukup, nyamannya 1000 GB atau lebih (bisa diganti dengan yang lebih besar)</v>
      </c>
      <c r="V189" s="33" t="str">
        <f aca="false">IF($A189="","",IF(O189="Kurang","layar "&amp;Varian!$AG41&amp;", di bawah batas minimal ("&amp;IFERROR(INDEX(Aturan!$A$63:$A$66,MATCH(Aturan!$C$58,Aturan!$B$63:$B$66,0)),"peringkat "&amp;Aturan!$C$58)&amp;")",IF(O189="Cukup","layar "&amp;Varian!$AG41&amp;" cukup, nyamannya "&amp;IFERROR(INDEX(Aturan!$A$63:$A$66,MATCH(Aturan!$D$58,Aturan!$B$63:$B$66,0)),"peringkat "&amp;Aturan!$D$58),IF(O189="Belum ada data","jenis layar belum diketahui",""))))</f>
        <v/>
      </c>
      <c r="W189" s="33" t="str">
        <f aca="false">IF($A189="","",IF(P189="Kurang","layar "&amp;H189&amp;" Hz, di bawah batas minimal "&amp;Aturan!$C$59&amp;" Hz",IF(P189="Cukup","layar "&amp;H189&amp;" Hz cukup, nyamannya "&amp;Aturan!$D$59&amp;" Hz atau lebih",IF(P189="Belum ada data","refresh rate belum diketahui",""))))</f>
        <v/>
      </c>
      <c r="X189" s="33" t="str">
        <f aca="false">IF($A189="","",IF(K189="Kurang",R189&amp;"; ","")&amp;IF(L189="Kurang",S189&amp;"; ","")&amp;IF(M189="Kurang",T189&amp;"; ","")&amp;IF(N189="Kurang",U189&amp;"; ","")&amp;IF(O189="Kurang",V189&amp;"; ","")&amp;IF(P189="Kurang",W189&amp;"; ","")&amp;IF(K189="Belum ada data",R189&amp;"; ","")&amp;IF(L189="Belum ada data",S189&amp;"; ","")&amp;IF(M189="Belum ada data",T189&amp;"; ","")&amp;IF(N189="Belum ada data",U189&amp;"; ","")&amp;IF(O189="Belum ada data",V189&amp;"; ","")&amp;IF(P189="Belum ada data",W189&amp;"; ","")&amp;IF(K189="Cukup",R189&amp;"; ","")&amp;IF(L189="Cukup",S189&amp;"; ","")&amp;IF(M189="Cukup",T189&amp;"; ","")&amp;IF(N189="Cukup",U189&amp;"; ","")&amp;IF(O189="Cukup",V189&amp;"; ","")&amp;IF(P189="Cukup",W189&amp;"; ",""))</f>
        <v>grafis tingkat 3 dari 5 cukup, nyamannya mulai tingkat 4; penyimpanan 512 GB cukup, nyamannya 1000 GB atau lebih (bisa diganti dengan yang lebih besar); </v>
      </c>
      <c r="Y189" s="33" t="str">
        <f aca="false">IF($A189="","",IF(K189="Nyaman","prosesor, ","")&amp;IF(L189="Nyaman","grafis, ","")&amp;IF(M189="Nyaman","RAM, ","")&amp;IF(N189="Nyaman","penyimpanan, ","")&amp;IF(O189="Nyaman","layar, ","")&amp;IF(P189="Nyaman","refresh rate, ",""))</f>
        <v>prosesor, RAM, refresh rate, </v>
      </c>
      <c r="Z189" s="33" t="str">
        <f aca="false">IF($A189="","",IF(Q189="Tidak dinilai","Belum ada kriteria yang dinilai untuk kebutuhan ini.",IF(Q189="Cocok","Semua kriteria yang dinilai sudah nyaman: "&amp;LEFT(Y189,LEN(Y189)-2)&amp;".",UPPER(LEFT(X189,1))&amp;MID(X189,2,LEN(X189)-3)&amp;"."&amp;IF(Y189="",""," Sudah nyaman: "&amp;LEFT(Y189,LEN(Y189)-2)&amp;"."))))</f>
        <v>Grafis tingkat 3 dari 5 cukup, nyamannya mulai tingkat 4; penyimpanan 512 GB cukup, nyamannya 1000 GB atau lebih (bisa diganti dengan yang lebih besar). Sudah nyaman: prosesor, RAM, refresh rate.</v>
      </c>
      <c r="AA189" s="33"/>
      <c r="AB189" s="33"/>
      <c r="AC189" s="69"/>
    </row>
    <row r="190" customFormat="false" ht="15" hidden="false" customHeight="true" outlineLevel="0" collapsed="false">
      <c r="A190" s="66" t="str">
        <f aca="false">IF(Varian!$A42="","",Varian!$A42)</f>
        <v>acer-aspire-lite-14-al14-32p-n355-8-512</v>
      </c>
      <c r="B190" s="66" t="str">
        <f aca="false">IF($A190="","",Aturan!$A$21)</f>
        <v>Kuliah dan kantor</v>
      </c>
      <c r="C190" s="67" t="n">
        <f aca="false">IF($A190="","",IFERROR(IF(ISNUMBER(INDEX(CPU!$J$4:$J$64,MATCH(Varian!$J42,CPU!$A$4:$A$64,0))),INDEX(CPU!$J$4:$J$64,MATCH(Varian!$J42,CPU!$A$4:$A$64,0)),""),""))</f>
        <v>2</v>
      </c>
      <c r="D190" s="67" t="n">
        <f aca="false">IF($A190="","",IFERROR(IF(ISNUMBER(INDEX(GPU!$G$4:$G$64,MATCH(Varian!$K42,GPU!$A$4:$A$64,0))),INDEX(GPU!$G$4:$G$64,MATCH(Varian!$K42,GPU!$A$4:$A$64,0)),""),""))</f>
        <v>2</v>
      </c>
      <c r="E190" s="67" t="n">
        <f aca="false">IF($A190="","",IF(ISNUMBER(Varian!$M42),Varian!$M42,""))</f>
        <v>8</v>
      </c>
      <c r="F190" s="67" t="n">
        <f aca="false">IF($A190="","",IF(ISNUMBER(Varian!$V42),Varian!$V42,""))</f>
        <v>512</v>
      </c>
      <c r="G190" s="67" t="n">
        <f aca="false">IF($A190="","",IFERROR(INDEX(Aturan!$B$63:$B$66,MATCH(Varian!$AG42,Aturan!$A$63:$A$66,0)),""))</f>
        <v>3</v>
      </c>
      <c r="H190" s="67" t="n">
        <f aca="false">IF($A190="","",IF(ISNUMBER(Varian!$AI42),Varian!$AI42,""))</f>
        <v>60</v>
      </c>
      <c r="I190" s="66" t="str">
        <f aca="false">IF($A190="","",IF(Varian!$Q42="disolder","menempel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ada slot, batas maksimalnya belum diketahui</v>
      </c>
      <c r="J190" s="66" t="str">
        <f aca="false">IF($A190="","",IF(Varian!$Z42="ya","bisa diganti dengan yang lebih besar",IF(Varian!$Z42="tidak","menempel, tidak bisa diganti","belum diketahui apakah bisa diganti")))</f>
        <v>belum diketahui apakah bisa diganti</v>
      </c>
      <c r="K190" s="68" t="str">
        <f aca="false">IF($A190="","",IF(AND(Aturan!$C$30="",Aturan!$D$30=""),"Tidak dinilai",IF(C190="","Belum ada data",IF(C190&lt;IF(Aturan!$C$30="",0,Aturan!$C$30),"Kurang",IF(C190&gt;=IF(Aturan!$D$30="",Aturan!$C$30,Aturan!$D$30),"Nyaman","Cukup")))))</f>
        <v>Nyaman</v>
      </c>
      <c r="L190" s="68" t="str">
        <f aca="false">IF($A190="","",IF(AND(Aturan!$C$31="",Aturan!$D$31=""),"Tidak dinilai",IF(D190="","Belum ada data",IF(D190&lt;IF(Aturan!$C$31="",0,Aturan!$C$31),"Kurang",IF(D190&gt;=IF(Aturan!$D$31="",Aturan!$C$31,Aturan!$D$31),"Nyaman","Cukup")))))</f>
        <v>Tidak dinilai</v>
      </c>
      <c r="M190" s="68" t="str">
        <f aca="false">IF($A190="","",IF(AND(Aturan!$C$32="",Aturan!$D$32=""),"Tidak dinilai",IF(E190="","Belum ada data",IF(E190&lt;IF(Aturan!$C$32="",0,Aturan!$C$32),"Kurang",IF(E190&gt;=IF(Aturan!$D$32="",Aturan!$C$32,Aturan!$D$32),"Nyaman","Cukup")))))</f>
        <v>Nyaman</v>
      </c>
      <c r="N190" s="68" t="str">
        <f aca="false">IF($A190="","",IF(AND(Aturan!$C$33="",Aturan!$D$33=""),"Tidak dinilai",IF(F190="","Belum ada data",IF(F190&lt;IF(Aturan!$C$33="",0,Aturan!$C$33),"Kurang",IF(F190&gt;=IF(Aturan!$D$33="",Aturan!$C$33,Aturan!$D$33),"Nyaman","Cukup")))))</f>
        <v>Nyaman</v>
      </c>
      <c r="O190" s="68" t="str">
        <f aca="false">IF($A190="","",IF(AND(Aturan!$C$34="",Aturan!$D$34=""),"Tidak dinilai",IF(G190="","Belum ada data",IF(G190&lt;IF(Aturan!$C$34="",0,Aturan!$C$34),"Kurang",IF(G190&gt;=IF(Aturan!$D$34="",Aturan!$C$34,Aturan!$D$34),"Nyaman","Cukup")))))</f>
        <v>Tidak dinilai</v>
      </c>
      <c r="P190" s="68" t="str">
        <f aca="false">IF($A190="","",IF(AND(Aturan!$C$35="",Aturan!$D$35=""),"Tidak dinilai",IF(H190="","Belum ada data",IF(H190&lt;IF(Aturan!$C$35="",0,Aturan!$C$35),"Kurang",IF(H190&gt;=IF(Aturan!$D$35="",Aturan!$C$35,Aturan!$D$35),"Nyaman","Cukup")))))</f>
        <v>Tidak dinilai</v>
      </c>
      <c r="Q190" s="68" t="str">
        <f aca="false">IF($A190="","",IF(COUNTIF(K190:P190,"Tidak dinilai")=6,"Tidak dinilai",IF(COUNTIF(K190:P190,"Kurang")&gt;0,"Kurang cocok",IF(COUNTIF(K190:P190,"Belum ada data")&gt;0,"Data belum lengkap",IF(COUNTIF(K190:P190,"Cukup")&gt;0,"Bisa, dengan catatan","Cocok")))))</f>
        <v>Cocok</v>
      </c>
      <c r="R190" s="66" t="str">
        <f aca="false">IF($A190="","",IF(K190="Kurang","prosesor tingkat "&amp;C190&amp;" dari 5, di bawah batas minimal (tingkat "&amp;Aturan!$C$30&amp;")",IF(K190="Cukup","prosesor tingkat "&amp;C190&amp;" dari 5 cukup, nyamannya mulai tingkat "&amp;Aturan!$D$30,IF(K190="Belum ada data","tingkat prosesor belum diisi",""))))</f>
        <v/>
      </c>
      <c r="S190" s="66" t="str">
        <f aca="false">IF($A190="","",IF(L190="Kurang","grafis tingkat "&amp;D190&amp;" dari 5, di bawah batas minimal (tingkat "&amp;Aturan!$C$31&amp;")",IF(L190="Cukup","grafis tingkat "&amp;D190&amp;" dari 5 cukup, nyamannya mulai tingkat "&amp;Aturan!$D$31,IF(L190="Belum ada data","tingkat grafis belum diisi",""))))</f>
        <v/>
      </c>
      <c r="T190" s="66" t="str">
        <f aca="false">IF($A190="","",IF(M190="Kurang","RAM "&amp;E190&amp;" GB, di bawah batas minimal "&amp;Aturan!$C$32&amp;" GB ("&amp;I190&amp;")",IF(M190="Cukup","RAM "&amp;E190&amp;" GB cukup, nyamannya "&amp;Aturan!$D$32&amp;" GB atau lebih ("&amp;I190&amp;")",IF(M190="Belum ada data","ukuran RAM belum diisi",""))))</f>
        <v/>
      </c>
      <c r="U190" s="66" t="str">
        <f aca="false">IF($A190="","",IF(N190="Kurang","penyimpanan "&amp;F190&amp;" GB, di bawah batas minimal "&amp;Aturan!$C$33&amp;" GB ("&amp;J190&amp;")",IF(N190="Cukup","penyimpanan "&amp;F190&amp;" GB cukup, nyamannya "&amp;Aturan!$D$33&amp;" GB atau lebih ("&amp;J190&amp;")",IF(N190="Belum ada data","ukuran penyimpanan belum diisi",""))))</f>
        <v/>
      </c>
      <c r="V190" s="66" t="str">
        <f aca="false">IF($A190="","",IF(O190="Kurang","layar "&amp;Varian!$AG42&amp;", di bawah batas minimal ("&amp;IFERROR(INDEX(Aturan!$A$63:$A$66,MATCH(Aturan!$C$34,Aturan!$B$63:$B$66,0)),"peringkat "&amp;Aturan!$C$34)&amp;")",IF(O190="Cukup","layar "&amp;Varian!$AG42&amp;" cukup, nyamannya "&amp;IFERROR(INDEX(Aturan!$A$63:$A$66,MATCH(Aturan!$D$34,Aturan!$B$63:$B$66,0)),"peringkat "&amp;Aturan!$D$34),IF(O190="Belum ada data","jenis layar belum diketahui",""))))</f>
        <v/>
      </c>
      <c r="W190" s="66" t="str">
        <f aca="false">IF($A190="","",IF(P190="Kurang","layar "&amp;H190&amp;" Hz, di bawah batas minimal "&amp;Aturan!$C$35&amp;" Hz",IF(P190="Cukup","layar "&amp;H190&amp;" Hz cukup, nyamannya "&amp;Aturan!$D$35&amp;" Hz atau lebih",IF(P190="Belum ada data","refresh rate belum diketahui",""))))</f>
        <v/>
      </c>
      <c r="X190" s="66" t="str">
        <f aca="false">IF($A190="","",IF(K190="Kurang",R190&amp;"; ","")&amp;IF(L190="Kurang",S190&amp;"; ","")&amp;IF(M190="Kurang",T190&amp;"; ","")&amp;IF(N190="Kurang",U190&amp;"; ","")&amp;IF(O190="Kurang",V190&amp;"; ","")&amp;IF(P190="Kurang",W190&amp;"; ","")&amp;IF(K190="Belum ada data",R190&amp;"; ","")&amp;IF(L190="Belum ada data",S190&amp;"; ","")&amp;IF(M190="Belum ada data",T190&amp;"; ","")&amp;IF(N190="Belum ada data",U190&amp;"; ","")&amp;IF(O190="Belum ada data",V190&amp;"; ","")&amp;IF(P190="Belum ada data",W190&amp;"; ","")&amp;IF(K190="Cukup",R190&amp;"; ","")&amp;IF(L190="Cukup",S190&amp;"; ","")&amp;IF(M190="Cukup",T190&amp;"; ","")&amp;IF(N190="Cukup",U190&amp;"; ","")&amp;IF(O190="Cukup",V190&amp;"; ","")&amp;IF(P190="Cukup",W190&amp;"; ",""))</f>
        <v/>
      </c>
      <c r="Y190" s="66" t="str">
        <f aca="false">IF($A190="","",IF(K190="Nyaman","prosesor, ","")&amp;IF(L190="Nyaman","grafis, ","")&amp;IF(M190="Nyaman","RAM, ","")&amp;IF(N190="Nyaman","penyimpanan, ","")&amp;IF(O190="Nyaman","layar, ","")&amp;IF(P190="Nyaman","refresh rate, ",""))</f>
        <v>prosesor, RAM, penyimpanan, </v>
      </c>
      <c r="Z190" s="66" t="str">
        <f aca="false">IF($A190="","",IF(Q190="Tidak dinilai","Belum ada kriteria yang dinilai untuk kebutuhan ini.",IF(Q190="Cocok","Semua kriteria yang dinilai sudah nyaman: "&amp;LEFT(Y190,LEN(Y190)-2)&amp;".",UPPER(LEFT(X190,1))&amp;MID(X190,2,LEN(X190)-3)&amp;"."&amp;IF(Y190="",""," Sudah nyaman: "&amp;LEFT(Y190,LEN(Y190)-2)&amp;"."))))</f>
        <v>Semua kriteria yang dinilai sudah nyaman: prosesor, RAM, penyimpanan.</v>
      </c>
      <c r="AA190" s="66" t="str">
        <f aca="false">IF($A190="","",IF(Varian!$AR42="Windows 10","• "&amp;Aturan!$E$71&amp;CHAR(10),"")&amp;IF(Varian!$BB42="tidak","• "&amp;Aturan!$E$72&amp;CHAR(10),"")&amp;IF(OR(Varian!$AD42="belum terverifikasi",Varian!$AD42="tidak diketahui"),"• "&amp;Aturan!$E$73&amp;CHAR(10),"")&amp;IF(Varian!$AH42="1366x768","• "&amp;Aturan!$E$74&amp;CHAR(10),"")&amp;IF(Varian!$AG42="TN","• "&amp;Aturan!$E$75&amp;CHAR(10),"")&amp;IF(AND(Varian!$Q42="disolder",ISNUMBER(Varian!$M42),Varian!$M42&lt;=8),"• "&amp;Aturan!$E$76&amp;CHAR(10),""))</f>
        <v/>
      </c>
      <c r="AB190" s="66" t="str">
        <f aca="false">IF($A190="","",IF(AA190="","",LEFT(AA190,LEN(AA190)-1)))</f>
        <v/>
      </c>
      <c r="AC190" s="67" t="n">
        <f aca="false">IF($A190="","",IF(AA190="",0,LEN(AA190)-LEN(SUBSTITUTE(AA190,CHAR(10),""))))</f>
        <v>0</v>
      </c>
    </row>
    <row r="191" customFormat="false" ht="15" hidden="false" customHeight="true" outlineLevel="0" collapsed="false">
      <c r="A191" s="33" t="str">
        <f aca="false">IF(Varian!$A42="","",Varian!$A42)</f>
        <v>acer-aspire-lite-14-al14-32p-n355-8-512</v>
      </c>
      <c r="B191" s="33" t="str">
        <f aca="false">IF($A191="","",Aturan!$A$22)</f>
        <v>Desain grafis</v>
      </c>
      <c r="C191" s="69" t="n">
        <f aca="false">IF($A191="","",IFERROR(IF(ISNUMBER(INDEX(CPU!$J$4:$J$64,MATCH(Varian!$J42,CPU!$A$4:$A$64,0))),INDEX(CPU!$J$4:$J$64,MATCH(Varian!$J42,CPU!$A$4:$A$64,0)),""),""))</f>
        <v>2</v>
      </c>
      <c r="D191" s="69" t="n">
        <f aca="false">IF($A191="","",IFERROR(IF(ISNUMBER(INDEX(GPU!$G$4:$G$64,MATCH(Varian!$K42,GPU!$A$4:$A$64,0))),INDEX(GPU!$G$4:$G$64,MATCH(Varian!$K42,GPU!$A$4:$A$64,0)),""),""))</f>
        <v>2</v>
      </c>
      <c r="E191" s="69" t="n">
        <f aca="false">IF($A191="","",IF(ISNUMBER(Varian!$M42),Varian!$M42,""))</f>
        <v>8</v>
      </c>
      <c r="F191" s="69" t="n">
        <f aca="false">IF($A191="","",IF(ISNUMBER(Varian!$V42),Varian!$V42,""))</f>
        <v>512</v>
      </c>
      <c r="G191" s="69" t="n">
        <f aca="false">IF($A191="","",IFERROR(INDEX(Aturan!$B$63:$B$66,MATCH(Varian!$AG42,Aturan!$A$63:$A$66,0)),""))</f>
        <v>3</v>
      </c>
      <c r="H191" s="69" t="n">
        <f aca="false">IF($A191="","",IF(ISNUMBER(Varian!$AI42),Varian!$AI42,""))</f>
        <v>60</v>
      </c>
      <c r="I191" s="33" t="str">
        <f aca="false">IF($A191="","",IF(Varian!$Q42="disolder","menempel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ada slot, batas maksimalnya belum diketahui</v>
      </c>
      <c r="J191" s="33" t="str">
        <f aca="false">IF($A191="","",IF(Varian!$Z42="ya","bisa diganti dengan yang lebih besar",IF(Varian!$Z42="tidak","menempel, tidak bisa diganti","belum diketahui apakah bisa diganti")))</f>
        <v>belum diketahui apakah bisa diganti</v>
      </c>
      <c r="K191" s="70" t="str">
        <f aca="false">IF($A191="","",IF(AND(Aturan!$C$36="",Aturan!$D$36=""),"Tidak dinilai",IF(C191="","Belum ada data",IF(C191&lt;IF(Aturan!$C$36="",0,Aturan!$C$36),"Kurang",IF(C191&gt;=IF(Aturan!$D$36="",Aturan!$C$36,Aturan!$D$36),"Nyaman","Cukup")))))</f>
        <v>Cukup</v>
      </c>
      <c r="L191" s="70" t="str">
        <f aca="false">IF($A191="","",IF(AND(Aturan!$C$37="",Aturan!$D$37=""),"Tidak dinilai",IF(D191="","Belum ada data",IF(D191&lt;IF(Aturan!$C$37="",0,Aturan!$C$37),"Kurang",IF(D191&gt;=IF(Aturan!$D$37="",Aturan!$C$37,Aturan!$D$37),"Nyaman","Cukup")))))</f>
        <v>Nyaman</v>
      </c>
      <c r="M191" s="70" t="str">
        <f aca="false">IF($A191="","",IF(AND(Aturan!$C$38="",Aturan!$D$38=""),"Tidak dinilai",IF(E191="","Belum ada data",IF(E191&lt;IF(Aturan!$C$38="",0,Aturan!$C$38),"Kurang",IF(E191&gt;=IF(Aturan!$D$38="",Aturan!$C$38,Aturan!$D$38),"Nyaman","Cukup")))))</f>
        <v>Cukup</v>
      </c>
      <c r="N191" s="70" t="str">
        <f aca="false">IF($A191="","",IF(AND(Aturan!$C$39="",Aturan!$D$39=""),"Tidak dinilai",IF(F191="","Belum ada data",IF(F191&lt;IF(Aturan!$C$39="",0,Aturan!$C$39),"Kurang",IF(F191&gt;=IF(Aturan!$D$39="",Aturan!$C$39,Aturan!$D$39),"Nyaman","Cukup")))))</f>
        <v>Nyaman</v>
      </c>
      <c r="O191" s="70" t="str">
        <f aca="false">IF($A191="","",IF(AND(Aturan!$C$40="",Aturan!$D$40=""),"Tidak dinilai",IF(G191="","Belum ada data",IF(G191&lt;IF(Aturan!$C$40="",0,Aturan!$C$40),"Kurang",IF(G191&gt;=IF(Aturan!$D$40="",Aturan!$C$40,Aturan!$D$40),"Nyaman","Cukup")))))</f>
        <v>Cukup</v>
      </c>
      <c r="P191" s="70" t="str">
        <f aca="false">IF($A191="","",IF(AND(Aturan!$C$41="",Aturan!$D$41=""),"Tidak dinilai",IF(H191="","Belum ada data",IF(H191&lt;IF(Aturan!$C$41="",0,Aturan!$C$41),"Kurang",IF(H191&gt;=IF(Aturan!$D$41="",Aturan!$C$41,Aturan!$D$41),"Nyaman","Cukup")))))</f>
        <v>Tidak dinilai</v>
      </c>
      <c r="Q191" s="70" t="str">
        <f aca="false">IF($A191="","",IF(COUNTIF(K191:P191,"Tidak dinilai")=6,"Tidak dinilai",IF(COUNTIF(K191:P191,"Kurang")&gt;0,"Kurang cocok",IF(COUNTIF(K191:P191,"Belum ada data")&gt;0,"Data belum lengkap",IF(COUNTIF(K191:P191,"Cukup")&gt;0,"Bisa, dengan catatan","Cocok")))))</f>
        <v>Bisa, dengan catatan</v>
      </c>
      <c r="R191" s="33" t="str">
        <f aca="false">IF($A191="","",IF(K191="Kurang","prosesor tingkat "&amp;C191&amp;" dari 5, di bawah batas minimal (tingkat "&amp;Aturan!$C$36&amp;")",IF(K191="Cukup","prosesor tingkat "&amp;C191&amp;" dari 5 cukup, nyamannya mulai tingkat "&amp;Aturan!$D$36,IF(K191="Belum ada data","tingkat prosesor belum diisi",""))))</f>
        <v>prosesor tingkat 2 dari 5 cukup, nyamannya mulai tingkat 3</v>
      </c>
      <c r="S191" s="33" t="str">
        <f aca="false">IF($A191="","",IF(L191="Kurang","grafis tingkat "&amp;D191&amp;" dari 5, di bawah batas minimal (tingkat "&amp;Aturan!$C$37&amp;")",IF(L191="Cukup","grafis tingkat "&amp;D191&amp;" dari 5 cukup, nyamannya mulai tingkat "&amp;Aturan!$D$37,IF(L191="Belum ada data","tingkat grafis belum diisi",""))))</f>
        <v/>
      </c>
      <c r="T191" s="33" t="str">
        <f aca="false">IF($A191="","",IF(M191="Kurang","RAM "&amp;E191&amp;" GB, di bawah batas minimal "&amp;Aturan!$C$38&amp;" GB ("&amp;I191&amp;")",IF(M191="Cukup","RAM "&amp;E191&amp;" GB cukup, nyamannya "&amp;Aturan!$D$38&amp;" GB atau lebih ("&amp;I191&amp;")",IF(M191="Belum ada data","ukuran RAM belum diisi",""))))</f>
        <v>RAM 8 GB cukup, nyamannya 16 GB atau lebih (ada slot, batas maksimalnya belum diketahui)</v>
      </c>
      <c r="U191" s="33" t="str">
        <f aca="false">IF($A191="","",IF(N191="Kurang","penyimpanan "&amp;F191&amp;" GB, di bawah batas minimal "&amp;Aturan!$C$39&amp;" GB ("&amp;J191&amp;")",IF(N191="Cukup","penyimpanan "&amp;F191&amp;" GB cukup, nyamannya "&amp;Aturan!$D$39&amp;" GB atau lebih ("&amp;J191&amp;")",IF(N191="Belum ada data","ukuran penyimpanan belum diisi",""))))</f>
        <v/>
      </c>
      <c r="V191" s="33" t="str">
        <f aca="false">IF($A191="","",IF(O191="Kurang","layar "&amp;Varian!$AG42&amp;", di bawah batas minimal ("&amp;IFERROR(INDEX(Aturan!$A$63:$A$66,MATCH(Aturan!$C$40,Aturan!$B$63:$B$66,0)),"peringkat "&amp;Aturan!$C$40)&amp;")",IF(O191="Cukup","layar "&amp;Varian!$AG42&amp;" cukup, nyamannya "&amp;IFERROR(INDEX(Aturan!$A$63:$A$66,MATCH(Aturan!$D$40,Aturan!$B$63:$B$66,0)),"peringkat "&amp;Aturan!$D$40),IF(O191="Belum ada data","jenis layar belum diketahui",""))))</f>
        <v>layar IPS cukup, nyamannya OLED</v>
      </c>
      <c r="W191" s="33" t="str">
        <f aca="false">IF($A191="","",IF(P191="Kurang","layar "&amp;H191&amp;" Hz, di bawah batas minimal "&amp;Aturan!$C$41&amp;" Hz",IF(P191="Cukup","layar "&amp;H191&amp;" Hz cukup, nyamannya "&amp;Aturan!$D$41&amp;" Hz atau lebih",IF(P191="Belum ada data","refresh rate belum diketahui",""))))</f>
        <v/>
      </c>
      <c r="X191" s="33" t="str">
        <f aca="false">IF($A191="","",IF(K191="Kurang",R191&amp;"; ","")&amp;IF(L191="Kurang",S191&amp;"; ","")&amp;IF(M191="Kurang",T191&amp;"; ","")&amp;IF(N191="Kurang",U191&amp;"; ","")&amp;IF(O191="Kurang",V191&amp;"; ","")&amp;IF(P191="Kurang",W191&amp;"; ","")&amp;IF(K191="Belum ada data",R191&amp;"; ","")&amp;IF(L191="Belum ada data",S191&amp;"; ","")&amp;IF(M191="Belum ada data",T191&amp;"; ","")&amp;IF(N191="Belum ada data",U191&amp;"; ","")&amp;IF(O191="Belum ada data",V191&amp;"; ","")&amp;IF(P191="Belum ada data",W191&amp;"; ","")&amp;IF(K191="Cukup",R191&amp;"; ","")&amp;IF(L191="Cukup",S191&amp;"; ","")&amp;IF(M191="Cukup",T191&amp;"; ","")&amp;IF(N191="Cukup",U191&amp;"; ","")&amp;IF(O191="Cukup",V191&amp;"; ","")&amp;IF(P191="Cukup",W191&amp;"; ",""))</f>
        <v>prosesor tingkat 2 dari 5 cukup, nyamannya mulai tingkat 3; RAM 8 GB cukup, nyamannya 16 GB atau lebih (ada slot, batas maksimalnya belum diketahui); layar IPS cukup, nyamannya OLED; </v>
      </c>
      <c r="Y191" s="33" t="str">
        <f aca="false">IF($A191="","",IF(K191="Nyaman","prosesor, ","")&amp;IF(L191="Nyaman","grafis, ","")&amp;IF(M191="Nyaman","RAM, ","")&amp;IF(N191="Nyaman","penyimpanan, ","")&amp;IF(O191="Nyaman","layar, ","")&amp;IF(P191="Nyaman","refresh rate, ",""))</f>
        <v>grafis, penyimpanan, </v>
      </c>
      <c r="Z191" s="33" t="str">
        <f aca="false">IF($A191="","",IF(Q191="Tidak dinilai","Belum ada kriteria yang dinilai untuk kebutuhan ini.",IF(Q191="Cocok","Semua kriteria yang dinilai sudah nyaman: "&amp;LEFT(Y191,LEN(Y191)-2)&amp;".",UPPER(LEFT(X191,1))&amp;MID(X191,2,LEN(X191)-3)&amp;"."&amp;IF(Y191="",""," Sudah nyaman: "&amp;LEFT(Y191,LEN(Y191)-2)&amp;"."))))</f>
        <v>Prosesor tingkat 2 dari 5 cukup, nyamannya mulai tingkat 3; RAM 8 GB cukup, nyamannya 16 GB atau lebih (ada slot, batas maksimalnya belum diketahui); layar IPS cukup, nyamannya OLED. Sudah nyaman: grafis, penyimpanan.</v>
      </c>
      <c r="AA191" s="33"/>
      <c r="AB191" s="33"/>
      <c r="AC191" s="69"/>
    </row>
    <row r="192" customFormat="false" ht="15" hidden="false" customHeight="true" outlineLevel="0" collapsed="false">
      <c r="A192" s="33" t="str">
        <f aca="false">IF(Varian!$A42="","",Varian!$A42)</f>
        <v>acer-aspire-lite-14-al14-32p-n355-8-512</v>
      </c>
      <c r="B192" s="33" t="str">
        <f aca="false">IF($A192="","",Aturan!$A$23)</f>
        <v>Pemrograman</v>
      </c>
      <c r="C192" s="69" t="n">
        <f aca="false">IF($A192="","",IFERROR(IF(ISNUMBER(INDEX(CPU!$J$4:$J$64,MATCH(Varian!$J42,CPU!$A$4:$A$64,0))),INDEX(CPU!$J$4:$J$64,MATCH(Varian!$J42,CPU!$A$4:$A$64,0)),""),""))</f>
        <v>2</v>
      </c>
      <c r="D192" s="69" t="n">
        <f aca="false">IF($A192="","",IFERROR(IF(ISNUMBER(INDEX(GPU!$G$4:$G$64,MATCH(Varian!$K42,GPU!$A$4:$A$64,0))),INDEX(GPU!$G$4:$G$64,MATCH(Varian!$K42,GPU!$A$4:$A$64,0)),""),""))</f>
        <v>2</v>
      </c>
      <c r="E192" s="69" t="n">
        <f aca="false">IF($A192="","",IF(ISNUMBER(Varian!$M42),Varian!$M42,""))</f>
        <v>8</v>
      </c>
      <c r="F192" s="69" t="n">
        <f aca="false">IF($A192="","",IF(ISNUMBER(Varian!$V42),Varian!$V42,""))</f>
        <v>512</v>
      </c>
      <c r="G192" s="69" t="n">
        <f aca="false">IF($A192="","",IFERROR(INDEX(Aturan!$B$63:$B$66,MATCH(Varian!$AG42,Aturan!$A$63:$A$66,0)),""))</f>
        <v>3</v>
      </c>
      <c r="H192" s="69" t="n">
        <f aca="false">IF($A192="","",IF(ISNUMBER(Varian!$AI42),Varian!$AI42,""))</f>
        <v>60</v>
      </c>
      <c r="I192" s="33" t="str">
        <f aca="false">IF($A192="","",IF(Varian!$Q42="disolder","menempel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ada slot, batas maksimalnya belum diketahui</v>
      </c>
      <c r="J192" s="33" t="str">
        <f aca="false">IF($A192="","",IF(Varian!$Z42="ya","bisa diganti dengan yang lebih besar",IF(Varian!$Z42="tidak","menempel, tidak bisa diganti","belum diketahui apakah bisa diganti")))</f>
        <v>belum diketahui apakah bisa diganti</v>
      </c>
      <c r="K192" s="70" t="str">
        <f aca="false">IF($A192="","",IF(AND(Aturan!$C$42="",Aturan!$D$42=""),"Tidak dinilai",IF(C192="","Belum ada data",IF(C192&lt;IF(Aturan!$C$42="",0,Aturan!$C$42),"Kurang",IF(C192&gt;=IF(Aturan!$D$42="",Aturan!$C$42,Aturan!$D$42),"Nyaman","Cukup")))))</f>
        <v>Cukup</v>
      </c>
      <c r="L192" s="70" t="str">
        <f aca="false">IF($A192="","",IF(AND(Aturan!$C$43="",Aturan!$D$43=""),"Tidak dinilai",IF(D192="","Belum ada data",IF(D192&lt;IF(Aturan!$C$43="",0,Aturan!$C$43),"Kurang",IF(D192&gt;=IF(Aturan!$D$43="",Aturan!$C$43,Aturan!$D$43),"Nyaman","Cukup")))))</f>
        <v>Tidak dinilai</v>
      </c>
      <c r="M192" s="70" t="str">
        <f aca="false">IF($A192="","",IF(AND(Aturan!$C$44="",Aturan!$D$44=""),"Tidak dinilai",IF(E192="","Belum ada data",IF(E192&lt;IF(Aturan!$C$44="",0,Aturan!$C$44),"Kurang",IF(E192&gt;=IF(Aturan!$D$44="",Aturan!$C$44,Aturan!$D$44),"Nyaman","Cukup")))))</f>
        <v>Cukup</v>
      </c>
      <c r="N192" s="70" t="str">
        <f aca="false">IF($A192="","",IF(AND(Aturan!$C$45="",Aturan!$D$45=""),"Tidak dinilai",IF(F192="","Belum ada data",IF(F192&lt;IF(Aturan!$C$45="",0,Aturan!$C$45),"Kurang",IF(F192&gt;=IF(Aturan!$D$45="",Aturan!$C$45,Aturan!$D$45),"Nyaman","Cukup")))))</f>
        <v>Nyaman</v>
      </c>
      <c r="O192" s="70" t="str">
        <f aca="false">IF($A192="","",IF(AND(Aturan!$C$46="",Aturan!$D$46=""),"Tidak dinilai",IF(G192="","Belum ada data",IF(G192&lt;IF(Aturan!$C$46="",0,Aturan!$C$46),"Kurang",IF(G192&gt;=IF(Aturan!$D$46="",Aturan!$C$46,Aturan!$D$46),"Nyaman","Cukup")))))</f>
        <v>Tidak dinilai</v>
      </c>
      <c r="P192" s="70" t="str">
        <f aca="false">IF($A192="","",IF(AND(Aturan!$C$47="",Aturan!$D$47=""),"Tidak dinilai",IF(H192="","Belum ada data",IF(H192&lt;IF(Aturan!$C$47="",0,Aturan!$C$47),"Kurang",IF(H192&gt;=IF(Aturan!$D$47="",Aturan!$C$47,Aturan!$D$47),"Nyaman","Cukup")))))</f>
        <v>Tidak dinilai</v>
      </c>
      <c r="Q192" s="70" t="str">
        <f aca="false">IF($A192="","",IF(COUNTIF(K192:P192,"Tidak dinilai")=6,"Tidak dinilai",IF(COUNTIF(K192:P192,"Kurang")&gt;0,"Kurang cocok",IF(COUNTIF(K192:P192,"Belum ada data")&gt;0,"Data belum lengkap",IF(COUNTIF(K192:P192,"Cukup")&gt;0,"Bisa, dengan catatan","Cocok")))))</f>
        <v>Bisa, dengan catatan</v>
      </c>
      <c r="R192" s="33" t="str">
        <f aca="false">IF($A192="","",IF(K192="Kurang","prosesor tingkat "&amp;C192&amp;" dari 5, di bawah batas minimal (tingkat "&amp;Aturan!$C$42&amp;")",IF(K192="Cukup","prosesor tingkat "&amp;C192&amp;" dari 5 cukup, nyamannya mulai tingkat "&amp;Aturan!$D$42,IF(K192="Belum ada data","tingkat prosesor belum diisi",""))))</f>
        <v>prosesor tingkat 2 dari 5 cukup, nyamannya mulai tingkat 3</v>
      </c>
      <c r="S192" s="33" t="str">
        <f aca="false">IF($A192="","",IF(L192="Kurang","grafis tingkat "&amp;D192&amp;" dari 5, di bawah batas minimal (tingkat "&amp;Aturan!$C$43&amp;")",IF(L192="Cukup","grafis tingkat "&amp;D192&amp;" dari 5 cukup, nyamannya mulai tingkat "&amp;Aturan!$D$43,IF(L192="Belum ada data","tingkat grafis belum diisi",""))))</f>
        <v/>
      </c>
      <c r="T192" s="33" t="str">
        <f aca="false">IF($A192="","",IF(M192="Kurang","RAM "&amp;E192&amp;" GB, di bawah batas minimal "&amp;Aturan!$C$44&amp;" GB ("&amp;I192&amp;")",IF(M192="Cukup","RAM "&amp;E192&amp;" GB cukup, nyamannya "&amp;Aturan!$D$44&amp;" GB atau lebih ("&amp;I192&amp;")",IF(M192="Belum ada data","ukuran RAM belum diisi",""))))</f>
        <v>RAM 8 GB cukup, nyamannya 16 GB atau lebih (ada slot, batas maksimalnya belum diketahui)</v>
      </c>
      <c r="U192" s="33" t="str">
        <f aca="false">IF($A192="","",IF(N192="Kurang","penyimpanan "&amp;F192&amp;" GB, di bawah batas minimal "&amp;Aturan!$C$45&amp;" GB ("&amp;J192&amp;")",IF(N192="Cukup","penyimpanan "&amp;F192&amp;" GB cukup, nyamannya "&amp;Aturan!$D$45&amp;" GB atau lebih ("&amp;J192&amp;")",IF(N192="Belum ada data","ukuran penyimpanan belum diisi",""))))</f>
        <v/>
      </c>
      <c r="V192" s="33" t="str">
        <f aca="false">IF($A192="","",IF(O192="Kurang","layar "&amp;Varian!$AG42&amp;", di bawah batas minimal ("&amp;IFERROR(INDEX(Aturan!$A$63:$A$66,MATCH(Aturan!$C$46,Aturan!$B$63:$B$66,0)),"peringkat "&amp;Aturan!$C$46)&amp;")",IF(O192="Cukup","layar "&amp;Varian!$AG42&amp;" cukup, nyamannya "&amp;IFERROR(INDEX(Aturan!$A$63:$A$66,MATCH(Aturan!$D$46,Aturan!$B$63:$B$66,0)),"peringkat "&amp;Aturan!$D$46),IF(O192="Belum ada data","jenis layar belum diketahui",""))))</f>
        <v/>
      </c>
      <c r="W192" s="33" t="str">
        <f aca="false">IF($A192="","",IF(P192="Kurang","layar "&amp;H192&amp;" Hz, di bawah batas minimal "&amp;Aturan!$C$47&amp;" Hz",IF(P192="Cukup","layar "&amp;H192&amp;" Hz cukup, nyamannya "&amp;Aturan!$D$47&amp;" Hz atau lebih",IF(P192="Belum ada data","refresh rate belum diketahui",""))))</f>
        <v/>
      </c>
      <c r="X192" s="33" t="str">
        <f aca="false">IF($A192="","",IF(K192="Kurang",R192&amp;"; ","")&amp;IF(L192="Kurang",S192&amp;"; ","")&amp;IF(M192="Kurang",T192&amp;"; ","")&amp;IF(N192="Kurang",U192&amp;"; ","")&amp;IF(O192="Kurang",V192&amp;"; ","")&amp;IF(P192="Kurang",W192&amp;"; ","")&amp;IF(K192="Belum ada data",R192&amp;"; ","")&amp;IF(L192="Belum ada data",S192&amp;"; ","")&amp;IF(M192="Belum ada data",T192&amp;"; ","")&amp;IF(N192="Belum ada data",U192&amp;"; ","")&amp;IF(O192="Belum ada data",V192&amp;"; ","")&amp;IF(P192="Belum ada data",W192&amp;"; ","")&amp;IF(K192="Cukup",R192&amp;"; ","")&amp;IF(L192="Cukup",S192&amp;"; ","")&amp;IF(M192="Cukup",T192&amp;"; ","")&amp;IF(N192="Cukup",U192&amp;"; ","")&amp;IF(O192="Cukup",V192&amp;"; ","")&amp;IF(P192="Cukup",W192&amp;"; ",""))</f>
        <v>prosesor tingkat 2 dari 5 cukup, nyamannya mulai tingkat 3; RAM 8 GB cukup, nyamannya 16 GB atau lebih (ada slot, batas maksimalnya belum diketahui); </v>
      </c>
      <c r="Y192" s="33" t="str">
        <f aca="false">IF($A192="","",IF(K192="Nyaman","prosesor, ","")&amp;IF(L192="Nyaman","grafis, ","")&amp;IF(M192="Nyaman","RAM, ","")&amp;IF(N192="Nyaman","penyimpanan, ","")&amp;IF(O192="Nyaman","layar, ","")&amp;IF(P192="Nyaman","refresh rate, ",""))</f>
        <v>penyimpanan, </v>
      </c>
      <c r="Z192" s="33" t="str">
        <f aca="false">IF($A192="","",IF(Q192="Tidak dinilai","Belum ada kriteria yang dinilai untuk kebutuhan ini.",IF(Q192="Cocok","Semua kriteria yang dinilai sudah nyaman: "&amp;LEFT(Y192,LEN(Y192)-2)&amp;".",UPPER(LEFT(X192,1))&amp;MID(X192,2,LEN(X192)-3)&amp;"."&amp;IF(Y192="",""," Sudah nyaman: "&amp;LEFT(Y192,LEN(Y192)-2)&amp;"."))))</f>
        <v>Prosesor tingkat 2 dari 5 cukup, nyamannya mulai tingkat 3; RAM 8 GB cukup, nyamannya 16 GB atau lebih (ada slot, batas maksimalnya belum diketahui). Sudah nyaman: penyimpanan.</v>
      </c>
      <c r="AA192" s="33"/>
      <c r="AB192" s="33"/>
      <c r="AC192" s="69"/>
    </row>
    <row r="193" customFormat="false" ht="15" hidden="false" customHeight="true" outlineLevel="0" collapsed="false">
      <c r="A193" s="33" t="str">
        <f aca="false">IF(Varian!$A42="","",Varian!$A42)</f>
        <v>acer-aspire-lite-14-al14-32p-n355-8-512</v>
      </c>
      <c r="B193" s="33" t="str">
        <f aca="false">IF($A193="","",Aturan!$A$24)</f>
        <v>Game ringan</v>
      </c>
      <c r="C193" s="69" t="n">
        <f aca="false">IF($A193="","",IFERROR(IF(ISNUMBER(INDEX(CPU!$J$4:$J$64,MATCH(Varian!$J42,CPU!$A$4:$A$64,0))),INDEX(CPU!$J$4:$J$64,MATCH(Varian!$J42,CPU!$A$4:$A$64,0)),""),""))</f>
        <v>2</v>
      </c>
      <c r="D193" s="69" t="n">
        <f aca="false">IF($A193="","",IFERROR(IF(ISNUMBER(INDEX(GPU!$G$4:$G$64,MATCH(Varian!$K42,GPU!$A$4:$A$64,0))),INDEX(GPU!$G$4:$G$64,MATCH(Varian!$K42,GPU!$A$4:$A$64,0)),""),""))</f>
        <v>2</v>
      </c>
      <c r="E193" s="69" t="n">
        <f aca="false">IF($A193="","",IF(ISNUMBER(Varian!$M42),Varian!$M42,""))</f>
        <v>8</v>
      </c>
      <c r="F193" s="69" t="n">
        <f aca="false">IF($A193="","",IF(ISNUMBER(Varian!$V42),Varian!$V42,""))</f>
        <v>512</v>
      </c>
      <c r="G193" s="69" t="n">
        <f aca="false">IF($A193="","",IFERROR(INDEX(Aturan!$B$63:$B$66,MATCH(Varian!$AG42,Aturan!$A$63:$A$66,0)),""))</f>
        <v>3</v>
      </c>
      <c r="H193" s="69" t="n">
        <f aca="false">IF($A193="","",IF(ISNUMBER(Varian!$AI42),Varian!$AI42,""))</f>
        <v>60</v>
      </c>
      <c r="I193" s="33" t="str">
        <f aca="false">IF($A193="","",IF(Varian!$Q42="disolder","menempel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ada slot, batas maksimalnya belum diketahui</v>
      </c>
      <c r="J193" s="33" t="str">
        <f aca="false">IF($A193="","",IF(Varian!$Z42="ya","bisa diganti dengan yang lebih besar",IF(Varian!$Z42="tidak","menempel, tidak bisa diganti","belum diketahui apakah bisa diganti")))</f>
        <v>belum diketahui apakah bisa diganti</v>
      </c>
      <c r="K193" s="70" t="str">
        <f aca="false">IF($A193="","",IF(AND(Aturan!$C$48="",Aturan!$D$48=""),"Tidak dinilai",IF(C193="","Belum ada data",IF(C193&lt;IF(Aturan!$C$48="",0,Aturan!$C$48),"Kurang",IF(C193&gt;=IF(Aturan!$D$48="",Aturan!$C$48,Aturan!$D$48),"Nyaman","Cukup")))))</f>
        <v>Cukup</v>
      </c>
      <c r="L193" s="70" t="str">
        <f aca="false">IF($A193="","",IF(AND(Aturan!$C$49="",Aturan!$D$49=""),"Tidak dinilai",IF(D193="","Belum ada data",IF(D193&lt;IF(Aturan!$C$49="",0,Aturan!$C$49),"Kurang",IF(D193&gt;=IF(Aturan!$D$49="",Aturan!$C$49,Aturan!$D$49),"Nyaman","Cukup")))))</f>
        <v>Nyaman</v>
      </c>
      <c r="M193" s="70" t="str">
        <f aca="false">IF($A193="","",IF(AND(Aturan!$C$50="",Aturan!$D$50=""),"Tidak dinilai",IF(E193="","Belum ada data",IF(E193&lt;IF(Aturan!$C$50="",0,Aturan!$C$50),"Kurang",IF(E193&gt;=IF(Aturan!$D$50="",Aturan!$C$50,Aturan!$D$50),"Nyaman","Cukup")))))</f>
        <v>Nyaman</v>
      </c>
      <c r="N193" s="70" t="str">
        <f aca="false">IF($A193="","",IF(AND(Aturan!$C$51="",Aturan!$D$51=""),"Tidak dinilai",IF(F193="","Belum ada data",IF(F193&lt;IF(Aturan!$C$51="",0,Aturan!$C$51),"Kurang",IF(F193&gt;=IF(Aturan!$D$51="",Aturan!$C$51,Aturan!$D$51),"Nyaman","Cukup")))))</f>
        <v>Nyaman</v>
      </c>
      <c r="O193" s="70" t="str">
        <f aca="false">IF($A193="","",IF(AND(Aturan!$C$52="",Aturan!$D$52=""),"Tidak dinilai",IF(G193="","Belum ada data",IF(G193&lt;IF(Aturan!$C$52="",0,Aturan!$C$52),"Kurang",IF(G193&gt;=IF(Aturan!$D$52="",Aturan!$C$52,Aturan!$D$52),"Nyaman","Cukup")))))</f>
        <v>Tidak dinilai</v>
      </c>
      <c r="P193" s="70" t="str">
        <f aca="false">IF($A193="","",IF(AND(Aturan!$C$53="",Aturan!$D$53=""),"Tidak dinilai",IF(H193="","Belum ada data",IF(H193&lt;IF(Aturan!$C$53="",0,Aturan!$C$53),"Kurang",IF(H193&gt;=IF(Aturan!$D$53="",Aturan!$C$53,Aturan!$D$53),"Nyaman","Cukup")))))</f>
        <v>Tidak dinilai</v>
      </c>
      <c r="Q193" s="70" t="str">
        <f aca="false">IF($A193="","",IF(COUNTIF(K193:P193,"Tidak dinilai")=6,"Tidak dinilai",IF(COUNTIF(K193:P193,"Kurang")&gt;0,"Kurang cocok",IF(COUNTIF(K193:P193,"Belum ada data")&gt;0,"Data belum lengkap",IF(COUNTIF(K193:P193,"Cukup")&gt;0,"Bisa, dengan catatan","Cocok")))))</f>
        <v>Bisa, dengan catatan</v>
      </c>
      <c r="R193" s="33" t="str">
        <f aca="false">IF($A193="","",IF(K193="Kurang","prosesor tingkat "&amp;C193&amp;" dari 5, di bawah batas minimal (tingkat "&amp;Aturan!$C$48&amp;")",IF(K193="Cukup","prosesor tingkat "&amp;C193&amp;" dari 5 cukup, nyamannya mulai tingkat "&amp;Aturan!$D$48,IF(K193="Belum ada data","tingkat prosesor belum diisi",""))))</f>
        <v>prosesor tingkat 2 dari 5 cukup, nyamannya mulai tingkat 3</v>
      </c>
      <c r="S193" s="33" t="str">
        <f aca="false">IF($A193="","",IF(L193="Kurang","grafis tingkat "&amp;D193&amp;" dari 5, di bawah batas minimal (tingkat "&amp;Aturan!$C$49&amp;")",IF(L193="Cukup","grafis tingkat "&amp;D193&amp;" dari 5 cukup, nyamannya mulai tingkat "&amp;Aturan!$D$49,IF(L193="Belum ada data","tingkat grafis belum diisi",""))))</f>
        <v/>
      </c>
      <c r="T193" s="33" t="str">
        <f aca="false">IF($A193="","",IF(M193="Kurang","RAM "&amp;E193&amp;" GB, di bawah batas minimal "&amp;Aturan!$C$50&amp;" GB ("&amp;I193&amp;")",IF(M193="Cukup","RAM "&amp;E193&amp;" GB cukup, nyamannya "&amp;Aturan!$D$50&amp;" GB atau lebih ("&amp;I193&amp;")",IF(M193="Belum ada data","ukuran RAM belum diisi",""))))</f>
        <v/>
      </c>
      <c r="U193" s="33" t="str">
        <f aca="false">IF($A193="","",IF(N193="Kurang","penyimpanan "&amp;F193&amp;" GB, di bawah batas minimal "&amp;Aturan!$C$51&amp;" GB ("&amp;J193&amp;")",IF(N193="Cukup","penyimpanan "&amp;F193&amp;" GB cukup, nyamannya "&amp;Aturan!$D$51&amp;" GB atau lebih ("&amp;J193&amp;")",IF(N193="Belum ada data","ukuran penyimpanan belum diisi",""))))</f>
        <v/>
      </c>
      <c r="V193" s="33" t="str">
        <f aca="false">IF($A193="","",IF(O193="Kurang","layar "&amp;Varian!$AG42&amp;", di bawah batas minimal ("&amp;IFERROR(INDEX(Aturan!$A$63:$A$66,MATCH(Aturan!$C$52,Aturan!$B$63:$B$66,0)),"peringkat "&amp;Aturan!$C$52)&amp;")",IF(O193="Cukup","layar "&amp;Varian!$AG42&amp;" cukup, nyamannya "&amp;IFERROR(INDEX(Aturan!$A$63:$A$66,MATCH(Aturan!$D$52,Aturan!$B$63:$B$66,0)),"peringkat "&amp;Aturan!$D$52),IF(O193="Belum ada data","jenis layar belum diketahui",""))))</f>
        <v/>
      </c>
      <c r="W193" s="33" t="str">
        <f aca="false">IF($A193="","",IF(P193="Kurang","layar "&amp;H193&amp;" Hz, di bawah batas minimal "&amp;Aturan!$C$53&amp;" Hz",IF(P193="Cukup","layar "&amp;H193&amp;" Hz cukup, nyamannya "&amp;Aturan!$D$53&amp;" Hz atau lebih",IF(P193="Belum ada data","refresh rate belum diketahui",""))))</f>
        <v/>
      </c>
      <c r="X193" s="33" t="str">
        <f aca="false">IF($A193="","",IF(K193="Kurang",R193&amp;"; ","")&amp;IF(L193="Kurang",S193&amp;"; ","")&amp;IF(M193="Kurang",T193&amp;"; ","")&amp;IF(N193="Kurang",U193&amp;"; ","")&amp;IF(O193="Kurang",V193&amp;"; ","")&amp;IF(P193="Kurang",W193&amp;"; ","")&amp;IF(K193="Belum ada data",R193&amp;"; ","")&amp;IF(L193="Belum ada data",S193&amp;"; ","")&amp;IF(M193="Belum ada data",T193&amp;"; ","")&amp;IF(N193="Belum ada data",U193&amp;"; ","")&amp;IF(O193="Belum ada data",V193&amp;"; ","")&amp;IF(P193="Belum ada data",W193&amp;"; ","")&amp;IF(K193="Cukup",R193&amp;"; ","")&amp;IF(L193="Cukup",S193&amp;"; ","")&amp;IF(M193="Cukup",T193&amp;"; ","")&amp;IF(N193="Cukup",U193&amp;"; ","")&amp;IF(O193="Cukup",V193&amp;"; ","")&amp;IF(P193="Cukup",W193&amp;"; ",""))</f>
        <v>prosesor tingkat 2 dari 5 cukup, nyamannya mulai tingkat 3; </v>
      </c>
      <c r="Y193" s="33" t="str">
        <f aca="false">IF($A193="","",IF(K193="Nyaman","prosesor, ","")&amp;IF(L193="Nyaman","grafis, ","")&amp;IF(M193="Nyaman","RAM, ","")&amp;IF(N193="Nyaman","penyimpanan, ","")&amp;IF(O193="Nyaman","layar, ","")&amp;IF(P193="Nyaman","refresh rate, ",""))</f>
        <v>grafis, RAM, penyimpanan, </v>
      </c>
      <c r="Z193" s="33" t="str">
        <f aca="false">IF($A193="","",IF(Q193="Tidak dinilai","Belum ada kriteria yang dinilai untuk kebutuhan ini.",IF(Q193="Cocok","Semua kriteria yang dinilai sudah nyaman: "&amp;LEFT(Y193,LEN(Y193)-2)&amp;".",UPPER(LEFT(X193,1))&amp;MID(X193,2,LEN(X193)-3)&amp;"."&amp;IF(Y193="",""," Sudah nyaman: "&amp;LEFT(Y193,LEN(Y193)-2)&amp;"."))))</f>
        <v>Prosesor tingkat 2 dari 5 cukup, nyamannya mulai tingkat 3. Sudah nyaman: grafis, RAM, penyimpanan.</v>
      </c>
      <c r="AA193" s="33"/>
      <c r="AB193" s="33"/>
      <c r="AC193" s="69"/>
    </row>
    <row r="194" customFormat="false" ht="15" hidden="false" customHeight="true" outlineLevel="0" collapsed="false">
      <c r="A194" s="33" t="str">
        <f aca="false">IF(Varian!$A42="","",Varian!$A42)</f>
        <v>acer-aspire-lite-14-al14-32p-n355-8-512</v>
      </c>
      <c r="B194" s="33" t="str">
        <f aca="false">IF($A194="","",Aturan!$A$25)</f>
        <v>Game berat</v>
      </c>
      <c r="C194" s="69" t="n">
        <f aca="false">IF($A194="","",IFERROR(IF(ISNUMBER(INDEX(CPU!$J$4:$J$64,MATCH(Varian!$J42,CPU!$A$4:$A$64,0))),INDEX(CPU!$J$4:$J$64,MATCH(Varian!$J42,CPU!$A$4:$A$64,0)),""),""))</f>
        <v>2</v>
      </c>
      <c r="D194" s="69" t="n">
        <f aca="false">IF($A194="","",IFERROR(IF(ISNUMBER(INDEX(GPU!$G$4:$G$64,MATCH(Varian!$K42,GPU!$A$4:$A$64,0))),INDEX(GPU!$G$4:$G$64,MATCH(Varian!$K42,GPU!$A$4:$A$64,0)),""),""))</f>
        <v>2</v>
      </c>
      <c r="E194" s="69" t="n">
        <f aca="false">IF($A194="","",IF(ISNUMBER(Varian!$M42),Varian!$M42,""))</f>
        <v>8</v>
      </c>
      <c r="F194" s="69" t="n">
        <f aca="false">IF($A194="","",IF(ISNUMBER(Varian!$V42),Varian!$V42,""))</f>
        <v>512</v>
      </c>
      <c r="G194" s="69" t="n">
        <f aca="false">IF($A194="","",IFERROR(INDEX(Aturan!$B$63:$B$66,MATCH(Varian!$AG42,Aturan!$A$63:$A$66,0)),""))</f>
        <v>3</v>
      </c>
      <c r="H194" s="69" t="n">
        <f aca="false">IF($A194="","",IF(ISNUMBER(Varian!$AI42),Varian!$AI42,""))</f>
        <v>60</v>
      </c>
      <c r="I194" s="33" t="str">
        <f aca="false">IF($A194="","",IF(Varian!$Q42="disolder","menempel di papan utama, tidak bisa ditambah",IF(OR(Varian!$Q42="slot",Varian!$Q42="setengah_disolder"),IF(Varian!$Q42="setengah_disolder","sebagian menempel, ","")&amp;IF(ISNUMBER(Varian!$U42),IF(AND(ISNUMBER(Varian!$M42),Varian!$U42&gt;Varian!$M42),"bisa dinaikkan lewat slot sampai "&amp;Varian!$U42&amp;" GB","sudah di batas maksimal "&amp;Varian!$U42&amp;" GB"),"ada slot, batas maksimalnya belum diketahui"),"belum diketahui apakah bisa ditambah")))</f>
        <v>ada slot, batas maksimalnya belum diketahui</v>
      </c>
      <c r="J194" s="33" t="str">
        <f aca="false">IF($A194="","",IF(Varian!$Z42="ya","bisa diganti dengan yang lebih besar",IF(Varian!$Z42="tidak","menempel, tidak bisa diganti","belum diketahui apakah bisa diganti")))</f>
        <v>belum diketahui apakah bisa diganti</v>
      </c>
      <c r="K194" s="70" t="str">
        <f aca="false">IF($A194="","",IF(AND(Aturan!$C$54="",Aturan!$D$54=""),"Tidak dinilai",IF(C194="","Belum ada data",IF(C194&lt;IF(Aturan!$C$54="",0,Aturan!$C$54),"Kurang",IF(C194&gt;=IF(Aturan!$D$54="",Aturan!$C$54,Aturan!$D$54),"Nyaman","Cukup")))))</f>
        <v>Kurang</v>
      </c>
      <c r="L194" s="70" t="str">
        <f aca="false">IF($A194="","",IF(AND(Aturan!$C$55="",Aturan!$D$55=""),"Tidak dinilai",IF(D194="","Belum ada data",IF(D194&lt;IF(Aturan!$C$55="",0,Aturan!$C$55),"Kurang",IF(D194&gt;=IF(Aturan!$D$55="",Aturan!$C$55,Aturan!$D$55),"Nyaman","Cukup")))))</f>
        <v>Kurang</v>
      </c>
      <c r="M194" s="70" t="str">
        <f aca="false">IF($A194="","",IF(AND(Aturan!$C$56="",Aturan!$D$56=""),"Tidak dinilai",IF(E194="","Belum ada data",IF(E194&lt;IF(Aturan!$C$56="",0,Aturan!$C$56),"Kurang",IF(E194&gt;=IF(Aturan!$D$56="",Aturan!$C$56,Aturan!$D$56),"Nyaman","Cukup")))))</f>
        <v>Cukup</v>
      </c>
      <c r="N194" s="70" t="str">
        <f aca="false">IF($A194="","",IF(AND(Aturan!$C$57="",Aturan!$D$57=""),"Tidak dinilai",IF(F194="","Belum ada data",IF(F194&lt;IF(Aturan!$C$57="",0,Aturan!$C$57),"Kurang",IF(F194&gt;=IF(Aturan!$D$57="",Aturan!$C$57,Aturan!$D$57),"Nyaman","Cukup")))))</f>
        <v>Cukup</v>
      </c>
      <c r="O194" s="70" t="str">
        <f aca="false">IF($A194="","",IF(AND(Aturan!$C$58="",Aturan!$D$58=""),"Tidak dinilai",IF(G194="","Belum ada data",IF(G194&lt;IF(Aturan!$C$58="",0,Aturan!$C$58),"Kurang",IF(G194&gt;=IF(Aturan!$D$58="",Aturan!$C$58,Aturan!$D$58),"Nyaman","Cukup")))))</f>
        <v>Tidak dinilai</v>
      </c>
      <c r="P194" s="70" t="str">
        <f aca="false">IF($A194="","",IF(AND(Aturan!$C$59="",Aturan!$D$59=""),"Tidak dinilai",IF(H194="","Belum ada data",IF(H194&lt;IF(Aturan!$C$59="",0,Aturan!$C$59),"Kurang",IF(H194&gt;=IF(Aturan!$D$59="",Aturan!$C$59,Aturan!$D$59),"Nyaman","Cukup")))))</f>
        <v>Cukup</v>
      </c>
      <c r="Q194" s="70" t="str">
        <f aca="false">IF($A194="","",IF(COUNTIF(K194:P194,"Tidak dinilai")=6,"Tidak dinilai",IF(COUNTIF(K194:P194,"Kurang")&gt;0,"Kurang cocok",IF(COUNTIF(K194:P194,"Belum ada data")&gt;0,"Data belum lengkap",IF(COUNTIF(K194:P194,"Cukup")&gt;0,"Bisa, dengan catatan","Cocok")))))</f>
        <v>Kurang cocok</v>
      </c>
      <c r="R194" s="33" t="str">
        <f aca="false">IF($A194="","",IF(K194="Kurang","prosesor tingkat "&amp;C194&amp;" dari 5, di bawah batas minimal (tingkat "&amp;Aturan!$C$54&amp;")",IF(K194="Cukup","prosesor tingkat "&amp;C194&amp;" dari 5 cukup, nyamannya mulai tingkat "&amp;Aturan!$D$54,IF(K194="Belum ada data","tingkat prosesor belum diisi",""))))</f>
        <v>prosesor tingkat 2 dari 5, di bawah batas minimal (tingkat 3)</v>
      </c>
      <c r="S194" s="33" t="str">
        <f aca="false">IF($A194="","",IF(L194="Kurang","grafis tingkat "&amp;D194&amp;" dari 5, di bawah batas minimal (tingkat "&amp;Aturan!$C$55&amp;")",IF(L194="Cukup","grafis tingkat "&amp;D194&amp;" dari 5 cukup, nyamannya mulai tingkat "&amp;Aturan!$D$55,IF(L194="Belum ada data","tingkat grafis belum diisi",""))))</f>
        <v>grafis tingkat 2 dari 5, di bawah batas minimal (tingkat 3)</v>
      </c>
      <c r="T194" s="33" t="str">
        <f aca="false">IF($A194="","",IF(M194="Kurang","RAM "&amp;E194&amp;" GB, di bawah batas minimal "&amp;Aturan!$C$56&amp;" GB ("&amp;I194&amp;")",IF(M194="Cukup","RAM "&amp;E194&amp;" GB cukup, nyamannya "&amp;Aturan!$D$56&amp;" GB atau lebih ("&amp;I194&amp;")",IF(M194="Belum ada data","ukuran RAM belum diisi",""))))</f>
        <v>RAM 8 GB cukup, nyamannya 16 GB atau lebih (ada slot, batas maksimalnya belum diketahui)</v>
      </c>
      <c r="U194" s="33" t="str">
        <f aca="false">IF($A194="","",IF(N194="Kurang","penyimpanan "&amp;F194&amp;" GB, di bawah batas minimal "&amp;Aturan!$C$57&amp;" GB ("&amp;J194&amp;")",IF(N194="Cukup","penyimpanan "&amp;F194&amp;" GB cukup, nyamannya "&amp;Aturan!$D$57&amp;" GB atau lebih ("&amp;J194&amp;")",IF(N194="Belum ada data","ukuran penyimpanan belum diisi",""))))</f>
        <v>penyimpanan 512 GB cukup, nyamannya 1000 GB atau lebih (belum diketahui apakah bisa diganti)</v>
      </c>
      <c r="V194" s="33" t="str">
        <f aca="false">IF($A194="","",IF(O194="Kurang","layar "&amp;Varian!$AG42&amp;", di bawah batas minimal ("&amp;IFERROR(INDEX(Aturan!$A$63:$A$66,MATCH(Aturan!$C$58,Aturan!$B$63:$B$66,0)),"peringkat "&amp;Aturan!$C$58)&amp;")",IF(O194="Cukup","layar "&amp;Varian!$AG42&amp;" cukup, nyamannya "&amp;IFERROR(INDEX(Aturan!$A$63:$A$66,MATCH(Aturan!$D$58,Aturan!$B$63:$B$66,0)),"peringkat "&amp;Aturan!$D$58),IF(O194="Belum ada data","jenis layar belum diketahui",""))))</f>
        <v/>
      </c>
      <c r="W194" s="33" t="str">
        <f aca="false">IF($A194="","",IF(P194="Kurang","layar "&amp;H194&amp;" Hz, di bawah batas minimal "&amp;Aturan!$C$59&amp;" Hz",IF(P194="Cukup","layar "&amp;H194&amp;" Hz cukup, nyamannya "&amp;Aturan!$D$59&amp;" Hz atau lebih",IF(P194="Belum ada data","refresh rate belum diketahui",""))))</f>
        <v>layar 60 Hz cukup, nyamannya 120 Hz atau lebih</v>
      </c>
      <c r="X194" s="33" t="str">
        <f aca="false">IF($A194="","",IF(K194="Kurang",R194&amp;"; ","")&amp;IF(L194="Kurang",S194&amp;"; ","")&amp;IF(M194="Kurang",T194&amp;"; ","")&amp;IF(N194="Kurang",U194&amp;"; ","")&amp;IF(O194="Kurang",V194&amp;"; ","")&amp;IF(P194="Kurang",W194&amp;"; ","")&amp;IF(K194="Belum ada data",R194&amp;"; ","")&amp;IF(L194="Belum ada data",S194&amp;"; ","")&amp;IF(M194="Belum ada data",T194&amp;"; ","")&amp;IF(N194="Belum ada data",U194&amp;"; ","")&amp;IF(O194="Belum ada data",V194&amp;"; ","")&amp;IF(P194="Belum ada data",W194&amp;"; ","")&amp;IF(K194="Cukup",R194&amp;"; ","")&amp;IF(L194="Cukup",S194&amp;"; ","")&amp;IF(M194="Cukup",T194&amp;"; ","")&amp;IF(N194="Cukup",U194&amp;"; ","")&amp;IF(O194="Cukup",V194&amp;"; ","")&amp;IF(P194="Cukup",W194&amp;"; ",""))</f>
        <v>prosesor tingkat 2 dari 5, di bawah batas minimal (tingkat 3); grafis tingkat 2 dari 5, di bawah batas minimal (tingkat 3); RAM 8 GB cukup, nyamannya 16 GB atau lebih (ada slot, batas maksimalnya belum diketahui); penyimpanan 512 GB cukup, nyamannya 1000 GB atau lebih (belum diketahui apakah bisa diganti); layar 60 Hz cukup, nyamannya 120 Hz atau lebih; </v>
      </c>
      <c r="Y194" s="33" t="str">
        <f aca="false">IF($A194="","",IF(K194="Nyaman","prosesor, ","")&amp;IF(L194="Nyaman","grafis, ","")&amp;IF(M194="Nyaman","RAM, ","")&amp;IF(N194="Nyaman","penyimpanan, ","")&amp;IF(O194="Nyaman","layar, ","")&amp;IF(P194="Nyaman","refresh rate, ",""))</f>
        <v/>
      </c>
      <c r="Z194" s="33" t="str">
        <f aca="false">IF($A194="","",IF(Q194="Tidak dinilai","Belum ada kriteria yang dinilai untuk kebutuhan ini.",IF(Q194="Cocok","Semua kriteria yang dinilai sudah nyaman: "&amp;LEFT(Y194,LEN(Y194)-2)&amp;".",UPPER(LEFT(X194,1))&amp;MID(X194,2,LEN(X194)-3)&amp;"."&amp;IF(Y194="",""," Sudah nyaman: "&amp;LEFT(Y194,LEN(Y194)-2)&amp;"."))))</f>
        <v>Prosesor tingkat 2 dari 5, di bawah batas minimal (tingkat 3); grafis tingkat 2 dari 5, di bawah batas minimal (tingkat 3); RAM 8 GB cukup, nyamannya 16 GB atau lebih (ada slot, batas maksimalnya belum diketahui); penyimpanan 512 GB cukup, nyamannya 1000 GB atau lebih (belum diketahui apakah bisa diganti); layar 60 Hz cukup, nyamannya 120 Hz atau lebih.</v>
      </c>
      <c r="AA194" s="33"/>
      <c r="AB194" s="33"/>
      <c r="AC194" s="69"/>
    </row>
    <row r="195" customFormat="false" ht="15" hidden="false" customHeight="true" outlineLevel="0" collapsed="false">
      <c r="A195" s="66" t="str">
        <f aca="false">IF(Varian!$A43="","",Varian!$A43)</f>
        <v>axioo-hype-5-gen-12-v2-i5-1235u-8-256</v>
      </c>
      <c r="B195" s="66" t="str">
        <f aca="false">IF($A195="","",Aturan!$A$21)</f>
        <v>Kuliah dan kantor</v>
      </c>
      <c r="C195" s="67" t="n">
        <f aca="false">IF($A195="","",IFERROR(IF(ISNUMBER(INDEX(CPU!$J$4:$J$64,MATCH(Varian!$J43,CPU!$A$4:$A$64,0))),INDEX(CPU!$J$4:$J$64,MATCH(Varian!$J43,CPU!$A$4:$A$64,0)),""),""))</f>
        <v>3</v>
      </c>
      <c r="D195" s="67" t="n">
        <f aca="false">IF($A195="","",IFERROR(IF(ISNUMBER(INDEX(GPU!$G$4:$G$64,MATCH(Varian!$K43,GPU!$A$4:$A$64,0))),INDEX(GPU!$G$4:$G$64,MATCH(Varian!$K43,GPU!$A$4:$A$64,0)),""),""))</f>
        <v>2</v>
      </c>
      <c r="E195" s="67" t="n">
        <f aca="false">IF($A195="","",IF(ISNUMBER(Varian!$M43),Varian!$M43,""))</f>
        <v>8</v>
      </c>
      <c r="F195" s="67" t="n">
        <f aca="false">IF($A195="","",IF(ISNUMBER(Varian!$V43),Varian!$V43,""))</f>
        <v>256</v>
      </c>
      <c r="G195" s="67" t="n">
        <f aca="false">IF($A195="","",IFERROR(INDEX(Aturan!$B$63:$B$66,MATCH(Varian!$AG43,Aturan!$A$63:$A$66,0)),""))</f>
        <v>3</v>
      </c>
      <c r="H195" s="67" t="n">
        <f aca="false">IF($A195="","",IF(ISNUMBER(Varian!$AI43),Varian!$AI43,""))</f>
        <v>60</v>
      </c>
      <c r="I195" s="66" t="str">
        <f aca="false">IF($A195="","",IF(Varian!$Q43="disolder","menempel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bisa dinaikkan lewat slot sampai 64 GB</v>
      </c>
      <c r="J195" s="66" t="str">
        <f aca="false">IF($A195="","",IF(Varian!$Z43="ya","bisa diganti dengan yang lebih besar",IF(Varian!$Z43="tidak","menempel, tidak bisa diganti","belum diketahui apakah bisa diganti")))</f>
        <v>bisa diganti dengan yang lebih besar</v>
      </c>
      <c r="K195" s="68" t="str">
        <f aca="false">IF($A195="","",IF(AND(Aturan!$C$30="",Aturan!$D$30=""),"Tidak dinilai",IF(C195="","Belum ada data",IF(C195&lt;IF(Aturan!$C$30="",0,Aturan!$C$30),"Kurang",IF(C195&gt;=IF(Aturan!$D$30="",Aturan!$C$30,Aturan!$D$30),"Nyaman","Cukup")))))</f>
        <v>Nyaman</v>
      </c>
      <c r="L195" s="68" t="str">
        <f aca="false">IF($A195="","",IF(AND(Aturan!$C$31="",Aturan!$D$31=""),"Tidak dinilai",IF(D195="","Belum ada data",IF(D195&lt;IF(Aturan!$C$31="",0,Aturan!$C$31),"Kurang",IF(D195&gt;=IF(Aturan!$D$31="",Aturan!$C$31,Aturan!$D$31),"Nyaman","Cukup")))))</f>
        <v>Tidak dinilai</v>
      </c>
      <c r="M195" s="68" t="str">
        <f aca="false">IF($A195="","",IF(AND(Aturan!$C$32="",Aturan!$D$32=""),"Tidak dinilai",IF(E195="","Belum ada data",IF(E195&lt;IF(Aturan!$C$32="",0,Aturan!$C$32),"Kurang",IF(E195&gt;=IF(Aturan!$D$32="",Aturan!$C$32,Aturan!$D$32),"Nyaman","Cukup")))))</f>
        <v>Nyaman</v>
      </c>
      <c r="N195" s="68" t="str">
        <f aca="false">IF($A195="","",IF(AND(Aturan!$C$33="",Aturan!$D$33=""),"Tidak dinilai",IF(F195="","Belum ada data",IF(F195&lt;IF(Aturan!$C$33="",0,Aturan!$C$33),"Kurang",IF(F195&gt;=IF(Aturan!$D$33="",Aturan!$C$33,Aturan!$D$33),"Nyaman","Cukup")))))</f>
        <v>Nyaman</v>
      </c>
      <c r="O195" s="68" t="str">
        <f aca="false">IF($A195="","",IF(AND(Aturan!$C$34="",Aturan!$D$34=""),"Tidak dinilai",IF(G195="","Belum ada data",IF(G195&lt;IF(Aturan!$C$34="",0,Aturan!$C$34),"Kurang",IF(G195&gt;=IF(Aturan!$D$34="",Aturan!$C$34,Aturan!$D$34),"Nyaman","Cukup")))))</f>
        <v>Tidak dinilai</v>
      </c>
      <c r="P195" s="68" t="str">
        <f aca="false">IF($A195="","",IF(AND(Aturan!$C$35="",Aturan!$D$35=""),"Tidak dinilai",IF(H195="","Belum ada data",IF(H195&lt;IF(Aturan!$C$35="",0,Aturan!$C$35),"Kurang",IF(H195&gt;=IF(Aturan!$D$35="",Aturan!$C$35,Aturan!$D$35),"Nyaman","Cukup")))))</f>
        <v>Tidak dinilai</v>
      </c>
      <c r="Q195" s="68" t="str">
        <f aca="false">IF($A195="","",IF(COUNTIF(K195:P195,"Tidak dinilai")=6,"Tidak dinilai",IF(COUNTIF(K195:P195,"Kurang")&gt;0,"Kurang cocok",IF(COUNTIF(K195:P195,"Belum ada data")&gt;0,"Data belum lengkap",IF(COUNTIF(K195:P195,"Cukup")&gt;0,"Bisa, dengan catatan","Cocok")))))</f>
        <v>Cocok</v>
      </c>
      <c r="R195" s="66" t="str">
        <f aca="false">IF($A195="","",IF(K195="Kurang","prosesor tingkat "&amp;C195&amp;" dari 5, di bawah batas minimal (tingkat "&amp;Aturan!$C$30&amp;")",IF(K195="Cukup","prosesor tingkat "&amp;C195&amp;" dari 5 cukup, nyamannya mulai tingkat "&amp;Aturan!$D$30,IF(K195="Belum ada data","tingkat prosesor belum diisi",""))))</f>
        <v/>
      </c>
      <c r="S195" s="66" t="str">
        <f aca="false">IF($A195="","",IF(L195="Kurang","grafis tingkat "&amp;D195&amp;" dari 5, di bawah batas minimal (tingkat "&amp;Aturan!$C$31&amp;")",IF(L195="Cukup","grafis tingkat "&amp;D195&amp;" dari 5 cukup, nyamannya mulai tingkat "&amp;Aturan!$D$31,IF(L195="Belum ada data","tingkat grafis belum diisi",""))))</f>
        <v/>
      </c>
      <c r="T195" s="66" t="str">
        <f aca="false">IF($A195="","",IF(M195="Kurang","RAM "&amp;E195&amp;" GB, di bawah batas minimal "&amp;Aturan!$C$32&amp;" GB ("&amp;I195&amp;")",IF(M195="Cukup","RAM "&amp;E195&amp;" GB cukup, nyamannya "&amp;Aturan!$D$32&amp;" GB atau lebih ("&amp;I195&amp;")",IF(M195="Belum ada data","ukuran RAM belum diisi",""))))</f>
        <v/>
      </c>
      <c r="U195" s="66" t="str">
        <f aca="false">IF($A195="","",IF(N195="Kurang","penyimpanan "&amp;F195&amp;" GB, di bawah batas minimal "&amp;Aturan!$C$33&amp;" GB ("&amp;J195&amp;")",IF(N195="Cukup","penyimpanan "&amp;F195&amp;" GB cukup, nyamannya "&amp;Aturan!$D$33&amp;" GB atau lebih ("&amp;J195&amp;")",IF(N195="Belum ada data","ukuran penyimpanan belum diisi",""))))</f>
        <v/>
      </c>
      <c r="V195" s="66" t="str">
        <f aca="false">IF($A195="","",IF(O195="Kurang","layar "&amp;Varian!$AG43&amp;", di bawah batas minimal ("&amp;IFERROR(INDEX(Aturan!$A$63:$A$66,MATCH(Aturan!$C$34,Aturan!$B$63:$B$66,0)),"peringkat "&amp;Aturan!$C$34)&amp;")",IF(O195="Cukup","layar "&amp;Varian!$AG43&amp;" cukup, nyamannya "&amp;IFERROR(INDEX(Aturan!$A$63:$A$66,MATCH(Aturan!$D$34,Aturan!$B$63:$B$66,0)),"peringkat "&amp;Aturan!$D$34),IF(O195="Belum ada data","jenis layar belum diketahui",""))))</f>
        <v/>
      </c>
      <c r="W195" s="66" t="str">
        <f aca="false">IF($A195="","",IF(P195="Kurang","layar "&amp;H195&amp;" Hz, di bawah batas minimal "&amp;Aturan!$C$35&amp;" Hz",IF(P195="Cukup","layar "&amp;H195&amp;" Hz cukup, nyamannya "&amp;Aturan!$D$35&amp;" Hz atau lebih",IF(P195="Belum ada data","refresh rate belum diketahui",""))))</f>
        <v/>
      </c>
      <c r="X195" s="66" t="str">
        <f aca="false">IF($A195="","",IF(K195="Kurang",R195&amp;"; ","")&amp;IF(L195="Kurang",S195&amp;"; ","")&amp;IF(M195="Kurang",T195&amp;"; ","")&amp;IF(N195="Kurang",U195&amp;"; ","")&amp;IF(O195="Kurang",V195&amp;"; ","")&amp;IF(P195="Kurang",W195&amp;"; ","")&amp;IF(K195="Belum ada data",R195&amp;"; ","")&amp;IF(L195="Belum ada data",S195&amp;"; ","")&amp;IF(M195="Belum ada data",T195&amp;"; ","")&amp;IF(N195="Belum ada data",U195&amp;"; ","")&amp;IF(O195="Belum ada data",V195&amp;"; ","")&amp;IF(P195="Belum ada data",W195&amp;"; ","")&amp;IF(K195="Cukup",R195&amp;"; ","")&amp;IF(L195="Cukup",S195&amp;"; ","")&amp;IF(M195="Cukup",T195&amp;"; ","")&amp;IF(N195="Cukup",U195&amp;"; ","")&amp;IF(O195="Cukup",V195&amp;"; ","")&amp;IF(P195="Cukup",W195&amp;"; ",""))</f>
        <v/>
      </c>
      <c r="Y195" s="66" t="str">
        <f aca="false">IF($A195="","",IF(K195="Nyaman","prosesor, ","")&amp;IF(L195="Nyaman","grafis, ","")&amp;IF(M195="Nyaman","RAM, ","")&amp;IF(N195="Nyaman","penyimpanan, ","")&amp;IF(O195="Nyaman","layar, ","")&amp;IF(P195="Nyaman","refresh rate, ",""))</f>
        <v>prosesor, RAM, penyimpanan, </v>
      </c>
      <c r="Z195" s="66" t="str">
        <f aca="false">IF($A195="","",IF(Q195="Tidak dinilai","Belum ada kriteria yang dinilai untuk kebutuhan ini.",IF(Q195="Cocok","Semua kriteria yang dinilai sudah nyaman: "&amp;LEFT(Y195,LEN(Y195)-2)&amp;".",UPPER(LEFT(X195,1))&amp;MID(X195,2,LEN(X195)-3)&amp;"."&amp;IF(Y195="",""," Sudah nyaman: "&amp;LEFT(Y195,LEN(Y195)-2)&amp;"."))))</f>
        <v>Semua kriteria yang dinilai sudah nyaman: prosesor, RAM, penyimpanan.</v>
      </c>
      <c r="AA195" s="66" t="str">
        <f aca="false">IF($A195="","",IF(Varian!$AR43="Windows 10","• "&amp;Aturan!$E$71&amp;CHAR(10),"")&amp;IF(Varian!$BB43="tidak","• "&amp;Aturan!$E$72&amp;CHAR(10),"")&amp;IF(OR(Varian!$AD43="belum terverifikasi",Varian!$AD43="tidak diketahui"),"• "&amp;Aturan!$E$73&amp;CHAR(10),"")&amp;IF(Varian!$AH43="1366x768","• "&amp;Aturan!$E$74&amp;CHAR(10),"")&amp;IF(Varian!$AG43="TN","• "&amp;Aturan!$E$75&amp;CHAR(10),"")&amp;IF(AND(Varian!$Q43="disolder",ISNUMBER(Varian!$M43),Varian!$M43&lt;=8),"• "&amp;Aturan!$E$76&amp;CHAR(10),""))</f>
        <v/>
      </c>
      <c r="AB195" s="66" t="str">
        <f aca="false">IF($A195="","",IF(AA195="","",LEFT(AA195,LEN(AA195)-1)))</f>
        <v/>
      </c>
      <c r="AC195" s="67" t="n">
        <f aca="false">IF($A195="","",IF(AA195="",0,LEN(AA195)-LEN(SUBSTITUTE(AA195,CHAR(10),""))))</f>
        <v>0</v>
      </c>
    </row>
    <row r="196" customFormat="false" ht="15" hidden="false" customHeight="true" outlineLevel="0" collapsed="false">
      <c r="A196" s="33" t="str">
        <f aca="false">IF(Varian!$A43="","",Varian!$A43)</f>
        <v>axioo-hype-5-gen-12-v2-i5-1235u-8-256</v>
      </c>
      <c r="B196" s="33" t="str">
        <f aca="false">IF($A196="","",Aturan!$A$22)</f>
        <v>Desain grafis</v>
      </c>
      <c r="C196" s="69" t="n">
        <f aca="false">IF($A196="","",IFERROR(IF(ISNUMBER(INDEX(CPU!$J$4:$J$64,MATCH(Varian!$J43,CPU!$A$4:$A$64,0))),INDEX(CPU!$J$4:$J$64,MATCH(Varian!$J43,CPU!$A$4:$A$64,0)),""),""))</f>
        <v>3</v>
      </c>
      <c r="D196" s="69" t="n">
        <f aca="false">IF($A196="","",IFERROR(IF(ISNUMBER(INDEX(GPU!$G$4:$G$64,MATCH(Varian!$K43,GPU!$A$4:$A$64,0))),INDEX(GPU!$G$4:$G$64,MATCH(Varian!$K43,GPU!$A$4:$A$64,0)),""),""))</f>
        <v>2</v>
      </c>
      <c r="E196" s="69" t="n">
        <f aca="false">IF($A196="","",IF(ISNUMBER(Varian!$M43),Varian!$M43,""))</f>
        <v>8</v>
      </c>
      <c r="F196" s="69" t="n">
        <f aca="false">IF($A196="","",IF(ISNUMBER(Varian!$V43),Varian!$V43,""))</f>
        <v>256</v>
      </c>
      <c r="G196" s="69" t="n">
        <f aca="false">IF($A196="","",IFERROR(INDEX(Aturan!$B$63:$B$66,MATCH(Varian!$AG43,Aturan!$A$63:$A$66,0)),""))</f>
        <v>3</v>
      </c>
      <c r="H196" s="69" t="n">
        <f aca="false">IF($A196="","",IF(ISNUMBER(Varian!$AI43),Varian!$AI43,""))</f>
        <v>60</v>
      </c>
      <c r="I196" s="33" t="str">
        <f aca="false">IF($A196="","",IF(Varian!$Q43="disolder","menempel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bisa dinaikkan lewat slot sampai 64 GB</v>
      </c>
      <c r="J196" s="33" t="str">
        <f aca="false">IF($A196="","",IF(Varian!$Z43="ya","bisa diganti dengan yang lebih besar",IF(Varian!$Z43="tidak","menempel, tidak bisa diganti","belum diketahui apakah bisa diganti")))</f>
        <v>bisa diganti dengan yang lebih besar</v>
      </c>
      <c r="K196" s="70" t="str">
        <f aca="false">IF($A196="","",IF(AND(Aturan!$C$36="",Aturan!$D$36=""),"Tidak dinilai",IF(C196="","Belum ada data",IF(C196&lt;IF(Aturan!$C$36="",0,Aturan!$C$36),"Kurang",IF(C196&gt;=IF(Aturan!$D$36="",Aturan!$C$36,Aturan!$D$36),"Nyaman","Cukup")))))</f>
        <v>Nyaman</v>
      </c>
      <c r="L196" s="70" t="str">
        <f aca="false">IF($A196="","",IF(AND(Aturan!$C$37="",Aturan!$D$37=""),"Tidak dinilai",IF(D196="","Belum ada data",IF(D196&lt;IF(Aturan!$C$37="",0,Aturan!$C$37),"Kurang",IF(D196&gt;=IF(Aturan!$D$37="",Aturan!$C$37,Aturan!$D$37),"Nyaman","Cukup")))))</f>
        <v>Nyaman</v>
      </c>
      <c r="M196" s="70" t="str">
        <f aca="false">IF($A196="","",IF(AND(Aturan!$C$38="",Aturan!$D$38=""),"Tidak dinilai",IF(E196="","Belum ada data",IF(E196&lt;IF(Aturan!$C$38="",0,Aturan!$C$38),"Kurang",IF(E196&gt;=IF(Aturan!$D$38="",Aturan!$C$38,Aturan!$D$38),"Nyaman","Cukup")))))</f>
        <v>Cukup</v>
      </c>
      <c r="N196" s="70" t="str">
        <f aca="false">IF($A196="","",IF(AND(Aturan!$C$39="",Aturan!$D$39=""),"Tidak dinilai",IF(F196="","Belum ada data",IF(F196&lt;IF(Aturan!$C$39="",0,Aturan!$C$39),"Kurang",IF(F196&gt;=IF(Aturan!$D$39="",Aturan!$C$39,Aturan!$D$39),"Nyaman","Cukup")))))</f>
        <v>Cukup</v>
      </c>
      <c r="O196" s="70" t="str">
        <f aca="false">IF($A196="","",IF(AND(Aturan!$C$40="",Aturan!$D$40=""),"Tidak dinilai",IF(G196="","Belum ada data",IF(G196&lt;IF(Aturan!$C$40="",0,Aturan!$C$40),"Kurang",IF(G196&gt;=IF(Aturan!$D$40="",Aturan!$C$40,Aturan!$D$40),"Nyaman","Cukup")))))</f>
        <v>Cukup</v>
      </c>
      <c r="P196" s="70" t="str">
        <f aca="false">IF($A196="","",IF(AND(Aturan!$C$41="",Aturan!$D$41=""),"Tidak dinilai",IF(H196="","Belum ada data",IF(H196&lt;IF(Aturan!$C$41="",0,Aturan!$C$41),"Kurang",IF(H196&gt;=IF(Aturan!$D$41="",Aturan!$C$41,Aturan!$D$41),"Nyaman","Cukup")))))</f>
        <v>Tidak dinilai</v>
      </c>
      <c r="Q196" s="70" t="str">
        <f aca="false">IF($A196="","",IF(COUNTIF(K196:P196,"Tidak dinilai")=6,"Tidak dinilai",IF(COUNTIF(K196:P196,"Kurang")&gt;0,"Kurang cocok",IF(COUNTIF(K196:P196,"Belum ada data")&gt;0,"Data belum lengkap",IF(COUNTIF(K196:P196,"Cukup")&gt;0,"Bisa, dengan catatan","Cocok")))))</f>
        <v>Bisa, dengan catatan</v>
      </c>
      <c r="R196" s="33" t="str">
        <f aca="false">IF($A196="","",IF(K196="Kurang","prosesor tingkat "&amp;C196&amp;" dari 5, di bawah batas minimal (tingkat "&amp;Aturan!$C$36&amp;")",IF(K196="Cukup","prosesor tingkat "&amp;C196&amp;" dari 5 cukup, nyamannya mulai tingkat "&amp;Aturan!$D$36,IF(K196="Belum ada data","tingkat prosesor belum diisi",""))))</f>
        <v/>
      </c>
      <c r="S196" s="33" t="str">
        <f aca="false">IF($A196="","",IF(L196="Kurang","grafis tingkat "&amp;D196&amp;" dari 5, di bawah batas minimal (tingkat "&amp;Aturan!$C$37&amp;")",IF(L196="Cukup","grafis tingkat "&amp;D196&amp;" dari 5 cukup, nyamannya mulai tingkat "&amp;Aturan!$D$37,IF(L196="Belum ada data","tingkat grafis belum diisi",""))))</f>
        <v/>
      </c>
      <c r="T196" s="33" t="str">
        <f aca="false">IF($A196="","",IF(M196="Kurang","RAM "&amp;E196&amp;" GB, di bawah batas minimal "&amp;Aturan!$C$38&amp;" GB ("&amp;I196&amp;")",IF(M196="Cukup","RAM "&amp;E196&amp;" GB cukup, nyamannya "&amp;Aturan!$D$38&amp;" GB atau lebih ("&amp;I196&amp;")",IF(M196="Belum ada data","ukuran RAM belum diisi",""))))</f>
        <v>RAM 8 GB cukup, nyamannya 16 GB atau lebih (bisa dinaikkan lewat slot sampai 64 GB)</v>
      </c>
      <c r="U196" s="33" t="str">
        <f aca="false">IF($A196="","",IF(N196="Kurang","penyimpanan "&amp;F196&amp;" GB, di bawah batas minimal "&amp;Aturan!$C$39&amp;" GB ("&amp;J196&amp;")",IF(N196="Cukup","penyimpanan "&amp;F196&amp;" GB cukup, nyamannya "&amp;Aturan!$D$39&amp;" GB atau lebih ("&amp;J196&amp;")",IF(N196="Belum ada data","ukuran penyimpanan belum diisi",""))))</f>
        <v>penyimpanan 256 GB cukup, nyamannya 512 GB atau lebih (bisa diganti dengan yang lebih besar)</v>
      </c>
      <c r="V196" s="33" t="str">
        <f aca="false">IF($A196="","",IF(O196="Kurang","layar "&amp;Varian!$AG43&amp;", di bawah batas minimal ("&amp;IFERROR(INDEX(Aturan!$A$63:$A$66,MATCH(Aturan!$C$40,Aturan!$B$63:$B$66,0)),"peringkat "&amp;Aturan!$C$40)&amp;")",IF(O196="Cukup","layar "&amp;Varian!$AG43&amp;" cukup, nyamannya "&amp;IFERROR(INDEX(Aturan!$A$63:$A$66,MATCH(Aturan!$D$40,Aturan!$B$63:$B$66,0)),"peringkat "&amp;Aturan!$D$40),IF(O196="Belum ada data","jenis layar belum diketahui",""))))</f>
        <v>layar IPS cukup, nyamannya OLED</v>
      </c>
      <c r="W196" s="33" t="str">
        <f aca="false">IF($A196="","",IF(P196="Kurang","layar "&amp;H196&amp;" Hz, di bawah batas minimal "&amp;Aturan!$C$41&amp;" Hz",IF(P196="Cukup","layar "&amp;H196&amp;" Hz cukup, nyamannya "&amp;Aturan!$D$41&amp;" Hz atau lebih",IF(P196="Belum ada data","refresh rate belum diketahui",""))))</f>
        <v/>
      </c>
      <c r="X196" s="33" t="str">
        <f aca="false">IF($A196="","",IF(K196="Kurang",R196&amp;"; ","")&amp;IF(L196="Kurang",S196&amp;"; ","")&amp;IF(M196="Kurang",T196&amp;"; ","")&amp;IF(N196="Kurang",U196&amp;"; ","")&amp;IF(O196="Kurang",V196&amp;"; ","")&amp;IF(P196="Kurang",W196&amp;"; ","")&amp;IF(K196="Belum ada data",R196&amp;"; ","")&amp;IF(L196="Belum ada data",S196&amp;"; ","")&amp;IF(M196="Belum ada data",T196&amp;"; ","")&amp;IF(N196="Belum ada data",U196&amp;"; ","")&amp;IF(O196="Belum ada data",V196&amp;"; ","")&amp;IF(P196="Belum ada data",W196&amp;"; ","")&amp;IF(K196="Cukup",R196&amp;"; ","")&amp;IF(L196="Cukup",S196&amp;"; ","")&amp;IF(M196="Cukup",T196&amp;"; ","")&amp;IF(N196="Cukup",U196&amp;"; ","")&amp;IF(O196="Cukup",V196&amp;"; ","")&amp;IF(P196="Cukup",W196&amp;"; ",""))</f>
        <v>RAM 8 GB cukup, nyamannya 16 GB atau lebih (bisa dinaikkan lewat slot sampai 64 GB); penyimpanan 256 GB cukup, nyamannya 512 GB atau lebih (bisa diganti dengan yang lebih besar); layar IPS cukup, nyamannya OLED; </v>
      </c>
      <c r="Y196" s="33" t="str">
        <f aca="false">IF($A196="","",IF(K196="Nyaman","prosesor, ","")&amp;IF(L196="Nyaman","grafis, ","")&amp;IF(M196="Nyaman","RAM, ","")&amp;IF(N196="Nyaman","penyimpanan, ","")&amp;IF(O196="Nyaman","layar, ","")&amp;IF(P196="Nyaman","refresh rate, ",""))</f>
        <v>prosesor, grafis, </v>
      </c>
      <c r="Z196" s="33" t="str">
        <f aca="false">IF($A196="","",IF(Q196="Tidak dinilai","Belum ada kriteria yang dinilai untuk kebutuhan ini.",IF(Q196="Cocok","Semua kriteria yang dinilai sudah nyaman: "&amp;LEFT(Y196,LEN(Y196)-2)&amp;".",UPPER(LEFT(X196,1))&amp;MID(X196,2,LEN(X196)-3)&amp;"."&amp;IF(Y196="",""," Sudah nyaman: "&amp;LEFT(Y196,LEN(Y196)-2)&amp;"."))))</f>
        <v>RAM 8 GB cukup, nyamannya 16 GB atau lebih (bisa dinaikkan lewat slot sampai 64 GB); penyimpanan 256 GB cukup, nyamannya 512 GB atau lebih (bisa diganti dengan yang lebih besar); layar IPS cukup, nyamannya OLED. Sudah nyaman: prosesor, grafis.</v>
      </c>
      <c r="AA196" s="33"/>
      <c r="AB196" s="33"/>
      <c r="AC196" s="69"/>
    </row>
    <row r="197" customFormat="false" ht="15" hidden="false" customHeight="true" outlineLevel="0" collapsed="false">
      <c r="A197" s="33" t="str">
        <f aca="false">IF(Varian!$A43="","",Varian!$A43)</f>
        <v>axioo-hype-5-gen-12-v2-i5-1235u-8-256</v>
      </c>
      <c r="B197" s="33" t="str">
        <f aca="false">IF($A197="","",Aturan!$A$23)</f>
        <v>Pemrograman</v>
      </c>
      <c r="C197" s="69" t="n">
        <f aca="false">IF($A197="","",IFERROR(IF(ISNUMBER(INDEX(CPU!$J$4:$J$64,MATCH(Varian!$J43,CPU!$A$4:$A$64,0))),INDEX(CPU!$J$4:$J$64,MATCH(Varian!$J43,CPU!$A$4:$A$64,0)),""),""))</f>
        <v>3</v>
      </c>
      <c r="D197" s="69" t="n">
        <f aca="false">IF($A197="","",IFERROR(IF(ISNUMBER(INDEX(GPU!$G$4:$G$64,MATCH(Varian!$K43,GPU!$A$4:$A$64,0))),INDEX(GPU!$G$4:$G$64,MATCH(Varian!$K43,GPU!$A$4:$A$64,0)),""),""))</f>
        <v>2</v>
      </c>
      <c r="E197" s="69" t="n">
        <f aca="false">IF($A197="","",IF(ISNUMBER(Varian!$M43),Varian!$M43,""))</f>
        <v>8</v>
      </c>
      <c r="F197" s="69" t="n">
        <f aca="false">IF($A197="","",IF(ISNUMBER(Varian!$V43),Varian!$V43,""))</f>
        <v>256</v>
      </c>
      <c r="G197" s="69" t="n">
        <f aca="false">IF($A197="","",IFERROR(INDEX(Aturan!$B$63:$B$66,MATCH(Varian!$AG43,Aturan!$A$63:$A$66,0)),""))</f>
        <v>3</v>
      </c>
      <c r="H197" s="69" t="n">
        <f aca="false">IF($A197="","",IF(ISNUMBER(Varian!$AI43),Varian!$AI43,""))</f>
        <v>60</v>
      </c>
      <c r="I197" s="33" t="str">
        <f aca="false">IF($A197="","",IF(Varian!$Q43="disolder","menempel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bisa dinaikkan lewat slot sampai 64 GB</v>
      </c>
      <c r="J197" s="33" t="str">
        <f aca="false">IF($A197="","",IF(Varian!$Z43="ya","bisa diganti dengan yang lebih besar",IF(Varian!$Z43="tidak","menempel, tidak bisa diganti","belum diketahui apakah bisa diganti")))</f>
        <v>bisa diganti dengan yang lebih besar</v>
      </c>
      <c r="K197" s="70" t="str">
        <f aca="false">IF($A197="","",IF(AND(Aturan!$C$42="",Aturan!$D$42=""),"Tidak dinilai",IF(C197="","Belum ada data",IF(C197&lt;IF(Aturan!$C$42="",0,Aturan!$C$42),"Kurang",IF(C197&gt;=IF(Aturan!$D$42="",Aturan!$C$42,Aturan!$D$42),"Nyaman","Cukup")))))</f>
        <v>Nyaman</v>
      </c>
      <c r="L197" s="70" t="str">
        <f aca="false">IF($A197="","",IF(AND(Aturan!$C$43="",Aturan!$D$43=""),"Tidak dinilai",IF(D197="","Belum ada data",IF(D197&lt;IF(Aturan!$C$43="",0,Aturan!$C$43),"Kurang",IF(D197&gt;=IF(Aturan!$D$43="",Aturan!$C$43,Aturan!$D$43),"Nyaman","Cukup")))))</f>
        <v>Tidak dinilai</v>
      </c>
      <c r="M197" s="70" t="str">
        <f aca="false">IF($A197="","",IF(AND(Aturan!$C$44="",Aturan!$D$44=""),"Tidak dinilai",IF(E197="","Belum ada data",IF(E197&lt;IF(Aturan!$C$44="",0,Aturan!$C$44),"Kurang",IF(E197&gt;=IF(Aturan!$D$44="",Aturan!$C$44,Aturan!$D$44),"Nyaman","Cukup")))))</f>
        <v>Cukup</v>
      </c>
      <c r="N197" s="70" t="str">
        <f aca="false">IF($A197="","",IF(AND(Aturan!$C$45="",Aturan!$D$45=""),"Tidak dinilai",IF(F197="","Belum ada data",IF(F197&lt;IF(Aturan!$C$45="",0,Aturan!$C$45),"Kurang",IF(F197&gt;=IF(Aturan!$D$45="",Aturan!$C$45,Aturan!$D$45),"Nyaman","Cukup")))))</f>
        <v>Cukup</v>
      </c>
      <c r="O197" s="70" t="str">
        <f aca="false">IF($A197="","",IF(AND(Aturan!$C$46="",Aturan!$D$46=""),"Tidak dinilai",IF(G197="","Belum ada data",IF(G197&lt;IF(Aturan!$C$46="",0,Aturan!$C$46),"Kurang",IF(G197&gt;=IF(Aturan!$D$46="",Aturan!$C$46,Aturan!$D$46),"Nyaman","Cukup")))))</f>
        <v>Tidak dinilai</v>
      </c>
      <c r="P197" s="70" t="str">
        <f aca="false">IF($A197="","",IF(AND(Aturan!$C$47="",Aturan!$D$47=""),"Tidak dinilai",IF(H197="","Belum ada data",IF(H197&lt;IF(Aturan!$C$47="",0,Aturan!$C$47),"Kurang",IF(H197&gt;=IF(Aturan!$D$47="",Aturan!$C$47,Aturan!$D$47),"Nyaman","Cukup")))))</f>
        <v>Tidak dinilai</v>
      </c>
      <c r="Q197" s="70" t="str">
        <f aca="false">IF($A197="","",IF(COUNTIF(K197:P197,"Tidak dinilai")=6,"Tidak dinilai",IF(COUNTIF(K197:P197,"Kurang")&gt;0,"Kurang cocok",IF(COUNTIF(K197:P197,"Belum ada data")&gt;0,"Data belum lengkap",IF(COUNTIF(K197:P197,"Cukup")&gt;0,"Bisa, dengan catatan","Cocok")))))</f>
        <v>Bisa, dengan catatan</v>
      </c>
      <c r="R197" s="33" t="str">
        <f aca="false">IF($A197="","",IF(K197="Kurang","prosesor tingkat "&amp;C197&amp;" dari 5, di bawah batas minimal (tingkat "&amp;Aturan!$C$42&amp;")",IF(K197="Cukup","prosesor tingkat "&amp;C197&amp;" dari 5 cukup, nyamannya mulai tingkat "&amp;Aturan!$D$42,IF(K197="Belum ada data","tingkat prosesor belum diisi",""))))</f>
        <v/>
      </c>
      <c r="S197" s="33" t="str">
        <f aca="false">IF($A197="","",IF(L197="Kurang","grafis tingkat "&amp;D197&amp;" dari 5, di bawah batas minimal (tingkat "&amp;Aturan!$C$43&amp;")",IF(L197="Cukup","grafis tingkat "&amp;D197&amp;" dari 5 cukup, nyamannya mulai tingkat "&amp;Aturan!$D$43,IF(L197="Belum ada data","tingkat grafis belum diisi",""))))</f>
        <v/>
      </c>
      <c r="T197" s="33" t="str">
        <f aca="false">IF($A197="","",IF(M197="Kurang","RAM "&amp;E197&amp;" GB, di bawah batas minimal "&amp;Aturan!$C$44&amp;" GB ("&amp;I197&amp;")",IF(M197="Cukup","RAM "&amp;E197&amp;" GB cukup, nyamannya "&amp;Aturan!$D$44&amp;" GB atau lebih ("&amp;I197&amp;")",IF(M197="Belum ada data","ukuran RAM belum diisi",""))))</f>
        <v>RAM 8 GB cukup, nyamannya 16 GB atau lebih (bisa dinaikkan lewat slot sampai 64 GB)</v>
      </c>
      <c r="U197" s="33" t="str">
        <f aca="false">IF($A197="","",IF(N197="Kurang","penyimpanan "&amp;F197&amp;" GB, di bawah batas minimal "&amp;Aturan!$C$45&amp;" GB ("&amp;J197&amp;")",IF(N197="Cukup","penyimpanan "&amp;F197&amp;" GB cukup, nyamannya "&amp;Aturan!$D$45&amp;" GB atau lebih ("&amp;J197&amp;")",IF(N197="Belum ada data","ukuran penyimpanan belum diisi",""))))</f>
        <v>penyimpanan 256 GB cukup, nyamannya 512 GB atau lebih (bisa diganti dengan yang lebih besar)</v>
      </c>
      <c r="V197" s="33" t="str">
        <f aca="false">IF($A197="","",IF(O197="Kurang","layar "&amp;Varian!$AG43&amp;", di bawah batas minimal ("&amp;IFERROR(INDEX(Aturan!$A$63:$A$66,MATCH(Aturan!$C$46,Aturan!$B$63:$B$66,0)),"peringkat "&amp;Aturan!$C$46)&amp;")",IF(O197="Cukup","layar "&amp;Varian!$AG43&amp;" cukup, nyamannya "&amp;IFERROR(INDEX(Aturan!$A$63:$A$66,MATCH(Aturan!$D$46,Aturan!$B$63:$B$66,0)),"peringkat "&amp;Aturan!$D$46),IF(O197="Belum ada data","jenis layar belum diketahui",""))))</f>
        <v/>
      </c>
      <c r="W197" s="33" t="str">
        <f aca="false">IF($A197="","",IF(P197="Kurang","layar "&amp;H197&amp;" Hz, di bawah batas minimal "&amp;Aturan!$C$47&amp;" Hz",IF(P197="Cukup","layar "&amp;H197&amp;" Hz cukup, nyamannya "&amp;Aturan!$D$47&amp;" Hz atau lebih",IF(P197="Belum ada data","refresh rate belum diketahui",""))))</f>
        <v/>
      </c>
      <c r="X197" s="33" t="str">
        <f aca="false">IF($A197="","",IF(K197="Kurang",R197&amp;"; ","")&amp;IF(L197="Kurang",S197&amp;"; ","")&amp;IF(M197="Kurang",T197&amp;"; ","")&amp;IF(N197="Kurang",U197&amp;"; ","")&amp;IF(O197="Kurang",V197&amp;"; ","")&amp;IF(P197="Kurang",W197&amp;"; ","")&amp;IF(K197="Belum ada data",R197&amp;"; ","")&amp;IF(L197="Belum ada data",S197&amp;"; ","")&amp;IF(M197="Belum ada data",T197&amp;"; ","")&amp;IF(N197="Belum ada data",U197&amp;"; ","")&amp;IF(O197="Belum ada data",V197&amp;"; ","")&amp;IF(P197="Belum ada data",W197&amp;"; ","")&amp;IF(K197="Cukup",R197&amp;"; ","")&amp;IF(L197="Cukup",S197&amp;"; ","")&amp;IF(M197="Cukup",T197&amp;"; ","")&amp;IF(N197="Cukup",U197&amp;"; ","")&amp;IF(O197="Cukup",V197&amp;"; ","")&amp;IF(P197="Cukup",W197&amp;"; ",""))</f>
        <v>RAM 8 GB cukup, nyamannya 16 GB atau lebih (bisa dinaikkan lewat slot sampai 64 GB); penyimpanan 256 GB cukup, nyamannya 512 GB atau lebih (bisa diganti dengan yang lebih besar); </v>
      </c>
      <c r="Y197" s="33" t="str">
        <f aca="false">IF($A197="","",IF(K197="Nyaman","prosesor, ","")&amp;IF(L197="Nyaman","grafis, ","")&amp;IF(M197="Nyaman","RAM, ","")&amp;IF(N197="Nyaman","penyimpanan, ","")&amp;IF(O197="Nyaman","layar, ","")&amp;IF(P197="Nyaman","refresh rate, ",""))</f>
        <v>prosesor, </v>
      </c>
      <c r="Z197" s="33" t="str">
        <f aca="false">IF($A197="","",IF(Q197="Tidak dinilai","Belum ada kriteria yang dinilai untuk kebutuhan ini.",IF(Q197="Cocok","Semua kriteria yang dinilai sudah nyaman: "&amp;LEFT(Y197,LEN(Y197)-2)&amp;".",UPPER(LEFT(X197,1))&amp;MID(X197,2,LEN(X197)-3)&amp;"."&amp;IF(Y197="",""," Sudah nyaman: "&amp;LEFT(Y197,LEN(Y197)-2)&amp;"."))))</f>
        <v>RAM 8 GB cukup, nyamannya 16 GB atau lebih (bisa dinaikkan lewat slot sampai 64 GB); penyimpanan 256 GB cukup, nyamannya 512 GB atau lebih (bisa diganti dengan yang lebih besar). Sudah nyaman: prosesor.</v>
      </c>
      <c r="AA197" s="33"/>
      <c r="AB197" s="33"/>
      <c r="AC197" s="69"/>
    </row>
    <row r="198" customFormat="false" ht="15" hidden="false" customHeight="true" outlineLevel="0" collapsed="false">
      <c r="A198" s="33" t="str">
        <f aca="false">IF(Varian!$A43="","",Varian!$A43)</f>
        <v>axioo-hype-5-gen-12-v2-i5-1235u-8-256</v>
      </c>
      <c r="B198" s="33" t="str">
        <f aca="false">IF($A198="","",Aturan!$A$24)</f>
        <v>Game ringan</v>
      </c>
      <c r="C198" s="69" t="n">
        <f aca="false">IF($A198="","",IFERROR(IF(ISNUMBER(INDEX(CPU!$J$4:$J$64,MATCH(Varian!$J43,CPU!$A$4:$A$64,0))),INDEX(CPU!$J$4:$J$64,MATCH(Varian!$J43,CPU!$A$4:$A$64,0)),""),""))</f>
        <v>3</v>
      </c>
      <c r="D198" s="69" t="n">
        <f aca="false">IF($A198="","",IFERROR(IF(ISNUMBER(INDEX(GPU!$G$4:$G$64,MATCH(Varian!$K43,GPU!$A$4:$A$64,0))),INDEX(GPU!$G$4:$G$64,MATCH(Varian!$K43,GPU!$A$4:$A$64,0)),""),""))</f>
        <v>2</v>
      </c>
      <c r="E198" s="69" t="n">
        <f aca="false">IF($A198="","",IF(ISNUMBER(Varian!$M43),Varian!$M43,""))</f>
        <v>8</v>
      </c>
      <c r="F198" s="69" t="n">
        <f aca="false">IF($A198="","",IF(ISNUMBER(Varian!$V43),Varian!$V43,""))</f>
        <v>256</v>
      </c>
      <c r="G198" s="69" t="n">
        <f aca="false">IF($A198="","",IFERROR(INDEX(Aturan!$B$63:$B$66,MATCH(Varian!$AG43,Aturan!$A$63:$A$66,0)),""))</f>
        <v>3</v>
      </c>
      <c r="H198" s="69" t="n">
        <f aca="false">IF($A198="","",IF(ISNUMBER(Varian!$AI43),Varian!$AI43,""))</f>
        <v>60</v>
      </c>
      <c r="I198" s="33" t="str">
        <f aca="false">IF($A198="","",IF(Varian!$Q43="disolder","menempel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bisa dinaikkan lewat slot sampai 64 GB</v>
      </c>
      <c r="J198" s="33" t="str">
        <f aca="false">IF($A198="","",IF(Varian!$Z43="ya","bisa diganti dengan yang lebih besar",IF(Varian!$Z43="tidak","menempel, tidak bisa diganti","belum diketahui apakah bisa diganti")))</f>
        <v>bisa diganti dengan yang lebih besar</v>
      </c>
      <c r="K198" s="70" t="str">
        <f aca="false">IF($A198="","",IF(AND(Aturan!$C$48="",Aturan!$D$48=""),"Tidak dinilai",IF(C198="","Belum ada data",IF(C198&lt;IF(Aturan!$C$48="",0,Aturan!$C$48),"Kurang",IF(C198&gt;=IF(Aturan!$D$48="",Aturan!$C$48,Aturan!$D$48),"Nyaman","Cukup")))))</f>
        <v>Nyaman</v>
      </c>
      <c r="L198" s="70" t="str">
        <f aca="false">IF($A198="","",IF(AND(Aturan!$C$49="",Aturan!$D$49=""),"Tidak dinilai",IF(D198="","Belum ada data",IF(D198&lt;IF(Aturan!$C$49="",0,Aturan!$C$49),"Kurang",IF(D198&gt;=IF(Aturan!$D$49="",Aturan!$C$49,Aturan!$D$49),"Nyaman","Cukup")))))</f>
        <v>Nyaman</v>
      </c>
      <c r="M198" s="70" t="str">
        <f aca="false">IF($A198="","",IF(AND(Aturan!$C$50="",Aturan!$D$50=""),"Tidak dinilai",IF(E198="","Belum ada data",IF(E198&lt;IF(Aturan!$C$50="",0,Aturan!$C$50),"Kurang",IF(E198&gt;=IF(Aturan!$D$50="",Aturan!$C$50,Aturan!$D$50),"Nyaman","Cukup")))))</f>
        <v>Nyaman</v>
      </c>
      <c r="N198" s="70" t="str">
        <f aca="false">IF($A198="","",IF(AND(Aturan!$C$51="",Aturan!$D$51=""),"Tidak dinilai",IF(F198="","Belum ada data",IF(F198&lt;IF(Aturan!$C$51="",0,Aturan!$C$51),"Kurang",IF(F198&gt;=IF(Aturan!$D$51="",Aturan!$C$51,Aturan!$D$51),"Nyaman","Cukup")))))</f>
        <v>Nyaman</v>
      </c>
      <c r="O198" s="70" t="str">
        <f aca="false">IF($A198="","",IF(AND(Aturan!$C$52="",Aturan!$D$52=""),"Tidak dinilai",IF(G198="","Belum ada data",IF(G198&lt;IF(Aturan!$C$52="",0,Aturan!$C$52),"Kurang",IF(G198&gt;=IF(Aturan!$D$52="",Aturan!$C$52,Aturan!$D$52),"Nyaman","Cukup")))))</f>
        <v>Tidak dinilai</v>
      </c>
      <c r="P198" s="70" t="str">
        <f aca="false">IF($A198="","",IF(AND(Aturan!$C$53="",Aturan!$D$53=""),"Tidak dinilai",IF(H198="","Belum ada data",IF(H198&lt;IF(Aturan!$C$53="",0,Aturan!$C$53),"Kurang",IF(H198&gt;=IF(Aturan!$D$53="",Aturan!$C$53,Aturan!$D$53),"Nyaman","Cukup")))))</f>
        <v>Tidak dinilai</v>
      </c>
      <c r="Q198" s="70" t="str">
        <f aca="false">IF($A198="","",IF(COUNTIF(K198:P198,"Tidak dinilai")=6,"Tidak dinilai",IF(COUNTIF(K198:P198,"Kurang")&gt;0,"Kurang cocok",IF(COUNTIF(K198:P198,"Belum ada data")&gt;0,"Data belum lengkap",IF(COUNTIF(K198:P198,"Cukup")&gt;0,"Bisa, dengan catatan","Cocok")))))</f>
        <v>Cocok</v>
      </c>
      <c r="R198" s="33" t="str">
        <f aca="false">IF($A198="","",IF(K198="Kurang","prosesor tingkat "&amp;C198&amp;" dari 5, di bawah batas minimal (tingkat "&amp;Aturan!$C$48&amp;")",IF(K198="Cukup","prosesor tingkat "&amp;C198&amp;" dari 5 cukup, nyamannya mulai tingkat "&amp;Aturan!$D$48,IF(K198="Belum ada data","tingkat prosesor belum diisi",""))))</f>
        <v/>
      </c>
      <c r="S198" s="33" t="str">
        <f aca="false">IF($A198="","",IF(L198="Kurang","grafis tingkat "&amp;D198&amp;" dari 5, di bawah batas minimal (tingkat "&amp;Aturan!$C$49&amp;")",IF(L198="Cukup","grafis tingkat "&amp;D198&amp;" dari 5 cukup, nyamannya mulai tingkat "&amp;Aturan!$D$49,IF(L198="Belum ada data","tingkat grafis belum diisi",""))))</f>
        <v/>
      </c>
      <c r="T198" s="33" t="str">
        <f aca="false">IF($A198="","",IF(M198="Kurang","RAM "&amp;E198&amp;" GB, di bawah batas minimal "&amp;Aturan!$C$50&amp;" GB ("&amp;I198&amp;")",IF(M198="Cukup","RAM "&amp;E198&amp;" GB cukup, nyamannya "&amp;Aturan!$D$50&amp;" GB atau lebih ("&amp;I198&amp;")",IF(M198="Belum ada data","ukuran RAM belum diisi",""))))</f>
        <v/>
      </c>
      <c r="U198" s="33" t="str">
        <f aca="false">IF($A198="","",IF(N198="Kurang","penyimpanan "&amp;F198&amp;" GB, di bawah batas minimal "&amp;Aturan!$C$51&amp;" GB ("&amp;J198&amp;")",IF(N198="Cukup","penyimpanan "&amp;F198&amp;" GB cukup, nyamannya "&amp;Aturan!$D$51&amp;" GB atau lebih ("&amp;J198&amp;")",IF(N198="Belum ada data","ukuran penyimpanan belum diisi",""))))</f>
        <v/>
      </c>
      <c r="V198" s="33" t="str">
        <f aca="false">IF($A198="","",IF(O198="Kurang","layar "&amp;Varian!$AG43&amp;", di bawah batas minimal ("&amp;IFERROR(INDEX(Aturan!$A$63:$A$66,MATCH(Aturan!$C$52,Aturan!$B$63:$B$66,0)),"peringkat "&amp;Aturan!$C$52)&amp;")",IF(O198="Cukup","layar "&amp;Varian!$AG43&amp;" cukup, nyamannya "&amp;IFERROR(INDEX(Aturan!$A$63:$A$66,MATCH(Aturan!$D$52,Aturan!$B$63:$B$66,0)),"peringkat "&amp;Aturan!$D$52),IF(O198="Belum ada data","jenis layar belum diketahui",""))))</f>
        <v/>
      </c>
      <c r="W198" s="33" t="str">
        <f aca="false">IF($A198="","",IF(P198="Kurang","layar "&amp;H198&amp;" Hz, di bawah batas minimal "&amp;Aturan!$C$53&amp;" Hz",IF(P198="Cukup","layar "&amp;H198&amp;" Hz cukup, nyamannya "&amp;Aturan!$D$53&amp;" Hz atau lebih",IF(P198="Belum ada data","refresh rate belum diketahui",""))))</f>
        <v/>
      </c>
      <c r="X198" s="33" t="str">
        <f aca="false">IF($A198="","",IF(K198="Kurang",R198&amp;"; ","")&amp;IF(L198="Kurang",S198&amp;"; ","")&amp;IF(M198="Kurang",T198&amp;"; ","")&amp;IF(N198="Kurang",U198&amp;"; ","")&amp;IF(O198="Kurang",V198&amp;"; ","")&amp;IF(P198="Kurang",W198&amp;"; ","")&amp;IF(K198="Belum ada data",R198&amp;"; ","")&amp;IF(L198="Belum ada data",S198&amp;"; ","")&amp;IF(M198="Belum ada data",T198&amp;"; ","")&amp;IF(N198="Belum ada data",U198&amp;"; ","")&amp;IF(O198="Belum ada data",V198&amp;"; ","")&amp;IF(P198="Belum ada data",W198&amp;"; ","")&amp;IF(K198="Cukup",R198&amp;"; ","")&amp;IF(L198="Cukup",S198&amp;"; ","")&amp;IF(M198="Cukup",T198&amp;"; ","")&amp;IF(N198="Cukup",U198&amp;"; ","")&amp;IF(O198="Cukup",V198&amp;"; ","")&amp;IF(P198="Cukup",W198&amp;"; ",""))</f>
        <v/>
      </c>
      <c r="Y198" s="33" t="str">
        <f aca="false">IF($A198="","",IF(K198="Nyaman","prosesor, ","")&amp;IF(L198="Nyaman","grafis, ","")&amp;IF(M198="Nyaman","RAM, ","")&amp;IF(N198="Nyaman","penyimpanan, ","")&amp;IF(O198="Nyaman","layar, ","")&amp;IF(P198="Nyaman","refresh rate, ",""))</f>
        <v>prosesor, grafis, RAM, penyimpanan, </v>
      </c>
      <c r="Z198" s="33" t="str">
        <f aca="false">IF($A198="","",IF(Q198="Tidak dinilai","Belum ada kriteria yang dinilai untuk kebutuhan ini.",IF(Q198="Cocok","Semua kriteria yang dinilai sudah nyaman: "&amp;LEFT(Y198,LEN(Y198)-2)&amp;".",UPPER(LEFT(X198,1))&amp;MID(X198,2,LEN(X198)-3)&amp;"."&amp;IF(Y198="",""," Sudah nyaman: "&amp;LEFT(Y198,LEN(Y198)-2)&amp;"."))))</f>
        <v>Semua kriteria yang dinilai sudah nyaman: prosesor, grafis, RAM, penyimpanan.</v>
      </c>
      <c r="AA198" s="33"/>
      <c r="AB198" s="33"/>
      <c r="AC198" s="69"/>
    </row>
    <row r="199" customFormat="false" ht="15" hidden="false" customHeight="true" outlineLevel="0" collapsed="false">
      <c r="A199" s="33" t="str">
        <f aca="false">IF(Varian!$A43="","",Varian!$A43)</f>
        <v>axioo-hype-5-gen-12-v2-i5-1235u-8-256</v>
      </c>
      <c r="B199" s="33" t="str">
        <f aca="false">IF($A199="","",Aturan!$A$25)</f>
        <v>Game berat</v>
      </c>
      <c r="C199" s="69" t="n">
        <f aca="false">IF($A199="","",IFERROR(IF(ISNUMBER(INDEX(CPU!$J$4:$J$64,MATCH(Varian!$J43,CPU!$A$4:$A$64,0))),INDEX(CPU!$J$4:$J$64,MATCH(Varian!$J43,CPU!$A$4:$A$64,0)),""),""))</f>
        <v>3</v>
      </c>
      <c r="D199" s="69" t="n">
        <f aca="false">IF($A199="","",IFERROR(IF(ISNUMBER(INDEX(GPU!$G$4:$G$64,MATCH(Varian!$K43,GPU!$A$4:$A$64,0))),INDEX(GPU!$G$4:$G$64,MATCH(Varian!$K43,GPU!$A$4:$A$64,0)),""),""))</f>
        <v>2</v>
      </c>
      <c r="E199" s="69" t="n">
        <f aca="false">IF($A199="","",IF(ISNUMBER(Varian!$M43),Varian!$M43,""))</f>
        <v>8</v>
      </c>
      <c r="F199" s="69" t="n">
        <f aca="false">IF($A199="","",IF(ISNUMBER(Varian!$V43),Varian!$V43,""))</f>
        <v>256</v>
      </c>
      <c r="G199" s="69" t="n">
        <f aca="false">IF($A199="","",IFERROR(INDEX(Aturan!$B$63:$B$66,MATCH(Varian!$AG43,Aturan!$A$63:$A$66,0)),""))</f>
        <v>3</v>
      </c>
      <c r="H199" s="69" t="n">
        <f aca="false">IF($A199="","",IF(ISNUMBER(Varian!$AI43),Varian!$AI43,""))</f>
        <v>60</v>
      </c>
      <c r="I199" s="33" t="str">
        <f aca="false">IF($A199="","",IF(Varian!$Q43="disolder","menempel di papan utama, tidak bisa ditambah",IF(OR(Varian!$Q43="slot",Varian!$Q43="setengah_disolder"),IF(Varian!$Q43="setengah_disolder","sebagian menempel, ","")&amp;IF(ISNUMBER(Varian!$U43),IF(AND(ISNUMBER(Varian!$M43),Varian!$U43&gt;Varian!$M43),"bisa dinaikkan lewat slot sampai "&amp;Varian!$U43&amp;" GB","sudah di batas maksimal "&amp;Varian!$U43&amp;" GB"),"ada slot, batas maksimalnya belum diketahui"),"belum diketahui apakah bisa ditambah")))</f>
        <v>bisa dinaikkan lewat slot sampai 64 GB</v>
      </c>
      <c r="J199" s="33" t="str">
        <f aca="false">IF($A199="","",IF(Varian!$Z43="ya","bisa diganti dengan yang lebih besar",IF(Varian!$Z43="tidak","menempel, tidak bisa diganti","belum diketahui apakah bisa diganti")))</f>
        <v>bisa diganti dengan yang lebih besar</v>
      </c>
      <c r="K199" s="70" t="str">
        <f aca="false">IF($A199="","",IF(AND(Aturan!$C$54="",Aturan!$D$54=""),"Tidak dinilai",IF(C199="","Belum ada data",IF(C199&lt;IF(Aturan!$C$54="",0,Aturan!$C$54),"Kurang",IF(C199&gt;=IF(Aturan!$D$54="",Aturan!$C$54,Aturan!$D$54),"Nyaman","Cukup")))))</f>
        <v>Cukup</v>
      </c>
      <c r="L199" s="70" t="str">
        <f aca="false">IF($A199="","",IF(AND(Aturan!$C$55="",Aturan!$D$55=""),"Tidak dinilai",IF(D199="","Belum ada data",IF(D199&lt;IF(Aturan!$C$55="",0,Aturan!$C$55),"Kurang",IF(D199&gt;=IF(Aturan!$D$55="",Aturan!$C$55,Aturan!$D$55),"Nyaman","Cukup")))))</f>
        <v>Kurang</v>
      </c>
      <c r="M199" s="70" t="str">
        <f aca="false">IF($A199="","",IF(AND(Aturan!$C$56="",Aturan!$D$56=""),"Tidak dinilai",IF(E199="","Belum ada data",IF(E199&lt;IF(Aturan!$C$56="",0,Aturan!$C$56),"Kurang",IF(E199&gt;=IF(Aturan!$D$56="",Aturan!$C$56,Aturan!$D$56),"Nyaman","Cukup")))))</f>
        <v>Cukup</v>
      </c>
      <c r="N199" s="70" t="str">
        <f aca="false">IF($A199="","",IF(AND(Aturan!$C$57="",Aturan!$D$57=""),"Tidak dinilai",IF(F199="","Belum ada data",IF(F199&lt;IF(Aturan!$C$57="",0,Aturan!$C$57),"Kurang",IF(F199&gt;=IF(Aturan!$D$57="",Aturan!$C$57,Aturan!$D$57),"Nyaman","Cukup")))))</f>
        <v>Kurang</v>
      </c>
      <c r="O199" s="70" t="str">
        <f aca="false">IF($A199="","",IF(AND(Aturan!$C$58="",Aturan!$D$58=""),"Tidak dinilai",IF(G199="","Belum ada data",IF(G199&lt;IF(Aturan!$C$58="",0,Aturan!$C$58),"Kurang",IF(G199&gt;=IF(Aturan!$D$58="",Aturan!$C$58,Aturan!$D$58),"Nyaman","Cukup")))))</f>
        <v>Tidak dinilai</v>
      </c>
      <c r="P199" s="70" t="str">
        <f aca="false">IF($A199="","",IF(AND(Aturan!$C$59="",Aturan!$D$59=""),"Tidak dinilai",IF(H199="","Belum ada data",IF(H199&lt;IF(Aturan!$C$59="",0,Aturan!$C$59),"Kurang",IF(H199&gt;=IF(Aturan!$D$59="",Aturan!$C$59,Aturan!$D$59),"Nyaman","Cukup")))))</f>
        <v>Cukup</v>
      </c>
      <c r="Q199" s="70" t="str">
        <f aca="false">IF($A199="","",IF(COUNTIF(K199:P199,"Tidak dinilai")=6,"Tidak dinilai",IF(COUNTIF(K199:P199,"Kurang")&gt;0,"Kurang cocok",IF(COUNTIF(K199:P199,"Belum ada data")&gt;0,"Data belum lengkap",IF(COUNTIF(K199:P199,"Cukup")&gt;0,"Bisa, dengan catatan","Cocok")))))</f>
        <v>Kurang cocok</v>
      </c>
      <c r="R199" s="33" t="str">
        <f aca="false">IF($A199="","",IF(K199="Kurang","prosesor tingkat "&amp;C199&amp;" dari 5, di bawah batas minimal (tingkat "&amp;Aturan!$C$54&amp;")",IF(K199="Cukup","prosesor tingkat "&amp;C199&amp;" dari 5 cukup, nyamannya mulai tingkat "&amp;Aturan!$D$54,IF(K199="Belum ada data","tingkat prosesor belum diisi",""))))</f>
        <v>prosesor tingkat 3 dari 5 cukup, nyamannya mulai tingkat 4</v>
      </c>
      <c r="S199" s="33" t="str">
        <f aca="false">IF($A199="","",IF(L199="Kurang","grafis tingkat "&amp;D199&amp;" dari 5, di bawah batas minimal (tingkat "&amp;Aturan!$C$55&amp;")",IF(L199="Cukup","grafis tingkat "&amp;D199&amp;" dari 5 cukup, nyamannya mulai tingkat "&amp;Aturan!$D$55,IF(L199="Belum ada data","tingkat grafis belum diisi",""))))</f>
        <v>grafis tingkat 2 dari 5, di bawah batas minimal (tingkat 3)</v>
      </c>
      <c r="T199" s="33" t="str">
        <f aca="false">IF($A199="","",IF(M199="Kurang","RAM "&amp;E199&amp;" GB, di bawah batas minimal "&amp;Aturan!$C$56&amp;" GB ("&amp;I199&amp;")",IF(M199="Cukup","RAM "&amp;E199&amp;" GB cukup, nyamannya "&amp;Aturan!$D$56&amp;" GB atau lebih ("&amp;I199&amp;")",IF(M199="Belum ada data","ukuran RAM belum diisi",""))))</f>
        <v>RAM 8 GB cukup, nyamannya 16 GB atau lebih (bisa dinaikkan lewat slot sampai 64 GB)</v>
      </c>
      <c r="U199" s="33" t="str">
        <f aca="false">IF($A199="","",IF(N199="Kurang","penyimpanan "&amp;F199&amp;" GB, di bawah batas minimal "&amp;Aturan!$C$57&amp;" GB ("&amp;J199&amp;")",IF(N199="Cukup","penyimpanan "&amp;F199&amp;" GB cukup, nyamannya "&amp;Aturan!$D$57&amp;" GB atau lebih ("&amp;J199&amp;")",IF(N199="Belum ada data","ukuran penyimpanan belum diisi",""))))</f>
        <v>penyimpanan 256 GB, di bawah batas minimal 512 GB (bisa diganti dengan yang lebih besar)</v>
      </c>
      <c r="V199" s="33" t="str">
        <f aca="false">IF($A199="","",IF(O199="Kurang","layar "&amp;Varian!$AG43&amp;", di bawah batas minimal ("&amp;IFERROR(INDEX(Aturan!$A$63:$A$66,MATCH(Aturan!$C$58,Aturan!$B$63:$B$66,0)),"peringkat "&amp;Aturan!$C$58)&amp;")",IF(O199="Cukup","layar "&amp;Varian!$AG43&amp;" cukup, nyamannya "&amp;IFERROR(INDEX(Aturan!$A$63:$A$66,MATCH(Aturan!$D$58,Aturan!$B$63:$B$66,0)),"peringkat "&amp;Aturan!$D$58),IF(O199="Belum ada data","jenis layar belum diketahui",""))))</f>
        <v/>
      </c>
      <c r="W199" s="33" t="str">
        <f aca="false">IF($A199="","",IF(P199="Kurang","layar "&amp;H199&amp;" Hz, di bawah batas minimal "&amp;Aturan!$C$59&amp;" Hz",IF(P199="Cukup","layar "&amp;H199&amp;" Hz cukup, nyamannya "&amp;Aturan!$D$59&amp;" Hz atau lebih",IF(P199="Belum ada data","refresh rate belum diketahui",""))))</f>
        <v>layar 60 Hz cukup, nyamannya 120 Hz atau lebih</v>
      </c>
      <c r="X199" s="33" t="str">
        <f aca="false">IF($A199="","",IF(K199="Kurang",R199&amp;"; ","")&amp;IF(L199="Kurang",S199&amp;"; ","")&amp;IF(M199="Kurang",T199&amp;"; ","")&amp;IF(N199="Kurang",U199&amp;"; ","")&amp;IF(O199="Kurang",V199&amp;"; ","")&amp;IF(P199="Kurang",W199&amp;"; ","")&amp;IF(K199="Belum ada data",R199&amp;"; ","")&amp;IF(L199="Belum ada data",S199&amp;"; ","")&amp;IF(M199="Belum ada data",T199&amp;"; ","")&amp;IF(N199="Belum ada data",U199&amp;"; ","")&amp;IF(O199="Belum ada data",V199&amp;"; ","")&amp;IF(P199="Belum ada data",W199&amp;"; ","")&amp;IF(K199="Cukup",R199&amp;"; ","")&amp;IF(L199="Cukup",S199&amp;"; ","")&amp;IF(M199="Cukup",T199&amp;"; ","")&amp;IF(N199="Cukup",U199&amp;"; ","")&amp;IF(O199="Cukup",V199&amp;"; ","")&amp;IF(P199="Cukup",W199&amp;"; ",""))</f>
        <v>grafis tingkat 2 dari 5, di bawah batas minimal (tingkat 3); penyimpanan 256 GB, di bawah batas minimal 512 GB (bisa diganti dengan yang lebih besar); prosesor tingkat 3 dari 5 cukup, nyamannya mulai tingkat 4; RAM 8 GB cukup, nyamannya 16 GB atau lebih (bisa dinaikkan lewat slot sampai 64 GB); layar 60 Hz cukup, nyamannya 120 Hz atau lebih; </v>
      </c>
      <c r="Y199" s="33" t="str">
        <f aca="false">IF($A199="","",IF(K199="Nyaman","prosesor, ","")&amp;IF(L199="Nyaman","grafis, ","")&amp;IF(M199="Nyaman","RAM, ","")&amp;IF(N199="Nyaman","penyimpanan, ","")&amp;IF(O199="Nyaman","layar, ","")&amp;IF(P199="Nyaman","refresh rate, ",""))</f>
        <v/>
      </c>
      <c r="Z199" s="33" t="str">
        <f aca="false">IF($A199="","",IF(Q199="Tidak dinilai","Belum ada kriteria yang dinilai untuk kebutuhan ini.",IF(Q199="Cocok","Semua kriteria yang dinilai sudah nyaman: "&amp;LEFT(Y199,LEN(Y199)-2)&amp;".",UPPER(LEFT(X199,1))&amp;MID(X199,2,LEN(X199)-3)&amp;"."&amp;IF(Y199="",""," Sudah nyaman: "&amp;LEFT(Y199,LEN(Y199)-2)&amp;"."))))</f>
        <v>Grafis tingkat 2 dari 5, di bawah batas minimal (tingkat 3); penyimpanan 256 GB, di bawah batas minimal 512 GB (bisa diganti dengan yang lebih besar); prosesor tingkat 3 dari 5 cukup, nyamannya mulai tingkat 4; RAM 8 GB cukup, nyamannya 16 GB atau lebih (bisa dinaikkan lewat slot sampai 64 GB); layar 60 Hz cukup, nyamannya 120 Hz atau lebih.</v>
      </c>
      <c r="AA199" s="33"/>
      <c r="AB199" s="33"/>
      <c r="AC199" s="69"/>
    </row>
    <row r="200" customFormat="false" ht="15" hidden="false" customHeight="true" outlineLevel="0" collapsed="false">
      <c r="A200" s="66" t="str">
        <f aca="false">IF(Varian!$A44="","",Varian!$A44)</f>
        <v>advan-workplus-ai-r7-255-8-512</v>
      </c>
      <c r="B200" s="66" t="str">
        <f aca="false">IF($A200="","",Aturan!$A$21)</f>
        <v>Kuliah dan kantor</v>
      </c>
      <c r="C200" s="67" t="n">
        <f aca="false">IF($A200="","",IFERROR(IF(ISNUMBER(INDEX(CPU!$J$4:$J$64,MATCH(Varian!$J44,CPU!$A$4:$A$64,0))),INDEX(CPU!$J$4:$J$64,MATCH(Varian!$J44,CPU!$A$4:$A$64,0)),""),""))</f>
        <v>4</v>
      </c>
      <c r="D200" s="67" t="n">
        <f aca="false">IF($A200="","",IFERROR(IF(ISNUMBER(INDEX(GPU!$G$4:$G$64,MATCH(Varian!$K44,GPU!$A$4:$A$64,0))),INDEX(GPU!$G$4:$G$64,MATCH(Varian!$K44,GPU!$A$4:$A$64,0)),""),""))</f>
        <v>2</v>
      </c>
      <c r="E200" s="67" t="n">
        <f aca="false">IF($A200="","",IF(ISNUMBER(Varian!$M44),Varian!$M44,""))</f>
        <v>8</v>
      </c>
      <c r="F200" s="67" t="n">
        <f aca="false">IF($A200="","",IF(ISNUMBER(Varian!$V44),Varian!$V44,""))</f>
        <v>512</v>
      </c>
      <c r="G200" s="67" t="n">
        <f aca="false">IF($A200="","",IFERROR(INDEX(Aturan!$B$63:$B$66,MATCH(Varian!$AG44,Aturan!$A$63:$A$66,0)),""))</f>
        <v>3</v>
      </c>
      <c r="H200" s="67" t="str">
        <f aca="false">IF($A200="","",IF(ISNUMBER(Varian!$AI44),Varian!$AI44,""))</f>
        <v/>
      </c>
      <c r="I200" s="66" t="str">
        <f aca="false">IF($A200="","",IF(Varian!$Q44="disolder","menempel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belum diketahui apakah bisa ditambah</v>
      </c>
      <c r="J200" s="66" t="str">
        <f aca="false">IF($A200="","",IF(Varian!$Z44="ya","bisa diganti dengan yang lebih besar",IF(Varian!$Z44="tidak","menempel, tidak bisa diganti","belum diketahui apakah bisa diganti")))</f>
        <v>belum diketahui apakah bisa diganti</v>
      </c>
      <c r="K200" s="68" t="str">
        <f aca="false">IF($A200="","",IF(AND(Aturan!$C$30="",Aturan!$D$30=""),"Tidak dinilai",IF(C200="","Belum ada data",IF(C200&lt;IF(Aturan!$C$30="",0,Aturan!$C$30),"Kurang",IF(C200&gt;=IF(Aturan!$D$30="",Aturan!$C$30,Aturan!$D$30),"Nyaman","Cukup")))))</f>
        <v>Nyaman</v>
      </c>
      <c r="L200" s="68" t="str">
        <f aca="false">IF($A200="","",IF(AND(Aturan!$C$31="",Aturan!$D$31=""),"Tidak dinilai",IF(D200="","Belum ada data",IF(D200&lt;IF(Aturan!$C$31="",0,Aturan!$C$31),"Kurang",IF(D200&gt;=IF(Aturan!$D$31="",Aturan!$C$31,Aturan!$D$31),"Nyaman","Cukup")))))</f>
        <v>Tidak dinilai</v>
      </c>
      <c r="M200" s="68" t="str">
        <f aca="false">IF($A200="","",IF(AND(Aturan!$C$32="",Aturan!$D$32=""),"Tidak dinilai",IF(E200="","Belum ada data",IF(E200&lt;IF(Aturan!$C$32="",0,Aturan!$C$32),"Kurang",IF(E200&gt;=IF(Aturan!$D$32="",Aturan!$C$32,Aturan!$D$32),"Nyaman","Cukup")))))</f>
        <v>Nyaman</v>
      </c>
      <c r="N200" s="68" t="str">
        <f aca="false">IF($A200="","",IF(AND(Aturan!$C$33="",Aturan!$D$33=""),"Tidak dinilai",IF(F200="","Belum ada data",IF(F200&lt;IF(Aturan!$C$33="",0,Aturan!$C$33),"Kurang",IF(F200&gt;=IF(Aturan!$D$33="",Aturan!$C$33,Aturan!$D$33),"Nyaman","Cukup")))))</f>
        <v>Nyaman</v>
      </c>
      <c r="O200" s="68" t="str">
        <f aca="false">IF($A200="","",IF(AND(Aturan!$C$34="",Aturan!$D$34=""),"Tidak dinilai",IF(G200="","Belum ada data",IF(G200&lt;IF(Aturan!$C$34="",0,Aturan!$C$34),"Kurang",IF(G200&gt;=IF(Aturan!$D$34="",Aturan!$C$34,Aturan!$D$34),"Nyaman","Cukup")))))</f>
        <v>Tidak dinilai</v>
      </c>
      <c r="P200" s="68" t="str">
        <f aca="false">IF($A200="","",IF(AND(Aturan!$C$35="",Aturan!$D$35=""),"Tidak dinilai",IF(H200="","Belum ada data",IF(H200&lt;IF(Aturan!$C$35="",0,Aturan!$C$35),"Kurang",IF(H200&gt;=IF(Aturan!$D$35="",Aturan!$C$35,Aturan!$D$35),"Nyaman","Cukup")))))</f>
        <v>Tidak dinilai</v>
      </c>
      <c r="Q200" s="68" t="str">
        <f aca="false">IF($A200="","",IF(COUNTIF(K200:P200,"Tidak dinilai")=6,"Tidak dinilai",IF(COUNTIF(K200:P200,"Kurang")&gt;0,"Kurang cocok",IF(COUNTIF(K200:P200,"Belum ada data")&gt;0,"Data belum lengkap",IF(COUNTIF(K200:P200,"Cukup")&gt;0,"Bisa, dengan catatan","Cocok")))))</f>
        <v>Cocok</v>
      </c>
      <c r="R200" s="66" t="str">
        <f aca="false">IF($A200="","",IF(K200="Kurang","prosesor tingkat "&amp;C200&amp;" dari 5, di bawah batas minimal (tingkat "&amp;Aturan!$C$30&amp;")",IF(K200="Cukup","prosesor tingkat "&amp;C200&amp;" dari 5 cukup, nyamannya mulai tingkat "&amp;Aturan!$D$30,IF(K200="Belum ada data","tingkat prosesor belum diisi",""))))</f>
        <v/>
      </c>
      <c r="S200" s="66" t="str">
        <f aca="false">IF($A200="","",IF(L200="Kurang","grafis tingkat "&amp;D200&amp;" dari 5, di bawah batas minimal (tingkat "&amp;Aturan!$C$31&amp;")",IF(L200="Cukup","grafis tingkat "&amp;D200&amp;" dari 5 cukup, nyamannya mulai tingkat "&amp;Aturan!$D$31,IF(L200="Belum ada data","tingkat grafis belum diisi",""))))</f>
        <v/>
      </c>
      <c r="T200" s="66" t="str">
        <f aca="false">IF($A200="","",IF(M200="Kurang","RAM "&amp;E200&amp;" GB, di bawah batas minimal "&amp;Aturan!$C$32&amp;" GB ("&amp;I200&amp;")",IF(M200="Cukup","RAM "&amp;E200&amp;" GB cukup, nyamannya "&amp;Aturan!$D$32&amp;" GB atau lebih ("&amp;I200&amp;")",IF(M200="Belum ada data","ukuran RAM belum diisi",""))))</f>
        <v/>
      </c>
      <c r="U200" s="66" t="str">
        <f aca="false">IF($A200="","",IF(N200="Kurang","penyimpanan "&amp;F200&amp;" GB, di bawah batas minimal "&amp;Aturan!$C$33&amp;" GB ("&amp;J200&amp;")",IF(N200="Cukup","penyimpanan "&amp;F200&amp;" GB cukup, nyamannya "&amp;Aturan!$D$33&amp;" GB atau lebih ("&amp;J200&amp;")",IF(N200="Belum ada data","ukuran penyimpanan belum diisi",""))))</f>
        <v/>
      </c>
      <c r="V200" s="66" t="str">
        <f aca="false">IF($A200="","",IF(O200="Kurang","layar "&amp;Varian!$AG44&amp;", di bawah batas minimal ("&amp;IFERROR(INDEX(Aturan!$A$63:$A$66,MATCH(Aturan!$C$34,Aturan!$B$63:$B$66,0)),"peringkat "&amp;Aturan!$C$34)&amp;")",IF(O200="Cukup","layar "&amp;Varian!$AG44&amp;" cukup, nyamannya "&amp;IFERROR(INDEX(Aturan!$A$63:$A$66,MATCH(Aturan!$D$34,Aturan!$B$63:$B$66,0)),"peringkat "&amp;Aturan!$D$34),IF(O200="Belum ada data","jenis layar belum diketahui",""))))</f>
        <v/>
      </c>
      <c r="W200" s="66" t="str">
        <f aca="false">IF($A200="","",IF(P200="Kurang","layar "&amp;H200&amp;" Hz, di bawah batas minimal "&amp;Aturan!$C$35&amp;" Hz",IF(P200="Cukup","layar "&amp;H200&amp;" Hz cukup, nyamannya "&amp;Aturan!$D$35&amp;" Hz atau lebih",IF(P200="Belum ada data","refresh rate belum diketahui",""))))</f>
        <v/>
      </c>
      <c r="X200" s="66" t="str">
        <f aca="false">IF($A200="","",IF(K200="Kurang",R200&amp;"; ","")&amp;IF(L200="Kurang",S200&amp;"; ","")&amp;IF(M200="Kurang",T200&amp;"; ","")&amp;IF(N200="Kurang",U200&amp;"; ","")&amp;IF(O200="Kurang",V200&amp;"; ","")&amp;IF(P200="Kurang",W200&amp;"; ","")&amp;IF(K200="Belum ada data",R200&amp;"; ","")&amp;IF(L200="Belum ada data",S200&amp;"; ","")&amp;IF(M200="Belum ada data",T200&amp;"; ","")&amp;IF(N200="Belum ada data",U200&amp;"; ","")&amp;IF(O200="Belum ada data",V200&amp;"; ","")&amp;IF(P200="Belum ada data",W200&amp;"; ","")&amp;IF(K200="Cukup",R200&amp;"; ","")&amp;IF(L200="Cukup",S200&amp;"; ","")&amp;IF(M200="Cukup",T200&amp;"; ","")&amp;IF(N200="Cukup",U200&amp;"; ","")&amp;IF(O200="Cukup",V200&amp;"; ","")&amp;IF(P200="Cukup",W200&amp;"; ",""))</f>
        <v/>
      </c>
      <c r="Y200" s="66" t="str">
        <f aca="false">IF($A200="","",IF(K200="Nyaman","prosesor, ","")&amp;IF(L200="Nyaman","grafis, ","")&amp;IF(M200="Nyaman","RAM, ","")&amp;IF(N200="Nyaman","penyimpanan, ","")&amp;IF(O200="Nyaman","layar, ","")&amp;IF(P200="Nyaman","refresh rate, ",""))</f>
        <v>prosesor, RAM, penyimpanan, </v>
      </c>
      <c r="Z200" s="66" t="str">
        <f aca="false">IF($A200="","",IF(Q200="Tidak dinilai","Belum ada kriteria yang dinilai untuk kebutuhan ini.",IF(Q200="Cocok","Semua kriteria yang dinilai sudah nyaman: "&amp;LEFT(Y200,LEN(Y200)-2)&amp;".",UPPER(LEFT(X200,1))&amp;MID(X200,2,LEN(X200)-3)&amp;"."&amp;IF(Y200="",""," Sudah nyaman: "&amp;LEFT(Y200,LEN(Y200)-2)&amp;"."))))</f>
        <v>Semua kriteria yang dinilai sudah nyaman: prosesor, RAM, penyimpanan.</v>
      </c>
      <c r="AA200" s="71" t="str">
        <f aca="false">IF($A200="","",IF(Varian!$AR44="Windows 10","• "&amp;Aturan!$E$71&amp;CHAR(10),"")&amp;IF(Varian!$BB44="tidak","• "&amp;Aturan!$E$72&amp;CHAR(10),"")&amp;IF(OR(Varian!$AD44="belum terverifikasi",Varian!$AD44="tidak diketahui"),"• "&amp;Aturan!$E$73&amp;CHAR(10),"")&amp;IF(Varian!$AH44="1366x768","• "&amp;Aturan!$E$74&amp;CHAR(10),"")&amp;IF(Varian!$AG44="TN","• "&amp;Aturan!$E$75&amp;CHAR(10),"")&amp;IF(AND(Varian!$Q44="disolder",ISNUMBER(Varian!$M44),Varian!$M44&lt;=8),"• "&amp;Aturan!$E$76&amp;CHAR(10),""))</f>
        <v>• Info RAM dan penyimpanan (bisa diganti atau tidak) belum terverifikasi. Periksa lagi sebelum membeli.
</v>
      </c>
      <c r="AB200" s="66" t="str">
        <f aca="false">IF($A200="","",IF(AA200="","",LEFT(AA200,LEN(AA200)-1)))</f>
        <v>• Info RAM dan penyimpanan (bisa diganti atau tidak) belum terverifikasi. Periksa lagi sebelum membeli.</v>
      </c>
      <c r="AC200" s="67" t="n">
        <f aca="false">IF($A200="","",IF(AA200="",0,LEN(AA200)-LEN(SUBSTITUTE(AA200,CHAR(10),""))))</f>
        <v>1</v>
      </c>
    </row>
    <row r="201" customFormat="false" ht="15" hidden="false" customHeight="true" outlineLevel="0" collapsed="false">
      <c r="A201" s="33" t="str">
        <f aca="false">IF(Varian!$A44="","",Varian!$A44)</f>
        <v>advan-workplus-ai-r7-255-8-512</v>
      </c>
      <c r="B201" s="33" t="str">
        <f aca="false">IF($A201="","",Aturan!$A$22)</f>
        <v>Desain grafis</v>
      </c>
      <c r="C201" s="69" t="n">
        <f aca="false">IF($A201="","",IFERROR(IF(ISNUMBER(INDEX(CPU!$J$4:$J$64,MATCH(Varian!$J44,CPU!$A$4:$A$64,0))),INDEX(CPU!$J$4:$J$64,MATCH(Varian!$J44,CPU!$A$4:$A$64,0)),""),""))</f>
        <v>4</v>
      </c>
      <c r="D201" s="69" t="n">
        <f aca="false">IF($A201="","",IFERROR(IF(ISNUMBER(INDEX(GPU!$G$4:$G$64,MATCH(Varian!$K44,GPU!$A$4:$A$64,0))),INDEX(GPU!$G$4:$G$64,MATCH(Varian!$K44,GPU!$A$4:$A$64,0)),""),""))</f>
        <v>2</v>
      </c>
      <c r="E201" s="69" t="n">
        <f aca="false">IF($A201="","",IF(ISNUMBER(Varian!$M44),Varian!$M44,""))</f>
        <v>8</v>
      </c>
      <c r="F201" s="69" t="n">
        <f aca="false">IF($A201="","",IF(ISNUMBER(Varian!$V44),Varian!$V44,""))</f>
        <v>512</v>
      </c>
      <c r="G201" s="69" t="n">
        <f aca="false">IF($A201="","",IFERROR(INDEX(Aturan!$B$63:$B$66,MATCH(Varian!$AG44,Aturan!$A$63:$A$66,0)),""))</f>
        <v>3</v>
      </c>
      <c r="H201" s="69" t="str">
        <f aca="false">IF($A201="","",IF(ISNUMBER(Varian!$AI44),Varian!$AI44,""))</f>
        <v/>
      </c>
      <c r="I201" s="33" t="str">
        <f aca="false">IF($A201="","",IF(Varian!$Q44="disolder","menempel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belum diketahui apakah bisa ditambah</v>
      </c>
      <c r="J201" s="33" t="str">
        <f aca="false">IF($A201="","",IF(Varian!$Z44="ya","bisa diganti dengan yang lebih besar",IF(Varian!$Z44="tidak","menempel, tidak bisa diganti","belum diketahui apakah bisa diganti")))</f>
        <v>belum diketahui apakah bisa diganti</v>
      </c>
      <c r="K201" s="70" t="str">
        <f aca="false">IF($A201="","",IF(AND(Aturan!$C$36="",Aturan!$D$36=""),"Tidak dinilai",IF(C201="","Belum ada data",IF(C201&lt;IF(Aturan!$C$36="",0,Aturan!$C$36),"Kurang",IF(C201&gt;=IF(Aturan!$D$36="",Aturan!$C$36,Aturan!$D$36),"Nyaman","Cukup")))))</f>
        <v>Nyaman</v>
      </c>
      <c r="L201" s="70" t="str">
        <f aca="false">IF($A201="","",IF(AND(Aturan!$C$37="",Aturan!$D$37=""),"Tidak dinilai",IF(D201="","Belum ada data",IF(D201&lt;IF(Aturan!$C$37="",0,Aturan!$C$37),"Kurang",IF(D201&gt;=IF(Aturan!$D$37="",Aturan!$C$37,Aturan!$D$37),"Nyaman","Cukup")))))</f>
        <v>Nyaman</v>
      </c>
      <c r="M201" s="70" t="str">
        <f aca="false">IF($A201="","",IF(AND(Aturan!$C$38="",Aturan!$D$38=""),"Tidak dinilai",IF(E201="","Belum ada data",IF(E201&lt;IF(Aturan!$C$38="",0,Aturan!$C$38),"Kurang",IF(E201&gt;=IF(Aturan!$D$38="",Aturan!$C$38,Aturan!$D$38),"Nyaman","Cukup")))))</f>
        <v>Cukup</v>
      </c>
      <c r="N201" s="70" t="str">
        <f aca="false">IF($A201="","",IF(AND(Aturan!$C$39="",Aturan!$D$39=""),"Tidak dinilai",IF(F201="","Belum ada data",IF(F201&lt;IF(Aturan!$C$39="",0,Aturan!$C$39),"Kurang",IF(F201&gt;=IF(Aturan!$D$39="",Aturan!$C$39,Aturan!$D$39),"Nyaman","Cukup")))))</f>
        <v>Nyaman</v>
      </c>
      <c r="O201" s="70" t="str">
        <f aca="false">IF($A201="","",IF(AND(Aturan!$C$40="",Aturan!$D$40=""),"Tidak dinilai",IF(G201="","Belum ada data",IF(G201&lt;IF(Aturan!$C$40="",0,Aturan!$C$40),"Kurang",IF(G201&gt;=IF(Aturan!$D$40="",Aturan!$C$40,Aturan!$D$40),"Nyaman","Cukup")))))</f>
        <v>Cukup</v>
      </c>
      <c r="P201" s="70" t="str">
        <f aca="false">IF($A201="","",IF(AND(Aturan!$C$41="",Aturan!$D$41=""),"Tidak dinilai",IF(H201="","Belum ada data",IF(H201&lt;IF(Aturan!$C$41="",0,Aturan!$C$41),"Kurang",IF(H201&gt;=IF(Aturan!$D$41="",Aturan!$C$41,Aturan!$D$41),"Nyaman","Cukup")))))</f>
        <v>Tidak dinilai</v>
      </c>
      <c r="Q201" s="70" t="str">
        <f aca="false">IF($A201="","",IF(COUNTIF(K201:P201,"Tidak dinilai")=6,"Tidak dinilai",IF(COUNTIF(K201:P201,"Kurang")&gt;0,"Kurang cocok",IF(COUNTIF(K201:P201,"Belum ada data")&gt;0,"Data belum lengkap",IF(COUNTIF(K201:P201,"Cukup")&gt;0,"Bisa, dengan catatan","Cocok")))))</f>
        <v>Bisa, dengan catatan</v>
      </c>
      <c r="R201" s="33" t="str">
        <f aca="false">IF($A201="","",IF(K201="Kurang","prosesor tingkat "&amp;C201&amp;" dari 5, di bawah batas minimal (tingkat "&amp;Aturan!$C$36&amp;")",IF(K201="Cukup","prosesor tingkat "&amp;C201&amp;" dari 5 cukup, nyamannya mulai tingkat "&amp;Aturan!$D$36,IF(K201="Belum ada data","tingkat prosesor belum diisi",""))))</f>
        <v/>
      </c>
      <c r="S201" s="33" t="str">
        <f aca="false">IF($A201="","",IF(L201="Kurang","grafis tingkat "&amp;D201&amp;" dari 5, di bawah batas minimal (tingkat "&amp;Aturan!$C$37&amp;")",IF(L201="Cukup","grafis tingkat "&amp;D201&amp;" dari 5 cukup, nyamannya mulai tingkat "&amp;Aturan!$D$37,IF(L201="Belum ada data","tingkat grafis belum diisi",""))))</f>
        <v/>
      </c>
      <c r="T201" s="33" t="str">
        <f aca="false">IF($A201="","",IF(M201="Kurang","RAM "&amp;E201&amp;" GB, di bawah batas minimal "&amp;Aturan!$C$38&amp;" GB ("&amp;I201&amp;")",IF(M201="Cukup","RAM "&amp;E201&amp;" GB cukup, nyamannya "&amp;Aturan!$D$38&amp;" GB atau lebih ("&amp;I201&amp;")",IF(M201="Belum ada data","ukuran RAM belum diisi",""))))</f>
        <v>RAM 8 GB cukup, nyamannya 16 GB atau lebih (belum diketahui apakah bisa ditambah)</v>
      </c>
      <c r="U201" s="33" t="str">
        <f aca="false">IF($A201="","",IF(N201="Kurang","penyimpanan "&amp;F201&amp;" GB, di bawah batas minimal "&amp;Aturan!$C$39&amp;" GB ("&amp;J201&amp;")",IF(N201="Cukup","penyimpanan "&amp;F201&amp;" GB cukup, nyamannya "&amp;Aturan!$D$39&amp;" GB atau lebih ("&amp;J201&amp;")",IF(N201="Belum ada data","ukuran penyimpanan belum diisi",""))))</f>
        <v/>
      </c>
      <c r="V201" s="33" t="str">
        <f aca="false">IF($A201="","",IF(O201="Kurang","layar "&amp;Varian!$AG44&amp;", di bawah batas minimal ("&amp;IFERROR(INDEX(Aturan!$A$63:$A$66,MATCH(Aturan!$C$40,Aturan!$B$63:$B$66,0)),"peringkat "&amp;Aturan!$C$40)&amp;")",IF(O201="Cukup","layar "&amp;Varian!$AG44&amp;" cukup, nyamannya "&amp;IFERROR(INDEX(Aturan!$A$63:$A$66,MATCH(Aturan!$D$40,Aturan!$B$63:$B$66,0)),"peringkat "&amp;Aturan!$D$40),IF(O201="Belum ada data","jenis layar belum diketahui",""))))</f>
        <v>layar IPS cukup, nyamannya OLED</v>
      </c>
      <c r="W201" s="33" t="str">
        <f aca="false">IF($A201="","",IF(P201="Kurang","layar "&amp;H201&amp;" Hz, di bawah batas minimal "&amp;Aturan!$C$41&amp;" Hz",IF(P201="Cukup","layar "&amp;H201&amp;" Hz cukup, nyamannya "&amp;Aturan!$D$41&amp;" Hz atau lebih",IF(P201="Belum ada data","refresh rate belum diketahui",""))))</f>
        <v/>
      </c>
      <c r="X201" s="33" t="str">
        <f aca="false">IF($A201="","",IF(K201="Kurang",R201&amp;"; ","")&amp;IF(L201="Kurang",S201&amp;"; ","")&amp;IF(M201="Kurang",T201&amp;"; ","")&amp;IF(N201="Kurang",U201&amp;"; ","")&amp;IF(O201="Kurang",V201&amp;"; ","")&amp;IF(P201="Kurang",W201&amp;"; ","")&amp;IF(K201="Belum ada data",R201&amp;"; ","")&amp;IF(L201="Belum ada data",S201&amp;"; ","")&amp;IF(M201="Belum ada data",T201&amp;"; ","")&amp;IF(N201="Belum ada data",U201&amp;"; ","")&amp;IF(O201="Belum ada data",V201&amp;"; ","")&amp;IF(P201="Belum ada data",W201&amp;"; ","")&amp;IF(K201="Cukup",R201&amp;"; ","")&amp;IF(L201="Cukup",S201&amp;"; ","")&amp;IF(M201="Cukup",T201&amp;"; ","")&amp;IF(N201="Cukup",U201&amp;"; ","")&amp;IF(O201="Cukup",V201&amp;"; ","")&amp;IF(P201="Cukup",W201&amp;"; ",""))</f>
        <v>RAM 8 GB cukup, nyamannya 16 GB atau lebih (belum diketahui apakah bisa ditambah); layar IPS cukup, nyamannya OLED; </v>
      </c>
      <c r="Y201" s="33" t="str">
        <f aca="false">IF($A201="","",IF(K201="Nyaman","prosesor, ","")&amp;IF(L201="Nyaman","grafis, ","")&amp;IF(M201="Nyaman","RAM, ","")&amp;IF(N201="Nyaman","penyimpanan, ","")&amp;IF(O201="Nyaman","layar, ","")&amp;IF(P201="Nyaman","refresh rate, ",""))</f>
        <v>prosesor, grafis, penyimpanan, </v>
      </c>
      <c r="Z201" s="33" t="str">
        <f aca="false">IF($A201="","",IF(Q201="Tidak dinilai","Belum ada kriteria yang dinilai untuk kebutuhan ini.",IF(Q201="Cocok","Semua kriteria yang dinilai sudah nyaman: "&amp;LEFT(Y201,LEN(Y201)-2)&amp;".",UPPER(LEFT(X201,1))&amp;MID(X201,2,LEN(X201)-3)&amp;"."&amp;IF(Y201="",""," Sudah nyaman: "&amp;LEFT(Y201,LEN(Y201)-2)&amp;"."))))</f>
        <v>RAM 8 GB cukup, nyamannya 16 GB atau lebih (belum diketahui apakah bisa ditambah); layar IPS cukup, nyamannya OLED. Sudah nyaman: prosesor, grafis, penyimpanan.</v>
      </c>
      <c r="AA201" s="33"/>
      <c r="AB201" s="33"/>
      <c r="AC201" s="69"/>
    </row>
    <row r="202" customFormat="false" ht="15" hidden="false" customHeight="true" outlineLevel="0" collapsed="false">
      <c r="A202" s="33" t="str">
        <f aca="false">IF(Varian!$A44="","",Varian!$A44)</f>
        <v>advan-workplus-ai-r7-255-8-512</v>
      </c>
      <c r="B202" s="33" t="str">
        <f aca="false">IF($A202="","",Aturan!$A$23)</f>
        <v>Pemrograman</v>
      </c>
      <c r="C202" s="69" t="n">
        <f aca="false">IF($A202="","",IFERROR(IF(ISNUMBER(INDEX(CPU!$J$4:$J$64,MATCH(Varian!$J44,CPU!$A$4:$A$64,0))),INDEX(CPU!$J$4:$J$64,MATCH(Varian!$J44,CPU!$A$4:$A$64,0)),""),""))</f>
        <v>4</v>
      </c>
      <c r="D202" s="69" t="n">
        <f aca="false">IF($A202="","",IFERROR(IF(ISNUMBER(INDEX(GPU!$G$4:$G$64,MATCH(Varian!$K44,GPU!$A$4:$A$64,0))),INDEX(GPU!$G$4:$G$64,MATCH(Varian!$K44,GPU!$A$4:$A$64,0)),""),""))</f>
        <v>2</v>
      </c>
      <c r="E202" s="69" t="n">
        <f aca="false">IF($A202="","",IF(ISNUMBER(Varian!$M44),Varian!$M44,""))</f>
        <v>8</v>
      </c>
      <c r="F202" s="69" t="n">
        <f aca="false">IF($A202="","",IF(ISNUMBER(Varian!$V44),Varian!$V44,""))</f>
        <v>512</v>
      </c>
      <c r="G202" s="69" t="n">
        <f aca="false">IF($A202="","",IFERROR(INDEX(Aturan!$B$63:$B$66,MATCH(Varian!$AG44,Aturan!$A$63:$A$66,0)),""))</f>
        <v>3</v>
      </c>
      <c r="H202" s="69" t="str">
        <f aca="false">IF($A202="","",IF(ISNUMBER(Varian!$AI44),Varian!$AI44,""))</f>
        <v/>
      </c>
      <c r="I202" s="33" t="str">
        <f aca="false">IF($A202="","",IF(Varian!$Q44="disolder","menempel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belum diketahui apakah bisa ditambah</v>
      </c>
      <c r="J202" s="33" t="str">
        <f aca="false">IF($A202="","",IF(Varian!$Z44="ya","bisa diganti dengan yang lebih besar",IF(Varian!$Z44="tidak","menempel, tidak bisa diganti","belum diketahui apakah bisa diganti")))</f>
        <v>belum diketahui apakah bisa diganti</v>
      </c>
      <c r="K202" s="70" t="str">
        <f aca="false">IF($A202="","",IF(AND(Aturan!$C$42="",Aturan!$D$42=""),"Tidak dinilai",IF(C202="","Belum ada data",IF(C202&lt;IF(Aturan!$C$42="",0,Aturan!$C$42),"Kurang",IF(C202&gt;=IF(Aturan!$D$42="",Aturan!$C$42,Aturan!$D$42),"Nyaman","Cukup")))))</f>
        <v>Nyaman</v>
      </c>
      <c r="L202" s="70" t="str">
        <f aca="false">IF($A202="","",IF(AND(Aturan!$C$43="",Aturan!$D$43=""),"Tidak dinilai",IF(D202="","Belum ada data",IF(D202&lt;IF(Aturan!$C$43="",0,Aturan!$C$43),"Kurang",IF(D202&gt;=IF(Aturan!$D$43="",Aturan!$C$43,Aturan!$D$43),"Nyaman","Cukup")))))</f>
        <v>Tidak dinilai</v>
      </c>
      <c r="M202" s="70" t="str">
        <f aca="false">IF($A202="","",IF(AND(Aturan!$C$44="",Aturan!$D$44=""),"Tidak dinilai",IF(E202="","Belum ada data",IF(E202&lt;IF(Aturan!$C$44="",0,Aturan!$C$44),"Kurang",IF(E202&gt;=IF(Aturan!$D$44="",Aturan!$C$44,Aturan!$D$44),"Nyaman","Cukup")))))</f>
        <v>Cukup</v>
      </c>
      <c r="N202" s="70" t="str">
        <f aca="false">IF($A202="","",IF(AND(Aturan!$C$45="",Aturan!$D$45=""),"Tidak dinilai",IF(F202="","Belum ada data",IF(F202&lt;IF(Aturan!$C$45="",0,Aturan!$C$45),"Kurang",IF(F202&gt;=IF(Aturan!$D$45="",Aturan!$C$45,Aturan!$D$45),"Nyaman","Cukup")))))</f>
        <v>Nyaman</v>
      </c>
      <c r="O202" s="70" t="str">
        <f aca="false">IF($A202="","",IF(AND(Aturan!$C$46="",Aturan!$D$46=""),"Tidak dinilai",IF(G202="","Belum ada data",IF(G202&lt;IF(Aturan!$C$46="",0,Aturan!$C$46),"Kurang",IF(G202&gt;=IF(Aturan!$D$46="",Aturan!$C$46,Aturan!$D$46),"Nyaman","Cukup")))))</f>
        <v>Tidak dinilai</v>
      </c>
      <c r="P202" s="70" t="str">
        <f aca="false">IF($A202="","",IF(AND(Aturan!$C$47="",Aturan!$D$47=""),"Tidak dinilai",IF(H202="","Belum ada data",IF(H202&lt;IF(Aturan!$C$47="",0,Aturan!$C$47),"Kurang",IF(H202&gt;=IF(Aturan!$D$47="",Aturan!$C$47,Aturan!$D$47),"Nyaman","Cukup")))))</f>
        <v>Tidak dinilai</v>
      </c>
      <c r="Q202" s="70" t="str">
        <f aca="false">IF($A202="","",IF(COUNTIF(K202:P202,"Tidak dinilai")=6,"Tidak dinilai",IF(COUNTIF(K202:P202,"Kurang")&gt;0,"Kurang cocok",IF(COUNTIF(K202:P202,"Belum ada data")&gt;0,"Data belum lengkap",IF(COUNTIF(K202:P202,"Cukup")&gt;0,"Bisa, dengan catatan","Cocok")))))</f>
        <v>Bisa, dengan catatan</v>
      </c>
      <c r="R202" s="33" t="str">
        <f aca="false">IF($A202="","",IF(K202="Kurang","prosesor tingkat "&amp;C202&amp;" dari 5, di bawah batas minimal (tingkat "&amp;Aturan!$C$42&amp;")",IF(K202="Cukup","prosesor tingkat "&amp;C202&amp;" dari 5 cukup, nyamannya mulai tingkat "&amp;Aturan!$D$42,IF(K202="Belum ada data","tingkat prosesor belum diisi",""))))</f>
        <v/>
      </c>
      <c r="S202" s="33" t="str">
        <f aca="false">IF($A202="","",IF(L202="Kurang","grafis tingkat "&amp;D202&amp;" dari 5, di bawah batas minimal (tingkat "&amp;Aturan!$C$43&amp;")",IF(L202="Cukup","grafis tingkat "&amp;D202&amp;" dari 5 cukup, nyamannya mulai tingkat "&amp;Aturan!$D$43,IF(L202="Belum ada data","tingkat grafis belum diisi",""))))</f>
        <v/>
      </c>
      <c r="T202" s="33" t="str">
        <f aca="false">IF($A202="","",IF(M202="Kurang","RAM "&amp;E202&amp;" GB, di bawah batas minimal "&amp;Aturan!$C$44&amp;" GB ("&amp;I202&amp;")",IF(M202="Cukup","RAM "&amp;E202&amp;" GB cukup, nyamannya "&amp;Aturan!$D$44&amp;" GB atau lebih ("&amp;I202&amp;")",IF(M202="Belum ada data","ukuran RAM belum diisi",""))))</f>
        <v>RAM 8 GB cukup, nyamannya 16 GB atau lebih (belum diketahui apakah bisa ditambah)</v>
      </c>
      <c r="U202" s="33" t="str">
        <f aca="false">IF($A202="","",IF(N202="Kurang","penyimpanan "&amp;F202&amp;" GB, di bawah batas minimal "&amp;Aturan!$C$45&amp;" GB ("&amp;J202&amp;")",IF(N202="Cukup","penyimpanan "&amp;F202&amp;" GB cukup, nyamannya "&amp;Aturan!$D$45&amp;" GB atau lebih ("&amp;J202&amp;")",IF(N202="Belum ada data","ukuran penyimpanan belum diisi",""))))</f>
        <v/>
      </c>
      <c r="V202" s="33" t="str">
        <f aca="false">IF($A202="","",IF(O202="Kurang","layar "&amp;Varian!$AG44&amp;", di bawah batas minimal ("&amp;IFERROR(INDEX(Aturan!$A$63:$A$66,MATCH(Aturan!$C$46,Aturan!$B$63:$B$66,0)),"peringkat "&amp;Aturan!$C$46)&amp;")",IF(O202="Cukup","layar "&amp;Varian!$AG44&amp;" cukup, nyamannya "&amp;IFERROR(INDEX(Aturan!$A$63:$A$66,MATCH(Aturan!$D$46,Aturan!$B$63:$B$66,0)),"peringkat "&amp;Aturan!$D$46),IF(O202="Belum ada data","jenis layar belum diketahui",""))))</f>
        <v/>
      </c>
      <c r="W202" s="33" t="str">
        <f aca="false">IF($A202="","",IF(P202="Kurang","layar "&amp;H202&amp;" Hz, di bawah batas minimal "&amp;Aturan!$C$47&amp;" Hz",IF(P202="Cukup","layar "&amp;H202&amp;" Hz cukup, nyamannya "&amp;Aturan!$D$47&amp;" Hz atau lebih",IF(P202="Belum ada data","refresh rate belum diketahui",""))))</f>
        <v/>
      </c>
      <c r="X202" s="33" t="str">
        <f aca="false">IF($A202="","",IF(K202="Kurang",R202&amp;"; ","")&amp;IF(L202="Kurang",S202&amp;"; ","")&amp;IF(M202="Kurang",T202&amp;"; ","")&amp;IF(N202="Kurang",U202&amp;"; ","")&amp;IF(O202="Kurang",V202&amp;"; ","")&amp;IF(P202="Kurang",W202&amp;"; ","")&amp;IF(K202="Belum ada data",R202&amp;"; ","")&amp;IF(L202="Belum ada data",S202&amp;"; ","")&amp;IF(M202="Belum ada data",T202&amp;"; ","")&amp;IF(N202="Belum ada data",U202&amp;"; ","")&amp;IF(O202="Belum ada data",V202&amp;"; ","")&amp;IF(P202="Belum ada data",W202&amp;"; ","")&amp;IF(K202="Cukup",R202&amp;"; ","")&amp;IF(L202="Cukup",S202&amp;"; ","")&amp;IF(M202="Cukup",T202&amp;"; ","")&amp;IF(N202="Cukup",U202&amp;"; ","")&amp;IF(O202="Cukup",V202&amp;"; ","")&amp;IF(P202="Cukup",W202&amp;"; ",""))</f>
        <v>RAM 8 GB cukup, nyamannya 16 GB atau lebih (belum diketahui apakah bisa ditambah); </v>
      </c>
      <c r="Y202" s="33" t="str">
        <f aca="false">IF($A202="","",IF(K202="Nyaman","prosesor, ","")&amp;IF(L202="Nyaman","grafis, ","")&amp;IF(M202="Nyaman","RAM, ","")&amp;IF(N202="Nyaman","penyimpanan, ","")&amp;IF(O202="Nyaman","layar, ","")&amp;IF(P202="Nyaman","refresh rate, ",""))</f>
        <v>prosesor, penyimpanan, </v>
      </c>
      <c r="Z202" s="33" t="str">
        <f aca="false">IF($A202="","",IF(Q202="Tidak dinilai","Belum ada kriteria yang dinilai untuk kebutuhan ini.",IF(Q202="Cocok","Semua kriteria yang dinilai sudah nyaman: "&amp;LEFT(Y202,LEN(Y202)-2)&amp;".",UPPER(LEFT(X202,1))&amp;MID(X202,2,LEN(X202)-3)&amp;"."&amp;IF(Y202="",""," Sudah nyaman: "&amp;LEFT(Y202,LEN(Y202)-2)&amp;"."))))</f>
        <v>RAM 8 GB cukup, nyamannya 16 GB atau lebih (belum diketahui apakah bisa ditambah). Sudah nyaman: prosesor, penyimpanan.</v>
      </c>
      <c r="AA202" s="33"/>
      <c r="AB202" s="33"/>
      <c r="AC202" s="69"/>
    </row>
    <row r="203" customFormat="false" ht="15" hidden="false" customHeight="true" outlineLevel="0" collapsed="false">
      <c r="A203" s="33" t="str">
        <f aca="false">IF(Varian!$A44="","",Varian!$A44)</f>
        <v>advan-workplus-ai-r7-255-8-512</v>
      </c>
      <c r="B203" s="33" t="str">
        <f aca="false">IF($A203="","",Aturan!$A$24)</f>
        <v>Game ringan</v>
      </c>
      <c r="C203" s="69" t="n">
        <f aca="false">IF($A203="","",IFERROR(IF(ISNUMBER(INDEX(CPU!$J$4:$J$64,MATCH(Varian!$J44,CPU!$A$4:$A$64,0))),INDEX(CPU!$J$4:$J$64,MATCH(Varian!$J44,CPU!$A$4:$A$64,0)),""),""))</f>
        <v>4</v>
      </c>
      <c r="D203" s="69" t="n">
        <f aca="false">IF($A203="","",IFERROR(IF(ISNUMBER(INDEX(GPU!$G$4:$G$64,MATCH(Varian!$K44,GPU!$A$4:$A$64,0))),INDEX(GPU!$G$4:$G$64,MATCH(Varian!$K44,GPU!$A$4:$A$64,0)),""),""))</f>
        <v>2</v>
      </c>
      <c r="E203" s="69" t="n">
        <f aca="false">IF($A203="","",IF(ISNUMBER(Varian!$M44),Varian!$M44,""))</f>
        <v>8</v>
      </c>
      <c r="F203" s="69" t="n">
        <f aca="false">IF($A203="","",IF(ISNUMBER(Varian!$V44),Varian!$V44,""))</f>
        <v>512</v>
      </c>
      <c r="G203" s="69" t="n">
        <f aca="false">IF($A203="","",IFERROR(INDEX(Aturan!$B$63:$B$66,MATCH(Varian!$AG44,Aturan!$A$63:$A$66,0)),""))</f>
        <v>3</v>
      </c>
      <c r="H203" s="69" t="str">
        <f aca="false">IF($A203="","",IF(ISNUMBER(Varian!$AI44),Varian!$AI44,""))</f>
        <v/>
      </c>
      <c r="I203" s="33" t="str">
        <f aca="false">IF($A203="","",IF(Varian!$Q44="disolder","menempel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belum diketahui apakah bisa ditambah</v>
      </c>
      <c r="J203" s="33" t="str">
        <f aca="false">IF($A203="","",IF(Varian!$Z44="ya","bisa diganti dengan yang lebih besar",IF(Varian!$Z44="tidak","menempel, tidak bisa diganti","belum diketahui apakah bisa diganti")))</f>
        <v>belum diketahui apakah bisa diganti</v>
      </c>
      <c r="K203" s="70" t="str">
        <f aca="false">IF($A203="","",IF(AND(Aturan!$C$48="",Aturan!$D$48=""),"Tidak dinilai",IF(C203="","Belum ada data",IF(C203&lt;IF(Aturan!$C$48="",0,Aturan!$C$48),"Kurang",IF(C203&gt;=IF(Aturan!$D$48="",Aturan!$C$48,Aturan!$D$48),"Nyaman","Cukup")))))</f>
        <v>Nyaman</v>
      </c>
      <c r="L203" s="70" t="str">
        <f aca="false">IF($A203="","",IF(AND(Aturan!$C$49="",Aturan!$D$49=""),"Tidak dinilai",IF(D203="","Belum ada data",IF(D203&lt;IF(Aturan!$C$49="",0,Aturan!$C$49),"Kurang",IF(D203&gt;=IF(Aturan!$D$49="",Aturan!$C$49,Aturan!$D$49),"Nyaman","Cukup")))))</f>
        <v>Nyaman</v>
      </c>
      <c r="M203" s="70" t="str">
        <f aca="false">IF($A203="","",IF(AND(Aturan!$C$50="",Aturan!$D$50=""),"Tidak dinilai",IF(E203="","Belum ada data",IF(E203&lt;IF(Aturan!$C$50="",0,Aturan!$C$50),"Kurang",IF(E203&gt;=IF(Aturan!$D$50="",Aturan!$C$50,Aturan!$D$50),"Nyaman","Cukup")))))</f>
        <v>Nyaman</v>
      </c>
      <c r="N203" s="70" t="str">
        <f aca="false">IF($A203="","",IF(AND(Aturan!$C$51="",Aturan!$D$51=""),"Tidak dinilai",IF(F203="","Belum ada data",IF(F203&lt;IF(Aturan!$C$51="",0,Aturan!$C$51),"Kurang",IF(F203&gt;=IF(Aturan!$D$51="",Aturan!$C$51,Aturan!$D$51),"Nyaman","Cukup")))))</f>
        <v>Nyaman</v>
      </c>
      <c r="O203" s="70" t="str">
        <f aca="false">IF($A203="","",IF(AND(Aturan!$C$52="",Aturan!$D$52=""),"Tidak dinilai",IF(G203="","Belum ada data",IF(G203&lt;IF(Aturan!$C$52="",0,Aturan!$C$52),"Kurang",IF(G203&gt;=IF(Aturan!$D$52="",Aturan!$C$52,Aturan!$D$52),"Nyaman","Cukup")))))</f>
        <v>Tidak dinilai</v>
      </c>
      <c r="P203" s="70" t="str">
        <f aca="false">IF($A203="","",IF(AND(Aturan!$C$53="",Aturan!$D$53=""),"Tidak dinilai",IF(H203="","Belum ada data",IF(H203&lt;IF(Aturan!$C$53="",0,Aturan!$C$53),"Kurang",IF(H203&gt;=IF(Aturan!$D$53="",Aturan!$C$53,Aturan!$D$53),"Nyaman","Cukup")))))</f>
        <v>Tidak dinilai</v>
      </c>
      <c r="Q203" s="70" t="str">
        <f aca="false">IF($A203="","",IF(COUNTIF(K203:P203,"Tidak dinilai")=6,"Tidak dinilai",IF(COUNTIF(K203:P203,"Kurang")&gt;0,"Kurang cocok",IF(COUNTIF(K203:P203,"Belum ada data")&gt;0,"Data belum lengkap",IF(COUNTIF(K203:P203,"Cukup")&gt;0,"Bisa, dengan catatan","Cocok")))))</f>
        <v>Cocok</v>
      </c>
      <c r="R203" s="33" t="str">
        <f aca="false">IF($A203="","",IF(K203="Kurang","prosesor tingkat "&amp;C203&amp;" dari 5, di bawah batas minimal (tingkat "&amp;Aturan!$C$48&amp;")",IF(K203="Cukup","prosesor tingkat "&amp;C203&amp;" dari 5 cukup, nyamannya mulai tingkat "&amp;Aturan!$D$48,IF(K203="Belum ada data","tingkat prosesor belum diisi",""))))</f>
        <v/>
      </c>
      <c r="S203" s="33" t="str">
        <f aca="false">IF($A203="","",IF(L203="Kurang","grafis tingkat "&amp;D203&amp;" dari 5, di bawah batas minimal (tingkat "&amp;Aturan!$C$49&amp;")",IF(L203="Cukup","grafis tingkat "&amp;D203&amp;" dari 5 cukup, nyamannya mulai tingkat "&amp;Aturan!$D$49,IF(L203="Belum ada data","tingkat grafis belum diisi",""))))</f>
        <v/>
      </c>
      <c r="T203" s="33" t="str">
        <f aca="false">IF($A203="","",IF(M203="Kurang","RAM "&amp;E203&amp;" GB, di bawah batas minimal "&amp;Aturan!$C$50&amp;" GB ("&amp;I203&amp;")",IF(M203="Cukup","RAM "&amp;E203&amp;" GB cukup, nyamannya "&amp;Aturan!$D$50&amp;" GB atau lebih ("&amp;I203&amp;")",IF(M203="Belum ada data","ukuran RAM belum diisi",""))))</f>
        <v/>
      </c>
      <c r="U203" s="33" t="str">
        <f aca="false">IF($A203="","",IF(N203="Kurang","penyimpanan "&amp;F203&amp;" GB, di bawah batas minimal "&amp;Aturan!$C$51&amp;" GB ("&amp;J203&amp;")",IF(N203="Cukup","penyimpanan "&amp;F203&amp;" GB cukup, nyamannya "&amp;Aturan!$D$51&amp;" GB atau lebih ("&amp;J203&amp;")",IF(N203="Belum ada data","ukuran penyimpanan belum diisi",""))))</f>
        <v/>
      </c>
      <c r="V203" s="33" t="str">
        <f aca="false">IF($A203="","",IF(O203="Kurang","layar "&amp;Varian!$AG44&amp;", di bawah batas minimal ("&amp;IFERROR(INDEX(Aturan!$A$63:$A$66,MATCH(Aturan!$C$52,Aturan!$B$63:$B$66,0)),"peringkat "&amp;Aturan!$C$52)&amp;")",IF(O203="Cukup","layar "&amp;Varian!$AG44&amp;" cukup, nyamannya "&amp;IFERROR(INDEX(Aturan!$A$63:$A$66,MATCH(Aturan!$D$52,Aturan!$B$63:$B$66,0)),"peringkat "&amp;Aturan!$D$52),IF(O203="Belum ada data","jenis layar belum diketahui",""))))</f>
        <v/>
      </c>
      <c r="W203" s="33" t="str">
        <f aca="false">IF($A203="","",IF(P203="Kurang","layar "&amp;H203&amp;" Hz, di bawah batas minimal "&amp;Aturan!$C$53&amp;" Hz",IF(P203="Cukup","layar "&amp;H203&amp;" Hz cukup, nyamannya "&amp;Aturan!$D$53&amp;" Hz atau lebih",IF(P203="Belum ada data","refresh rate belum diketahui",""))))</f>
        <v/>
      </c>
      <c r="X203" s="33" t="str">
        <f aca="false">IF($A203="","",IF(K203="Kurang",R203&amp;"; ","")&amp;IF(L203="Kurang",S203&amp;"; ","")&amp;IF(M203="Kurang",T203&amp;"; ","")&amp;IF(N203="Kurang",U203&amp;"; ","")&amp;IF(O203="Kurang",V203&amp;"; ","")&amp;IF(P203="Kurang",W203&amp;"; ","")&amp;IF(K203="Belum ada data",R203&amp;"; ","")&amp;IF(L203="Belum ada data",S203&amp;"; ","")&amp;IF(M203="Belum ada data",T203&amp;"; ","")&amp;IF(N203="Belum ada data",U203&amp;"; ","")&amp;IF(O203="Belum ada data",V203&amp;"; ","")&amp;IF(P203="Belum ada data",W203&amp;"; ","")&amp;IF(K203="Cukup",R203&amp;"; ","")&amp;IF(L203="Cukup",S203&amp;"; ","")&amp;IF(M203="Cukup",T203&amp;"; ","")&amp;IF(N203="Cukup",U203&amp;"; ","")&amp;IF(O203="Cukup",V203&amp;"; ","")&amp;IF(P203="Cukup",W203&amp;"; ",""))</f>
        <v/>
      </c>
      <c r="Y203" s="33" t="str">
        <f aca="false">IF($A203="","",IF(K203="Nyaman","prosesor, ","")&amp;IF(L203="Nyaman","grafis, ","")&amp;IF(M203="Nyaman","RAM, ","")&amp;IF(N203="Nyaman","penyimpanan, ","")&amp;IF(O203="Nyaman","layar, ","")&amp;IF(P203="Nyaman","refresh rate, ",""))</f>
        <v>prosesor, grafis, RAM, penyimpanan, </v>
      </c>
      <c r="Z203" s="33" t="str">
        <f aca="false">IF($A203="","",IF(Q203="Tidak dinilai","Belum ada kriteria yang dinilai untuk kebutuhan ini.",IF(Q203="Cocok","Semua kriteria yang dinilai sudah nyaman: "&amp;LEFT(Y203,LEN(Y203)-2)&amp;".",UPPER(LEFT(X203,1))&amp;MID(X203,2,LEN(X203)-3)&amp;"."&amp;IF(Y203="",""," Sudah nyaman: "&amp;LEFT(Y203,LEN(Y203)-2)&amp;"."))))</f>
        <v>Semua kriteria yang dinilai sudah nyaman: prosesor, grafis, RAM, penyimpanan.</v>
      </c>
      <c r="AA203" s="33"/>
      <c r="AB203" s="33"/>
      <c r="AC203" s="69"/>
    </row>
    <row r="204" customFormat="false" ht="15" hidden="false" customHeight="true" outlineLevel="0" collapsed="false">
      <c r="A204" s="33" t="str">
        <f aca="false">IF(Varian!$A44="","",Varian!$A44)</f>
        <v>advan-workplus-ai-r7-255-8-512</v>
      </c>
      <c r="B204" s="33" t="str">
        <f aca="false">IF($A204="","",Aturan!$A$25)</f>
        <v>Game berat</v>
      </c>
      <c r="C204" s="69" t="n">
        <f aca="false">IF($A204="","",IFERROR(IF(ISNUMBER(INDEX(CPU!$J$4:$J$64,MATCH(Varian!$J44,CPU!$A$4:$A$64,0))),INDEX(CPU!$J$4:$J$64,MATCH(Varian!$J44,CPU!$A$4:$A$64,0)),""),""))</f>
        <v>4</v>
      </c>
      <c r="D204" s="69" t="n">
        <f aca="false">IF($A204="","",IFERROR(IF(ISNUMBER(INDEX(GPU!$G$4:$G$64,MATCH(Varian!$K44,GPU!$A$4:$A$64,0))),INDEX(GPU!$G$4:$G$64,MATCH(Varian!$K44,GPU!$A$4:$A$64,0)),""),""))</f>
        <v>2</v>
      </c>
      <c r="E204" s="69" t="n">
        <f aca="false">IF($A204="","",IF(ISNUMBER(Varian!$M44),Varian!$M44,""))</f>
        <v>8</v>
      </c>
      <c r="F204" s="69" t="n">
        <f aca="false">IF($A204="","",IF(ISNUMBER(Varian!$V44),Varian!$V44,""))</f>
        <v>512</v>
      </c>
      <c r="G204" s="69" t="n">
        <f aca="false">IF($A204="","",IFERROR(INDEX(Aturan!$B$63:$B$66,MATCH(Varian!$AG44,Aturan!$A$63:$A$66,0)),""))</f>
        <v>3</v>
      </c>
      <c r="H204" s="69" t="str">
        <f aca="false">IF($A204="","",IF(ISNUMBER(Varian!$AI44),Varian!$AI44,""))</f>
        <v/>
      </c>
      <c r="I204" s="33" t="str">
        <f aca="false">IF($A204="","",IF(Varian!$Q44="disolder","menempel di papan utama, tidak bisa ditambah",IF(OR(Varian!$Q44="slot",Varian!$Q44="setengah_disolder"),IF(Varian!$Q44="setengah_disolder","sebagian menempel, ","")&amp;IF(ISNUMBER(Varian!$U44),IF(AND(ISNUMBER(Varian!$M44),Varian!$U44&gt;Varian!$M44),"bisa dinaikkan lewat slot sampai "&amp;Varian!$U44&amp;" GB","sudah di batas maksimal "&amp;Varian!$U44&amp;" GB"),"ada slot, batas maksimalnya belum diketahui"),"belum diketahui apakah bisa ditambah")))</f>
        <v>belum diketahui apakah bisa ditambah</v>
      </c>
      <c r="J204" s="33" t="str">
        <f aca="false">IF($A204="","",IF(Varian!$Z44="ya","bisa diganti dengan yang lebih besar",IF(Varian!$Z44="tidak","menempel, tidak bisa diganti","belum diketahui apakah bisa diganti")))</f>
        <v>belum diketahui apakah bisa diganti</v>
      </c>
      <c r="K204" s="70" t="str">
        <f aca="false">IF($A204="","",IF(AND(Aturan!$C$54="",Aturan!$D$54=""),"Tidak dinilai",IF(C204="","Belum ada data",IF(C204&lt;IF(Aturan!$C$54="",0,Aturan!$C$54),"Kurang",IF(C204&gt;=IF(Aturan!$D$54="",Aturan!$C$54,Aturan!$D$54),"Nyaman","Cukup")))))</f>
        <v>Nyaman</v>
      </c>
      <c r="L204" s="70" t="str">
        <f aca="false">IF($A204="","",IF(AND(Aturan!$C$55="",Aturan!$D$55=""),"Tidak dinilai",IF(D204="","Belum ada data",IF(D204&lt;IF(Aturan!$C$55="",0,Aturan!$C$55),"Kurang",IF(D204&gt;=IF(Aturan!$D$55="",Aturan!$C$55,Aturan!$D$55),"Nyaman","Cukup")))))</f>
        <v>Kurang</v>
      </c>
      <c r="M204" s="70" t="str">
        <f aca="false">IF($A204="","",IF(AND(Aturan!$C$56="",Aturan!$D$56=""),"Tidak dinilai",IF(E204="","Belum ada data",IF(E204&lt;IF(Aturan!$C$56="",0,Aturan!$C$56),"Kurang",IF(E204&gt;=IF(Aturan!$D$56="",Aturan!$C$56,Aturan!$D$56),"Nyaman","Cukup")))))</f>
        <v>Cukup</v>
      </c>
      <c r="N204" s="70" t="str">
        <f aca="false">IF($A204="","",IF(AND(Aturan!$C$57="",Aturan!$D$57=""),"Tidak dinilai",IF(F204="","Belum ada data",IF(F204&lt;IF(Aturan!$C$57="",0,Aturan!$C$57),"Kurang",IF(F204&gt;=IF(Aturan!$D$57="",Aturan!$C$57,Aturan!$D$57),"Nyaman","Cukup")))))</f>
        <v>Cukup</v>
      </c>
      <c r="O204" s="70" t="str">
        <f aca="false">IF($A204="","",IF(AND(Aturan!$C$58="",Aturan!$D$58=""),"Tidak dinilai",IF(G204="","Belum ada data",IF(G204&lt;IF(Aturan!$C$58="",0,Aturan!$C$58),"Kurang",IF(G204&gt;=IF(Aturan!$D$58="",Aturan!$C$58,Aturan!$D$58),"Nyaman","Cukup")))))</f>
        <v>Tidak dinilai</v>
      </c>
      <c r="P204" s="70" t="str">
        <f aca="false">IF($A204="","",IF(AND(Aturan!$C$59="",Aturan!$D$59=""),"Tidak dinilai",IF(H204="","Belum ada data",IF(H204&lt;IF(Aturan!$C$59="",0,Aturan!$C$59),"Kurang",IF(H204&gt;=IF(Aturan!$D$59="",Aturan!$C$59,Aturan!$D$59),"Nyaman","Cukup")))))</f>
        <v>Belum ada data</v>
      </c>
      <c r="Q204" s="70" t="str">
        <f aca="false">IF($A204="","",IF(COUNTIF(K204:P204,"Tidak dinilai")=6,"Tidak dinilai",IF(COUNTIF(K204:P204,"Kurang")&gt;0,"Kurang cocok",IF(COUNTIF(K204:P204,"Belum ada data")&gt;0,"Data belum lengkap",IF(COUNTIF(K204:P204,"Cukup")&gt;0,"Bisa, dengan catatan","Cocok")))))</f>
        <v>Kurang cocok</v>
      </c>
      <c r="R204" s="33" t="str">
        <f aca="false">IF($A204="","",IF(K204="Kurang","prosesor tingkat "&amp;C204&amp;" dari 5, di bawah batas minimal (tingkat "&amp;Aturan!$C$54&amp;")",IF(K204="Cukup","prosesor tingkat "&amp;C204&amp;" dari 5 cukup, nyamannya mulai tingkat "&amp;Aturan!$D$54,IF(K204="Belum ada data","tingkat prosesor belum diisi",""))))</f>
        <v/>
      </c>
      <c r="S204" s="33" t="str">
        <f aca="false">IF($A204="","",IF(L204="Kurang","grafis tingkat "&amp;D204&amp;" dari 5, di bawah batas minimal (tingkat "&amp;Aturan!$C$55&amp;")",IF(L204="Cukup","grafis tingkat "&amp;D204&amp;" dari 5 cukup, nyamannya mulai tingkat "&amp;Aturan!$D$55,IF(L204="Belum ada data","tingkat grafis belum diisi",""))))</f>
        <v>grafis tingkat 2 dari 5, di bawah batas minimal (tingkat 3)</v>
      </c>
      <c r="T204" s="33" t="str">
        <f aca="false">IF($A204="","",IF(M204="Kurang","RAM "&amp;E204&amp;" GB, di bawah batas minimal "&amp;Aturan!$C$56&amp;" GB ("&amp;I204&amp;")",IF(M204="Cukup","RAM "&amp;E204&amp;" GB cukup, nyamannya "&amp;Aturan!$D$56&amp;" GB atau lebih ("&amp;I204&amp;")",IF(M204="Belum ada data","ukuran RAM belum diisi",""))))</f>
        <v>RAM 8 GB cukup, nyamannya 16 GB atau lebih (belum diketahui apakah bisa ditambah)</v>
      </c>
      <c r="U204" s="33" t="str">
        <f aca="false">IF($A204="","",IF(N204="Kurang","penyimpanan "&amp;F204&amp;" GB, di bawah batas minimal "&amp;Aturan!$C$57&amp;" GB ("&amp;J204&amp;")",IF(N204="Cukup","penyimpanan "&amp;F204&amp;" GB cukup, nyamannya "&amp;Aturan!$D$57&amp;" GB atau lebih ("&amp;J204&amp;")",IF(N204="Belum ada data","ukuran penyimpanan belum diisi",""))))</f>
        <v>penyimpanan 512 GB cukup, nyamannya 1000 GB atau lebih (belum diketahui apakah bisa diganti)</v>
      </c>
      <c r="V204" s="33" t="str">
        <f aca="false">IF($A204="","",IF(O204="Kurang","layar "&amp;Varian!$AG44&amp;", di bawah batas minimal ("&amp;IFERROR(INDEX(Aturan!$A$63:$A$66,MATCH(Aturan!$C$58,Aturan!$B$63:$B$66,0)),"peringkat "&amp;Aturan!$C$58)&amp;")",IF(O204="Cukup","layar "&amp;Varian!$AG44&amp;" cukup, nyamannya "&amp;IFERROR(INDEX(Aturan!$A$63:$A$66,MATCH(Aturan!$D$58,Aturan!$B$63:$B$66,0)),"peringkat "&amp;Aturan!$D$58),IF(O204="Belum ada data","jenis layar belum diketahui",""))))</f>
        <v/>
      </c>
      <c r="W204" s="33" t="str">
        <f aca="false">IF($A204="","",IF(P204="Kurang","layar "&amp;H204&amp;" Hz, di bawah batas minimal "&amp;Aturan!$C$59&amp;" Hz",IF(P204="Cukup","layar "&amp;H204&amp;" Hz cukup, nyamannya "&amp;Aturan!$D$59&amp;" Hz atau lebih",IF(P204="Belum ada data","refresh rate belum diketahui",""))))</f>
        <v>refresh rate belum diketahui</v>
      </c>
      <c r="X204" s="33" t="str">
        <f aca="false">IF($A204="","",IF(K204="Kurang",R204&amp;"; ","")&amp;IF(L204="Kurang",S204&amp;"; ","")&amp;IF(M204="Kurang",T204&amp;"; ","")&amp;IF(N204="Kurang",U204&amp;"; ","")&amp;IF(O204="Kurang",V204&amp;"; ","")&amp;IF(P204="Kurang",W204&amp;"; ","")&amp;IF(K204="Belum ada data",R204&amp;"; ","")&amp;IF(L204="Belum ada data",S204&amp;"; ","")&amp;IF(M204="Belum ada data",T204&amp;"; ","")&amp;IF(N204="Belum ada data",U204&amp;"; ","")&amp;IF(O204="Belum ada data",V204&amp;"; ","")&amp;IF(P204="Belum ada data",W204&amp;"; ","")&amp;IF(K204="Cukup",R204&amp;"; ","")&amp;IF(L204="Cukup",S204&amp;"; ","")&amp;IF(M204="Cukup",T204&amp;"; ","")&amp;IF(N204="Cukup",U204&amp;"; ","")&amp;IF(O204="Cukup",V204&amp;"; ","")&amp;IF(P204="Cukup",W204&amp;"; ",""))</f>
        <v>grafis tingkat 2 dari 5, di bawah batas minimal (tingkat 3); refresh rate belum diketahui; RAM 8 GB cukup, nyamannya 16 GB atau lebih (belum diketahui apakah bisa ditambah); penyimpanan 512 GB cukup, nyamannya 1000 GB atau lebih (belum diketahui apakah bisa diganti); </v>
      </c>
      <c r="Y204" s="33" t="str">
        <f aca="false">IF($A204="","",IF(K204="Nyaman","prosesor, ","")&amp;IF(L204="Nyaman","grafis, ","")&amp;IF(M204="Nyaman","RAM, ","")&amp;IF(N204="Nyaman","penyimpanan, ","")&amp;IF(O204="Nyaman","layar, ","")&amp;IF(P204="Nyaman","refresh rate, ",""))</f>
        <v>prosesor, </v>
      </c>
      <c r="Z204" s="33" t="str">
        <f aca="false">IF($A204="","",IF(Q204="Tidak dinilai","Belum ada kriteria yang dinilai untuk kebutuhan ini.",IF(Q204="Cocok","Semua kriteria yang dinilai sudah nyaman: "&amp;LEFT(Y204,LEN(Y204)-2)&amp;".",UPPER(LEFT(X204,1))&amp;MID(X204,2,LEN(X204)-3)&amp;"."&amp;IF(Y204="",""," Sudah nyaman: "&amp;LEFT(Y204,LEN(Y204)-2)&amp;"."))))</f>
        <v>Grafis tingkat 2 dari 5, di bawah batas minimal (tingkat 3); refresh rate belum diketahui; RAM 8 GB cukup, nyamannya 16 GB atau lebih (belum diketahui apakah bisa ditambah); penyimpanan 512 GB cukup, nyamannya 1000 GB atau lebih (belum diketahui apakah bisa diganti). Sudah nyaman: prosesor.</v>
      </c>
      <c r="AA204" s="33"/>
      <c r="AB204" s="33"/>
      <c r="AC204" s="69"/>
    </row>
    <row r="205" customFormat="false" ht="15" hidden="false" customHeight="true" outlineLevel="0" collapsed="false">
      <c r="A205" s="66" t="str">
        <f aca="false">IF(Varian!$A45="","",Varian!$A45)</f>
        <v>infinix-xbook-14-neo-i3-1315u-8-256</v>
      </c>
      <c r="B205" s="66" t="str">
        <f aca="false">IF($A205="","",Aturan!$A$21)</f>
        <v>Kuliah dan kantor</v>
      </c>
      <c r="C205" s="67" t="n">
        <f aca="false">IF($A205="","",IFERROR(IF(ISNUMBER(INDEX(CPU!$J$4:$J$64,MATCH(Varian!$J45,CPU!$A$4:$A$64,0))),INDEX(CPU!$J$4:$J$64,MATCH(Varian!$J45,CPU!$A$4:$A$64,0)),""),""))</f>
        <v>2</v>
      </c>
      <c r="D205" s="67" t="n">
        <f aca="false">IF($A205="","",IFERROR(IF(ISNUMBER(INDEX(GPU!$G$4:$G$64,MATCH(Varian!$K45,GPU!$A$4:$A$64,0))),INDEX(GPU!$G$4:$G$64,MATCH(Varian!$K45,GPU!$A$4:$A$64,0)),""),""))</f>
        <v>2</v>
      </c>
      <c r="E205" s="67" t="n">
        <f aca="false">IF($A205="","",IF(ISNUMBER(Varian!$M45),Varian!$M45,""))</f>
        <v>8</v>
      </c>
      <c r="F205" s="67" t="n">
        <f aca="false">IF($A205="","",IF(ISNUMBER(Varian!$V45),Varian!$V45,""))</f>
        <v>256</v>
      </c>
      <c r="G205" s="67" t="n">
        <f aca="false">IF($A205="","",IFERROR(INDEX(Aturan!$B$63:$B$66,MATCH(Varian!$AG45,Aturan!$A$63:$A$66,0)),""))</f>
        <v>3</v>
      </c>
      <c r="H205" s="67" t="n">
        <f aca="false">IF($A205="","",IF(ISNUMBER(Varian!$AI45),Varian!$AI45,""))</f>
        <v>60</v>
      </c>
      <c r="I205" s="66" t="str">
        <f aca="false">IF($A205="","",IF(Varian!$Q45="disolder","menempel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bisa dinaikkan lewat slot sampai 64 GB</v>
      </c>
      <c r="J205" s="66" t="str">
        <f aca="false">IF($A205="","",IF(Varian!$Z45="ya","bisa diganti dengan yang lebih besar",IF(Varian!$Z45="tidak","menempel, tidak bisa diganti","belum diketahui apakah bisa diganti")))</f>
        <v>bisa diganti dengan yang lebih besar</v>
      </c>
      <c r="K205" s="68" t="str">
        <f aca="false">IF($A205="","",IF(AND(Aturan!$C$30="",Aturan!$D$30=""),"Tidak dinilai",IF(C205="","Belum ada data",IF(C205&lt;IF(Aturan!$C$30="",0,Aturan!$C$30),"Kurang",IF(C205&gt;=IF(Aturan!$D$30="",Aturan!$C$30,Aturan!$D$30),"Nyaman","Cukup")))))</f>
        <v>Nyaman</v>
      </c>
      <c r="L205" s="68" t="str">
        <f aca="false">IF($A205="","",IF(AND(Aturan!$C$31="",Aturan!$D$31=""),"Tidak dinilai",IF(D205="","Belum ada data",IF(D205&lt;IF(Aturan!$C$31="",0,Aturan!$C$31),"Kurang",IF(D205&gt;=IF(Aturan!$D$31="",Aturan!$C$31,Aturan!$D$31),"Nyaman","Cukup")))))</f>
        <v>Tidak dinilai</v>
      </c>
      <c r="M205" s="68" t="str">
        <f aca="false">IF($A205="","",IF(AND(Aturan!$C$32="",Aturan!$D$32=""),"Tidak dinilai",IF(E205="","Belum ada data",IF(E205&lt;IF(Aturan!$C$32="",0,Aturan!$C$32),"Kurang",IF(E205&gt;=IF(Aturan!$D$32="",Aturan!$C$32,Aturan!$D$32),"Nyaman","Cukup")))))</f>
        <v>Nyaman</v>
      </c>
      <c r="N205" s="68" t="str">
        <f aca="false">IF($A205="","",IF(AND(Aturan!$C$33="",Aturan!$D$33=""),"Tidak dinilai",IF(F205="","Belum ada data",IF(F205&lt;IF(Aturan!$C$33="",0,Aturan!$C$33),"Kurang",IF(F205&gt;=IF(Aturan!$D$33="",Aturan!$C$33,Aturan!$D$33),"Nyaman","Cukup")))))</f>
        <v>Nyaman</v>
      </c>
      <c r="O205" s="68" t="str">
        <f aca="false">IF($A205="","",IF(AND(Aturan!$C$34="",Aturan!$D$34=""),"Tidak dinilai",IF(G205="","Belum ada data",IF(G205&lt;IF(Aturan!$C$34="",0,Aturan!$C$34),"Kurang",IF(G205&gt;=IF(Aturan!$D$34="",Aturan!$C$34,Aturan!$D$34),"Nyaman","Cukup")))))</f>
        <v>Tidak dinilai</v>
      </c>
      <c r="P205" s="68" t="str">
        <f aca="false">IF($A205="","",IF(AND(Aturan!$C$35="",Aturan!$D$35=""),"Tidak dinilai",IF(H205="","Belum ada data",IF(H205&lt;IF(Aturan!$C$35="",0,Aturan!$C$35),"Kurang",IF(H205&gt;=IF(Aturan!$D$35="",Aturan!$C$35,Aturan!$D$35),"Nyaman","Cukup")))))</f>
        <v>Tidak dinilai</v>
      </c>
      <c r="Q205" s="68" t="str">
        <f aca="false">IF($A205="","",IF(COUNTIF(K205:P205,"Tidak dinilai")=6,"Tidak dinilai",IF(COUNTIF(K205:P205,"Kurang")&gt;0,"Kurang cocok",IF(COUNTIF(K205:P205,"Belum ada data")&gt;0,"Data belum lengkap",IF(COUNTIF(K205:P205,"Cukup")&gt;0,"Bisa, dengan catatan","Cocok")))))</f>
        <v>Cocok</v>
      </c>
      <c r="R205" s="66" t="str">
        <f aca="false">IF($A205="","",IF(K205="Kurang","prosesor tingkat "&amp;C205&amp;" dari 5, di bawah batas minimal (tingkat "&amp;Aturan!$C$30&amp;")",IF(K205="Cukup","prosesor tingkat "&amp;C205&amp;" dari 5 cukup, nyamannya mulai tingkat "&amp;Aturan!$D$30,IF(K205="Belum ada data","tingkat prosesor belum diisi",""))))</f>
        <v/>
      </c>
      <c r="S205" s="66" t="str">
        <f aca="false">IF($A205="","",IF(L205="Kurang","grafis tingkat "&amp;D205&amp;" dari 5, di bawah batas minimal (tingkat "&amp;Aturan!$C$31&amp;")",IF(L205="Cukup","grafis tingkat "&amp;D205&amp;" dari 5 cukup, nyamannya mulai tingkat "&amp;Aturan!$D$31,IF(L205="Belum ada data","tingkat grafis belum diisi",""))))</f>
        <v/>
      </c>
      <c r="T205" s="66" t="str">
        <f aca="false">IF($A205="","",IF(M205="Kurang","RAM "&amp;E205&amp;" GB, di bawah batas minimal "&amp;Aturan!$C$32&amp;" GB ("&amp;I205&amp;")",IF(M205="Cukup","RAM "&amp;E205&amp;" GB cukup, nyamannya "&amp;Aturan!$D$32&amp;" GB atau lebih ("&amp;I205&amp;")",IF(M205="Belum ada data","ukuran RAM belum diisi",""))))</f>
        <v/>
      </c>
      <c r="U205" s="66" t="str">
        <f aca="false">IF($A205="","",IF(N205="Kurang","penyimpanan "&amp;F205&amp;" GB, di bawah batas minimal "&amp;Aturan!$C$33&amp;" GB ("&amp;J205&amp;")",IF(N205="Cukup","penyimpanan "&amp;F205&amp;" GB cukup, nyamannya "&amp;Aturan!$D$33&amp;" GB atau lebih ("&amp;J205&amp;")",IF(N205="Belum ada data","ukuran penyimpanan belum diisi",""))))</f>
        <v/>
      </c>
      <c r="V205" s="66" t="str">
        <f aca="false">IF($A205="","",IF(O205="Kurang","layar "&amp;Varian!$AG45&amp;", di bawah batas minimal ("&amp;IFERROR(INDEX(Aturan!$A$63:$A$66,MATCH(Aturan!$C$34,Aturan!$B$63:$B$66,0)),"peringkat "&amp;Aturan!$C$34)&amp;")",IF(O205="Cukup","layar "&amp;Varian!$AG45&amp;" cukup, nyamannya "&amp;IFERROR(INDEX(Aturan!$A$63:$A$66,MATCH(Aturan!$D$34,Aturan!$B$63:$B$66,0)),"peringkat "&amp;Aturan!$D$34),IF(O205="Belum ada data","jenis layar belum diketahui",""))))</f>
        <v/>
      </c>
      <c r="W205" s="66" t="str">
        <f aca="false">IF($A205="","",IF(P205="Kurang","layar "&amp;H205&amp;" Hz, di bawah batas minimal "&amp;Aturan!$C$35&amp;" Hz",IF(P205="Cukup","layar "&amp;H205&amp;" Hz cukup, nyamannya "&amp;Aturan!$D$35&amp;" Hz atau lebih",IF(P205="Belum ada data","refresh rate belum diketahui",""))))</f>
        <v/>
      </c>
      <c r="X205" s="66" t="str">
        <f aca="false">IF($A205="","",IF(K205="Kurang",R205&amp;"; ","")&amp;IF(L205="Kurang",S205&amp;"; ","")&amp;IF(M205="Kurang",T205&amp;"; ","")&amp;IF(N205="Kurang",U205&amp;"; ","")&amp;IF(O205="Kurang",V205&amp;"; ","")&amp;IF(P205="Kurang",W205&amp;"; ","")&amp;IF(K205="Belum ada data",R205&amp;"; ","")&amp;IF(L205="Belum ada data",S205&amp;"; ","")&amp;IF(M205="Belum ada data",T205&amp;"; ","")&amp;IF(N205="Belum ada data",U205&amp;"; ","")&amp;IF(O205="Belum ada data",V205&amp;"; ","")&amp;IF(P205="Belum ada data",W205&amp;"; ","")&amp;IF(K205="Cukup",R205&amp;"; ","")&amp;IF(L205="Cukup",S205&amp;"; ","")&amp;IF(M205="Cukup",T205&amp;"; ","")&amp;IF(N205="Cukup",U205&amp;"; ","")&amp;IF(O205="Cukup",V205&amp;"; ","")&amp;IF(P205="Cukup",W205&amp;"; ",""))</f>
        <v/>
      </c>
      <c r="Y205" s="66" t="str">
        <f aca="false">IF($A205="","",IF(K205="Nyaman","prosesor, ","")&amp;IF(L205="Nyaman","grafis, ","")&amp;IF(M205="Nyaman","RAM, ","")&amp;IF(N205="Nyaman","penyimpanan, ","")&amp;IF(O205="Nyaman","layar, ","")&amp;IF(P205="Nyaman","refresh rate, ",""))</f>
        <v>prosesor, RAM, penyimpanan, </v>
      </c>
      <c r="Z205" s="66" t="str">
        <f aca="false">IF($A205="","",IF(Q205="Tidak dinilai","Belum ada kriteria yang dinilai untuk kebutuhan ini.",IF(Q205="Cocok","Semua kriteria yang dinilai sudah nyaman: "&amp;LEFT(Y205,LEN(Y205)-2)&amp;".",UPPER(LEFT(X205,1))&amp;MID(X205,2,LEN(X205)-3)&amp;"."&amp;IF(Y205="",""," Sudah nyaman: "&amp;LEFT(Y205,LEN(Y205)-2)&amp;"."))))</f>
        <v>Semua kriteria yang dinilai sudah nyaman: prosesor, RAM, penyimpanan.</v>
      </c>
      <c r="AA205" s="71" t="str">
        <f aca="false">IF($A205="","",IF(Varian!$AR45="Windows 10","• "&amp;Aturan!$E$71&amp;CHAR(10),"")&amp;IF(Varian!$BB45="tidak","• "&amp;Aturan!$E$72&amp;CHAR(10),"")&amp;IF(OR(Varian!$AD45="belum terverifikasi",Varian!$AD45="tidak diketahui"),"• "&amp;Aturan!$E$73&amp;CHAR(10),"")&amp;IF(Varian!$AH45="1366x768","• "&amp;Aturan!$E$74&amp;CHAR(10),"")&amp;IF(Varian!$AG45="TN","• "&amp;Aturan!$E$75&amp;CHAR(10),"")&amp;IF(AND(Varian!$Q45="disolder",ISNUMBER(Varian!$M45),Varian!$M45&lt;=8),"• "&amp;Aturan!$E$76&amp;CHAR(10),""))</f>
        <v>• Info RAM dan penyimpanan (bisa diganti atau tidak) belum terverifikasi. Periksa lagi sebelum membeli.
</v>
      </c>
      <c r="AB205" s="66" t="str">
        <f aca="false">IF($A205="","",IF(AA205="","",LEFT(AA205,LEN(AA205)-1)))</f>
        <v>• Info RAM dan penyimpanan (bisa diganti atau tidak) belum terverifikasi. Periksa lagi sebelum membeli.</v>
      </c>
      <c r="AC205" s="67" t="n">
        <f aca="false">IF($A205="","",IF(AA205="",0,LEN(AA205)-LEN(SUBSTITUTE(AA205,CHAR(10),""))))</f>
        <v>1</v>
      </c>
    </row>
    <row r="206" customFormat="false" ht="15" hidden="false" customHeight="true" outlineLevel="0" collapsed="false">
      <c r="A206" s="33" t="str">
        <f aca="false">IF(Varian!$A45="","",Varian!$A45)</f>
        <v>infinix-xbook-14-neo-i3-1315u-8-256</v>
      </c>
      <c r="B206" s="33" t="str">
        <f aca="false">IF($A206="","",Aturan!$A$22)</f>
        <v>Desain grafis</v>
      </c>
      <c r="C206" s="69" t="n">
        <f aca="false">IF($A206="","",IFERROR(IF(ISNUMBER(INDEX(CPU!$J$4:$J$64,MATCH(Varian!$J45,CPU!$A$4:$A$64,0))),INDEX(CPU!$J$4:$J$64,MATCH(Varian!$J45,CPU!$A$4:$A$64,0)),""),""))</f>
        <v>2</v>
      </c>
      <c r="D206" s="69" t="n">
        <f aca="false">IF($A206="","",IFERROR(IF(ISNUMBER(INDEX(GPU!$G$4:$G$64,MATCH(Varian!$K45,GPU!$A$4:$A$64,0))),INDEX(GPU!$G$4:$G$64,MATCH(Varian!$K45,GPU!$A$4:$A$64,0)),""),""))</f>
        <v>2</v>
      </c>
      <c r="E206" s="69" t="n">
        <f aca="false">IF($A206="","",IF(ISNUMBER(Varian!$M45),Varian!$M45,""))</f>
        <v>8</v>
      </c>
      <c r="F206" s="69" t="n">
        <f aca="false">IF($A206="","",IF(ISNUMBER(Varian!$V45),Varian!$V45,""))</f>
        <v>256</v>
      </c>
      <c r="G206" s="69" t="n">
        <f aca="false">IF($A206="","",IFERROR(INDEX(Aturan!$B$63:$B$66,MATCH(Varian!$AG45,Aturan!$A$63:$A$66,0)),""))</f>
        <v>3</v>
      </c>
      <c r="H206" s="69" t="n">
        <f aca="false">IF($A206="","",IF(ISNUMBER(Varian!$AI45),Varian!$AI45,""))</f>
        <v>60</v>
      </c>
      <c r="I206" s="33" t="str">
        <f aca="false">IF($A206="","",IF(Varian!$Q45="disolder","menempel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bisa dinaikkan lewat slot sampai 64 GB</v>
      </c>
      <c r="J206" s="33" t="str">
        <f aca="false">IF($A206="","",IF(Varian!$Z45="ya","bisa diganti dengan yang lebih besar",IF(Varian!$Z45="tidak","menempel, tidak bisa diganti","belum diketahui apakah bisa diganti")))</f>
        <v>bisa diganti dengan yang lebih besar</v>
      </c>
      <c r="K206" s="70" t="str">
        <f aca="false">IF($A206="","",IF(AND(Aturan!$C$36="",Aturan!$D$36=""),"Tidak dinilai",IF(C206="","Belum ada data",IF(C206&lt;IF(Aturan!$C$36="",0,Aturan!$C$36),"Kurang",IF(C206&gt;=IF(Aturan!$D$36="",Aturan!$C$36,Aturan!$D$36),"Nyaman","Cukup")))))</f>
        <v>Cukup</v>
      </c>
      <c r="L206" s="70" t="str">
        <f aca="false">IF($A206="","",IF(AND(Aturan!$C$37="",Aturan!$D$37=""),"Tidak dinilai",IF(D206="","Belum ada data",IF(D206&lt;IF(Aturan!$C$37="",0,Aturan!$C$37),"Kurang",IF(D206&gt;=IF(Aturan!$D$37="",Aturan!$C$37,Aturan!$D$37),"Nyaman","Cukup")))))</f>
        <v>Nyaman</v>
      </c>
      <c r="M206" s="70" t="str">
        <f aca="false">IF($A206="","",IF(AND(Aturan!$C$38="",Aturan!$D$38=""),"Tidak dinilai",IF(E206="","Belum ada data",IF(E206&lt;IF(Aturan!$C$38="",0,Aturan!$C$38),"Kurang",IF(E206&gt;=IF(Aturan!$D$38="",Aturan!$C$38,Aturan!$D$38),"Nyaman","Cukup")))))</f>
        <v>Cukup</v>
      </c>
      <c r="N206" s="70" t="str">
        <f aca="false">IF($A206="","",IF(AND(Aturan!$C$39="",Aturan!$D$39=""),"Tidak dinilai",IF(F206="","Belum ada data",IF(F206&lt;IF(Aturan!$C$39="",0,Aturan!$C$39),"Kurang",IF(F206&gt;=IF(Aturan!$D$39="",Aturan!$C$39,Aturan!$D$39),"Nyaman","Cukup")))))</f>
        <v>Cukup</v>
      </c>
      <c r="O206" s="70" t="str">
        <f aca="false">IF($A206="","",IF(AND(Aturan!$C$40="",Aturan!$D$40=""),"Tidak dinilai",IF(G206="","Belum ada data",IF(G206&lt;IF(Aturan!$C$40="",0,Aturan!$C$40),"Kurang",IF(G206&gt;=IF(Aturan!$D$40="",Aturan!$C$40,Aturan!$D$40),"Nyaman","Cukup")))))</f>
        <v>Cukup</v>
      </c>
      <c r="P206" s="70" t="str">
        <f aca="false">IF($A206="","",IF(AND(Aturan!$C$41="",Aturan!$D$41=""),"Tidak dinilai",IF(H206="","Belum ada data",IF(H206&lt;IF(Aturan!$C$41="",0,Aturan!$C$41),"Kurang",IF(H206&gt;=IF(Aturan!$D$41="",Aturan!$C$41,Aturan!$D$41),"Nyaman","Cukup")))))</f>
        <v>Tidak dinilai</v>
      </c>
      <c r="Q206" s="70" t="str">
        <f aca="false">IF($A206="","",IF(COUNTIF(K206:P206,"Tidak dinilai")=6,"Tidak dinilai",IF(COUNTIF(K206:P206,"Kurang")&gt;0,"Kurang cocok",IF(COUNTIF(K206:P206,"Belum ada data")&gt;0,"Data belum lengkap",IF(COUNTIF(K206:P206,"Cukup")&gt;0,"Bisa, dengan catatan","Cocok")))))</f>
        <v>Bisa, dengan catatan</v>
      </c>
      <c r="R206" s="33" t="str">
        <f aca="false">IF($A206="","",IF(K206="Kurang","prosesor tingkat "&amp;C206&amp;" dari 5, di bawah batas minimal (tingkat "&amp;Aturan!$C$36&amp;")",IF(K206="Cukup","prosesor tingkat "&amp;C206&amp;" dari 5 cukup, nyamannya mulai tingkat "&amp;Aturan!$D$36,IF(K206="Belum ada data","tingkat prosesor belum diisi",""))))</f>
        <v>prosesor tingkat 2 dari 5 cukup, nyamannya mulai tingkat 3</v>
      </c>
      <c r="S206" s="33" t="str">
        <f aca="false">IF($A206="","",IF(L206="Kurang","grafis tingkat "&amp;D206&amp;" dari 5, di bawah batas minimal (tingkat "&amp;Aturan!$C$37&amp;")",IF(L206="Cukup","grafis tingkat "&amp;D206&amp;" dari 5 cukup, nyamannya mulai tingkat "&amp;Aturan!$D$37,IF(L206="Belum ada data","tingkat grafis belum diisi",""))))</f>
        <v/>
      </c>
      <c r="T206" s="33" t="str">
        <f aca="false">IF($A206="","",IF(M206="Kurang","RAM "&amp;E206&amp;" GB, di bawah batas minimal "&amp;Aturan!$C$38&amp;" GB ("&amp;I206&amp;")",IF(M206="Cukup","RAM "&amp;E206&amp;" GB cukup, nyamannya "&amp;Aturan!$D$38&amp;" GB atau lebih ("&amp;I206&amp;")",IF(M206="Belum ada data","ukuran RAM belum diisi",""))))</f>
        <v>RAM 8 GB cukup, nyamannya 16 GB atau lebih (bisa dinaikkan lewat slot sampai 64 GB)</v>
      </c>
      <c r="U206" s="33" t="str">
        <f aca="false">IF($A206="","",IF(N206="Kurang","penyimpanan "&amp;F206&amp;" GB, di bawah batas minimal "&amp;Aturan!$C$39&amp;" GB ("&amp;J206&amp;")",IF(N206="Cukup","penyimpanan "&amp;F206&amp;" GB cukup, nyamannya "&amp;Aturan!$D$39&amp;" GB atau lebih ("&amp;J206&amp;")",IF(N206="Belum ada data","ukuran penyimpanan belum diisi",""))))</f>
        <v>penyimpanan 256 GB cukup, nyamannya 512 GB atau lebih (bisa diganti dengan yang lebih besar)</v>
      </c>
      <c r="V206" s="33" t="str">
        <f aca="false">IF($A206="","",IF(O206="Kurang","layar "&amp;Varian!$AG45&amp;", di bawah batas minimal ("&amp;IFERROR(INDEX(Aturan!$A$63:$A$66,MATCH(Aturan!$C$40,Aturan!$B$63:$B$66,0)),"peringkat "&amp;Aturan!$C$40)&amp;")",IF(O206="Cukup","layar "&amp;Varian!$AG45&amp;" cukup, nyamannya "&amp;IFERROR(INDEX(Aturan!$A$63:$A$66,MATCH(Aturan!$D$40,Aturan!$B$63:$B$66,0)),"peringkat "&amp;Aturan!$D$40),IF(O206="Belum ada data","jenis layar belum diketahui",""))))</f>
        <v>layar IPS cukup, nyamannya OLED</v>
      </c>
      <c r="W206" s="33" t="str">
        <f aca="false">IF($A206="","",IF(P206="Kurang","layar "&amp;H206&amp;" Hz, di bawah batas minimal "&amp;Aturan!$C$41&amp;" Hz",IF(P206="Cukup","layar "&amp;H206&amp;" Hz cukup, nyamannya "&amp;Aturan!$D$41&amp;" Hz atau lebih",IF(P206="Belum ada data","refresh rate belum diketahui",""))))</f>
        <v/>
      </c>
      <c r="X206" s="33" t="str">
        <f aca="false">IF($A206="","",IF(K206="Kurang",R206&amp;"; ","")&amp;IF(L206="Kurang",S206&amp;"; ","")&amp;IF(M206="Kurang",T206&amp;"; ","")&amp;IF(N206="Kurang",U206&amp;"; ","")&amp;IF(O206="Kurang",V206&amp;"; ","")&amp;IF(P206="Kurang",W206&amp;"; ","")&amp;IF(K206="Belum ada data",R206&amp;"; ","")&amp;IF(L206="Belum ada data",S206&amp;"; ","")&amp;IF(M206="Belum ada data",T206&amp;"; ","")&amp;IF(N206="Belum ada data",U206&amp;"; ","")&amp;IF(O206="Belum ada data",V206&amp;"; ","")&amp;IF(P206="Belum ada data",W206&amp;"; ","")&amp;IF(K206="Cukup",R206&amp;"; ","")&amp;IF(L206="Cukup",S206&amp;"; ","")&amp;IF(M206="Cukup",T206&amp;"; ","")&amp;IF(N206="Cukup",U206&amp;"; ","")&amp;IF(O206="Cukup",V206&amp;"; ","")&amp;IF(P206="Cukup",W206&amp;"; ",""))</f>
        <v>prosesor tingkat 2 dari 5 cukup, nyamannya mulai tingkat 3; RAM 8 GB cukup, nyamannya 16 GB atau lebih (bisa dinaikkan lewat slot sampai 64 GB); penyimpanan 256 GB cukup, nyamannya 512 GB atau lebih (bisa diganti dengan yang lebih besar); layar IPS cukup, nyamannya OLED; </v>
      </c>
      <c r="Y206" s="33" t="str">
        <f aca="false">IF($A206="","",IF(K206="Nyaman","prosesor, ","")&amp;IF(L206="Nyaman","grafis, ","")&amp;IF(M206="Nyaman","RAM, ","")&amp;IF(N206="Nyaman","penyimpanan, ","")&amp;IF(O206="Nyaman","layar, ","")&amp;IF(P206="Nyaman","refresh rate, ",""))</f>
        <v>grafis, </v>
      </c>
      <c r="Z206" s="33" t="str">
        <f aca="false">IF($A206="","",IF(Q206="Tidak dinilai","Belum ada kriteria yang dinilai untuk kebutuhan ini.",IF(Q206="Cocok","Semua kriteria yang dinilai sudah nyaman: "&amp;LEFT(Y206,LEN(Y206)-2)&amp;".",UPPER(LEFT(X206,1))&amp;MID(X206,2,LEN(X206)-3)&amp;"."&amp;IF(Y206="",""," Sudah nyaman: "&amp;LEFT(Y206,LEN(Y206)-2)&amp;"."))))</f>
        <v>Prosesor tingkat 2 dari 5 cukup, nyamannya mulai tingkat 3; RAM 8 GB cukup, nyamannya 16 GB atau lebih (bisa dinaikkan lewat slot sampai 64 GB); penyimpanan 256 GB cukup, nyamannya 512 GB atau lebih (bisa diganti dengan yang lebih besar); layar IPS cukup, nyamannya OLED. Sudah nyaman: grafis.</v>
      </c>
      <c r="AA206" s="33"/>
      <c r="AB206" s="33"/>
      <c r="AC206" s="69"/>
    </row>
    <row r="207" customFormat="false" ht="15" hidden="false" customHeight="true" outlineLevel="0" collapsed="false">
      <c r="A207" s="33" t="str">
        <f aca="false">IF(Varian!$A45="","",Varian!$A45)</f>
        <v>infinix-xbook-14-neo-i3-1315u-8-256</v>
      </c>
      <c r="B207" s="33" t="str">
        <f aca="false">IF($A207="","",Aturan!$A$23)</f>
        <v>Pemrograman</v>
      </c>
      <c r="C207" s="69" t="n">
        <f aca="false">IF($A207="","",IFERROR(IF(ISNUMBER(INDEX(CPU!$J$4:$J$64,MATCH(Varian!$J45,CPU!$A$4:$A$64,0))),INDEX(CPU!$J$4:$J$64,MATCH(Varian!$J45,CPU!$A$4:$A$64,0)),""),""))</f>
        <v>2</v>
      </c>
      <c r="D207" s="69" t="n">
        <f aca="false">IF($A207="","",IFERROR(IF(ISNUMBER(INDEX(GPU!$G$4:$G$64,MATCH(Varian!$K45,GPU!$A$4:$A$64,0))),INDEX(GPU!$G$4:$G$64,MATCH(Varian!$K45,GPU!$A$4:$A$64,0)),""),""))</f>
        <v>2</v>
      </c>
      <c r="E207" s="69" t="n">
        <f aca="false">IF($A207="","",IF(ISNUMBER(Varian!$M45),Varian!$M45,""))</f>
        <v>8</v>
      </c>
      <c r="F207" s="69" t="n">
        <f aca="false">IF($A207="","",IF(ISNUMBER(Varian!$V45),Varian!$V45,""))</f>
        <v>256</v>
      </c>
      <c r="G207" s="69" t="n">
        <f aca="false">IF($A207="","",IFERROR(INDEX(Aturan!$B$63:$B$66,MATCH(Varian!$AG45,Aturan!$A$63:$A$66,0)),""))</f>
        <v>3</v>
      </c>
      <c r="H207" s="69" t="n">
        <f aca="false">IF($A207="","",IF(ISNUMBER(Varian!$AI45),Varian!$AI45,""))</f>
        <v>60</v>
      </c>
      <c r="I207" s="33" t="str">
        <f aca="false">IF($A207="","",IF(Varian!$Q45="disolder","menempel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bisa dinaikkan lewat slot sampai 64 GB</v>
      </c>
      <c r="J207" s="33" t="str">
        <f aca="false">IF($A207="","",IF(Varian!$Z45="ya","bisa diganti dengan yang lebih besar",IF(Varian!$Z45="tidak","menempel, tidak bisa diganti","belum diketahui apakah bisa diganti")))</f>
        <v>bisa diganti dengan yang lebih besar</v>
      </c>
      <c r="K207" s="70" t="str">
        <f aca="false">IF($A207="","",IF(AND(Aturan!$C$42="",Aturan!$D$42=""),"Tidak dinilai",IF(C207="","Belum ada data",IF(C207&lt;IF(Aturan!$C$42="",0,Aturan!$C$42),"Kurang",IF(C207&gt;=IF(Aturan!$D$42="",Aturan!$C$42,Aturan!$D$42),"Nyaman","Cukup")))))</f>
        <v>Cukup</v>
      </c>
      <c r="L207" s="70" t="str">
        <f aca="false">IF($A207="","",IF(AND(Aturan!$C$43="",Aturan!$D$43=""),"Tidak dinilai",IF(D207="","Belum ada data",IF(D207&lt;IF(Aturan!$C$43="",0,Aturan!$C$43),"Kurang",IF(D207&gt;=IF(Aturan!$D$43="",Aturan!$C$43,Aturan!$D$43),"Nyaman","Cukup")))))</f>
        <v>Tidak dinilai</v>
      </c>
      <c r="M207" s="70" t="str">
        <f aca="false">IF($A207="","",IF(AND(Aturan!$C$44="",Aturan!$D$44=""),"Tidak dinilai",IF(E207="","Belum ada data",IF(E207&lt;IF(Aturan!$C$44="",0,Aturan!$C$44),"Kurang",IF(E207&gt;=IF(Aturan!$D$44="",Aturan!$C$44,Aturan!$D$44),"Nyaman","Cukup")))))</f>
        <v>Cukup</v>
      </c>
      <c r="N207" s="70" t="str">
        <f aca="false">IF($A207="","",IF(AND(Aturan!$C$45="",Aturan!$D$45=""),"Tidak dinilai",IF(F207="","Belum ada data",IF(F207&lt;IF(Aturan!$C$45="",0,Aturan!$C$45),"Kurang",IF(F207&gt;=IF(Aturan!$D$45="",Aturan!$C$45,Aturan!$D$45),"Nyaman","Cukup")))))</f>
        <v>Cukup</v>
      </c>
      <c r="O207" s="70" t="str">
        <f aca="false">IF($A207="","",IF(AND(Aturan!$C$46="",Aturan!$D$46=""),"Tidak dinilai",IF(G207="","Belum ada data",IF(G207&lt;IF(Aturan!$C$46="",0,Aturan!$C$46),"Kurang",IF(G207&gt;=IF(Aturan!$D$46="",Aturan!$C$46,Aturan!$D$46),"Nyaman","Cukup")))))</f>
        <v>Tidak dinilai</v>
      </c>
      <c r="P207" s="70" t="str">
        <f aca="false">IF($A207="","",IF(AND(Aturan!$C$47="",Aturan!$D$47=""),"Tidak dinilai",IF(H207="","Belum ada data",IF(H207&lt;IF(Aturan!$C$47="",0,Aturan!$C$47),"Kurang",IF(H207&gt;=IF(Aturan!$D$47="",Aturan!$C$47,Aturan!$D$47),"Nyaman","Cukup")))))</f>
        <v>Tidak dinilai</v>
      </c>
      <c r="Q207" s="70" t="str">
        <f aca="false">IF($A207="","",IF(COUNTIF(K207:P207,"Tidak dinilai")=6,"Tidak dinilai",IF(COUNTIF(K207:P207,"Kurang")&gt;0,"Kurang cocok",IF(COUNTIF(K207:P207,"Belum ada data")&gt;0,"Data belum lengkap",IF(COUNTIF(K207:P207,"Cukup")&gt;0,"Bisa, dengan catatan","Cocok")))))</f>
        <v>Bisa, dengan catatan</v>
      </c>
      <c r="R207" s="33" t="str">
        <f aca="false">IF($A207="","",IF(K207="Kurang","prosesor tingkat "&amp;C207&amp;" dari 5, di bawah batas minimal (tingkat "&amp;Aturan!$C$42&amp;")",IF(K207="Cukup","prosesor tingkat "&amp;C207&amp;" dari 5 cukup, nyamannya mulai tingkat "&amp;Aturan!$D$42,IF(K207="Belum ada data","tingkat prosesor belum diisi",""))))</f>
        <v>prosesor tingkat 2 dari 5 cukup, nyamannya mulai tingkat 3</v>
      </c>
      <c r="S207" s="33" t="str">
        <f aca="false">IF($A207="","",IF(L207="Kurang","grafis tingkat "&amp;D207&amp;" dari 5, di bawah batas minimal (tingkat "&amp;Aturan!$C$43&amp;")",IF(L207="Cukup","grafis tingkat "&amp;D207&amp;" dari 5 cukup, nyamannya mulai tingkat "&amp;Aturan!$D$43,IF(L207="Belum ada data","tingkat grafis belum diisi",""))))</f>
        <v/>
      </c>
      <c r="T207" s="33" t="str">
        <f aca="false">IF($A207="","",IF(M207="Kurang","RAM "&amp;E207&amp;" GB, di bawah batas minimal "&amp;Aturan!$C$44&amp;" GB ("&amp;I207&amp;")",IF(M207="Cukup","RAM "&amp;E207&amp;" GB cukup, nyamannya "&amp;Aturan!$D$44&amp;" GB atau lebih ("&amp;I207&amp;")",IF(M207="Belum ada data","ukuran RAM belum diisi",""))))</f>
        <v>RAM 8 GB cukup, nyamannya 16 GB atau lebih (bisa dinaikkan lewat slot sampai 64 GB)</v>
      </c>
      <c r="U207" s="33" t="str">
        <f aca="false">IF($A207="","",IF(N207="Kurang","penyimpanan "&amp;F207&amp;" GB, di bawah batas minimal "&amp;Aturan!$C$45&amp;" GB ("&amp;J207&amp;")",IF(N207="Cukup","penyimpanan "&amp;F207&amp;" GB cukup, nyamannya "&amp;Aturan!$D$45&amp;" GB atau lebih ("&amp;J207&amp;")",IF(N207="Belum ada data","ukuran penyimpanan belum diisi",""))))</f>
        <v>penyimpanan 256 GB cukup, nyamannya 512 GB atau lebih (bisa diganti dengan yang lebih besar)</v>
      </c>
      <c r="V207" s="33" t="str">
        <f aca="false">IF($A207="","",IF(O207="Kurang","layar "&amp;Varian!$AG45&amp;", di bawah batas minimal ("&amp;IFERROR(INDEX(Aturan!$A$63:$A$66,MATCH(Aturan!$C$46,Aturan!$B$63:$B$66,0)),"peringkat "&amp;Aturan!$C$46)&amp;")",IF(O207="Cukup","layar "&amp;Varian!$AG45&amp;" cukup, nyamannya "&amp;IFERROR(INDEX(Aturan!$A$63:$A$66,MATCH(Aturan!$D$46,Aturan!$B$63:$B$66,0)),"peringkat "&amp;Aturan!$D$46),IF(O207="Belum ada data","jenis layar belum diketahui",""))))</f>
        <v/>
      </c>
      <c r="W207" s="33" t="str">
        <f aca="false">IF($A207="","",IF(P207="Kurang","layar "&amp;H207&amp;" Hz, di bawah batas minimal "&amp;Aturan!$C$47&amp;" Hz",IF(P207="Cukup","layar "&amp;H207&amp;" Hz cukup, nyamannya "&amp;Aturan!$D$47&amp;" Hz atau lebih",IF(P207="Belum ada data","refresh rate belum diketahui",""))))</f>
        <v/>
      </c>
      <c r="X207" s="33" t="str">
        <f aca="false">IF($A207="","",IF(K207="Kurang",R207&amp;"; ","")&amp;IF(L207="Kurang",S207&amp;"; ","")&amp;IF(M207="Kurang",T207&amp;"; ","")&amp;IF(N207="Kurang",U207&amp;"; ","")&amp;IF(O207="Kurang",V207&amp;"; ","")&amp;IF(P207="Kurang",W207&amp;"; ","")&amp;IF(K207="Belum ada data",R207&amp;"; ","")&amp;IF(L207="Belum ada data",S207&amp;"; ","")&amp;IF(M207="Belum ada data",T207&amp;"; ","")&amp;IF(N207="Belum ada data",U207&amp;"; ","")&amp;IF(O207="Belum ada data",V207&amp;"; ","")&amp;IF(P207="Belum ada data",W207&amp;"; ","")&amp;IF(K207="Cukup",R207&amp;"; ","")&amp;IF(L207="Cukup",S207&amp;"; ","")&amp;IF(M207="Cukup",T207&amp;"; ","")&amp;IF(N207="Cukup",U207&amp;"; ","")&amp;IF(O207="Cukup",V207&amp;"; ","")&amp;IF(P207="Cukup",W207&amp;"; ",""))</f>
        <v>prosesor tingkat 2 dari 5 cukup, nyamannya mulai tingkat 3; RAM 8 GB cukup, nyamannya 16 GB atau lebih (bisa dinaikkan lewat slot sampai 64 GB); penyimpanan 256 GB cukup, nyamannya 512 GB atau lebih (bisa diganti dengan yang lebih besar); </v>
      </c>
      <c r="Y207" s="33" t="str">
        <f aca="false">IF($A207="","",IF(K207="Nyaman","prosesor, ","")&amp;IF(L207="Nyaman","grafis, ","")&amp;IF(M207="Nyaman","RAM, ","")&amp;IF(N207="Nyaman","penyimpanan, ","")&amp;IF(O207="Nyaman","layar, ","")&amp;IF(P207="Nyaman","refresh rate, ",""))</f>
        <v/>
      </c>
      <c r="Z207" s="33" t="str">
        <f aca="false">IF($A207="","",IF(Q207="Tidak dinilai","Belum ada kriteria yang dinilai untuk kebutuhan ini.",IF(Q207="Cocok","Semua kriteria yang dinilai sudah nyaman: "&amp;LEFT(Y207,LEN(Y207)-2)&amp;".",UPPER(LEFT(X207,1))&amp;MID(X207,2,LEN(X207)-3)&amp;"."&amp;IF(Y207="",""," Sudah nyaman: "&amp;LEFT(Y207,LEN(Y207)-2)&amp;"."))))</f>
        <v>Prosesor tingkat 2 dari 5 cukup, nyamannya mulai tingkat 3; RAM 8 GB cukup, nyamannya 16 GB atau lebih (bisa dinaikkan lewat slot sampai 64 GB); penyimpanan 256 GB cukup, nyamannya 512 GB atau lebih (bisa diganti dengan yang lebih besar).</v>
      </c>
      <c r="AA207" s="33"/>
      <c r="AB207" s="33"/>
      <c r="AC207" s="69"/>
    </row>
    <row r="208" customFormat="false" ht="15" hidden="false" customHeight="true" outlineLevel="0" collapsed="false">
      <c r="A208" s="33" t="str">
        <f aca="false">IF(Varian!$A45="","",Varian!$A45)</f>
        <v>infinix-xbook-14-neo-i3-1315u-8-256</v>
      </c>
      <c r="B208" s="33" t="str">
        <f aca="false">IF($A208="","",Aturan!$A$24)</f>
        <v>Game ringan</v>
      </c>
      <c r="C208" s="69" t="n">
        <f aca="false">IF($A208="","",IFERROR(IF(ISNUMBER(INDEX(CPU!$J$4:$J$64,MATCH(Varian!$J45,CPU!$A$4:$A$64,0))),INDEX(CPU!$J$4:$J$64,MATCH(Varian!$J45,CPU!$A$4:$A$64,0)),""),""))</f>
        <v>2</v>
      </c>
      <c r="D208" s="69" t="n">
        <f aca="false">IF($A208="","",IFERROR(IF(ISNUMBER(INDEX(GPU!$G$4:$G$64,MATCH(Varian!$K45,GPU!$A$4:$A$64,0))),INDEX(GPU!$G$4:$G$64,MATCH(Varian!$K45,GPU!$A$4:$A$64,0)),""),""))</f>
        <v>2</v>
      </c>
      <c r="E208" s="69" t="n">
        <f aca="false">IF($A208="","",IF(ISNUMBER(Varian!$M45),Varian!$M45,""))</f>
        <v>8</v>
      </c>
      <c r="F208" s="69" t="n">
        <f aca="false">IF($A208="","",IF(ISNUMBER(Varian!$V45),Varian!$V45,""))</f>
        <v>256</v>
      </c>
      <c r="G208" s="69" t="n">
        <f aca="false">IF($A208="","",IFERROR(INDEX(Aturan!$B$63:$B$66,MATCH(Varian!$AG45,Aturan!$A$63:$A$66,0)),""))</f>
        <v>3</v>
      </c>
      <c r="H208" s="69" t="n">
        <f aca="false">IF($A208="","",IF(ISNUMBER(Varian!$AI45),Varian!$AI45,""))</f>
        <v>60</v>
      </c>
      <c r="I208" s="33" t="str">
        <f aca="false">IF($A208="","",IF(Varian!$Q45="disolder","menempel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bisa dinaikkan lewat slot sampai 64 GB</v>
      </c>
      <c r="J208" s="33" t="str">
        <f aca="false">IF($A208="","",IF(Varian!$Z45="ya","bisa diganti dengan yang lebih besar",IF(Varian!$Z45="tidak","menempel, tidak bisa diganti","belum diketahui apakah bisa diganti")))</f>
        <v>bisa diganti dengan yang lebih besar</v>
      </c>
      <c r="K208" s="70" t="str">
        <f aca="false">IF($A208="","",IF(AND(Aturan!$C$48="",Aturan!$D$48=""),"Tidak dinilai",IF(C208="","Belum ada data",IF(C208&lt;IF(Aturan!$C$48="",0,Aturan!$C$48),"Kurang",IF(C208&gt;=IF(Aturan!$D$48="",Aturan!$C$48,Aturan!$D$48),"Nyaman","Cukup")))))</f>
        <v>Cukup</v>
      </c>
      <c r="L208" s="70" t="str">
        <f aca="false">IF($A208="","",IF(AND(Aturan!$C$49="",Aturan!$D$49=""),"Tidak dinilai",IF(D208="","Belum ada data",IF(D208&lt;IF(Aturan!$C$49="",0,Aturan!$C$49),"Kurang",IF(D208&gt;=IF(Aturan!$D$49="",Aturan!$C$49,Aturan!$D$49),"Nyaman","Cukup")))))</f>
        <v>Nyaman</v>
      </c>
      <c r="M208" s="70" t="str">
        <f aca="false">IF($A208="","",IF(AND(Aturan!$C$50="",Aturan!$D$50=""),"Tidak dinilai",IF(E208="","Belum ada data",IF(E208&lt;IF(Aturan!$C$50="",0,Aturan!$C$50),"Kurang",IF(E208&gt;=IF(Aturan!$D$50="",Aturan!$C$50,Aturan!$D$50),"Nyaman","Cukup")))))</f>
        <v>Nyaman</v>
      </c>
      <c r="N208" s="70" t="str">
        <f aca="false">IF($A208="","",IF(AND(Aturan!$C$51="",Aturan!$D$51=""),"Tidak dinilai",IF(F208="","Belum ada data",IF(F208&lt;IF(Aturan!$C$51="",0,Aturan!$C$51),"Kurang",IF(F208&gt;=IF(Aturan!$D$51="",Aturan!$C$51,Aturan!$D$51),"Nyaman","Cukup")))))</f>
        <v>Nyaman</v>
      </c>
      <c r="O208" s="70" t="str">
        <f aca="false">IF($A208="","",IF(AND(Aturan!$C$52="",Aturan!$D$52=""),"Tidak dinilai",IF(G208="","Belum ada data",IF(G208&lt;IF(Aturan!$C$52="",0,Aturan!$C$52),"Kurang",IF(G208&gt;=IF(Aturan!$D$52="",Aturan!$C$52,Aturan!$D$52),"Nyaman","Cukup")))))</f>
        <v>Tidak dinilai</v>
      </c>
      <c r="P208" s="70" t="str">
        <f aca="false">IF($A208="","",IF(AND(Aturan!$C$53="",Aturan!$D$53=""),"Tidak dinilai",IF(H208="","Belum ada data",IF(H208&lt;IF(Aturan!$C$53="",0,Aturan!$C$53),"Kurang",IF(H208&gt;=IF(Aturan!$D$53="",Aturan!$C$53,Aturan!$D$53),"Nyaman","Cukup")))))</f>
        <v>Tidak dinilai</v>
      </c>
      <c r="Q208" s="70" t="str">
        <f aca="false">IF($A208="","",IF(COUNTIF(K208:P208,"Tidak dinilai")=6,"Tidak dinilai",IF(COUNTIF(K208:P208,"Kurang")&gt;0,"Kurang cocok",IF(COUNTIF(K208:P208,"Belum ada data")&gt;0,"Data belum lengkap",IF(COUNTIF(K208:P208,"Cukup")&gt;0,"Bisa, dengan catatan","Cocok")))))</f>
        <v>Bisa, dengan catatan</v>
      </c>
      <c r="R208" s="33" t="str">
        <f aca="false">IF($A208="","",IF(K208="Kurang","prosesor tingkat "&amp;C208&amp;" dari 5, di bawah batas minimal (tingkat "&amp;Aturan!$C$48&amp;")",IF(K208="Cukup","prosesor tingkat "&amp;C208&amp;" dari 5 cukup, nyamannya mulai tingkat "&amp;Aturan!$D$48,IF(K208="Belum ada data","tingkat prosesor belum diisi",""))))</f>
        <v>prosesor tingkat 2 dari 5 cukup, nyamannya mulai tingkat 3</v>
      </c>
      <c r="S208" s="33" t="str">
        <f aca="false">IF($A208="","",IF(L208="Kurang","grafis tingkat "&amp;D208&amp;" dari 5, di bawah batas minimal (tingkat "&amp;Aturan!$C$49&amp;")",IF(L208="Cukup","grafis tingkat "&amp;D208&amp;" dari 5 cukup, nyamannya mulai tingkat "&amp;Aturan!$D$49,IF(L208="Belum ada data","tingkat grafis belum diisi",""))))</f>
        <v/>
      </c>
      <c r="T208" s="33" t="str">
        <f aca="false">IF($A208="","",IF(M208="Kurang","RAM "&amp;E208&amp;" GB, di bawah batas minimal "&amp;Aturan!$C$50&amp;" GB ("&amp;I208&amp;")",IF(M208="Cukup","RAM "&amp;E208&amp;" GB cukup, nyamannya "&amp;Aturan!$D$50&amp;" GB atau lebih ("&amp;I208&amp;")",IF(M208="Belum ada data","ukuran RAM belum diisi",""))))</f>
        <v/>
      </c>
      <c r="U208" s="33" t="str">
        <f aca="false">IF($A208="","",IF(N208="Kurang","penyimpanan "&amp;F208&amp;" GB, di bawah batas minimal "&amp;Aturan!$C$51&amp;" GB ("&amp;J208&amp;")",IF(N208="Cukup","penyimpanan "&amp;F208&amp;" GB cukup, nyamannya "&amp;Aturan!$D$51&amp;" GB atau lebih ("&amp;J208&amp;")",IF(N208="Belum ada data","ukuran penyimpanan belum diisi",""))))</f>
        <v/>
      </c>
      <c r="V208" s="33" t="str">
        <f aca="false">IF($A208="","",IF(O208="Kurang","layar "&amp;Varian!$AG45&amp;", di bawah batas minimal ("&amp;IFERROR(INDEX(Aturan!$A$63:$A$66,MATCH(Aturan!$C$52,Aturan!$B$63:$B$66,0)),"peringkat "&amp;Aturan!$C$52)&amp;")",IF(O208="Cukup","layar "&amp;Varian!$AG45&amp;" cukup, nyamannya "&amp;IFERROR(INDEX(Aturan!$A$63:$A$66,MATCH(Aturan!$D$52,Aturan!$B$63:$B$66,0)),"peringkat "&amp;Aturan!$D$52),IF(O208="Belum ada data","jenis layar belum diketahui",""))))</f>
        <v/>
      </c>
      <c r="W208" s="33" t="str">
        <f aca="false">IF($A208="","",IF(P208="Kurang","layar "&amp;H208&amp;" Hz, di bawah batas minimal "&amp;Aturan!$C$53&amp;" Hz",IF(P208="Cukup","layar "&amp;H208&amp;" Hz cukup, nyamannya "&amp;Aturan!$D$53&amp;" Hz atau lebih",IF(P208="Belum ada data","refresh rate belum diketahui",""))))</f>
        <v/>
      </c>
      <c r="X208" s="33" t="str">
        <f aca="false">IF($A208="","",IF(K208="Kurang",R208&amp;"; ","")&amp;IF(L208="Kurang",S208&amp;"; ","")&amp;IF(M208="Kurang",T208&amp;"; ","")&amp;IF(N208="Kurang",U208&amp;"; ","")&amp;IF(O208="Kurang",V208&amp;"; ","")&amp;IF(P208="Kurang",W208&amp;"; ","")&amp;IF(K208="Belum ada data",R208&amp;"; ","")&amp;IF(L208="Belum ada data",S208&amp;"; ","")&amp;IF(M208="Belum ada data",T208&amp;"; ","")&amp;IF(N208="Belum ada data",U208&amp;"; ","")&amp;IF(O208="Belum ada data",V208&amp;"; ","")&amp;IF(P208="Belum ada data",W208&amp;"; ","")&amp;IF(K208="Cukup",R208&amp;"; ","")&amp;IF(L208="Cukup",S208&amp;"; ","")&amp;IF(M208="Cukup",T208&amp;"; ","")&amp;IF(N208="Cukup",U208&amp;"; ","")&amp;IF(O208="Cukup",V208&amp;"; ","")&amp;IF(P208="Cukup",W208&amp;"; ",""))</f>
        <v>prosesor tingkat 2 dari 5 cukup, nyamannya mulai tingkat 3; </v>
      </c>
      <c r="Y208" s="33" t="str">
        <f aca="false">IF($A208="","",IF(K208="Nyaman","prosesor, ","")&amp;IF(L208="Nyaman","grafis, ","")&amp;IF(M208="Nyaman","RAM, ","")&amp;IF(N208="Nyaman","penyimpanan, ","")&amp;IF(O208="Nyaman","layar, ","")&amp;IF(P208="Nyaman","refresh rate, ",""))</f>
        <v>grafis, RAM, penyimpanan, </v>
      </c>
      <c r="Z208" s="33" t="str">
        <f aca="false">IF($A208="","",IF(Q208="Tidak dinilai","Belum ada kriteria yang dinilai untuk kebutuhan ini.",IF(Q208="Cocok","Semua kriteria yang dinilai sudah nyaman: "&amp;LEFT(Y208,LEN(Y208)-2)&amp;".",UPPER(LEFT(X208,1))&amp;MID(X208,2,LEN(X208)-3)&amp;"."&amp;IF(Y208="",""," Sudah nyaman: "&amp;LEFT(Y208,LEN(Y208)-2)&amp;"."))))</f>
        <v>Prosesor tingkat 2 dari 5 cukup, nyamannya mulai tingkat 3. Sudah nyaman: grafis, RAM, penyimpanan.</v>
      </c>
      <c r="AA208" s="33"/>
      <c r="AB208" s="33"/>
      <c r="AC208" s="69"/>
    </row>
    <row r="209" customFormat="false" ht="15" hidden="false" customHeight="true" outlineLevel="0" collapsed="false">
      <c r="A209" s="33" t="str">
        <f aca="false">IF(Varian!$A45="","",Varian!$A45)</f>
        <v>infinix-xbook-14-neo-i3-1315u-8-256</v>
      </c>
      <c r="B209" s="33" t="str">
        <f aca="false">IF($A209="","",Aturan!$A$25)</f>
        <v>Game berat</v>
      </c>
      <c r="C209" s="69" t="n">
        <f aca="false">IF($A209="","",IFERROR(IF(ISNUMBER(INDEX(CPU!$J$4:$J$64,MATCH(Varian!$J45,CPU!$A$4:$A$64,0))),INDEX(CPU!$J$4:$J$64,MATCH(Varian!$J45,CPU!$A$4:$A$64,0)),""),""))</f>
        <v>2</v>
      </c>
      <c r="D209" s="69" t="n">
        <f aca="false">IF($A209="","",IFERROR(IF(ISNUMBER(INDEX(GPU!$G$4:$G$64,MATCH(Varian!$K45,GPU!$A$4:$A$64,0))),INDEX(GPU!$G$4:$G$64,MATCH(Varian!$K45,GPU!$A$4:$A$64,0)),""),""))</f>
        <v>2</v>
      </c>
      <c r="E209" s="69" t="n">
        <f aca="false">IF($A209="","",IF(ISNUMBER(Varian!$M45),Varian!$M45,""))</f>
        <v>8</v>
      </c>
      <c r="F209" s="69" t="n">
        <f aca="false">IF($A209="","",IF(ISNUMBER(Varian!$V45),Varian!$V45,""))</f>
        <v>256</v>
      </c>
      <c r="G209" s="69" t="n">
        <f aca="false">IF($A209="","",IFERROR(INDEX(Aturan!$B$63:$B$66,MATCH(Varian!$AG45,Aturan!$A$63:$A$66,0)),""))</f>
        <v>3</v>
      </c>
      <c r="H209" s="69" t="n">
        <f aca="false">IF($A209="","",IF(ISNUMBER(Varian!$AI45),Varian!$AI45,""))</f>
        <v>60</v>
      </c>
      <c r="I209" s="33" t="str">
        <f aca="false">IF($A209="","",IF(Varian!$Q45="disolder","menempel di papan utama, tidak bisa ditambah",IF(OR(Varian!$Q45="slot",Varian!$Q45="setengah_disolder"),IF(Varian!$Q45="setengah_disolder","sebagian menempel, ","")&amp;IF(ISNUMBER(Varian!$U45),IF(AND(ISNUMBER(Varian!$M45),Varian!$U45&gt;Varian!$M45),"bisa dinaikkan lewat slot sampai "&amp;Varian!$U45&amp;" GB","sudah di batas maksimal "&amp;Varian!$U45&amp;" GB"),"ada slot, batas maksimalnya belum diketahui"),"belum diketahui apakah bisa ditambah")))</f>
        <v>bisa dinaikkan lewat slot sampai 64 GB</v>
      </c>
      <c r="J209" s="33" t="str">
        <f aca="false">IF($A209="","",IF(Varian!$Z45="ya","bisa diganti dengan yang lebih besar",IF(Varian!$Z45="tidak","menempel, tidak bisa diganti","belum diketahui apakah bisa diganti")))</f>
        <v>bisa diganti dengan yang lebih besar</v>
      </c>
      <c r="K209" s="70" t="str">
        <f aca="false">IF($A209="","",IF(AND(Aturan!$C$54="",Aturan!$D$54=""),"Tidak dinilai",IF(C209="","Belum ada data",IF(C209&lt;IF(Aturan!$C$54="",0,Aturan!$C$54),"Kurang",IF(C209&gt;=IF(Aturan!$D$54="",Aturan!$C$54,Aturan!$D$54),"Nyaman","Cukup")))))</f>
        <v>Kurang</v>
      </c>
      <c r="L209" s="70" t="str">
        <f aca="false">IF($A209="","",IF(AND(Aturan!$C$55="",Aturan!$D$55=""),"Tidak dinilai",IF(D209="","Belum ada data",IF(D209&lt;IF(Aturan!$C$55="",0,Aturan!$C$55),"Kurang",IF(D209&gt;=IF(Aturan!$D$55="",Aturan!$C$55,Aturan!$D$55),"Nyaman","Cukup")))))</f>
        <v>Kurang</v>
      </c>
      <c r="M209" s="70" t="str">
        <f aca="false">IF($A209="","",IF(AND(Aturan!$C$56="",Aturan!$D$56=""),"Tidak dinilai",IF(E209="","Belum ada data",IF(E209&lt;IF(Aturan!$C$56="",0,Aturan!$C$56),"Kurang",IF(E209&gt;=IF(Aturan!$D$56="",Aturan!$C$56,Aturan!$D$56),"Nyaman","Cukup")))))</f>
        <v>Cukup</v>
      </c>
      <c r="N209" s="70" t="str">
        <f aca="false">IF($A209="","",IF(AND(Aturan!$C$57="",Aturan!$D$57=""),"Tidak dinilai",IF(F209="","Belum ada data",IF(F209&lt;IF(Aturan!$C$57="",0,Aturan!$C$57),"Kurang",IF(F209&gt;=IF(Aturan!$D$57="",Aturan!$C$57,Aturan!$D$57),"Nyaman","Cukup")))))</f>
        <v>Kurang</v>
      </c>
      <c r="O209" s="70" t="str">
        <f aca="false">IF($A209="","",IF(AND(Aturan!$C$58="",Aturan!$D$58=""),"Tidak dinilai",IF(G209="","Belum ada data",IF(G209&lt;IF(Aturan!$C$58="",0,Aturan!$C$58),"Kurang",IF(G209&gt;=IF(Aturan!$D$58="",Aturan!$C$58,Aturan!$D$58),"Nyaman","Cukup")))))</f>
        <v>Tidak dinilai</v>
      </c>
      <c r="P209" s="70" t="str">
        <f aca="false">IF($A209="","",IF(AND(Aturan!$C$59="",Aturan!$D$59=""),"Tidak dinilai",IF(H209="","Belum ada data",IF(H209&lt;IF(Aturan!$C$59="",0,Aturan!$C$59),"Kurang",IF(H209&gt;=IF(Aturan!$D$59="",Aturan!$C$59,Aturan!$D$59),"Nyaman","Cukup")))))</f>
        <v>Cukup</v>
      </c>
      <c r="Q209" s="70" t="str">
        <f aca="false">IF($A209="","",IF(COUNTIF(K209:P209,"Tidak dinilai")=6,"Tidak dinilai",IF(COUNTIF(K209:P209,"Kurang")&gt;0,"Kurang cocok",IF(COUNTIF(K209:P209,"Belum ada data")&gt;0,"Data belum lengkap",IF(COUNTIF(K209:P209,"Cukup")&gt;0,"Bisa, dengan catatan","Cocok")))))</f>
        <v>Kurang cocok</v>
      </c>
      <c r="R209" s="33" t="str">
        <f aca="false">IF($A209="","",IF(K209="Kurang","prosesor tingkat "&amp;C209&amp;" dari 5, di bawah batas minimal (tingkat "&amp;Aturan!$C$54&amp;")",IF(K209="Cukup","prosesor tingkat "&amp;C209&amp;" dari 5 cukup, nyamannya mulai tingkat "&amp;Aturan!$D$54,IF(K209="Belum ada data","tingkat prosesor belum diisi",""))))</f>
        <v>prosesor tingkat 2 dari 5, di bawah batas minimal (tingkat 3)</v>
      </c>
      <c r="S209" s="33" t="str">
        <f aca="false">IF($A209="","",IF(L209="Kurang","grafis tingkat "&amp;D209&amp;" dari 5, di bawah batas minimal (tingkat "&amp;Aturan!$C$55&amp;")",IF(L209="Cukup","grafis tingkat "&amp;D209&amp;" dari 5 cukup, nyamannya mulai tingkat "&amp;Aturan!$D$55,IF(L209="Belum ada data","tingkat grafis belum diisi",""))))</f>
        <v>grafis tingkat 2 dari 5, di bawah batas minimal (tingkat 3)</v>
      </c>
      <c r="T209" s="33" t="str">
        <f aca="false">IF($A209="","",IF(M209="Kurang","RAM "&amp;E209&amp;" GB, di bawah batas minimal "&amp;Aturan!$C$56&amp;" GB ("&amp;I209&amp;")",IF(M209="Cukup","RAM "&amp;E209&amp;" GB cukup, nyamannya "&amp;Aturan!$D$56&amp;" GB atau lebih ("&amp;I209&amp;")",IF(M209="Belum ada data","ukuran RAM belum diisi",""))))</f>
        <v>RAM 8 GB cukup, nyamannya 16 GB atau lebih (bisa dinaikkan lewat slot sampai 64 GB)</v>
      </c>
      <c r="U209" s="33" t="str">
        <f aca="false">IF($A209="","",IF(N209="Kurang","penyimpanan "&amp;F209&amp;" GB, di bawah batas minimal "&amp;Aturan!$C$57&amp;" GB ("&amp;J209&amp;")",IF(N209="Cukup","penyimpanan "&amp;F209&amp;" GB cukup, nyamannya "&amp;Aturan!$D$57&amp;" GB atau lebih ("&amp;J209&amp;")",IF(N209="Belum ada data","ukuran penyimpanan belum diisi",""))))</f>
        <v>penyimpanan 256 GB, di bawah batas minimal 512 GB (bisa diganti dengan yang lebih besar)</v>
      </c>
      <c r="V209" s="33" t="str">
        <f aca="false">IF($A209="","",IF(O209="Kurang","layar "&amp;Varian!$AG45&amp;", di bawah batas minimal ("&amp;IFERROR(INDEX(Aturan!$A$63:$A$66,MATCH(Aturan!$C$58,Aturan!$B$63:$B$66,0)),"peringkat "&amp;Aturan!$C$58)&amp;")",IF(O209="Cukup","layar "&amp;Varian!$AG45&amp;" cukup, nyamannya "&amp;IFERROR(INDEX(Aturan!$A$63:$A$66,MATCH(Aturan!$D$58,Aturan!$B$63:$B$66,0)),"peringkat "&amp;Aturan!$D$58),IF(O209="Belum ada data","jenis layar belum diketahui",""))))</f>
        <v/>
      </c>
      <c r="W209" s="33" t="str">
        <f aca="false">IF($A209="","",IF(P209="Kurang","layar "&amp;H209&amp;" Hz, di bawah batas minimal "&amp;Aturan!$C$59&amp;" Hz",IF(P209="Cukup","layar "&amp;H209&amp;" Hz cukup, nyamannya "&amp;Aturan!$D$59&amp;" Hz atau lebih",IF(P209="Belum ada data","refresh rate belum diketahui",""))))</f>
        <v>layar 60 Hz cukup, nyamannya 120 Hz atau lebih</v>
      </c>
      <c r="X209" s="33" t="str">
        <f aca="false">IF($A209="","",IF(K209="Kurang",R209&amp;"; ","")&amp;IF(L209="Kurang",S209&amp;"; ","")&amp;IF(M209="Kurang",T209&amp;"; ","")&amp;IF(N209="Kurang",U209&amp;"; ","")&amp;IF(O209="Kurang",V209&amp;"; ","")&amp;IF(P209="Kurang",W209&amp;"; ","")&amp;IF(K209="Belum ada data",R209&amp;"; ","")&amp;IF(L209="Belum ada data",S209&amp;"; ","")&amp;IF(M209="Belum ada data",T209&amp;"; ","")&amp;IF(N209="Belum ada data",U209&amp;"; ","")&amp;IF(O209="Belum ada data",V209&amp;"; ","")&amp;IF(P209="Belum ada data",W209&amp;"; ","")&amp;IF(K209="Cukup",R209&amp;"; ","")&amp;IF(L209="Cukup",S209&amp;"; ","")&amp;IF(M209="Cukup",T209&amp;"; ","")&amp;IF(N209="Cukup",U209&amp;"; ","")&amp;IF(O209="Cukup",V209&amp;"; ","")&amp;IF(P209="Cukup",W209&amp;"; ",""))</f>
        <v>prosesor tingkat 2 dari 5, di bawah batas minimal (tingkat 3); grafis tingkat 2 dari 5, di bawah batas minimal (tingkat 3); penyimpanan 256 GB, di bawah batas minimal 512 GB (bisa diganti dengan yang lebih besar); RAM 8 GB cukup, nyamannya 16 GB atau lebih (bisa dinaikkan lewat slot sampai 64 GB); layar 60 Hz cukup, nyamannya 120 Hz atau lebih; </v>
      </c>
      <c r="Y209" s="33" t="str">
        <f aca="false">IF($A209="","",IF(K209="Nyaman","prosesor, ","")&amp;IF(L209="Nyaman","grafis, ","")&amp;IF(M209="Nyaman","RAM, ","")&amp;IF(N209="Nyaman","penyimpanan, ","")&amp;IF(O209="Nyaman","layar, ","")&amp;IF(P209="Nyaman","refresh rate, ",""))</f>
        <v/>
      </c>
      <c r="Z209" s="33" t="str">
        <f aca="false">IF($A209="","",IF(Q209="Tidak dinilai","Belum ada kriteria yang dinilai untuk kebutuhan ini.",IF(Q209="Cocok","Semua kriteria yang dinilai sudah nyaman: "&amp;LEFT(Y209,LEN(Y209)-2)&amp;".",UPPER(LEFT(X209,1))&amp;MID(X209,2,LEN(X209)-3)&amp;"."&amp;IF(Y209="",""," Sudah nyaman: "&amp;LEFT(Y209,LEN(Y209)-2)&amp;"."))))</f>
        <v>Prosesor tingkat 2 dari 5, di bawah batas minimal (tingkat 3); grafis tingkat 2 dari 5, di bawah batas minimal (tingkat 3); penyimpanan 256 GB, di bawah batas minimal 512 GB (bisa diganti dengan yang lebih besar); RAM 8 GB cukup, nyamannya 16 GB atau lebih (bisa dinaikkan lewat slot sampai 64 GB); layar 60 Hz cukup, nyamannya 120 Hz atau lebih.</v>
      </c>
      <c r="AA209" s="33"/>
      <c r="AB209" s="33"/>
      <c r="AC209" s="69"/>
    </row>
    <row r="210" customFormat="false" ht="15" hidden="false" customHeight="true" outlineLevel="0" collapsed="false">
      <c r="A210" s="66" t="str">
        <f aca="false">IF(Varian!$A46="","",Varian!$A46)</f>
        <v>acer-chromebook-311-c733t-n4020-4-32</v>
      </c>
      <c r="B210" s="66" t="str">
        <f aca="false">IF($A210="","",Aturan!$A$21)</f>
        <v>Kuliah dan kantor</v>
      </c>
      <c r="C210" s="67" t="n">
        <f aca="false">IF($A210="","",IFERROR(IF(ISNUMBER(INDEX(CPU!$J$4:$J$64,MATCH(Varian!$J46,CPU!$A$4:$A$64,0))),INDEX(CPU!$J$4:$J$64,MATCH(Varian!$J46,CPU!$A$4:$A$64,0)),""),""))</f>
        <v>1</v>
      </c>
      <c r="D210" s="67" t="n">
        <f aca="false">IF($A210="","",IFERROR(IF(ISNUMBER(INDEX(GPU!$G$4:$G$64,MATCH(Varian!$K46,GPU!$A$4:$A$64,0))),INDEX(GPU!$G$4:$G$64,MATCH(Varian!$K46,GPU!$A$4:$A$64,0)),""),""))</f>
        <v>1</v>
      </c>
      <c r="E210" s="67" t="n">
        <f aca="false">IF($A210="","",IF(ISNUMBER(Varian!$M46),Varian!$M46,""))</f>
        <v>4</v>
      </c>
      <c r="F210" s="67" t="n">
        <f aca="false">IF($A210="","",IF(ISNUMBER(Varian!$V46),Varian!$V46,""))</f>
        <v>32</v>
      </c>
      <c r="G210" s="67" t="n">
        <f aca="false">IF($A210="","",IFERROR(INDEX(Aturan!$B$63:$B$66,MATCH(Varian!$AG46,Aturan!$A$63:$A$66,0)),""))</f>
        <v>3</v>
      </c>
      <c r="H210" s="67" t="str">
        <f aca="false">IF($A210="","",IF(ISNUMBER(Varian!$AI46),Varian!$AI46,""))</f>
        <v/>
      </c>
      <c r="I210" s="66" t="str">
        <f aca="false">IF($A210="","",IF(Varian!$Q46="disolder","menempel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menempel di papan utama, tidak bisa ditambah</v>
      </c>
      <c r="J210" s="66" t="str">
        <f aca="false">IF($A210="","",IF(Varian!$Z46="ya","bisa diganti dengan yang lebih besar",IF(Varian!$Z46="tidak","menempel, tidak bisa diganti","belum diketahui apakah bisa diganti")))</f>
        <v>menempel, tidak bisa diganti</v>
      </c>
      <c r="K210" s="68" t="str">
        <f aca="false">IF($A210="","",IF(AND(Aturan!$C$30="",Aturan!$D$30=""),"Tidak dinilai",IF(C210="","Belum ada data",IF(C210&lt;IF(Aturan!$C$30="",0,Aturan!$C$30),"Kurang",IF(C210&gt;=IF(Aturan!$D$30="",Aturan!$C$30,Aturan!$D$30),"Nyaman","Cukup")))))</f>
        <v>Cukup</v>
      </c>
      <c r="L210" s="68" t="str">
        <f aca="false">IF($A210="","",IF(AND(Aturan!$C$31="",Aturan!$D$31=""),"Tidak dinilai",IF(D210="","Belum ada data",IF(D210&lt;IF(Aturan!$C$31="",0,Aturan!$C$31),"Kurang",IF(D210&gt;=IF(Aturan!$D$31="",Aturan!$C$31,Aturan!$D$31),"Nyaman","Cukup")))))</f>
        <v>Tidak dinilai</v>
      </c>
      <c r="M210" s="68" t="str">
        <f aca="false">IF($A210="","",IF(AND(Aturan!$C$32="",Aturan!$D$32=""),"Tidak dinilai",IF(E210="","Belum ada data",IF(E210&lt;IF(Aturan!$C$32="",0,Aturan!$C$32),"Kurang",IF(E210&gt;=IF(Aturan!$D$32="",Aturan!$C$32,Aturan!$D$32),"Nyaman","Cukup")))))</f>
        <v>Cukup</v>
      </c>
      <c r="N210" s="68" t="str">
        <f aca="false">IF($A210="","",IF(AND(Aturan!$C$33="",Aturan!$D$33=""),"Tidak dinilai",IF(F210="","Belum ada data",IF(F210&lt;IF(Aturan!$C$33="",0,Aturan!$C$33),"Kurang",IF(F210&gt;=IF(Aturan!$D$33="",Aturan!$C$33,Aturan!$D$33),"Nyaman","Cukup")))))</f>
        <v>Kurang</v>
      </c>
      <c r="O210" s="68" t="str">
        <f aca="false">IF($A210="","",IF(AND(Aturan!$C$34="",Aturan!$D$34=""),"Tidak dinilai",IF(G210="","Belum ada data",IF(G210&lt;IF(Aturan!$C$34="",0,Aturan!$C$34),"Kurang",IF(G210&gt;=IF(Aturan!$D$34="",Aturan!$C$34,Aturan!$D$34),"Nyaman","Cukup")))))</f>
        <v>Tidak dinilai</v>
      </c>
      <c r="P210" s="68" t="str">
        <f aca="false">IF($A210="","",IF(AND(Aturan!$C$35="",Aturan!$D$35=""),"Tidak dinilai",IF(H210="","Belum ada data",IF(H210&lt;IF(Aturan!$C$35="",0,Aturan!$C$35),"Kurang",IF(H210&gt;=IF(Aturan!$D$35="",Aturan!$C$35,Aturan!$D$35),"Nyaman","Cukup")))))</f>
        <v>Tidak dinilai</v>
      </c>
      <c r="Q210" s="68" t="str">
        <f aca="false">IF($A210="","",IF(COUNTIF(K210:P210,"Tidak dinilai")=6,"Tidak dinilai",IF(COUNTIF(K210:P210,"Kurang")&gt;0,"Kurang cocok",IF(COUNTIF(K210:P210,"Belum ada data")&gt;0,"Data belum lengkap",IF(COUNTIF(K210:P210,"Cukup")&gt;0,"Bisa, dengan catatan","Cocok")))))</f>
        <v>Kurang cocok</v>
      </c>
      <c r="R210" s="66" t="str">
        <f aca="false">IF($A210="","",IF(K210="Kurang","prosesor tingkat "&amp;C210&amp;" dari 5, di bawah batas minimal (tingkat "&amp;Aturan!$C$30&amp;")",IF(K210="Cukup","prosesor tingkat "&amp;C210&amp;" dari 5 cukup, nyamannya mulai tingkat "&amp;Aturan!$D$30,IF(K210="Belum ada data","tingkat prosesor belum diisi",""))))</f>
        <v>prosesor tingkat 1 dari 5 cukup, nyamannya mulai tingkat 2</v>
      </c>
      <c r="S210" s="66" t="str">
        <f aca="false">IF($A210="","",IF(L210="Kurang","grafis tingkat "&amp;D210&amp;" dari 5, di bawah batas minimal (tingkat "&amp;Aturan!$C$31&amp;")",IF(L210="Cukup","grafis tingkat "&amp;D210&amp;" dari 5 cukup, nyamannya mulai tingkat "&amp;Aturan!$D$31,IF(L210="Belum ada data","tingkat grafis belum diisi",""))))</f>
        <v/>
      </c>
      <c r="T210" s="66" t="str">
        <f aca="false">IF($A210="","",IF(M210="Kurang","RAM "&amp;E210&amp;" GB, di bawah batas minimal "&amp;Aturan!$C$32&amp;" GB ("&amp;I210&amp;")",IF(M210="Cukup","RAM "&amp;E210&amp;" GB cukup, nyamannya "&amp;Aturan!$D$32&amp;" GB atau lebih ("&amp;I210&amp;")",IF(M210="Belum ada data","ukuran RAM belum diisi",""))))</f>
        <v>RAM 4 GB cukup, nyamannya 8 GB atau lebih (menempel di papan utama, tidak bisa ditambah)</v>
      </c>
      <c r="U210" s="66" t="str">
        <f aca="false">IF($A210="","",IF(N210="Kurang","penyimpanan "&amp;F210&amp;" GB, di bawah batas minimal "&amp;Aturan!$C$33&amp;" GB ("&amp;J210&amp;")",IF(N210="Cukup","penyimpanan "&amp;F210&amp;" GB cukup, nyamannya "&amp;Aturan!$D$33&amp;" GB atau lebih ("&amp;J210&amp;")",IF(N210="Belum ada data","ukuran penyimpanan belum diisi",""))))</f>
        <v>penyimpanan 32 GB, di bawah batas minimal 128 GB (menempel, tidak bisa diganti)</v>
      </c>
      <c r="V210" s="66" t="str">
        <f aca="false">IF($A210="","",IF(O210="Kurang","layar "&amp;Varian!$AG46&amp;", di bawah batas minimal ("&amp;IFERROR(INDEX(Aturan!$A$63:$A$66,MATCH(Aturan!$C$34,Aturan!$B$63:$B$66,0)),"peringkat "&amp;Aturan!$C$34)&amp;")",IF(O210="Cukup","layar "&amp;Varian!$AG46&amp;" cukup, nyamannya "&amp;IFERROR(INDEX(Aturan!$A$63:$A$66,MATCH(Aturan!$D$34,Aturan!$B$63:$B$66,0)),"peringkat "&amp;Aturan!$D$34),IF(O210="Belum ada data","jenis layar belum diketahui",""))))</f>
        <v/>
      </c>
      <c r="W210" s="66" t="str">
        <f aca="false">IF($A210="","",IF(P210="Kurang","layar "&amp;H210&amp;" Hz, di bawah batas minimal "&amp;Aturan!$C$35&amp;" Hz",IF(P210="Cukup","layar "&amp;H210&amp;" Hz cukup, nyamannya "&amp;Aturan!$D$35&amp;" Hz atau lebih",IF(P210="Belum ada data","refresh rate belum diketahui",""))))</f>
        <v/>
      </c>
      <c r="X210" s="66" t="str">
        <f aca="false">IF($A210="","",IF(K210="Kurang",R210&amp;"; ","")&amp;IF(L210="Kurang",S210&amp;"; ","")&amp;IF(M210="Kurang",T210&amp;"; ","")&amp;IF(N210="Kurang",U210&amp;"; ","")&amp;IF(O210="Kurang",V210&amp;"; ","")&amp;IF(P210="Kurang",W210&amp;"; ","")&amp;IF(K210="Belum ada data",R210&amp;"; ","")&amp;IF(L210="Belum ada data",S210&amp;"; ","")&amp;IF(M210="Belum ada data",T210&amp;"; ","")&amp;IF(N210="Belum ada data",U210&amp;"; ","")&amp;IF(O210="Belum ada data",V210&amp;"; ","")&amp;IF(P210="Belum ada data",W210&amp;"; ","")&amp;IF(K210="Cukup",R210&amp;"; ","")&amp;IF(L210="Cukup",S210&amp;"; ","")&amp;IF(M210="Cukup",T210&amp;"; ","")&amp;IF(N210="Cukup",U210&amp;"; ","")&amp;IF(O210="Cukup",V210&amp;"; ","")&amp;IF(P210="Cukup",W210&amp;"; ",""))</f>
        <v>penyimpanan 32 GB, di bawah batas minimal 128 GB (menempel, tidak bisa diganti); prosesor tingkat 1 dari 5 cukup, nyamannya mulai tingkat 2; RAM 4 GB cukup, nyamannya 8 GB atau lebih (menempel di papan utama, tidak bisa ditambah); </v>
      </c>
      <c r="Y210" s="66" t="str">
        <f aca="false">IF($A210="","",IF(K210="Nyaman","prosesor, ","")&amp;IF(L210="Nyaman","grafis, ","")&amp;IF(M210="Nyaman","RAM, ","")&amp;IF(N210="Nyaman","penyimpanan, ","")&amp;IF(O210="Nyaman","layar, ","")&amp;IF(P210="Nyaman","refresh rate, ",""))</f>
        <v/>
      </c>
      <c r="Z210" s="66" t="str">
        <f aca="false">IF($A210="","",IF(Q210="Tidak dinilai","Belum ada kriteria yang dinilai untuk kebutuhan ini.",IF(Q210="Cocok","Semua kriteria yang dinilai sudah nyaman: "&amp;LEFT(Y210,LEN(Y210)-2)&amp;".",UPPER(LEFT(X210,1))&amp;MID(X210,2,LEN(X210)-3)&amp;"."&amp;IF(Y210="",""," Sudah nyaman: "&amp;LEFT(Y210,LEN(Y210)-2)&amp;"."))))</f>
        <v>Penyimpanan 32 GB, di bawah batas minimal 128 GB (menempel, tidak bisa diganti); prosesor tingkat 1 dari 5 cukup, nyamannya mulai tingkat 2; RAM 4 GB cukup, nyamannya 8 GB atau lebih (menempel di papan utama, tidak bisa ditambah).</v>
      </c>
      <c r="AA210" s="71" t="str">
        <f aca="false">IF($A210="","",IF(Varian!$AR46="Windows 10","• "&amp;Aturan!$E$71&amp;CHAR(10),"")&amp;IF(Varian!$BB46="tidak","• "&amp;Aturan!$E$72&amp;CHAR(10),"")&amp;IF(OR(Varian!$AD46="belum terverifikasi",Varian!$AD46="tidak diketahui"),"• "&amp;Aturan!$E$73&amp;CHAR(10),"")&amp;IF(Varian!$AH46="1366x768","• "&amp;Aturan!$E$74&amp;CHAR(10),"")&amp;IF(Varian!$AG46="TN","• "&amp;Aturan!$E$75&amp;CHAR(10),"")&amp;IF(AND(Varian!$Q46="disolder",ISNUMBER(Varian!$M46),Varian!$M46&lt;=8),"• "&amp;Aturan!$E$76&amp;CHAR(10),""))</f>
        <v>• Info RAM dan penyimpanan (bisa diganti atau tidak) belum terverifikasi. Periksa lagi sebelum membeli.
• Layar beresolusi rendah (1366x768): ruang kerja sempit dan tulisan kurang tajam.
• RAM menempel di papan utama dan tidak bisa ditambah, padahal ukurannya kecil (8 GB atau kurang).
</v>
      </c>
      <c r="AB210" s="71" t="str">
        <f aca="false">IF($A210="","",IF(AA210="","",LEFT(AA210,LEN(AA210)-1)))</f>
        <v>• Info RAM dan penyimpanan (bisa diganti atau tidak) belum terverifikasi. Periksa lagi sebelum membeli.
• Layar beresolusi rendah (1366x768): ruang kerja sempit dan tulisan kurang tajam.
• RAM menempel di papan utama dan tidak bisa ditambah, padahal ukurannya kecil (8 GB atau kurang).</v>
      </c>
      <c r="AC210" s="67" t="n">
        <f aca="false">IF($A210="","",IF(AA210="",0,LEN(AA210)-LEN(SUBSTITUTE(AA210,CHAR(10),""))))</f>
        <v>3</v>
      </c>
    </row>
    <row r="211" customFormat="false" ht="15" hidden="false" customHeight="true" outlineLevel="0" collapsed="false">
      <c r="A211" s="33" t="str">
        <f aca="false">IF(Varian!$A46="","",Varian!$A46)</f>
        <v>acer-chromebook-311-c733t-n4020-4-32</v>
      </c>
      <c r="B211" s="33" t="str">
        <f aca="false">IF($A211="","",Aturan!$A$22)</f>
        <v>Desain grafis</v>
      </c>
      <c r="C211" s="69" t="n">
        <f aca="false">IF($A211="","",IFERROR(IF(ISNUMBER(INDEX(CPU!$J$4:$J$64,MATCH(Varian!$J46,CPU!$A$4:$A$64,0))),INDEX(CPU!$J$4:$J$64,MATCH(Varian!$J46,CPU!$A$4:$A$64,0)),""),""))</f>
        <v>1</v>
      </c>
      <c r="D211" s="69" t="n">
        <f aca="false">IF($A211="","",IFERROR(IF(ISNUMBER(INDEX(GPU!$G$4:$G$64,MATCH(Varian!$K46,GPU!$A$4:$A$64,0))),INDEX(GPU!$G$4:$G$64,MATCH(Varian!$K46,GPU!$A$4:$A$64,0)),""),""))</f>
        <v>1</v>
      </c>
      <c r="E211" s="69" t="n">
        <f aca="false">IF($A211="","",IF(ISNUMBER(Varian!$M46),Varian!$M46,""))</f>
        <v>4</v>
      </c>
      <c r="F211" s="69" t="n">
        <f aca="false">IF($A211="","",IF(ISNUMBER(Varian!$V46),Varian!$V46,""))</f>
        <v>32</v>
      </c>
      <c r="G211" s="69" t="n">
        <f aca="false">IF($A211="","",IFERROR(INDEX(Aturan!$B$63:$B$66,MATCH(Varian!$AG46,Aturan!$A$63:$A$66,0)),""))</f>
        <v>3</v>
      </c>
      <c r="H211" s="69" t="str">
        <f aca="false">IF($A211="","",IF(ISNUMBER(Varian!$AI46),Varian!$AI46,""))</f>
        <v/>
      </c>
      <c r="I211" s="33" t="str">
        <f aca="false">IF($A211="","",IF(Varian!$Q46="disolder","menempel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menempel di papan utama, tidak bisa ditambah</v>
      </c>
      <c r="J211" s="33" t="str">
        <f aca="false">IF($A211="","",IF(Varian!$Z46="ya","bisa diganti dengan yang lebih besar",IF(Varian!$Z46="tidak","menempel, tidak bisa diganti","belum diketahui apakah bisa diganti")))</f>
        <v>menempel, tidak bisa diganti</v>
      </c>
      <c r="K211" s="70" t="str">
        <f aca="false">IF($A211="","",IF(AND(Aturan!$C$36="",Aturan!$D$36=""),"Tidak dinilai",IF(C211="","Belum ada data",IF(C211&lt;IF(Aturan!$C$36="",0,Aturan!$C$36),"Kurang",IF(C211&gt;=IF(Aturan!$D$36="",Aturan!$C$36,Aturan!$D$36),"Nyaman","Cukup")))))</f>
        <v>Kurang</v>
      </c>
      <c r="L211" s="70" t="str">
        <f aca="false">IF($A211="","",IF(AND(Aturan!$C$37="",Aturan!$D$37=""),"Tidak dinilai",IF(D211="","Belum ada data",IF(D211&lt;IF(Aturan!$C$37="",0,Aturan!$C$37),"Kurang",IF(D211&gt;=IF(Aturan!$D$37="",Aturan!$C$37,Aturan!$D$37),"Nyaman","Cukup")))))</f>
        <v>Cukup</v>
      </c>
      <c r="M211" s="70" t="str">
        <f aca="false">IF($A211="","",IF(AND(Aturan!$C$38="",Aturan!$D$38=""),"Tidak dinilai",IF(E211="","Belum ada data",IF(E211&lt;IF(Aturan!$C$38="",0,Aturan!$C$38),"Kurang",IF(E211&gt;=IF(Aturan!$D$38="",Aturan!$C$38,Aturan!$D$38),"Nyaman","Cukup")))))</f>
        <v>Kurang</v>
      </c>
      <c r="N211" s="70" t="str">
        <f aca="false">IF($A211="","",IF(AND(Aturan!$C$39="",Aturan!$D$39=""),"Tidak dinilai",IF(F211="","Belum ada data",IF(F211&lt;IF(Aturan!$C$39="",0,Aturan!$C$39),"Kurang",IF(F211&gt;=IF(Aturan!$D$39="",Aturan!$C$39,Aturan!$D$39),"Nyaman","Cukup")))))</f>
        <v>Kurang</v>
      </c>
      <c r="O211" s="70" t="str">
        <f aca="false">IF($A211="","",IF(AND(Aturan!$C$40="",Aturan!$D$40=""),"Tidak dinilai",IF(G211="","Belum ada data",IF(G211&lt;IF(Aturan!$C$40="",0,Aturan!$C$40),"Kurang",IF(G211&gt;=IF(Aturan!$D$40="",Aturan!$C$40,Aturan!$D$40),"Nyaman","Cukup")))))</f>
        <v>Cukup</v>
      </c>
      <c r="P211" s="70" t="str">
        <f aca="false">IF($A211="","",IF(AND(Aturan!$C$41="",Aturan!$D$41=""),"Tidak dinilai",IF(H211="","Belum ada data",IF(H211&lt;IF(Aturan!$C$41="",0,Aturan!$C$41),"Kurang",IF(H211&gt;=IF(Aturan!$D$41="",Aturan!$C$41,Aturan!$D$41),"Nyaman","Cukup")))))</f>
        <v>Tidak dinilai</v>
      </c>
      <c r="Q211" s="70" t="str">
        <f aca="false">IF($A211="","",IF(COUNTIF(K211:P211,"Tidak dinilai")=6,"Tidak dinilai",IF(COUNTIF(K211:P211,"Kurang")&gt;0,"Kurang cocok",IF(COUNTIF(K211:P211,"Belum ada data")&gt;0,"Data belum lengkap",IF(COUNTIF(K211:P211,"Cukup")&gt;0,"Bisa, dengan catatan","Cocok")))))</f>
        <v>Kurang cocok</v>
      </c>
      <c r="R211" s="33" t="str">
        <f aca="false">IF($A211="","",IF(K211="Kurang","prosesor tingkat "&amp;C211&amp;" dari 5, di bawah batas minimal (tingkat "&amp;Aturan!$C$36&amp;")",IF(K211="Cukup","prosesor tingkat "&amp;C211&amp;" dari 5 cukup, nyamannya mulai tingkat "&amp;Aturan!$D$36,IF(K211="Belum ada data","tingkat prosesor belum diisi",""))))</f>
        <v>prosesor tingkat 1 dari 5, di bawah batas minimal (tingkat 2)</v>
      </c>
      <c r="S211" s="33" t="str">
        <f aca="false">IF($A211="","",IF(L211="Kurang","grafis tingkat "&amp;D211&amp;" dari 5, di bawah batas minimal (tingkat "&amp;Aturan!$C$37&amp;")",IF(L211="Cukup","grafis tingkat "&amp;D211&amp;" dari 5 cukup, nyamannya mulai tingkat "&amp;Aturan!$D$37,IF(L211="Belum ada data","tingkat grafis belum diisi",""))))</f>
        <v>grafis tingkat 1 dari 5 cukup, nyamannya mulai tingkat 2</v>
      </c>
      <c r="T211" s="33" t="str">
        <f aca="false">IF($A211="","",IF(M211="Kurang","RAM "&amp;E211&amp;" GB, di bawah batas minimal "&amp;Aturan!$C$38&amp;" GB ("&amp;I211&amp;")",IF(M211="Cukup","RAM "&amp;E211&amp;" GB cukup, nyamannya "&amp;Aturan!$D$38&amp;" GB atau lebih ("&amp;I211&amp;")",IF(M211="Belum ada data","ukuran RAM belum diisi",""))))</f>
        <v>RAM 4 GB, di bawah batas minimal 8 GB (menempel di papan utama, tidak bisa ditambah)</v>
      </c>
      <c r="U211" s="33" t="str">
        <f aca="false">IF($A211="","",IF(N211="Kurang","penyimpanan "&amp;F211&amp;" GB, di bawah batas minimal "&amp;Aturan!$C$39&amp;" GB ("&amp;J211&amp;")",IF(N211="Cukup","penyimpanan "&amp;F211&amp;" GB cukup, nyamannya "&amp;Aturan!$D$39&amp;" GB atau lebih ("&amp;J211&amp;")",IF(N211="Belum ada data","ukuran penyimpanan belum diisi",""))))</f>
        <v>penyimpanan 32 GB, di bawah batas minimal 256 GB (menempel, tidak bisa diganti)</v>
      </c>
      <c r="V211" s="33" t="str">
        <f aca="false">IF($A211="","",IF(O211="Kurang","layar "&amp;Varian!$AG46&amp;", di bawah batas minimal ("&amp;IFERROR(INDEX(Aturan!$A$63:$A$66,MATCH(Aturan!$C$40,Aturan!$B$63:$B$66,0)),"peringkat "&amp;Aturan!$C$40)&amp;")",IF(O211="Cukup","layar "&amp;Varian!$AG46&amp;" cukup, nyamannya "&amp;IFERROR(INDEX(Aturan!$A$63:$A$66,MATCH(Aturan!$D$40,Aturan!$B$63:$B$66,0)),"peringkat "&amp;Aturan!$D$40),IF(O211="Belum ada data","jenis layar belum diketahui",""))))</f>
        <v>layar IPS cukup, nyamannya OLED</v>
      </c>
      <c r="W211" s="33" t="str">
        <f aca="false">IF($A211="","",IF(P211="Kurang","layar "&amp;H211&amp;" Hz, di bawah batas minimal "&amp;Aturan!$C$41&amp;" Hz",IF(P211="Cukup","layar "&amp;H211&amp;" Hz cukup, nyamannya "&amp;Aturan!$D$41&amp;" Hz atau lebih",IF(P211="Belum ada data","refresh rate belum diketahui",""))))</f>
        <v/>
      </c>
      <c r="X211" s="33" t="str">
        <f aca="false">IF($A211="","",IF(K211="Kurang",R211&amp;"; ","")&amp;IF(L211="Kurang",S211&amp;"; ","")&amp;IF(M211="Kurang",T211&amp;"; ","")&amp;IF(N211="Kurang",U211&amp;"; ","")&amp;IF(O211="Kurang",V211&amp;"; ","")&amp;IF(P211="Kurang",W211&amp;"; ","")&amp;IF(K211="Belum ada data",R211&amp;"; ","")&amp;IF(L211="Belum ada data",S211&amp;"; ","")&amp;IF(M211="Belum ada data",T211&amp;"; ","")&amp;IF(N211="Belum ada data",U211&amp;"; ","")&amp;IF(O211="Belum ada data",V211&amp;"; ","")&amp;IF(P211="Belum ada data",W211&amp;"; ","")&amp;IF(K211="Cukup",R211&amp;"; ","")&amp;IF(L211="Cukup",S211&amp;"; ","")&amp;IF(M211="Cukup",T211&amp;"; ","")&amp;IF(N211="Cukup",U211&amp;"; ","")&amp;IF(O211="Cukup",V211&amp;"; ","")&amp;IF(P211="Cukup",W211&amp;"; ",""))</f>
        <v>prosesor tingkat 1 dari 5, di bawah batas minimal (tingkat 2); RAM 4 GB, di bawah batas minimal 8 GB (menempel di papan utama, tidak bisa ditambah); penyimpanan 32 GB, di bawah batas minimal 256 GB (menempel, tidak bisa diganti); grafis tingkat 1 dari 5 cukup, nyamannya mulai tingkat 2; layar IPS cukup, nyamannya OLED; </v>
      </c>
      <c r="Y211" s="33" t="str">
        <f aca="false">IF($A211="","",IF(K211="Nyaman","prosesor, ","")&amp;IF(L211="Nyaman","grafis, ","")&amp;IF(M211="Nyaman","RAM, ","")&amp;IF(N211="Nyaman","penyimpanan, ","")&amp;IF(O211="Nyaman","layar, ","")&amp;IF(P211="Nyaman","refresh rate, ",""))</f>
        <v/>
      </c>
      <c r="Z211" s="33" t="str">
        <f aca="false">IF($A211="","",IF(Q211="Tidak dinilai","Belum ada kriteria yang dinilai untuk kebutuhan ini.",IF(Q211="Cocok","Semua kriteria yang dinilai sudah nyaman: "&amp;LEFT(Y211,LEN(Y211)-2)&amp;".",UPPER(LEFT(X211,1))&amp;MID(X211,2,LEN(X211)-3)&amp;"."&amp;IF(Y211="",""," Sudah nyaman: "&amp;LEFT(Y211,LEN(Y211)-2)&amp;"."))))</f>
        <v>Prosesor tingkat 1 dari 5, di bawah batas minimal (tingkat 2); RAM 4 GB, di bawah batas minimal 8 GB (menempel di papan utama, tidak bisa ditambah); penyimpanan 32 GB, di bawah batas minimal 256 GB (menempel, tidak bisa diganti); grafis tingkat 1 dari 5 cukup, nyamannya mulai tingkat 2; layar IPS cukup, nyamannya OLED.</v>
      </c>
      <c r="AA211" s="33"/>
      <c r="AB211" s="33"/>
      <c r="AC211" s="69"/>
    </row>
    <row r="212" customFormat="false" ht="15" hidden="false" customHeight="true" outlineLevel="0" collapsed="false">
      <c r="A212" s="33" t="str">
        <f aca="false">IF(Varian!$A46="","",Varian!$A46)</f>
        <v>acer-chromebook-311-c733t-n4020-4-32</v>
      </c>
      <c r="B212" s="33" t="str">
        <f aca="false">IF($A212="","",Aturan!$A$23)</f>
        <v>Pemrograman</v>
      </c>
      <c r="C212" s="69" t="n">
        <f aca="false">IF($A212="","",IFERROR(IF(ISNUMBER(INDEX(CPU!$J$4:$J$64,MATCH(Varian!$J46,CPU!$A$4:$A$64,0))),INDEX(CPU!$J$4:$J$64,MATCH(Varian!$J46,CPU!$A$4:$A$64,0)),""),""))</f>
        <v>1</v>
      </c>
      <c r="D212" s="69" t="n">
        <f aca="false">IF($A212="","",IFERROR(IF(ISNUMBER(INDEX(GPU!$G$4:$G$64,MATCH(Varian!$K46,GPU!$A$4:$A$64,0))),INDEX(GPU!$G$4:$G$64,MATCH(Varian!$K46,GPU!$A$4:$A$64,0)),""),""))</f>
        <v>1</v>
      </c>
      <c r="E212" s="69" t="n">
        <f aca="false">IF($A212="","",IF(ISNUMBER(Varian!$M46),Varian!$M46,""))</f>
        <v>4</v>
      </c>
      <c r="F212" s="69" t="n">
        <f aca="false">IF($A212="","",IF(ISNUMBER(Varian!$V46),Varian!$V46,""))</f>
        <v>32</v>
      </c>
      <c r="G212" s="69" t="n">
        <f aca="false">IF($A212="","",IFERROR(INDEX(Aturan!$B$63:$B$66,MATCH(Varian!$AG46,Aturan!$A$63:$A$66,0)),""))</f>
        <v>3</v>
      </c>
      <c r="H212" s="69" t="str">
        <f aca="false">IF($A212="","",IF(ISNUMBER(Varian!$AI46),Varian!$AI46,""))</f>
        <v/>
      </c>
      <c r="I212" s="33" t="str">
        <f aca="false">IF($A212="","",IF(Varian!$Q46="disolder","menempel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menempel di papan utama, tidak bisa ditambah</v>
      </c>
      <c r="J212" s="33" t="str">
        <f aca="false">IF($A212="","",IF(Varian!$Z46="ya","bisa diganti dengan yang lebih besar",IF(Varian!$Z46="tidak","menempel, tidak bisa diganti","belum diketahui apakah bisa diganti")))</f>
        <v>menempel, tidak bisa diganti</v>
      </c>
      <c r="K212" s="70" t="str">
        <f aca="false">IF($A212="","",IF(AND(Aturan!$C$42="",Aturan!$D$42=""),"Tidak dinilai",IF(C212="","Belum ada data",IF(C212&lt;IF(Aturan!$C$42="",0,Aturan!$C$42),"Kurang",IF(C212&gt;=IF(Aturan!$D$42="",Aturan!$C$42,Aturan!$D$42),"Nyaman","Cukup")))))</f>
        <v>Kurang</v>
      </c>
      <c r="L212" s="70" t="str">
        <f aca="false">IF($A212="","",IF(AND(Aturan!$C$43="",Aturan!$D$43=""),"Tidak dinilai",IF(D212="","Belum ada data",IF(D212&lt;IF(Aturan!$C$43="",0,Aturan!$C$43),"Kurang",IF(D212&gt;=IF(Aturan!$D$43="",Aturan!$C$43,Aturan!$D$43),"Nyaman","Cukup")))))</f>
        <v>Tidak dinilai</v>
      </c>
      <c r="M212" s="70" t="str">
        <f aca="false">IF($A212="","",IF(AND(Aturan!$C$44="",Aturan!$D$44=""),"Tidak dinilai",IF(E212="","Belum ada data",IF(E212&lt;IF(Aturan!$C$44="",0,Aturan!$C$44),"Kurang",IF(E212&gt;=IF(Aturan!$D$44="",Aturan!$C$44,Aturan!$D$44),"Nyaman","Cukup")))))</f>
        <v>Kurang</v>
      </c>
      <c r="N212" s="70" t="str">
        <f aca="false">IF($A212="","",IF(AND(Aturan!$C$45="",Aturan!$D$45=""),"Tidak dinilai",IF(F212="","Belum ada data",IF(F212&lt;IF(Aturan!$C$45="",0,Aturan!$C$45),"Kurang",IF(F212&gt;=IF(Aturan!$D$45="",Aturan!$C$45,Aturan!$D$45),"Nyaman","Cukup")))))</f>
        <v>Kurang</v>
      </c>
      <c r="O212" s="70" t="str">
        <f aca="false">IF($A212="","",IF(AND(Aturan!$C$46="",Aturan!$D$46=""),"Tidak dinilai",IF(G212="","Belum ada data",IF(G212&lt;IF(Aturan!$C$46="",0,Aturan!$C$46),"Kurang",IF(G212&gt;=IF(Aturan!$D$46="",Aturan!$C$46,Aturan!$D$46),"Nyaman","Cukup")))))</f>
        <v>Tidak dinilai</v>
      </c>
      <c r="P212" s="70" t="str">
        <f aca="false">IF($A212="","",IF(AND(Aturan!$C$47="",Aturan!$D$47=""),"Tidak dinilai",IF(H212="","Belum ada data",IF(H212&lt;IF(Aturan!$C$47="",0,Aturan!$C$47),"Kurang",IF(H212&gt;=IF(Aturan!$D$47="",Aturan!$C$47,Aturan!$D$47),"Nyaman","Cukup")))))</f>
        <v>Tidak dinilai</v>
      </c>
      <c r="Q212" s="70" t="str">
        <f aca="false">IF($A212="","",IF(COUNTIF(K212:P212,"Tidak dinilai")=6,"Tidak dinilai",IF(COUNTIF(K212:P212,"Kurang")&gt;0,"Kurang cocok",IF(COUNTIF(K212:P212,"Belum ada data")&gt;0,"Data belum lengkap",IF(COUNTIF(K212:P212,"Cukup")&gt;0,"Bisa, dengan catatan","Cocok")))))</f>
        <v>Kurang cocok</v>
      </c>
      <c r="R212" s="33" t="str">
        <f aca="false">IF($A212="","",IF(K212="Kurang","prosesor tingkat "&amp;C212&amp;" dari 5, di bawah batas minimal (tingkat "&amp;Aturan!$C$42&amp;")",IF(K212="Cukup","prosesor tingkat "&amp;C212&amp;" dari 5 cukup, nyamannya mulai tingkat "&amp;Aturan!$D$42,IF(K212="Belum ada data","tingkat prosesor belum diisi",""))))</f>
        <v>prosesor tingkat 1 dari 5, di bawah batas minimal (tingkat 2)</v>
      </c>
      <c r="S212" s="33" t="str">
        <f aca="false">IF($A212="","",IF(L212="Kurang","grafis tingkat "&amp;D212&amp;" dari 5, di bawah batas minimal (tingkat "&amp;Aturan!$C$43&amp;")",IF(L212="Cukup","grafis tingkat "&amp;D212&amp;" dari 5 cukup, nyamannya mulai tingkat "&amp;Aturan!$D$43,IF(L212="Belum ada data","tingkat grafis belum diisi",""))))</f>
        <v/>
      </c>
      <c r="T212" s="33" t="str">
        <f aca="false">IF($A212="","",IF(M212="Kurang","RAM "&amp;E212&amp;" GB, di bawah batas minimal "&amp;Aturan!$C$44&amp;" GB ("&amp;I212&amp;")",IF(M212="Cukup","RAM "&amp;E212&amp;" GB cukup, nyamannya "&amp;Aturan!$D$44&amp;" GB atau lebih ("&amp;I212&amp;")",IF(M212="Belum ada data","ukuran RAM belum diisi",""))))</f>
        <v>RAM 4 GB, di bawah batas minimal 8 GB (menempel di papan utama, tidak bisa ditambah)</v>
      </c>
      <c r="U212" s="33" t="str">
        <f aca="false">IF($A212="","",IF(N212="Kurang","penyimpanan "&amp;F212&amp;" GB, di bawah batas minimal "&amp;Aturan!$C$45&amp;" GB ("&amp;J212&amp;")",IF(N212="Cukup","penyimpanan "&amp;F212&amp;" GB cukup, nyamannya "&amp;Aturan!$D$45&amp;" GB atau lebih ("&amp;J212&amp;")",IF(N212="Belum ada data","ukuran penyimpanan belum diisi",""))))</f>
        <v>penyimpanan 32 GB, di bawah batas minimal 256 GB (menempel, tidak bisa diganti)</v>
      </c>
      <c r="V212" s="33" t="str">
        <f aca="false">IF($A212="","",IF(O212="Kurang","layar "&amp;Varian!$AG46&amp;", di bawah batas minimal ("&amp;IFERROR(INDEX(Aturan!$A$63:$A$66,MATCH(Aturan!$C$46,Aturan!$B$63:$B$66,0)),"peringkat "&amp;Aturan!$C$46)&amp;")",IF(O212="Cukup","layar "&amp;Varian!$AG46&amp;" cukup, nyamannya "&amp;IFERROR(INDEX(Aturan!$A$63:$A$66,MATCH(Aturan!$D$46,Aturan!$B$63:$B$66,0)),"peringkat "&amp;Aturan!$D$46),IF(O212="Belum ada data","jenis layar belum diketahui",""))))</f>
        <v/>
      </c>
      <c r="W212" s="33" t="str">
        <f aca="false">IF($A212="","",IF(P212="Kurang","layar "&amp;H212&amp;" Hz, di bawah batas minimal "&amp;Aturan!$C$47&amp;" Hz",IF(P212="Cukup","layar "&amp;H212&amp;" Hz cukup, nyamannya "&amp;Aturan!$D$47&amp;" Hz atau lebih",IF(P212="Belum ada data","refresh rate belum diketahui",""))))</f>
        <v/>
      </c>
      <c r="X212" s="33" t="str">
        <f aca="false">IF($A212="","",IF(K212="Kurang",R212&amp;"; ","")&amp;IF(L212="Kurang",S212&amp;"; ","")&amp;IF(M212="Kurang",T212&amp;"; ","")&amp;IF(N212="Kurang",U212&amp;"; ","")&amp;IF(O212="Kurang",V212&amp;"; ","")&amp;IF(P212="Kurang",W212&amp;"; ","")&amp;IF(K212="Belum ada data",R212&amp;"; ","")&amp;IF(L212="Belum ada data",S212&amp;"; ","")&amp;IF(M212="Belum ada data",T212&amp;"; ","")&amp;IF(N212="Belum ada data",U212&amp;"; ","")&amp;IF(O212="Belum ada data",V212&amp;"; ","")&amp;IF(P212="Belum ada data",W212&amp;"; ","")&amp;IF(K212="Cukup",R212&amp;"; ","")&amp;IF(L212="Cukup",S212&amp;"; ","")&amp;IF(M212="Cukup",T212&amp;"; ","")&amp;IF(N212="Cukup",U212&amp;"; ","")&amp;IF(O212="Cukup",V212&amp;"; ","")&amp;IF(P212="Cukup",W212&amp;"; ",""))</f>
        <v>prosesor tingkat 1 dari 5, di bawah batas minimal (tingkat 2); RAM 4 GB, di bawah batas minimal 8 GB (menempel di papan utama, tidak bisa ditambah); penyimpanan 32 GB, di bawah batas minimal 256 GB (menempel, tidak bisa diganti); </v>
      </c>
      <c r="Y212" s="33" t="str">
        <f aca="false">IF($A212="","",IF(K212="Nyaman","prosesor, ","")&amp;IF(L212="Nyaman","grafis, ","")&amp;IF(M212="Nyaman","RAM, ","")&amp;IF(N212="Nyaman","penyimpanan, ","")&amp;IF(O212="Nyaman","layar, ","")&amp;IF(P212="Nyaman","refresh rate, ",""))</f>
        <v/>
      </c>
      <c r="Z212" s="33" t="str">
        <f aca="false">IF($A212="","",IF(Q212="Tidak dinilai","Belum ada kriteria yang dinilai untuk kebutuhan ini.",IF(Q212="Cocok","Semua kriteria yang dinilai sudah nyaman: "&amp;LEFT(Y212,LEN(Y212)-2)&amp;".",UPPER(LEFT(X212,1))&amp;MID(X212,2,LEN(X212)-3)&amp;"."&amp;IF(Y212="",""," Sudah nyaman: "&amp;LEFT(Y212,LEN(Y212)-2)&amp;"."))))</f>
        <v>Prosesor tingkat 1 dari 5, di bawah batas minimal (tingkat 2); RAM 4 GB, di bawah batas minimal 8 GB (menempel di papan utama, tidak bisa ditambah); penyimpanan 32 GB, di bawah batas minimal 256 GB (menempel, tidak bisa diganti).</v>
      </c>
      <c r="AA212" s="33"/>
      <c r="AB212" s="33"/>
      <c r="AC212" s="69"/>
    </row>
    <row r="213" customFormat="false" ht="15" hidden="false" customHeight="true" outlineLevel="0" collapsed="false">
      <c r="A213" s="33" t="str">
        <f aca="false">IF(Varian!$A46="","",Varian!$A46)</f>
        <v>acer-chromebook-311-c733t-n4020-4-32</v>
      </c>
      <c r="B213" s="33" t="str">
        <f aca="false">IF($A213="","",Aturan!$A$24)</f>
        <v>Game ringan</v>
      </c>
      <c r="C213" s="69" t="n">
        <f aca="false">IF($A213="","",IFERROR(IF(ISNUMBER(INDEX(CPU!$J$4:$J$64,MATCH(Varian!$J46,CPU!$A$4:$A$64,0))),INDEX(CPU!$J$4:$J$64,MATCH(Varian!$J46,CPU!$A$4:$A$64,0)),""),""))</f>
        <v>1</v>
      </c>
      <c r="D213" s="69" t="n">
        <f aca="false">IF($A213="","",IFERROR(IF(ISNUMBER(INDEX(GPU!$G$4:$G$64,MATCH(Varian!$K46,GPU!$A$4:$A$64,0))),INDEX(GPU!$G$4:$G$64,MATCH(Varian!$K46,GPU!$A$4:$A$64,0)),""),""))</f>
        <v>1</v>
      </c>
      <c r="E213" s="69" t="n">
        <f aca="false">IF($A213="","",IF(ISNUMBER(Varian!$M46),Varian!$M46,""))</f>
        <v>4</v>
      </c>
      <c r="F213" s="69" t="n">
        <f aca="false">IF($A213="","",IF(ISNUMBER(Varian!$V46),Varian!$V46,""))</f>
        <v>32</v>
      </c>
      <c r="G213" s="69" t="n">
        <f aca="false">IF($A213="","",IFERROR(INDEX(Aturan!$B$63:$B$66,MATCH(Varian!$AG46,Aturan!$A$63:$A$66,0)),""))</f>
        <v>3</v>
      </c>
      <c r="H213" s="69" t="str">
        <f aca="false">IF($A213="","",IF(ISNUMBER(Varian!$AI46),Varian!$AI46,""))</f>
        <v/>
      </c>
      <c r="I213" s="33" t="str">
        <f aca="false">IF($A213="","",IF(Varian!$Q46="disolder","menempel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menempel di papan utama, tidak bisa ditambah</v>
      </c>
      <c r="J213" s="33" t="str">
        <f aca="false">IF($A213="","",IF(Varian!$Z46="ya","bisa diganti dengan yang lebih besar",IF(Varian!$Z46="tidak","menempel, tidak bisa diganti","belum diketahui apakah bisa diganti")))</f>
        <v>menempel, tidak bisa diganti</v>
      </c>
      <c r="K213" s="70" t="str">
        <f aca="false">IF($A213="","",IF(AND(Aturan!$C$48="",Aturan!$D$48=""),"Tidak dinilai",IF(C213="","Belum ada data",IF(C213&lt;IF(Aturan!$C$48="",0,Aturan!$C$48),"Kurang",IF(C213&gt;=IF(Aturan!$D$48="",Aturan!$C$48,Aturan!$D$48),"Nyaman","Cukup")))))</f>
        <v>Kurang</v>
      </c>
      <c r="L213" s="70" t="str">
        <f aca="false">IF($A213="","",IF(AND(Aturan!$C$49="",Aturan!$D$49=""),"Tidak dinilai",IF(D213="","Belum ada data",IF(D213&lt;IF(Aturan!$C$49="",0,Aturan!$C$49),"Kurang",IF(D213&gt;=IF(Aturan!$D$49="",Aturan!$C$49,Aturan!$D$49),"Nyaman","Cukup")))))</f>
        <v>Cukup</v>
      </c>
      <c r="M213" s="70" t="str">
        <f aca="false">IF($A213="","",IF(AND(Aturan!$C$50="",Aturan!$D$50=""),"Tidak dinilai",IF(E213="","Belum ada data",IF(E213&lt;IF(Aturan!$C$50="",0,Aturan!$C$50),"Kurang",IF(E213&gt;=IF(Aturan!$D$50="",Aturan!$C$50,Aturan!$D$50),"Nyaman","Cukup")))))</f>
        <v>Cukup</v>
      </c>
      <c r="N213" s="70" t="str">
        <f aca="false">IF($A213="","",IF(AND(Aturan!$C$51="",Aturan!$D$51=""),"Tidak dinilai",IF(F213="","Belum ada data",IF(F213&lt;IF(Aturan!$C$51="",0,Aturan!$C$51),"Kurang",IF(F213&gt;=IF(Aturan!$D$51="",Aturan!$C$51,Aturan!$D$51),"Nyaman","Cukup")))))</f>
        <v>Kurang</v>
      </c>
      <c r="O213" s="70" t="str">
        <f aca="false">IF($A213="","",IF(AND(Aturan!$C$52="",Aturan!$D$52=""),"Tidak dinilai",IF(G213="","Belum ada data",IF(G213&lt;IF(Aturan!$C$52="",0,Aturan!$C$52),"Kurang",IF(G213&gt;=IF(Aturan!$D$52="",Aturan!$C$52,Aturan!$D$52),"Nyaman","Cukup")))))</f>
        <v>Tidak dinilai</v>
      </c>
      <c r="P213" s="70" t="str">
        <f aca="false">IF($A213="","",IF(AND(Aturan!$C$53="",Aturan!$D$53=""),"Tidak dinilai",IF(H213="","Belum ada data",IF(H213&lt;IF(Aturan!$C$53="",0,Aturan!$C$53),"Kurang",IF(H213&gt;=IF(Aturan!$D$53="",Aturan!$C$53,Aturan!$D$53),"Nyaman","Cukup")))))</f>
        <v>Tidak dinilai</v>
      </c>
      <c r="Q213" s="70" t="str">
        <f aca="false">IF($A213="","",IF(COUNTIF(K213:P213,"Tidak dinilai")=6,"Tidak dinilai",IF(COUNTIF(K213:P213,"Kurang")&gt;0,"Kurang cocok",IF(COUNTIF(K213:P213,"Belum ada data")&gt;0,"Data belum lengkap",IF(COUNTIF(K213:P213,"Cukup")&gt;0,"Bisa, dengan catatan","Cocok")))))</f>
        <v>Kurang cocok</v>
      </c>
      <c r="R213" s="33" t="str">
        <f aca="false">IF($A213="","",IF(K213="Kurang","prosesor tingkat "&amp;C213&amp;" dari 5, di bawah batas minimal (tingkat "&amp;Aturan!$C$48&amp;")",IF(K213="Cukup","prosesor tingkat "&amp;C213&amp;" dari 5 cukup, nyamannya mulai tingkat "&amp;Aturan!$D$48,IF(K213="Belum ada data","tingkat prosesor belum diisi",""))))</f>
        <v>prosesor tingkat 1 dari 5, di bawah batas minimal (tingkat 2)</v>
      </c>
      <c r="S213" s="33" t="str">
        <f aca="false">IF($A213="","",IF(L213="Kurang","grafis tingkat "&amp;D213&amp;" dari 5, di bawah batas minimal (tingkat "&amp;Aturan!$C$49&amp;")",IF(L213="Cukup","grafis tingkat "&amp;D213&amp;" dari 5 cukup, nyamannya mulai tingkat "&amp;Aturan!$D$49,IF(L213="Belum ada data","tingkat grafis belum diisi",""))))</f>
        <v>grafis tingkat 1 dari 5 cukup, nyamannya mulai tingkat 2</v>
      </c>
      <c r="T213" s="33" t="str">
        <f aca="false">IF($A213="","",IF(M213="Kurang","RAM "&amp;E213&amp;" GB, di bawah batas minimal "&amp;Aturan!$C$50&amp;" GB ("&amp;I213&amp;")",IF(M213="Cukup","RAM "&amp;E213&amp;" GB cukup, nyamannya "&amp;Aturan!$D$50&amp;" GB atau lebih ("&amp;I213&amp;")",IF(M213="Belum ada data","ukuran RAM belum diisi",""))))</f>
        <v>RAM 4 GB cukup, nyamannya 8 GB atau lebih (menempel di papan utama, tidak bisa ditambah)</v>
      </c>
      <c r="U213" s="33" t="str">
        <f aca="false">IF($A213="","",IF(N213="Kurang","penyimpanan "&amp;F213&amp;" GB, di bawah batas minimal "&amp;Aturan!$C$51&amp;" GB ("&amp;J213&amp;")",IF(N213="Cukup","penyimpanan "&amp;F213&amp;" GB cukup, nyamannya "&amp;Aturan!$D$51&amp;" GB atau lebih ("&amp;J213&amp;")",IF(N213="Belum ada data","ukuran penyimpanan belum diisi",""))))</f>
        <v>penyimpanan 32 GB, di bawah batas minimal 128 GB (menempel, tidak bisa diganti)</v>
      </c>
      <c r="V213" s="33" t="str">
        <f aca="false">IF($A213="","",IF(O213="Kurang","layar "&amp;Varian!$AG46&amp;", di bawah batas minimal ("&amp;IFERROR(INDEX(Aturan!$A$63:$A$66,MATCH(Aturan!$C$52,Aturan!$B$63:$B$66,0)),"peringkat "&amp;Aturan!$C$52)&amp;")",IF(O213="Cukup","layar "&amp;Varian!$AG46&amp;" cukup, nyamannya "&amp;IFERROR(INDEX(Aturan!$A$63:$A$66,MATCH(Aturan!$D$52,Aturan!$B$63:$B$66,0)),"peringkat "&amp;Aturan!$D$52),IF(O213="Belum ada data","jenis layar belum diketahui",""))))</f>
        <v/>
      </c>
      <c r="W213" s="33" t="str">
        <f aca="false">IF($A213="","",IF(P213="Kurang","layar "&amp;H213&amp;" Hz, di bawah batas minimal "&amp;Aturan!$C$53&amp;" Hz",IF(P213="Cukup","layar "&amp;H213&amp;" Hz cukup, nyamannya "&amp;Aturan!$D$53&amp;" Hz atau lebih",IF(P213="Belum ada data","refresh rate belum diketahui",""))))</f>
        <v/>
      </c>
      <c r="X213" s="33" t="str">
        <f aca="false">IF($A213="","",IF(K213="Kurang",R213&amp;"; ","")&amp;IF(L213="Kurang",S213&amp;"; ","")&amp;IF(M213="Kurang",T213&amp;"; ","")&amp;IF(N213="Kurang",U213&amp;"; ","")&amp;IF(O213="Kurang",V213&amp;"; ","")&amp;IF(P213="Kurang",W213&amp;"; ","")&amp;IF(K213="Belum ada data",R213&amp;"; ","")&amp;IF(L213="Belum ada data",S213&amp;"; ","")&amp;IF(M213="Belum ada data",T213&amp;"; ","")&amp;IF(N213="Belum ada data",U213&amp;"; ","")&amp;IF(O213="Belum ada data",V213&amp;"; ","")&amp;IF(P213="Belum ada data",W213&amp;"; ","")&amp;IF(K213="Cukup",R213&amp;"; ","")&amp;IF(L213="Cukup",S213&amp;"; ","")&amp;IF(M213="Cukup",T213&amp;"; ","")&amp;IF(N213="Cukup",U213&amp;"; ","")&amp;IF(O213="Cukup",V213&amp;"; ","")&amp;IF(P213="Cukup",W213&amp;"; ",""))</f>
        <v>prosesor tingkat 1 dari 5, di bawah batas minimal (tingkat 2); penyimpanan 32 GB, di bawah batas minimal 128 GB (menempel, tidak bisa diganti); grafis tingkat 1 dari 5 cukup, nyamannya mulai tingkat 2; RAM 4 GB cukup, nyamannya 8 GB atau lebih (menempel di papan utama, tidak bisa ditambah); </v>
      </c>
      <c r="Y213" s="33" t="str">
        <f aca="false">IF($A213="","",IF(K213="Nyaman","prosesor, ","")&amp;IF(L213="Nyaman","grafis, ","")&amp;IF(M213="Nyaman","RAM, ","")&amp;IF(N213="Nyaman","penyimpanan, ","")&amp;IF(O213="Nyaman","layar, ","")&amp;IF(P213="Nyaman","refresh rate, ",""))</f>
        <v/>
      </c>
      <c r="Z213" s="33" t="str">
        <f aca="false">IF($A213="","",IF(Q213="Tidak dinilai","Belum ada kriteria yang dinilai untuk kebutuhan ini.",IF(Q213="Cocok","Semua kriteria yang dinilai sudah nyaman: "&amp;LEFT(Y213,LEN(Y213)-2)&amp;".",UPPER(LEFT(X213,1))&amp;MID(X213,2,LEN(X213)-3)&amp;"."&amp;IF(Y213="",""," Sudah nyaman: "&amp;LEFT(Y213,LEN(Y213)-2)&amp;"."))))</f>
        <v>Prosesor tingkat 1 dari 5, di bawah batas minimal (tingkat 2); penyimpanan 32 GB, di bawah batas minimal 128 GB (menempel, tidak bisa diganti); grafis tingkat 1 dari 5 cukup, nyamannya mulai tingkat 2; RAM 4 GB cukup, nyamannya 8 GB atau lebih (menempel di papan utama, tidak bisa ditambah).</v>
      </c>
      <c r="AA213" s="33"/>
      <c r="AB213" s="33"/>
      <c r="AC213" s="69"/>
    </row>
    <row r="214" customFormat="false" ht="15" hidden="false" customHeight="true" outlineLevel="0" collapsed="false">
      <c r="A214" s="33" t="str">
        <f aca="false">IF(Varian!$A46="","",Varian!$A46)</f>
        <v>acer-chromebook-311-c733t-n4020-4-32</v>
      </c>
      <c r="B214" s="33" t="str">
        <f aca="false">IF($A214="","",Aturan!$A$25)</f>
        <v>Game berat</v>
      </c>
      <c r="C214" s="69" t="n">
        <f aca="false">IF($A214="","",IFERROR(IF(ISNUMBER(INDEX(CPU!$J$4:$J$64,MATCH(Varian!$J46,CPU!$A$4:$A$64,0))),INDEX(CPU!$J$4:$J$64,MATCH(Varian!$J46,CPU!$A$4:$A$64,0)),""),""))</f>
        <v>1</v>
      </c>
      <c r="D214" s="69" t="n">
        <f aca="false">IF($A214="","",IFERROR(IF(ISNUMBER(INDEX(GPU!$G$4:$G$64,MATCH(Varian!$K46,GPU!$A$4:$A$64,0))),INDEX(GPU!$G$4:$G$64,MATCH(Varian!$K46,GPU!$A$4:$A$64,0)),""),""))</f>
        <v>1</v>
      </c>
      <c r="E214" s="69" t="n">
        <f aca="false">IF($A214="","",IF(ISNUMBER(Varian!$M46),Varian!$M46,""))</f>
        <v>4</v>
      </c>
      <c r="F214" s="69" t="n">
        <f aca="false">IF($A214="","",IF(ISNUMBER(Varian!$V46),Varian!$V46,""))</f>
        <v>32</v>
      </c>
      <c r="G214" s="69" t="n">
        <f aca="false">IF($A214="","",IFERROR(INDEX(Aturan!$B$63:$B$66,MATCH(Varian!$AG46,Aturan!$A$63:$A$66,0)),""))</f>
        <v>3</v>
      </c>
      <c r="H214" s="69" t="str">
        <f aca="false">IF($A214="","",IF(ISNUMBER(Varian!$AI46),Varian!$AI46,""))</f>
        <v/>
      </c>
      <c r="I214" s="33" t="str">
        <f aca="false">IF($A214="","",IF(Varian!$Q46="disolder","menempel di papan utama, tidak bisa ditambah",IF(OR(Varian!$Q46="slot",Varian!$Q46="setengah_disolder"),IF(Varian!$Q46="setengah_disolder","sebagian menempel, ","")&amp;IF(ISNUMBER(Varian!$U46),IF(AND(ISNUMBER(Varian!$M46),Varian!$U46&gt;Varian!$M46),"bisa dinaikkan lewat slot sampai "&amp;Varian!$U46&amp;" GB","sudah di batas maksimal "&amp;Varian!$U46&amp;" GB"),"ada slot, batas maksimalnya belum diketahui"),"belum diketahui apakah bisa ditambah")))</f>
        <v>menempel di papan utama, tidak bisa ditambah</v>
      </c>
      <c r="J214" s="33" t="str">
        <f aca="false">IF($A214="","",IF(Varian!$Z46="ya","bisa diganti dengan yang lebih besar",IF(Varian!$Z46="tidak","menempel, tidak bisa diganti","belum diketahui apakah bisa diganti")))</f>
        <v>menempel, tidak bisa diganti</v>
      </c>
      <c r="K214" s="70" t="str">
        <f aca="false">IF($A214="","",IF(AND(Aturan!$C$54="",Aturan!$D$54=""),"Tidak dinilai",IF(C214="","Belum ada data",IF(C214&lt;IF(Aturan!$C$54="",0,Aturan!$C$54),"Kurang",IF(C214&gt;=IF(Aturan!$D$54="",Aturan!$C$54,Aturan!$D$54),"Nyaman","Cukup")))))</f>
        <v>Kurang</v>
      </c>
      <c r="L214" s="70" t="str">
        <f aca="false">IF($A214="","",IF(AND(Aturan!$C$55="",Aturan!$D$55=""),"Tidak dinilai",IF(D214="","Belum ada data",IF(D214&lt;IF(Aturan!$C$55="",0,Aturan!$C$55),"Kurang",IF(D214&gt;=IF(Aturan!$D$55="",Aturan!$C$55,Aturan!$D$55),"Nyaman","Cukup")))))</f>
        <v>Kurang</v>
      </c>
      <c r="M214" s="70" t="str">
        <f aca="false">IF($A214="","",IF(AND(Aturan!$C$56="",Aturan!$D$56=""),"Tidak dinilai",IF(E214="","Belum ada data",IF(E214&lt;IF(Aturan!$C$56="",0,Aturan!$C$56),"Kurang",IF(E214&gt;=IF(Aturan!$D$56="",Aturan!$C$56,Aturan!$D$56),"Nyaman","Cukup")))))</f>
        <v>Kurang</v>
      </c>
      <c r="N214" s="70" t="str">
        <f aca="false">IF($A214="","",IF(AND(Aturan!$C$57="",Aturan!$D$57=""),"Tidak dinilai",IF(F214="","Belum ada data",IF(F214&lt;IF(Aturan!$C$57="",0,Aturan!$C$57),"Kurang",IF(F214&gt;=IF(Aturan!$D$57="",Aturan!$C$57,Aturan!$D$57),"Nyaman","Cukup")))))</f>
        <v>Kurang</v>
      </c>
      <c r="O214" s="70" t="str">
        <f aca="false">IF($A214="","",IF(AND(Aturan!$C$58="",Aturan!$D$58=""),"Tidak dinilai",IF(G214="","Belum ada data",IF(G214&lt;IF(Aturan!$C$58="",0,Aturan!$C$58),"Kurang",IF(G214&gt;=IF(Aturan!$D$58="",Aturan!$C$58,Aturan!$D$58),"Nyaman","Cukup")))))</f>
        <v>Tidak dinilai</v>
      </c>
      <c r="P214" s="70" t="str">
        <f aca="false">IF($A214="","",IF(AND(Aturan!$C$59="",Aturan!$D$59=""),"Tidak dinilai",IF(H214="","Belum ada data",IF(H214&lt;IF(Aturan!$C$59="",0,Aturan!$C$59),"Kurang",IF(H214&gt;=IF(Aturan!$D$59="",Aturan!$C$59,Aturan!$D$59),"Nyaman","Cukup")))))</f>
        <v>Belum ada data</v>
      </c>
      <c r="Q214" s="70" t="str">
        <f aca="false">IF($A214="","",IF(COUNTIF(K214:P214,"Tidak dinilai")=6,"Tidak dinilai",IF(COUNTIF(K214:P214,"Kurang")&gt;0,"Kurang cocok",IF(COUNTIF(K214:P214,"Belum ada data")&gt;0,"Data belum lengkap",IF(COUNTIF(K214:P214,"Cukup")&gt;0,"Bisa, dengan catatan","Cocok")))))</f>
        <v>Kurang cocok</v>
      </c>
      <c r="R214" s="33" t="str">
        <f aca="false">IF($A214="","",IF(K214="Kurang","prosesor tingkat "&amp;C214&amp;" dari 5, di bawah batas minimal (tingkat "&amp;Aturan!$C$54&amp;")",IF(K214="Cukup","prosesor tingkat "&amp;C214&amp;" dari 5 cukup, nyamannya mulai tingkat "&amp;Aturan!$D$54,IF(K214="Belum ada data","tingkat prosesor belum diisi",""))))</f>
        <v>prosesor tingkat 1 dari 5, di bawah batas minimal (tingkat 3)</v>
      </c>
      <c r="S214" s="33" t="str">
        <f aca="false">IF($A214="","",IF(L214="Kurang","grafis tingkat "&amp;D214&amp;" dari 5, di bawah batas minimal (tingkat "&amp;Aturan!$C$55&amp;")",IF(L214="Cukup","grafis tingkat "&amp;D214&amp;" dari 5 cukup, nyamannya mulai tingkat "&amp;Aturan!$D$55,IF(L214="Belum ada data","tingkat grafis belum diisi",""))))</f>
        <v>grafis tingkat 1 dari 5, di bawah batas minimal (tingkat 3)</v>
      </c>
      <c r="T214" s="33" t="str">
        <f aca="false">IF($A214="","",IF(M214="Kurang","RAM "&amp;E214&amp;" GB, di bawah batas minimal "&amp;Aturan!$C$56&amp;" GB ("&amp;I214&amp;")",IF(M214="Cukup","RAM "&amp;E214&amp;" GB cukup, nyamannya "&amp;Aturan!$D$56&amp;" GB atau lebih ("&amp;I214&amp;")",IF(M214="Belum ada data","ukuran RAM belum diisi",""))))</f>
        <v>RAM 4 GB, di bawah batas minimal 8 GB (menempel di papan utama, tidak bisa ditambah)</v>
      </c>
      <c r="U214" s="33" t="str">
        <f aca="false">IF($A214="","",IF(N214="Kurang","penyimpanan "&amp;F214&amp;" GB, di bawah batas minimal "&amp;Aturan!$C$57&amp;" GB ("&amp;J214&amp;")",IF(N214="Cukup","penyimpanan "&amp;F214&amp;" GB cukup, nyamannya "&amp;Aturan!$D$57&amp;" GB atau lebih ("&amp;J214&amp;")",IF(N214="Belum ada data","ukuran penyimpanan belum diisi",""))))</f>
        <v>penyimpanan 32 GB, di bawah batas minimal 512 GB (menempel, tidak bisa diganti)</v>
      </c>
      <c r="V214" s="33" t="str">
        <f aca="false">IF($A214="","",IF(O214="Kurang","layar "&amp;Varian!$AG46&amp;", di bawah batas minimal ("&amp;IFERROR(INDEX(Aturan!$A$63:$A$66,MATCH(Aturan!$C$58,Aturan!$B$63:$B$66,0)),"peringkat "&amp;Aturan!$C$58)&amp;")",IF(O214="Cukup","layar "&amp;Varian!$AG46&amp;" cukup, nyamannya "&amp;IFERROR(INDEX(Aturan!$A$63:$A$66,MATCH(Aturan!$D$58,Aturan!$B$63:$B$66,0)),"peringkat "&amp;Aturan!$D$58),IF(O214="Belum ada data","jenis layar belum diketahui",""))))</f>
        <v/>
      </c>
      <c r="W214" s="33" t="str">
        <f aca="false">IF($A214="","",IF(P214="Kurang","layar "&amp;H214&amp;" Hz, di bawah batas minimal "&amp;Aturan!$C$59&amp;" Hz",IF(P214="Cukup","layar "&amp;H214&amp;" Hz cukup, nyamannya "&amp;Aturan!$D$59&amp;" Hz atau lebih",IF(P214="Belum ada data","refresh rate belum diketahui",""))))</f>
        <v>refresh rate belum diketahui</v>
      </c>
      <c r="X214" s="33" t="str">
        <f aca="false">IF($A214="","",IF(K214="Kurang",R214&amp;"; ","")&amp;IF(L214="Kurang",S214&amp;"; ","")&amp;IF(M214="Kurang",T214&amp;"; ","")&amp;IF(N214="Kurang",U214&amp;"; ","")&amp;IF(O214="Kurang",V214&amp;"; ","")&amp;IF(P214="Kurang",W214&amp;"; ","")&amp;IF(K214="Belum ada data",R214&amp;"; ","")&amp;IF(L214="Belum ada data",S214&amp;"; ","")&amp;IF(M214="Belum ada data",T214&amp;"; ","")&amp;IF(N214="Belum ada data",U214&amp;"; ","")&amp;IF(O214="Belum ada data",V214&amp;"; ","")&amp;IF(P214="Belum ada data",W214&amp;"; ","")&amp;IF(K214="Cukup",R214&amp;"; ","")&amp;IF(L214="Cukup",S214&amp;"; ","")&amp;IF(M214="Cukup",T214&amp;"; ","")&amp;IF(N214="Cukup",U214&amp;"; ","")&amp;IF(O214="Cukup",V214&amp;"; ","")&amp;IF(P214="Cukup",W214&amp;"; ",""))</f>
        <v>prosesor tingkat 1 dari 5, di bawah batas minimal (tingkat 3); grafis tingkat 1 dari 5, di bawah batas minimal (tingkat 3); RAM 4 GB, di bawah batas minimal 8 GB (menempel di papan utama, tidak bisa ditambah); penyimpanan 32 GB, di bawah batas minimal 512 GB (menempel, tidak bisa diganti); refresh rate belum diketahui; </v>
      </c>
      <c r="Y214" s="33" t="str">
        <f aca="false">IF($A214="","",IF(K214="Nyaman","prosesor, ","")&amp;IF(L214="Nyaman","grafis, ","")&amp;IF(M214="Nyaman","RAM, ","")&amp;IF(N214="Nyaman","penyimpanan, ","")&amp;IF(O214="Nyaman","layar, ","")&amp;IF(P214="Nyaman","refresh rate, ",""))</f>
        <v/>
      </c>
      <c r="Z214" s="33" t="str">
        <f aca="false">IF($A214="","",IF(Q214="Tidak dinilai","Belum ada kriteria yang dinilai untuk kebutuhan ini.",IF(Q214="Cocok","Semua kriteria yang dinilai sudah nyaman: "&amp;LEFT(Y214,LEN(Y214)-2)&amp;".",UPPER(LEFT(X214,1))&amp;MID(X214,2,LEN(X214)-3)&amp;"."&amp;IF(Y214="",""," Sudah nyaman: "&amp;LEFT(Y214,LEN(Y214)-2)&amp;"."))))</f>
        <v>Prosesor tingkat 1 dari 5, di bawah batas minimal (tingkat 3); grafis tingkat 1 dari 5, di bawah batas minimal (tingkat 3); RAM 4 GB, di bawah batas minimal 8 GB (menempel di papan utama, tidak bisa ditambah); penyimpanan 32 GB, di bawah batas minimal 512 GB (menempel, tidak bisa diganti); refresh rate belum diketahui.</v>
      </c>
      <c r="AA214" s="33"/>
      <c r="AB214" s="33"/>
      <c r="AC214" s="69"/>
    </row>
    <row r="215" customFormat="false" ht="15" hidden="false" customHeight="true" outlineLevel="0" collapsed="false">
      <c r="A215" s="66" t="str">
        <f aca="false">IF(Varian!$A47="","",Varian!$A47)</f>
        <v>apple-macbook-air-13-m1-m1-8-256</v>
      </c>
      <c r="B215" s="66" t="str">
        <f aca="false">IF($A215="","",Aturan!$A$21)</f>
        <v>Kuliah dan kantor</v>
      </c>
      <c r="C215" s="67" t="n">
        <f aca="false">IF($A215="","",IFERROR(IF(ISNUMBER(INDEX(CPU!$J$4:$J$64,MATCH(Varian!$J47,CPU!$A$4:$A$64,0))),INDEX(CPU!$J$4:$J$64,MATCH(Varian!$J47,CPU!$A$4:$A$64,0)),""),""))</f>
        <v>3</v>
      </c>
      <c r="D215" s="67" t="n">
        <f aca="false">IF($A215="","",IFERROR(IF(ISNUMBER(INDEX(GPU!$G$4:$G$64,MATCH(Varian!$K47,GPU!$A$4:$A$64,0))),INDEX(GPU!$G$4:$G$64,MATCH(Varian!$K47,GPU!$A$4:$A$64,0)),""),""))</f>
        <v>2</v>
      </c>
      <c r="E215" s="67" t="n">
        <f aca="false">IF($A215="","",IF(ISNUMBER(Varian!$M47),Varian!$M47,""))</f>
        <v>8</v>
      </c>
      <c r="F215" s="67" t="n">
        <f aca="false">IF($A215="","",IF(ISNUMBER(Varian!$V47),Varian!$V47,""))</f>
        <v>256</v>
      </c>
      <c r="G215" s="67" t="n">
        <f aca="false">IF($A215="","",IFERROR(INDEX(Aturan!$B$63:$B$66,MATCH(Varian!$AG47,Aturan!$A$63:$A$66,0)),""))</f>
        <v>3</v>
      </c>
      <c r="H215" s="67" t="n">
        <f aca="false">IF($A215="","",IF(ISNUMBER(Varian!$AI47),Varian!$AI47,""))</f>
        <v>60</v>
      </c>
      <c r="I215" s="66" t="str">
        <f aca="false">IF($A215="","",IF(Varian!$Q47="disolder","menempel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menempel di papan utama, tidak bisa ditambah</v>
      </c>
      <c r="J215" s="66" t="str">
        <f aca="false">IF($A215="","",IF(Varian!$Z47="ya","bisa diganti dengan yang lebih besar",IF(Varian!$Z47="tidak","menempel, tidak bisa diganti","belum diketahui apakah bisa diganti")))</f>
        <v>menempel, tidak bisa diganti</v>
      </c>
      <c r="K215" s="68" t="str">
        <f aca="false">IF($A215="","",IF(AND(Aturan!$C$30="",Aturan!$D$30=""),"Tidak dinilai",IF(C215="","Belum ada data",IF(C215&lt;IF(Aturan!$C$30="",0,Aturan!$C$30),"Kurang",IF(C215&gt;=IF(Aturan!$D$30="",Aturan!$C$30,Aturan!$D$30),"Nyaman","Cukup")))))</f>
        <v>Nyaman</v>
      </c>
      <c r="L215" s="68" t="str">
        <f aca="false">IF($A215="","",IF(AND(Aturan!$C$31="",Aturan!$D$31=""),"Tidak dinilai",IF(D215="","Belum ada data",IF(D215&lt;IF(Aturan!$C$31="",0,Aturan!$C$31),"Kurang",IF(D215&gt;=IF(Aturan!$D$31="",Aturan!$C$31,Aturan!$D$31),"Nyaman","Cukup")))))</f>
        <v>Tidak dinilai</v>
      </c>
      <c r="M215" s="68" t="str">
        <f aca="false">IF($A215="","",IF(AND(Aturan!$C$32="",Aturan!$D$32=""),"Tidak dinilai",IF(E215="","Belum ada data",IF(E215&lt;IF(Aturan!$C$32="",0,Aturan!$C$32),"Kurang",IF(E215&gt;=IF(Aturan!$D$32="",Aturan!$C$32,Aturan!$D$32),"Nyaman","Cukup")))))</f>
        <v>Nyaman</v>
      </c>
      <c r="N215" s="68" t="str">
        <f aca="false">IF($A215="","",IF(AND(Aturan!$C$33="",Aturan!$D$33=""),"Tidak dinilai",IF(F215="","Belum ada data",IF(F215&lt;IF(Aturan!$C$33="",0,Aturan!$C$33),"Kurang",IF(F215&gt;=IF(Aturan!$D$33="",Aturan!$C$33,Aturan!$D$33),"Nyaman","Cukup")))))</f>
        <v>Nyaman</v>
      </c>
      <c r="O215" s="68" t="str">
        <f aca="false">IF($A215="","",IF(AND(Aturan!$C$34="",Aturan!$D$34=""),"Tidak dinilai",IF(G215="","Belum ada data",IF(G215&lt;IF(Aturan!$C$34="",0,Aturan!$C$34),"Kurang",IF(G215&gt;=IF(Aturan!$D$34="",Aturan!$C$34,Aturan!$D$34),"Nyaman","Cukup")))))</f>
        <v>Tidak dinilai</v>
      </c>
      <c r="P215" s="68" t="str">
        <f aca="false">IF($A215="","",IF(AND(Aturan!$C$35="",Aturan!$D$35=""),"Tidak dinilai",IF(H215="","Belum ada data",IF(H215&lt;IF(Aturan!$C$35="",0,Aturan!$C$35),"Kurang",IF(H215&gt;=IF(Aturan!$D$35="",Aturan!$C$35,Aturan!$D$35),"Nyaman","Cukup")))))</f>
        <v>Tidak dinilai</v>
      </c>
      <c r="Q215" s="68" t="str">
        <f aca="false">IF($A215="","",IF(COUNTIF(K215:P215,"Tidak dinilai")=6,"Tidak dinilai",IF(COUNTIF(K215:P215,"Kurang")&gt;0,"Kurang cocok",IF(COUNTIF(K215:P215,"Belum ada data")&gt;0,"Data belum lengkap",IF(COUNTIF(K215:P215,"Cukup")&gt;0,"Bisa, dengan catatan","Cocok")))))</f>
        <v>Cocok</v>
      </c>
      <c r="R215" s="66" t="str">
        <f aca="false">IF($A215="","",IF(K215="Kurang","prosesor tingkat "&amp;C215&amp;" dari 5, di bawah batas minimal (tingkat "&amp;Aturan!$C$30&amp;")",IF(K215="Cukup","prosesor tingkat "&amp;C215&amp;" dari 5 cukup, nyamannya mulai tingkat "&amp;Aturan!$D$30,IF(K215="Belum ada data","tingkat prosesor belum diisi",""))))</f>
        <v/>
      </c>
      <c r="S215" s="66" t="str">
        <f aca="false">IF($A215="","",IF(L215="Kurang","grafis tingkat "&amp;D215&amp;" dari 5, di bawah batas minimal (tingkat "&amp;Aturan!$C$31&amp;")",IF(L215="Cukup","grafis tingkat "&amp;D215&amp;" dari 5 cukup, nyamannya mulai tingkat "&amp;Aturan!$D$31,IF(L215="Belum ada data","tingkat grafis belum diisi",""))))</f>
        <v/>
      </c>
      <c r="T215" s="66" t="str">
        <f aca="false">IF($A215="","",IF(M215="Kurang","RAM "&amp;E215&amp;" GB, di bawah batas minimal "&amp;Aturan!$C$32&amp;" GB ("&amp;I215&amp;")",IF(M215="Cukup","RAM "&amp;E215&amp;" GB cukup, nyamannya "&amp;Aturan!$D$32&amp;" GB atau lebih ("&amp;I215&amp;")",IF(M215="Belum ada data","ukuran RAM belum diisi",""))))</f>
        <v/>
      </c>
      <c r="U215" s="66" t="str">
        <f aca="false">IF($A215="","",IF(N215="Kurang","penyimpanan "&amp;F215&amp;" GB, di bawah batas minimal "&amp;Aturan!$C$33&amp;" GB ("&amp;J215&amp;")",IF(N215="Cukup","penyimpanan "&amp;F215&amp;" GB cukup, nyamannya "&amp;Aturan!$D$33&amp;" GB atau lebih ("&amp;J215&amp;")",IF(N215="Belum ada data","ukuran penyimpanan belum diisi",""))))</f>
        <v/>
      </c>
      <c r="V215" s="66" t="str">
        <f aca="false">IF($A215="","",IF(O215="Kurang","layar "&amp;Varian!$AG47&amp;", di bawah batas minimal ("&amp;IFERROR(INDEX(Aturan!$A$63:$A$66,MATCH(Aturan!$C$34,Aturan!$B$63:$B$66,0)),"peringkat "&amp;Aturan!$C$34)&amp;")",IF(O215="Cukup","layar "&amp;Varian!$AG47&amp;" cukup, nyamannya "&amp;IFERROR(INDEX(Aturan!$A$63:$A$66,MATCH(Aturan!$D$34,Aturan!$B$63:$B$66,0)),"peringkat "&amp;Aturan!$D$34),IF(O215="Belum ada data","jenis layar belum diketahui",""))))</f>
        <v/>
      </c>
      <c r="W215" s="66" t="str">
        <f aca="false">IF($A215="","",IF(P215="Kurang","layar "&amp;H215&amp;" Hz, di bawah batas minimal "&amp;Aturan!$C$35&amp;" Hz",IF(P215="Cukup","layar "&amp;H215&amp;" Hz cukup, nyamannya "&amp;Aturan!$D$35&amp;" Hz atau lebih",IF(P215="Belum ada data","refresh rate belum diketahui",""))))</f>
        <v/>
      </c>
      <c r="X215" s="66" t="str">
        <f aca="false">IF($A215="","",IF(K215="Kurang",R215&amp;"; ","")&amp;IF(L215="Kurang",S215&amp;"; ","")&amp;IF(M215="Kurang",T215&amp;"; ","")&amp;IF(N215="Kurang",U215&amp;"; ","")&amp;IF(O215="Kurang",V215&amp;"; ","")&amp;IF(P215="Kurang",W215&amp;"; ","")&amp;IF(K215="Belum ada data",R215&amp;"; ","")&amp;IF(L215="Belum ada data",S215&amp;"; ","")&amp;IF(M215="Belum ada data",T215&amp;"; ","")&amp;IF(N215="Belum ada data",U215&amp;"; ","")&amp;IF(O215="Belum ada data",V215&amp;"; ","")&amp;IF(P215="Belum ada data",W215&amp;"; ","")&amp;IF(K215="Cukup",R215&amp;"; ","")&amp;IF(L215="Cukup",S215&amp;"; ","")&amp;IF(M215="Cukup",T215&amp;"; ","")&amp;IF(N215="Cukup",U215&amp;"; ","")&amp;IF(O215="Cukup",V215&amp;"; ","")&amp;IF(P215="Cukup",W215&amp;"; ",""))</f>
        <v/>
      </c>
      <c r="Y215" s="66" t="str">
        <f aca="false">IF($A215="","",IF(K215="Nyaman","prosesor, ","")&amp;IF(L215="Nyaman","grafis, ","")&amp;IF(M215="Nyaman","RAM, ","")&amp;IF(N215="Nyaman","penyimpanan, ","")&amp;IF(O215="Nyaman","layar, ","")&amp;IF(P215="Nyaman","refresh rate, ",""))</f>
        <v>prosesor, RAM, penyimpanan, </v>
      </c>
      <c r="Z215" s="66" t="str">
        <f aca="false">IF($A215="","",IF(Q215="Tidak dinilai","Belum ada kriteria yang dinilai untuk kebutuhan ini.",IF(Q215="Cocok","Semua kriteria yang dinilai sudah nyaman: "&amp;LEFT(Y215,LEN(Y215)-2)&amp;".",UPPER(LEFT(X215,1))&amp;MID(X215,2,LEN(X215)-3)&amp;"."&amp;IF(Y215="",""," Sudah nyaman: "&amp;LEFT(Y215,LEN(Y215)-2)&amp;"."))))</f>
        <v>Semua kriteria yang dinilai sudah nyaman: prosesor, RAM, penyimpanan.</v>
      </c>
      <c r="AA215" s="71" t="str">
        <f aca="false">IF($A215="","",IF(Varian!$AR47="Windows 10","• "&amp;Aturan!$E$71&amp;CHAR(10),"")&amp;IF(Varian!$BB47="tidak","• "&amp;Aturan!$E$72&amp;CHAR(10),"")&amp;IF(OR(Varian!$AD47="belum terverifikasi",Varian!$AD47="tidak diketahui"),"• "&amp;Aturan!$E$73&amp;CHAR(10),"")&amp;IF(Varian!$AH47="1366x768","• "&amp;Aturan!$E$74&amp;CHAR(10),"")&amp;IF(Varian!$AG47="TN","• "&amp;Aturan!$E$75&amp;CHAR(10),"")&amp;IF(AND(Varian!$Q47="disolder",ISNUMBER(Varian!$M47),Varian!$M47&lt;=8),"• "&amp;Aturan!$E$76&amp;CHAR(10),""))</f>
        <v>• Info RAM dan penyimpanan (bisa diganti atau tidak) belum terverifikasi. Periksa lagi sebelum membeli.
• RAM menempel di papan utama dan tidak bisa ditambah, padahal ukurannya kecil (8 GB atau kurang).
</v>
      </c>
      <c r="AB215" s="71" t="str">
        <f aca="false">IF($A215="","",IF(AA215="","",LEFT(AA215,LEN(AA215)-1)))</f>
        <v>• Info RAM dan penyimpanan (bisa diganti atau tidak) belum terverifikasi. Periksa lagi sebelum membeli.
• RAM menempel di papan utama dan tidak bisa ditambah, padahal ukurannya kecil (8 GB atau kurang).</v>
      </c>
      <c r="AC215" s="67" t="n">
        <f aca="false">IF($A215="","",IF(AA215="",0,LEN(AA215)-LEN(SUBSTITUTE(AA215,CHAR(10),""))))</f>
        <v>2</v>
      </c>
    </row>
    <row r="216" customFormat="false" ht="15" hidden="false" customHeight="true" outlineLevel="0" collapsed="false">
      <c r="A216" s="33" t="str">
        <f aca="false">IF(Varian!$A47="","",Varian!$A47)</f>
        <v>apple-macbook-air-13-m1-m1-8-256</v>
      </c>
      <c r="B216" s="33" t="str">
        <f aca="false">IF($A216="","",Aturan!$A$22)</f>
        <v>Desain grafis</v>
      </c>
      <c r="C216" s="69" t="n">
        <f aca="false">IF($A216="","",IFERROR(IF(ISNUMBER(INDEX(CPU!$J$4:$J$64,MATCH(Varian!$J47,CPU!$A$4:$A$64,0))),INDEX(CPU!$J$4:$J$64,MATCH(Varian!$J47,CPU!$A$4:$A$64,0)),""),""))</f>
        <v>3</v>
      </c>
      <c r="D216" s="69" t="n">
        <f aca="false">IF($A216="","",IFERROR(IF(ISNUMBER(INDEX(GPU!$G$4:$G$64,MATCH(Varian!$K47,GPU!$A$4:$A$64,0))),INDEX(GPU!$G$4:$G$64,MATCH(Varian!$K47,GPU!$A$4:$A$64,0)),""),""))</f>
        <v>2</v>
      </c>
      <c r="E216" s="69" t="n">
        <f aca="false">IF($A216="","",IF(ISNUMBER(Varian!$M47),Varian!$M47,""))</f>
        <v>8</v>
      </c>
      <c r="F216" s="69" t="n">
        <f aca="false">IF($A216="","",IF(ISNUMBER(Varian!$V47),Varian!$V47,""))</f>
        <v>256</v>
      </c>
      <c r="G216" s="69" t="n">
        <f aca="false">IF($A216="","",IFERROR(INDEX(Aturan!$B$63:$B$66,MATCH(Varian!$AG47,Aturan!$A$63:$A$66,0)),""))</f>
        <v>3</v>
      </c>
      <c r="H216" s="69" t="n">
        <f aca="false">IF($A216="","",IF(ISNUMBER(Varian!$AI47),Varian!$AI47,""))</f>
        <v>60</v>
      </c>
      <c r="I216" s="33" t="str">
        <f aca="false">IF($A216="","",IF(Varian!$Q47="disolder","menempel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menempel di papan utama, tidak bisa ditambah</v>
      </c>
      <c r="J216" s="33" t="str">
        <f aca="false">IF($A216="","",IF(Varian!$Z47="ya","bisa diganti dengan yang lebih besar",IF(Varian!$Z47="tidak","menempel, tidak bisa diganti","belum diketahui apakah bisa diganti")))</f>
        <v>menempel, tidak bisa diganti</v>
      </c>
      <c r="K216" s="70" t="str">
        <f aca="false">IF($A216="","",IF(AND(Aturan!$C$36="",Aturan!$D$36=""),"Tidak dinilai",IF(C216="","Belum ada data",IF(C216&lt;IF(Aturan!$C$36="",0,Aturan!$C$36),"Kurang",IF(C216&gt;=IF(Aturan!$D$36="",Aturan!$C$36,Aturan!$D$36),"Nyaman","Cukup")))))</f>
        <v>Nyaman</v>
      </c>
      <c r="L216" s="70" t="str">
        <f aca="false">IF($A216="","",IF(AND(Aturan!$C$37="",Aturan!$D$37=""),"Tidak dinilai",IF(D216="","Belum ada data",IF(D216&lt;IF(Aturan!$C$37="",0,Aturan!$C$37),"Kurang",IF(D216&gt;=IF(Aturan!$D$37="",Aturan!$C$37,Aturan!$D$37),"Nyaman","Cukup")))))</f>
        <v>Nyaman</v>
      </c>
      <c r="M216" s="70" t="str">
        <f aca="false">IF($A216="","",IF(AND(Aturan!$C$38="",Aturan!$D$38=""),"Tidak dinilai",IF(E216="","Belum ada data",IF(E216&lt;IF(Aturan!$C$38="",0,Aturan!$C$38),"Kurang",IF(E216&gt;=IF(Aturan!$D$38="",Aturan!$C$38,Aturan!$D$38),"Nyaman","Cukup")))))</f>
        <v>Cukup</v>
      </c>
      <c r="N216" s="70" t="str">
        <f aca="false">IF($A216="","",IF(AND(Aturan!$C$39="",Aturan!$D$39=""),"Tidak dinilai",IF(F216="","Belum ada data",IF(F216&lt;IF(Aturan!$C$39="",0,Aturan!$C$39),"Kurang",IF(F216&gt;=IF(Aturan!$D$39="",Aturan!$C$39,Aturan!$D$39),"Nyaman","Cukup")))))</f>
        <v>Cukup</v>
      </c>
      <c r="O216" s="70" t="str">
        <f aca="false">IF($A216="","",IF(AND(Aturan!$C$40="",Aturan!$D$40=""),"Tidak dinilai",IF(G216="","Belum ada data",IF(G216&lt;IF(Aturan!$C$40="",0,Aturan!$C$40),"Kurang",IF(G216&gt;=IF(Aturan!$D$40="",Aturan!$C$40,Aturan!$D$40),"Nyaman","Cukup")))))</f>
        <v>Cukup</v>
      </c>
      <c r="P216" s="70" t="str">
        <f aca="false">IF($A216="","",IF(AND(Aturan!$C$41="",Aturan!$D$41=""),"Tidak dinilai",IF(H216="","Belum ada data",IF(H216&lt;IF(Aturan!$C$41="",0,Aturan!$C$41),"Kurang",IF(H216&gt;=IF(Aturan!$D$41="",Aturan!$C$41,Aturan!$D$41),"Nyaman","Cukup")))))</f>
        <v>Tidak dinilai</v>
      </c>
      <c r="Q216" s="70" t="str">
        <f aca="false">IF($A216="","",IF(COUNTIF(K216:P216,"Tidak dinilai")=6,"Tidak dinilai",IF(COUNTIF(K216:P216,"Kurang")&gt;0,"Kurang cocok",IF(COUNTIF(K216:P216,"Belum ada data")&gt;0,"Data belum lengkap",IF(COUNTIF(K216:P216,"Cukup")&gt;0,"Bisa, dengan catatan","Cocok")))))</f>
        <v>Bisa, dengan catatan</v>
      </c>
      <c r="R216" s="33" t="str">
        <f aca="false">IF($A216="","",IF(K216="Kurang","prosesor tingkat "&amp;C216&amp;" dari 5, di bawah batas minimal (tingkat "&amp;Aturan!$C$36&amp;")",IF(K216="Cukup","prosesor tingkat "&amp;C216&amp;" dari 5 cukup, nyamannya mulai tingkat "&amp;Aturan!$D$36,IF(K216="Belum ada data","tingkat prosesor belum diisi",""))))</f>
        <v/>
      </c>
      <c r="S216" s="33" t="str">
        <f aca="false">IF($A216="","",IF(L216="Kurang","grafis tingkat "&amp;D216&amp;" dari 5, di bawah batas minimal (tingkat "&amp;Aturan!$C$37&amp;")",IF(L216="Cukup","grafis tingkat "&amp;D216&amp;" dari 5 cukup, nyamannya mulai tingkat "&amp;Aturan!$D$37,IF(L216="Belum ada data","tingkat grafis belum diisi",""))))</f>
        <v/>
      </c>
      <c r="T216" s="33" t="str">
        <f aca="false">IF($A216="","",IF(M216="Kurang","RAM "&amp;E216&amp;" GB, di bawah batas minimal "&amp;Aturan!$C$38&amp;" GB ("&amp;I216&amp;")",IF(M216="Cukup","RAM "&amp;E216&amp;" GB cukup, nyamannya "&amp;Aturan!$D$38&amp;" GB atau lebih ("&amp;I216&amp;")",IF(M216="Belum ada data","ukuran RAM belum diisi",""))))</f>
        <v>RAM 8 GB cukup, nyamannya 16 GB atau lebih (menempel di papan utama, tidak bisa ditambah)</v>
      </c>
      <c r="U216" s="33" t="str">
        <f aca="false">IF($A216="","",IF(N216="Kurang","penyimpanan "&amp;F216&amp;" GB, di bawah batas minimal "&amp;Aturan!$C$39&amp;" GB ("&amp;J216&amp;")",IF(N216="Cukup","penyimpanan "&amp;F216&amp;" GB cukup, nyamannya "&amp;Aturan!$D$39&amp;" GB atau lebih ("&amp;J216&amp;")",IF(N216="Belum ada data","ukuran penyimpanan belum diisi",""))))</f>
        <v>penyimpanan 256 GB cukup, nyamannya 512 GB atau lebih (menempel, tidak bisa diganti)</v>
      </c>
      <c r="V216" s="33" t="str">
        <f aca="false">IF($A216="","",IF(O216="Kurang","layar "&amp;Varian!$AG47&amp;", di bawah batas minimal ("&amp;IFERROR(INDEX(Aturan!$A$63:$A$66,MATCH(Aturan!$C$40,Aturan!$B$63:$B$66,0)),"peringkat "&amp;Aturan!$C$40)&amp;")",IF(O216="Cukup","layar "&amp;Varian!$AG47&amp;" cukup, nyamannya "&amp;IFERROR(INDEX(Aturan!$A$63:$A$66,MATCH(Aturan!$D$40,Aturan!$B$63:$B$66,0)),"peringkat "&amp;Aturan!$D$40),IF(O216="Belum ada data","jenis layar belum diketahui",""))))</f>
        <v>layar IPS cukup, nyamannya OLED</v>
      </c>
      <c r="W216" s="33" t="str">
        <f aca="false">IF($A216="","",IF(P216="Kurang","layar "&amp;H216&amp;" Hz, di bawah batas minimal "&amp;Aturan!$C$41&amp;" Hz",IF(P216="Cukup","layar "&amp;H216&amp;" Hz cukup, nyamannya "&amp;Aturan!$D$41&amp;" Hz atau lebih",IF(P216="Belum ada data","refresh rate belum diketahui",""))))</f>
        <v/>
      </c>
      <c r="X216" s="33" t="str">
        <f aca="false">IF($A216="","",IF(K216="Kurang",R216&amp;"; ","")&amp;IF(L216="Kurang",S216&amp;"; ","")&amp;IF(M216="Kurang",T216&amp;"; ","")&amp;IF(N216="Kurang",U216&amp;"; ","")&amp;IF(O216="Kurang",V216&amp;"; ","")&amp;IF(P216="Kurang",W216&amp;"; ","")&amp;IF(K216="Belum ada data",R216&amp;"; ","")&amp;IF(L216="Belum ada data",S216&amp;"; ","")&amp;IF(M216="Belum ada data",T216&amp;"; ","")&amp;IF(N216="Belum ada data",U216&amp;"; ","")&amp;IF(O216="Belum ada data",V216&amp;"; ","")&amp;IF(P216="Belum ada data",W216&amp;"; ","")&amp;IF(K216="Cukup",R216&amp;"; ","")&amp;IF(L216="Cukup",S216&amp;"; ","")&amp;IF(M216="Cukup",T216&amp;"; ","")&amp;IF(N216="Cukup",U216&amp;"; ","")&amp;IF(O216="Cukup",V216&amp;"; ","")&amp;IF(P216="Cukup",W216&amp;"; ",""))</f>
        <v>RAM 8 GB cukup, nyamannya 16 GB atau lebih (menempel di papan utama, tidak bisa ditambah); penyimpanan 256 GB cukup, nyamannya 512 GB atau lebih (menempel, tidak bisa diganti); layar IPS cukup, nyamannya OLED; </v>
      </c>
      <c r="Y216" s="33" t="str">
        <f aca="false">IF($A216="","",IF(K216="Nyaman","prosesor, ","")&amp;IF(L216="Nyaman","grafis, ","")&amp;IF(M216="Nyaman","RAM, ","")&amp;IF(N216="Nyaman","penyimpanan, ","")&amp;IF(O216="Nyaman","layar, ","")&amp;IF(P216="Nyaman","refresh rate, ",""))</f>
        <v>prosesor, grafis, </v>
      </c>
      <c r="Z216" s="33" t="str">
        <f aca="false">IF($A216="","",IF(Q216="Tidak dinilai","Belum ada kriteria yang dinilai untuk kebutuhan ini.",IF(Q216="Cocok","Semua kriteria yang dinilai sudah nyaman: "&amp;LEFT(Y216,LEN(Y216)-2)&amp;".",UPPER(LEFT(X216,1))&amp;MID(X216,2,LEN(X216)-3)&amp;"."&amp;IF(Y216="",""," Sudah nyaman: "&amp;LEFT(Y216,LEN(Y216)-2)&amp;"."))))</f>
        <v>RAM 8 GB cukup, nyamannya 16 GB atau lebih (menempel di papan utama, tidak bisa ditambah); penyimpanan 256 GB cukup, nyamannya 512 GB atau lebih (menempel, tidak bisa diganti); layar IPS cukup, nyamannya OLED. Sudah nyaman: prosesor, grafis.</v>
      </c>
      <c r="AA216" s="33"/>
      <c r="AB216" s="33"/>
      <c r="AC216" s="69"/>
    </row>
    <row r="217" customFormat="false" ht="15" hidden="false" customHeight="true" outlineLevel="0" collapsed="false">
      <c r="A217" s="33" t="str">
        <f aca="false">IF(Varian!$A47="","",Varian!$A47)</f>
        <v>apple-macbook-air-13-m1-m1-8-256</v>
      </c>
      <c r="B217" s="33" t="str">
        <f aca="false">IF($A217="","",Aturan!$A$23)</f>
        <v>Pemrograman</v>
      </c>
      <c r="C217" s="69" t="n">
        <f aca="false">IF($A217="","",IFERROR(IF(ISNUMBER(INDEX(CPU!$J$4:$J$64,MATCH(Varian!$J47,CPU!$A$4:$A$64,0))),INDEX(CPU!$J$4:$J$64,MATCH(Varian!$J47,CPU!$A$4:$A$64,0)),""),""))</f>
        <v>3</v>
      </c>
      <c r="D217" s="69" t="n">
        <f aca="false">IF($A217="","",IFERROR(IF(ISNUMBER(INDEX(GPU!$G$4:$G$64,MATCH(Varian!$K47,GPU!$A$4:$A$64,0))),INDEX(GPU!$G$4:$G$64,MATCH(Varian!$K47,GPU!$A$4:$A$64,0)),""),""))</f>
        <v>2</v>
      </c>
      <c r="E217" s="69" t="n">
        <f aca="false">IF($A217="","",IF(ISNUMBER(Varian!$M47),Varian!$M47,""))</f>
        <v>8</v>
      </c>
      <c r="F217" s="69" t="n">
        <f aca="false">IF($A217="","",IF(ISNUMBER(Varian!$V47),Varian!$V47,""))</f>
        <v>256</v>
      </c>
      <c r="G217" s="69" t="n">
        <f aca="false">IF($A217="","",IFERROR(INDEX(Aturan!$B$63:$B$66,MATCH(Varian!$AG47,Aturan!$A$63:$A$66,0)),""))</f>
        <v>3</v>
      </c>
      <c r="H217" s="69" t="n">
        <f aca="false">IF($A217="","",IF(ISNUMBER(Varian!$AI47),Varian!$AI47,""))</f>
        <v>60</v>
      </c>
      <c r="I217" s="33" t="str">
        <f aca="false">IF($A217="","",IF(Varian!$Q47="disolder","menempel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menempel di papan utama, tidak bisa ditambah</v>
      </c>
      <c r="J217" s="33" t="str">
        <f aca="false">IF($A217="","",IF(Varian!$Z47="ya","bisa diganti dengan yang lebih besar",IF(Varian!$Z47="tidak","menempel, tidak bisa diganti","belum diketahui apakah bisa diganti")))</f>
        <v>menempel, tidak bisa diganti</v>
      </c>
      <c r="K217" s="70" t="str">
        <f aca="false">IF($A217="","",IF(AND(Aturan!$C$42="",Aturan!$D$42=""),"Tidak dinilai",IF(C217="","Belum ada data",IF(C217&lt;IF(Aturan!$C$42="",0,Aturan!$C$42),"Kurang",IF(C217&gt;=IF(Aturan!$D$42="",Aturan!$C$42,Aturan!$D$42),"Nyaman","Cukup")))))</f>
        <v>Nyaman</v>
      </c>
      <c r="L217" s="70" t="str">
        <f aca="false">IF($A217="","",IF(AND(Aturan!$C$43="",Aturan!$D$43=""),"Tidak dinilai",IF(D217="","Belum ada data",IF(D217&lt;IF(Aturan!$C$43="",0,Aturan!$C$43),"Kurang",IF(D217&gt;=IF(Aturan!$D$43="",Aturan!$C$43,Aturan!$D$43),"Nyaman","Cukup")))))</f>
        <v>Tidak dinilai</v>
      </c>
      <c r="M217" s="70" t="str">
        <f aca="false">IF($A217="","",IF(AND(Aturan!$C$44="",Aturan!$D$44=""),"Tidak dinilai",IF(E217="","Belum ada data",IF(E217&lt;IF(Aturan!$C$44="",0,Aturan!$C$44),"Kurang",IF(E217&gt;=IF(Aturan!$D$44="",Aturan!$C$44,Aturan!$D$44),"Nyaman","Cukup")))))</f>
        <v>Cukup</v>
      </c>
      <c r="N217" s="70" t="str">
        <f aca="false">IF($A217="","",IF(AND(Aturan!$C$45="",Aturan!$D$45=""),"Tidak dinilai",IF(F217="","Belum ada data",IF(F217&lt;IF(Aturan!$C$45="",0,Aturan!$C$45),"Kurang",IF(F217&gt;=IF(Aturan!$D$45="",Aturan!$C$45,Aturan!$D$45),"Nyaman","Cukup")))))</f>
        <v>Cukup</v>
      </c>
      <c r="O217" s="70" t="str">
        <f aca="false">IF($A217="","",IF(AND(Aturan!$C$46="",Aturan!$D$46=""),"Tidak dinilai",IF(G217="","Belum ada data",IF(G217&lt;IF(Aturan!$C$46="",0,Aturan!$C$46),"Kurang",IF(G217&gt;=IF(Aturan!$D$46="",Aturan!$C$46,Aturan!$D$46),"Nyaman","Cukup")))))</f>
        <v>Tidak dinilai</v>
      </c>
      <c r="P217" s="70" t="str">
        <f aca="false">IF($A217="","",IF(AND(Aturan!$C$47="",Aturan!$D$47=""),"Tidak dinilai",IF(H217="","Belum ada data",IF(H217&lt;IF(Aturan!$C$47="",0,Aturan!$C$47),"Kurang",IF(H217&gt;=IF(Aturan!$D$47="",Aturan!$C$47,Aturan!$D$47),"Nyaman","Cukup")))))</f>
        <v>Tidak dinilai</v>
      </c>
      <c r="Q217" s="70" t="str">
        <f aca="false">IF($A217="","",IF(COUNTIF(K217:P217,"Tidak dinilai")=6,"Tidak dinilai",IF(COUNTIF(K217:P217,"Kurang")&gt;0,"Kurang cocok",IF(COUNTIF(K217:P217,"Belum ada data")&gt;0,"Data belum lengkap",IF(COUNTIF(K217:P217,"Cukup")&gt;0,"Bisa, dengan catatan","Cocok")))))</f>
        <v>Bisa, dengan catatan</v>
      </c>
      <c r="R217" s="33" t="str">
        <f aca="false">IF($A217="","",IF(K217="Kurang","prosesor tingkat "&amp;C217&amp;" dari 5, di bawah batas minimal (tingkat "&amp;Aturan!$C$42&amp;")",IF(K217="Cukup","prosesor tingkat "&amp;C217&amp;" dari 5 cukup, nyamannya mulai tingkat "&amp;Aturan!$D$42,IF(K217="Belum ada data","tingkat prosesor belum diisi",""))))</f>
        <v/>
      </c>
      <c r="S217" s="33" t="str">
        <f aca="false">IF($A217="","",IF(L217="Kurang","grafis tingkat "&amp;D217&amp;" dari 5, di bawah batas minimal (tingkat "&amp;Aturan!$C$43&amp;")",IF(L217="Cukup","grafis tingkat "&amp;D217&amp;" dari 5 cukup, nyamannya mulai tingkat "&amp;Aturan!$D$43,IF(L217="Belum ada data","tingkat grafis belum diisi",""))))</f>
        <v/>
      </c>
      <c r="T217" s="33" t="str">
        <f aca="false">IF($A217="","",IF(M217="Kurang","RAM "&amp;E217&amp;" GB, di bawah batas minimal "&amp;Aturan!$C$44&amp;" GB ("&amp;I217&amp;")",IF(M217="Cukup","RAM "&amp;E217&amp;" GB cukup, nyamannya "&amp;Aturan!$D$44&amp;" GB atau lebih ("&amp;I217&amp;")",IF(M217="Belum ada data","ukuran RAM belum diisi",""))))</f>
        <v>RAM 8 GB cukup, nyamannya 16 GB atau lebih (menempel di papan utama, tidak bisa ditambah)</v>
      </c>
      <c r="U217" s="33" t="str">
        <f aca="false">IF($A217="","",IF(N217="Kurang","penyimpanan "&amp;F217&amp;" GB, di bawah batas minimal "&amp;Aturan!$C$45&amp;" GB ("&amp;J217&amp;")",IF(N217="Cukup","penyimpanan "&amp;F217&amp;" GB cukup, nyamannya "&amp;Aturan!$D$45&amp;" GB atau lebih ("&amp;J217&amp;")",IF(N217="Belum ada data","ukuran penyimpanan belum diisi",""))))</f>
        <v>penyimpanan 256 GB cukup, nyamannya 512 GB atau lebih (menempel, tidak bisa diganti)</v>
      </c>
      <c r="V217" s="33" t="str">
        <f aca="false">IF($A217="","",IF(O217="Kurang","layar "&amp;Varian!$AG47&amp;", di bawah batas minimal ("&amp;IFERROR(INDEX(Aturan!$A$63:$A$66,MATCH(Aturan!$C$46,Aturan!$B$63:$B$66,0)),"peringkat "&amp;Aturan!$C$46)&amp;")",IF(O217="Cukup","layar "&amp;Varian!$AG47&amp;" cukup, nyamannya "&amp;IFERROR(INDEX(Aturan!$A$63:$A$66,MATCH(Aturan!$D$46,Aturan!$B$63:$B$66,0)),"peringkat "&amp;Aturan!$D$46),IF(O217="Belum ada data","jenis layar belum diketahui",""))))</f>
        <v/>
      </c>
      <c r="W217" s="33" t="str">
        <f aca="false">IF($A217="","",IF(P217="Kurang","layar "&amp;H217&amp;" Hz, di bawah batas minimal "&amp;Aturan!$C$47&amp;" Hz",IF(P217="Cukup","layar "&amp;H217&amp;" Hz cukup, nyamannya "&amp;Aturan!$D$47&amp;" Hz atau lebih",IF(P217="Belum ada data","refresh rate belum diketahui",""))))</f>
        <v/>
      </c>
      <c r="X217" s="33" t="str">
        <f aca="false">IF($A217="","",IF(K217="Kurang",R217&amp;"; ","")&amp;IF(L217="Kurang",S217&amp;"; ","")&amp;IF(M217="Kurang",T217&amp;"; ","")&amp;IF(N217="Kurang",U217&amp;"; ","")&amp;IF(O217="Kurang",V217&amp;"; ","")&amp;IF(P217="Kurang",W217&amp;"; ","")&amp;IF(K217="Belum ada data",R217&amp;"; ","")&amp;IF(L217="Belum ada data",S217&amp;"; ","")&amp;IF(M217="Belum ada data",T217&amp;"; ","")&amp;IF(N217="Belum ada data",U217&amp;"; ","")&amp;IF(O217="Belum ada data",V217&amp;"; ","")&amp;IF(P217="Belum ada data",W217&amp;"; ","")&amp;IF(K217="Cukup",R217&amp;"; ","")&amp;IF(L217="Cukup",S217&amp;"; ","")&amp;IF(M217="Cukup",T217&amp;"; ","")&amp;IF(N217="Cukup",U217&amp;"; ","")&amp;IF(O217="Cukup",V217&amp;"; ","")&amp;IF(P217="Cukup",W217&amp;"; ",""))</f>
        <v>RAM 8 GB cukup, nyamannya 16 GB atau lebih (menempel di papan utama, tidak bisa ditambah); penyimpanan 256 GB cukup, nyamannya 512 GB atau lebih (menempel, tidak bisa diganti); </v>
      </c>
      <c r="Y217" s="33" t="str">
        <f aca="false">IF($A217="","",IF(K217="Nyaman","prosesor, ","")&amp;IF(L217="Nyaman","grafis, ","")&amp;IF(M217="Nyaman","RAM, ","")&amp;IF(N217="Nyaman","penyimpanan, ","")&amp;IF(O217="Nyaman","layar, ","")&amp;IF(P217="Nyaman","refresh rate, ",""))</f>
        <v>prosesor, </v>
      </c>
      <c r="Z217" s="33" t="str">
        <f aca="false">IF($A217="","",IF(Q217="Tidak dinilai","Belum ada kriteria yang dinilai untuk kebutuhan ini.",IF(Q217="Cocok","Semua kriteria yang dinilai sudah nyaman: "&amp;LEFT(Y217,LEN(Y217)-2)&amp;".",UPPER(LEFT(X217,1))&amp;MID(X217,2,LEN(X217)-3)&amp;"."&amp;IF(Y217="",""," Sudah nyaman: "&amp;LEFT(Y217,LEN(Y217)-2)&amp;"."))))</f>
        <v>RAM 8 GB cukup, nyamannya 16 GB atau lebih (menempel di papan utama, tidak bisa ditambah); penyimpanan 256 GB cukup, nyamannya 512 GB atau lebih (menempel, tidak bisa diganti). Sudah nyaman: prosesor.</v>
      </c>
      <c r="AA217" s="33"/>
      <c r="AB217" s="33"/>
      <c r="AC217" s="69"/>
    </row>
    <row r="218" customFormat="false" ht="15" hidden="false" customHeight="true" outlineLevel="0" collapsed="false">
      <c r="A218" s="33" t="str">
        <f aca="false">IF(Varian!$A47="","",Varian!$A47)</f>
        <v>apple-macbook-air-13-m1-m1-8-256</v>
      </c>
      <c r="B218" s="33" t="str">
        <f aca="false">IF($A218="","",Aturan!$A$24)</f>
        <v>Game ringan</v>
      </c>
      <c r="C218" s="69" t="n">
        <f aca="false">IF($A218="","",IFERROR(IF(ISNUMBER(INDEX(CPU!$J$4:$J$64,MATCH(Varian!$J47,CPU!$A$4:$A$64,0))),INDEX(CPU!$J$4:$J$64,MATCH(Varian!$J47,CPU!$A$4:$A$64,0)),""),""))</f>
        <v>3</v>
      </c>
      <c r="D218" s="69" t="n">
        <f aca="false">IF($A218="","",IFERROR(IF(ISNUMBER(INDEX(GPU!$G$4:$G$64,MATCH(Varian!$K47,GPU!$A$4:$A$64,0))),INDEX(GPU!$G$4:$G$64,MATCH(Varian!$K47,GPU!$A$4:$A$64,0)),""),""))</f>
        <v>2</v>
      </c>
      <c r="E218" s="69" t="n">
        <f aca="false">IF($A218="","",IF(ISNUMBER(Varian!$M47),Varian!$M47,""))</f>
        <v>8</v>
      </c>
      <c r="F218" s="69" t="n">
        <f aca="false">IF($A218="","",IF(ISNUMBER(Varian!$V47),Varian!$V47,""))</f>
        <v>256</v>
      </c>
      <c r="G218" s="69" t="n">
        <f aca="false">IF($A218="","",IFERROR(INDEX(Aturan!$B$63:$B$66,MATCH(Varian!$AG47,Aturan!$A$63:$A$66,0)),""))</f>
        <v>3</v>
      </c>
      <c r="H218" s="69" t="n">
        <f aca="false">IF($A218="","",IF(ISNUMBER(Varian!$AI47),Varian!$AI47,""))</f>
        <v>60</v>
      </c>
      <c r="I218" s="33" t="str">
        <f aca="false">IF($A218="","",IF(Varian!$Q47="disolder","menempel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menempel di papan utama, tidak bisa ditambah</v>
      </c>
      <c r="J218" s="33" t="str">
        <f aca="false">IF($A218="","",IF(Varian!$Z47="ya","bisa diganti dengan yang lebih besar",IF(Varian!$Z47="tidak","menempel, tidak bisa diganti","belum diketahui apakah bisa diganti")))</f>
        <v>menempel, tidak bisa diganti</v>
      </c>
      <c r="K218" s="70" t="str">
        <f aca="false">IF($A218="","",IF(AND(Aturan!$C$48="",Aturan!$D$48=""),"Tidak dinilai",IF(C218="","Belum ada data",IF(C218&lt;IF(Aturan!$C$48="",0,Aturan!$C$48),"Kurang",IF(C218&gt;=IF(Aturan!$D$48="",Aturan!$C$48,Aturan!$D$48),"Nyaman","Cukup")))))</f>
        <v>Nyaman</v>
      </c>
      <c r="L218" s="70" t="str">
        <f aca="false">IF($A218="","",IF(AND(Aturan!$C$49="",Aturan!$D$49=""),"Tidak dinilai",IF(D218="","Belum ada data",IF(D218&lt;IF(Aturan!$C$49="",0,Aturan!$C$49),"Kurang",IF(D218&gt;=IF(Aturan!$D$49="",Aturan!$C$49,Aturan!$D$49),"Nyaman","Cukup")))))</f>
        <v>Nyaman</v>
      </c>
      <c r="M218" s="70" t="str">
        <f aca="false">IF($A218="","",IF(AND(Aturan!$C$50="",Aturan!$D$50=""),"Tidak dinilai",IF(E218="","Belum ada data",IF(E218&lt;IF(Aturan!$C$50="",0,Aturan!$C$50),"Kurang",IF(E218&gt;=IF(Aturan!$D$50="",Aturan!$C$50,Aturan!$D$50),"Nyaman","Cukup")))))</f>
        <v>Nyaman</v>
      </c>
      <c r="N218" s="70" t="str">
        <f aca="false">IF($A218="","",IF(AND(Aturan!$C$51="",Aturan!$D$51=""),"Tidak dinilai",IF(F218="","Belum ada data",IF(F218&lt;IF(Aturan!$C$51="",0,Aturan!$C$51),"Kurang",IF(F218&gt;=IF(Aturan!$D$51="",Aturan!$C$51,Aturan!$D$51),"Nyaman","Cukup")))))</f>
        <v>Nyaman</v>
      </c>
      <c r="O218" s="70" t="str">
        <f aca="false">IF($A218="","",IF(AND(Aturan!$C$52="",Aturan!$D$52=""),"Tidak dinilai",IF(G218="","Belum ada data",IF(G218&lt;IF(Aturan!$C$52="",0,Aturan!$C$52),"Kurang",IF(G218&gt;=IF(Aturan!$D$52="",Aturan!$C$52,Aturan!$D$52),"Nyaman","Cukup")))))</f>
        <v>Tidak dinilai</v>
      </c>
      <c r="P218" s="70" t="str">
        <f aca="false">IF($A218="","",IF(AND(Aturan!$C$53="",Aturan!$D$53=""),"Tidak dinilai",IF(H218="","Belum ada data",IF(H218&lt;IF(Aturan!$C$53="",0,Aturan!$C$53),"Kurang",IF(H218&gt;=IF(Aturan!$D$53="",Aturan!$C$53,Aturan!$D$53),"Nyaman","Cukup")))))</f>
        <v>Tidak dinilai</v>
      </c>
      <c r="Q218" s="70" t="str">
        <f aca="false">IF($A218="","",IF(COUNTIF(K218:P218,"Tidak dinilai")=6,"Tidak dinilai",IF(COUNTIF(K218:P218,"Kurang")&gt;0,"Kurang cocok",IF(COUNTIF(K218:P218,"Belum ada data")&gt;0,"Data belum lengkap",IF(COUNTIF(K218:P218,"Cukup")&gt;0,"Bisa, dengan catatan","Cocok")))))</f>
        <v>Cocok</v>
      </c>
      <c r="R218" s="33" t="str">
        <f aca="false">IF($A218="","",IF(K218="Kurang","prosesor tingkat "&amp;C218&amp;" dari 5, di bawah batas minimal (tingkat "&amp;Aturan!$C$48&amp;")",IF(K218="Cukup","prosesor tingkat "&amp;C218&amp;" dari 5 cukup, nyamannya mulai tingkat "&amp;Aturan!$D$48,IF(K218="Belum ada data","tingkat prosesor belum diisi",""))))</f>
        <v/>
      </c>
      <c r="S218" s="33" t="str">
        <f aca="false">IF($A218="","",IF(L218="Kurang","grafis tingkat "&amp;D218&amp;" dari 5, di bawah batas minimal (tingkat "&amp;Aturan!$C$49&amp;")",IF(L218="Cukup","grafis tingkat "&amp;D218&amp;" dari 5 cukup, nyamannya mulai tingkat "&amp;Aturan!$D$49,IF(L218="Belum ada data","tingkat grafis belum diisi",""))))</f>
        <v/>
      </c>
      <c r="T218" s="33" t="str">
        <f aca="false">IF($A218="","",IF(M218="Kurang","RAM "&amp;E218&amp;" GB, di bawah batas minimal "&amp;Aturan!$C$50&amp;" GB ("&amp;I218&amp;")",IF(M218="Cukup","RAM "&amp;E218&amp;" GB cukup, nyamannya "&amp;Aturan!$D$50&amp;" GB atau lebih ("&amp;I218&amp;")",IF(M218="Belum ada data","ukuran RAM belum diisi",""))))</f>
        <v/>
      </c>
      <c r="U218" s="33" t="str">
        <f aca="false">IF($A218="","",IF(N218="Kurang","penyimpanan "&amp;F218&amp;" GB, di bawah batas minimal "&amp;Aturan!$C$51&amp;" GB ("&amp;J218&amp;")",IF(N218="Cukup","penyimpanan "&amp;F218&amp;" GB cukup, nyamannya "&amp;Aturan!$D$51&amp;" GB atau lebih ("&amp;J218&amp;")",IF(N218="Belum ada data","ukuran penyimpanan belum diisi",""))))</f>
        <v/>
      </c>
      <c r="V218" s="33" t="str">
        <f aca="false">IF($A218="","",IF(O218="Kurang","layar "&amp;Varian!$AG47&amp;", di bawah batas minimal ("&amp;IFERROR(INDEX(Aturan!$A$63:$A$66,MATCH(Aturan!$C$52,Aturan!$B$63:$B$66,0)),"peringkat "&amp;Aturan!$C$52)&amp;")",IF(O218="Cukup","layar "&amp;Varian!$AG47&amp;" cukup, nyamannya "&amp;IFERROR(INDEX(Aturan!$A$63:$A$66,MATCH(Aturan!$D$52,Aturan!$B$63:$B$66,0)),"peringkat "&amp;Aturan!$D$52),IF(O218="Belum ada data","jenis layar belum diketahui",""))))</f>
        <v/>
      </c>
      <c r="W218" s="33" t="str">
        <f aca="false">IF($A218="","",IF(P218="Kurang","layar "&amp;H218&amp;" Hz, di bawah batas minimal "&amp;Aturan!$C$53&amp;" Hz",IF(P218="Cukup","layar "&amp;H218&amp;" Hz cukup, nyamannya "&amp;Aturan!$D$53&amp;" Hz atau lebih",IF(P218="Belum ada data","refresh rate belum diketahui",""))))</f>
        <v/>
      </c>
      <c r="X218" s="33" t="str">
        <f aca="false">IF($A218="","",IF(K218="Kurang",R218&amp;"; ","")&amp;IF(L218="Kurang",S218&amp;"; ","")&amp;IF(M218="Kurang",T218&amp;"; ","")&amp;IF(N218="Kurang",U218&amp;"; ","")&amp;IF(O218="Kurang",V218&amp;"; ","")&amp;IF(P218="Kurang",W218&amp;"; ","")&amp;IF(K218="Belum ada data",R218&amp;"; ","")&amp;IF(L218="Belum ada data",S218&amp;"; ","")&amp;IF(M218="Belum ada data",T218&amp;"; ","")&amp;IF(N218="Belum ada data",U218&amp;"; ","")&amp;IF(O218="Belum ada data",V218&amp;"; ","")&amp;IF(P218="Belum ada data",W218&amp;"; ","")&amp;IF(K218="Cukup",R218&amp;"; ","")&amp;IF(L218="Cukup",S218&amp;"; ","")&amp;IF(M218="Cukup",T218&amp;"; ","")&amp;IF(N218="Cukup",U218&amp;"; ","")&amp;IF(O218="Cukup",V218&amp;"; ","")&amp;IF(P218="Cukup",W218&amp;"; ",""))</f>
        <v/>
      </c>
      <c r="Y218" s="33" t="str">
        <f aca="false">IF($A218="","",IF(K218="Nyaman","prosesor, ","")&amp;IF(L218="Nyaman","grafis, ","")&amp;IF(M218="Nyaman","RAM, ","")&amp;IF(N218="Nyaman","penyimpanan, ","")&amp;IF(O218="Nyaman","layar, ","")&amp;IF(P218="Nyaman","refresh rate, ",""))</f>
        <v>prosesor, grafis, RAM, penyimpanan, </v>
      </c>
      <c r="Z218" s="33" t="str">
        <f aca="false">IF($A218="","",IF(Q218="Tidak dinilai","Belum ada kriteria yang dinilai untuk kebutuhan ini.",IF(Q218="Cocok","Semua kriteria yang dinilai sudah nyaman: "&amp;LEFT(Y218,LEN(Y218)-2)&amp;".",UPPER(LEFT(X218,1))&amp;MID(X218,2,LEN(X218)-3)&amp;"."&amp;IF(Y218="",""," Sudah nyaman: "&amp;LEFT(Y218,LEN(Y218)-2)&amp;"."))))</f>
        <v>Semua kriteria yang dinilai sudah nyaman: prosesor, grafis, RAM, penyimpanan.</v>
      </c>
      <c r="AA218" s="33"/>
      <c r="AB218" s="33"/>
      <c r="AC218" s="69"/>
    </row>
    <row r="219" customFormat="false" ht="15" hidden="false" customHeight="true" outlineLevel="0" collapsed="false">
      <c r="A219" s="33" t="str">
        <f aca="false">IF(Varian!$A47="","",Varian!$A47)</f>
        <v>apple-macbook-air-13-m1-m1-8-256</v>
      </c>
      <c r="B219" s="33" t="str">
        <f aca="false">IF($A219="","",Aturan!$A$25)</f>
        <v>Game berat</v>
      </c>
      <c r="C219" s="69" t="n">
        <f aca="false">IF($A219="","",IFERROR(IF(ISNUMBER(INDEX(CPU!$J$4:$J$64,MATCH(Varian!$J47,CPU!$A$4:$A$64,0))),INDEX(CPU!$J$4:$J$64,MATCH(Varian!$J47,CPU!$A$4:$A$64,0)),""),""))</f>
        <v>3</v>
      </c>
      <c r="D219" s="69" t="n">
        <f aca="false">IF($A219="","",IFERROR(IF(ISNUMBER(INDEX(GPU!$G$4:$G$64,MATCH(Varian!$K47,GPU!$A$4:$A$64,0))),INDEX(GPU!$G$4:$G$64,MATCH(Varian!$K47,GPU!$A$4:$A$64,0)),""),""))</f>
        <v>2</v>
      </c>
      <c r="E219" s="69" t="n">
        <f aca="false">IF($A219="","",IF(ISNUMBER(Varian!$M47),Varian!$M47,""))</f>
        <v>8</v>
      </c>
      <c r="F219" s="69" t="n">
        <f aca="false">IF($A219="","",IF(ISNUMBER(Varian!$V47),Varian!$V47,""))</f>
        <v>256</v>
      </c>
      <c r="G219" s="69" t="n">
        <f aca="false">IF($A219="","",IFERROR(INDEX(Aturan!$B$63:$B$66,MATCH(Varian!$AG47,Aturan!$A$63:$A$66,0)),""))</f>
        <v>3</v>
      </c>
      <c r="H219" s="69" t="n">
        <f aca="false">IF($A219="","",IF(ISNUMBER(Varian!$AI47),Varian!$AI47,""))</f>
        <v>60</v>
      </c>
      <c r="I219" s="33" t="str">
        <f aca="false">IF($A219="","",IF(Varian!$Q47="disolder","menempel di papan utama, tidak bisa ditambah",IF(OR(Varian!$Q47="slot",Varian!$Q47="setengah_disolder"),IF(Varian!$Q47="setengah_disolder","sebagian menempel, ","")&amp;IF(ISNUMBER(Varian!$U47),IF(AND(ISNUMBER(Varian!$M47),Varian!$U47&gt;Varian!$M47),"bisa dinaikkan lewat slot sampai "&amp;Varian!$U47&amp;" GB","sudah di batas maksimal "&amp;Varian!$U47&amp;" GB"),"ada slot, batas maksimalnya belum diketahui"),"belum diketahui apakah bisa ditambah")))</f>
        <v>menempel di papan utama, tidak bisa ditambah</v>
      </c>
      <c r="J219" s="33" t="str">
        <f aca="false">IF($A219="","",IF(Varian!$Z47="ya","bisa diganti dengan yang lebih besar",IF(Varian!$Z47="tidak","menempel, tidak bisa diganti","belum diketahui apakah bisa diganti")))</f>
        <v>menempel, tidak bisa diganti</v>
      </c>
      <c r="K219" s="70" t="str">
        <f aca="false">IF($A219="","",IF(AND(Aturan!$C$54="",Aturan!$D$54=""),"Tidak dinilai",IF(C219="","Belum ada data",IF(C219&lt;IF(Aturan!$C$54="",0,Aturan!$C$54),"Kurang",IF(C219&gt;=IF(Aturan!$D$54="",Aturan!$C$54,Aturan!$D$54),"Nyaman","Cukup")))))</f>
        <v>Cukup</v>
      </c>
      <c r="L219" s="70" t="str">
        <f aca="false">IF($A219="","",IF(AND(Aturan!$C$55="",Aturan!$D$55=""),"Tidak dinilai",IF(D219="","Belum ada data",IF(D219&lt;IF(Aturan!$C$55="",0,Aturan!$C$55),"Kurang",IF(D219&gt;=IF(Aturan!$D$55="",Aturan!$C$55,Aturan!$D$55),"Nyaman","Cukup")))))</f>
        <v>Kurang</v>
      </c>
      <c r="M219" s="70" t="str">
        <f aca="false">IF($A219="","",IF(AND(Aturan!$C$56="",Aturan!$D$56=""),"Tidak dinilai",IF(E219="","Belum ada data",IF(E219&lt;IF(Aturan!$C$56="",0,Aturan!$C$56),"Kurang",IF(E219&gt;=IF(Aturan!$D$56="",Aturan!$C$56,Aturan!$D$56),"Nyaman","Cukup")))))</f>
        <v>Cukup</v>
      </c>
      <c r="N219" s="70" t="str">
        <f aca="false">IF($A219="","",IF(AND(Aturan!$C$57="",Aturan!$D$57=""),"Tidak dinilai",IF(F219="","Belum ada data",IF(F219&lt;IF(Aturan!$C$57="",0,Aturan!$C$57),"Kurang",IF(F219&gt;=IF(Aturan!$D$57="",Aturan!$C$57,Aturan!$D$57),"Nyaman","Cukup")))))</f>
        <v>Kurang</v>
      </c>
      <c r="O219" s="70" t="str">
        <f aca="false">IF($A219="","",IF(AND(Aturan!$C$58="",Aturan!$D$58=""),"Tidak dinilai",IF(G219="","Belum ada data",IF(G219&lt;IF(Aturan!$C$58="",0,Aturan!$C$58),"Kurang",IF(G219&gt;=IF(Aturan!$D$58="",Aturan!$C$58,Aturan!$D$58),"Nyaman","Cukup")))))</f>
        <v>Tidak dinilai</v>
      </c>
      <c r="P219" s="70" t="str">
        <f aca="false">IF($A219="","",IF(AND(Aturan!$C$59="",Aturan!$D$59=""),"Tidak dinilai",IF(H219="","Belum ada data",IF(H219&lt;IF(Aturan!$C$59="",0,Aturan!$C$59),"Kurang",IF(H219&gt;=IF(Aturan!$D$59="",Aturan!$C$59,Aturan!$D$59),"Nyaman","Cukup")))))</f>
        <v>Cukup</v>
      </c>
      <c r="Q219" s="70" t="str">
        <f aca="false">IF($A219="","",IF(COUNTIF(K219:P219,"Tidak dinilai")=6,"Tidak dinilai",IF(COUNTIF(K219:P219,"Kurang")&gt;0,"Kurang cocok",IF(COUNTIF(K219:P219,"Belum ada data")&gt;0,"Data belum lengkap",IF(COUNTIF(K219:P219,"Cukup")&gt;0,"Bisa, dengan catatan","Cocok")))))</f>
        <v>Kurang cocok</v>
      </c>
      <c r="R219" s="33" t="str">
        <f aca="false">IF($A219="","",IF(K219="Kurang","prosesor tingkat "&amp;C219&amp;" dari 5, di bawah batas minimal (tingkat "&amp;Aturan!$C$54&amp;")",IF(K219="Cukup","prosesor tingkat "&amp;C219&amp;" dari 5 cukup, nyamannya mulai tingkat "&amp;Aturan!$D$54,IF(K219="Belum ada data","tingkat prosesor belum diisi",""))))</f>
        <v>prosesor tingkat 3 dari 5 cukup, nyamannya mulai tingkat 4</v>
      </c>
      <c r="S219" s="33" t="str">
        <f aca="false">IF($A219="","",IF(L219="Kurang","grafis tingkat "&amp;D219&amp;" dari 5, di bawah batas minimal (tingkat "&amp;Aturan!$C$55&amp;")",IF(L219="Cukup","grafis tingkat "&amp;D219&amp;" dari 5 cukup, nyamannya mulai tingkat "&amp;Aturan!$D$55,IF(L219="Belum ada data","tingkat grafis belum diisi",""))))</f>
        <v>grafis tingkat 2 dari 5, di bawah batas minimal (tingkat 3)</v>
      </c>
      <c r="T219" s="33" t="str">
        <f aca="false">IF($A219="","",IF(M219="Kurang","RAM "&amp;E219&amp;" GB, di bawah batas minimal "&amp;Aturan!$C$56&amp;" GB ("&amp;I219&amp;")",IF(M219="Cukup","RAM "&amp;E219&amp;" GB cukup, nyamannya "&amp;Aturan!$D$56&amp;" GB atau lebih ("&amp;I219&amp;")",IF(M219="Belum ada data","ukuran RAM belum diisi",""))))</f>
        <v>RAM 8 GB cukup, nyamannya 16 GB atau lebih (menempel di papan utama, tidak bisa ditambah)</v>
      </c>
      <c r="U219" s="33" t="str">
        <f aca="false">IF($A219="","",IF(N219="Kurang","penyimpanan "&amp;F219&amp;" GB, di bawah batas minimal "&amp;Aturan!$C$57&amp;" GB ("&amp;J219&amp;")",IF(N219="Cukup","penyimpanan "&amp;F219&amp;" GB cukup, nyamannya "&amp;Aturan!$D$57&amp;" GB atau lebih ("&amp;J219&amp;")",IF(N219="Belum ada data","ukuran penyimpanan belum diisi",""))))</f>
        <v>penyimpanan 256 GB, di bawah batas minimal 512 GB (menempel, tidak bisa diganti)</v>
      </c>
      <c r="V219" s="33" t="str">
        <f aca="false">IF($A219="","",IF(O219="Kurang","layar "&amp;Varian!$AG47&amp;", di bawah batas minimal ("&amp;IFERROR(INDEX(Aturan!$A$63:$A$66,MATCH(Aturan!$C$58,Aturan!$B$63:$B$66,0)),"peringkat "&amp;Aturan!$C$58)&amp;")",IF(O219="Cukup","layar "&amp;Varian!$AG47&amp;" cukup, nyamannya "&amp;IFERROR(INDEX(Aturan!$A$63:$A$66,MATCH(Aturan!$D$58,Aturan!$B$63:$B$66,0)),"peringkat "&amp;Aturan!$D$58),IF(O219="Belum ada data","jenis layar belum diketahui",""))))</f>
        <v/>
      </c>
      <c r="W219" s="33" t="str">
        <f aca="false">IF($A219="","",IF(P219="Kurang","layar "&amp;H219&amp;" Hz, di bawah batas minimal "&amp;Aturan!$C$59&amp;" Hz",IF(P219="Cukup","layar "&amp;H219&amp;" Hz cukup, nyamannya "&amp;Aturan!$D$59&amp;" Hz atau lebih",IF(P219="Belum ada data","refresh rate belum diketahui",""))))</f>
        <v>layar 60 Hz cukup, nyamannya 120 Hz atau lebih</v>
      </c>
      <c r="X219" s="33" t="str">
        <f aca="false">IF($A219="","",IF(K219="Kurang",R219&amp;"; ","")&amp;IF(L219="Kurang",S219&amp;"; ","")&amp;IF(M219="Kurang",T219&amp;"; ","")&amp;IF(N219="Kurang",U219&amp;"; ","")&amp;IF(O219="Kurang",V219&amp;"; ","")&amp;IF(P219="Kurang",W219&amp;"; ","")&amp;IF(K219="Belum ada data",R219&amp;"; ","")&amp;IF(L219="Belum ada data",S219&amp;"; ","")&amp;IF(M219="Belum ada data",T219&amp;"; ","")&amp;IF(N219="Belum ada data",U219&amp;"; ","")&amp;IF(O219="Belum ada data",V219&amp;"; ","")&amp;IF(P219="Belum ada data",W219&amp;"; ","")&amp;IF(K219="Cukup",R219&amp;"; ","")&amp;IF(L219="Cukup",S219&amp;"; ","")&amp;IF(M219="Cukup",T219&amp;"; ","")&amp;IF(N219="Cukup",U219&amp;"; ","")&amp;IF(O219="Cukup",V219&amp;"; ","")&amp;IF(P219="Cukup",W219&amp;"; ",""))</f>
        <v>grafis tingkat 2 dari 5, di bawah batas minimal (tingkat 3); penyimpanan 256 GB, di bawah batas minimal 512 GB (menempel, tidak bisa diganti); prosesor tingkat 3 dari 5 cukup, nyamannya mulai tingkat 4; RAM 8 GB cukup, nyamannya 16 GB atau lebih (menempel di papan utama, tidak bisa ditambah); layar 60 Hz cukup, nyamannya 120 Hz atau lebih; </v>
      </c>
      <c r="Y219" s="33" t="str">
        <f aca="false">IF($A219="","",IF(K219="Nyaman","prosesor, ","")&amp;IF(L219="Nyaman","grafis, ","")&amp;IF(M219="Nyaman","RAM, ","")&amp;IF(N219="Nyaman","penyimpanan, ","")&amp;IF(O219="Nyaman","layar, ","")&amp;IF(P219="Nyaman","refresh rate, ",""))</f>
        <v/>
      </c>
      <c r="Z219" s="33" t="str">
        <f aca="false">IF($A219="","",IF(Q219="Tidak dinilai","Belum ada kriteria yang dinilai untuk kebutuhan ini.",IF(Q219="Cocok","Semua kriteria yang dinilai sudah nyaman: "&amp;LEFT(Y219,LEN(Y219)-2)&amp;".",UPPER(LEFT(X219,1))&amp;MID(X219,2,LEN(X219)-3)&amp;"."&amp;IF(Y219="",""," Sudah nyaman: "&amp;LEFT(Y219,LEN(Y219)-2)&amp;"."))))</f>
        <v>Grafis tingkat 2 dari 5, di bawah batas minimal (tingkat 3); penyimpanan 256 GB, di bawah batas minimal 512 GB (menempel, tidak bisa diganti); prosesor tingkat 3 dari 5 cukup, nyamannya mulai tingkat 4; RAM 8 GB cukup, nyamannya 16 GB atau lebih (menempel di papan utama, tidak bisa ditambah); layar 60 Hz cukup, nyamannya 120 Hz atau lebih.</v>
      </c>
      <c r="AA219" s="33"/>
      <c r="AB219" s="33"/>
      <c r="AC219" s="69"/>
    </row>
    <row r="220" customFormat="false" ht="15" hidden="false" customHeight="true" outlineLevel="0" collapsed="false">
      <c r="A220" s="66" t="str">
        <f aca="false">IF(Varian!$A48="","",Varian!$A48)</f>
        <v>lenovo-thinkpad-x1-carbon-gen-8-i5-10310u-16-256</v>
      </c>
      <c r="B220" s="66" t="str">
        <f aca="false">IF($A220="","",Aturan!$A$21)</f>
        <v>Kuliah dan kantor</v>
      </c>
      <c r="C220" s="67" t="n">
        <f aca="false">IF($A220="","",IFERROR(IF(ISNUMBER(INDEX(CPU!$J$4:$J$64,MATCH(Varian!$J48,CPU!$A$4:$A$64,0))),INDEX(CPU!$J$4:$J$64,MATCH(Varian!$J48,CPU!$A$4:$A$64,0)),""),""))</f>
        <v>2</v>
      </c>
      <c r="D220" s="67" t="n">
        <f aca="false">IF($A220="","",IFERROR(IF(ISNUMBER(INDEX(GPU!$G$4:$G$64,MATCH(Varian!$K48,GPU!$A$4:$A$64,0))),INDEX(GPU!$G$4:$G$64,MATCH(Varian!$K48,GPU!$A$4:$A$64,0)),""),""))</f>
        <v>1</v>
      </c>
      <c r="E220" s="67" t="n">
        <f aca="false">IF($A220="","",IF(ISNUMBER(Varian!$M48),Varian!$M48,""))</f>
        <v>16</v>
      </c>
      <c r="F220" s="67" t="n">
        <f aca="false">IF($A220="","",IF(ISNUMBER(Varian!$V48),Varian!$V48,""))</f>
        <v>256</v>
      </c>
      <c r="G220" s="67" t="n">
        <f aca="false">IF($A220="","",IFERROR(INDEX(Aturan!$B$63:$B$66,MATCH(Varian!$AG48,Aturan!$A$63:$A$66,0)),""))</f>
        <v>3</v>
      </c>
      <c r="H220" s="67" t="n">
        <f aca="false">IF($A220="","",IF(ISNUMBER(Varian!$AI48),Varian!$AI48,""))</f>
        <v>60</v>
      </c>
      <c r="I220" s="66" t="str">
        <f aca="false">IF($A220="","",IF(Varian!$Q48="disolder","menempel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menempel di papan utama, tidak bisa ditambah</v>
      </c>
      <c r="J220" s="66" t="str">
        <f aca="false">IF($A220="","",IF(Varian!$Z48="ya","bisa diganti dengan yang lebih besar",IF(Varian!$Z48="tidak","menempel, tidak bisa diganti","belum diketahui apakah bisa diganti")))</f>
        <v>bisa diganti dengan yang lebih besar</v>
      </c>
      <c r="K220" s="68" t="str">
        <f aca="false">IF($A220="","",IF(AND(Aturan!$C$30="",Aturan!$D$30=""),"Tidak dinilai",IF(C220="","Belum ada data",IF(C220&lt;IF(Aturan!$C$30="",0,Aturan!$C$30),"Kurang",IF(C220&gt;=IF(Aturan!$D$30="",Aturan!$C$30,Aturan!$D$30),"Nyaman","Cukup")))))</f>
        <v>Nyaman</v>
      </c>
      <c r="L220" s="68" t="str">
        <f aca="false">IF($A220="","",IF(AND(Aturan!$C$31="",Aturan!$D$31=""),"Tidak dinilai",IF(D220="","Belum ada data",IF(D220&lt;IF(Aturan!$C$31="",0,Aturan!$C$31),"Kurang",IF(D220&gt;=IF(Aturan!$D$31="",Aturan!$C$31,Aturan!$D$31),"Nyaman","Cukup")))))</f>
        <v>Tidak dinilai</v>
      </c>
      <c r="M220" s="68" t="str">
        <f aca="false">IF($A220="","",IF(AND(Aturan!$C$32="",Aturan!$D$32=""),"Tidak dinilai",IF(E220="","Belum ada data",IF(E220&lt;IF(Aturan!$C$32="",0,Aturan!$C$32),"Kurang",IF(E220&gt;=IF(Aturan!$D$32="",Aturan!$C$32,Aturan!$D$32),"Nyaman","Cukup")))))</f>
        <v>Nyaman</v>
      </c>
      <c r="N220" s="68" t="str">
        <f aca="false">IF($A220="","",IF(AND(Aturan!$C$33="",Aturan!$D$33=""),"Tidak dinilai",IF(F220="","Belum ada data",IF(F220&lt;IF(Aturan!$C$33="",0,Aturan!$C$33),"Kurang",IF(F220&gt;=IF(Aturan!$D$33="",Aturan!$C$33,Aturan!$D$33),"Nyaman","Cukup")))))</f>
        <v>Nyaman</v>
      </c>
      <c r="O220" s="68" t="str">
        <f aca="false">IF($A220="","",IF(AND(Aturan!$C$34="",Aturan!$D$34=""),"Tidak dinilai",IF(G220="","Belum ada data",IF(G220&lt;IF(Aturan!$C$34="",0,Aturan!$C$34),"Kurang",IF(G220&gt;=IF(Aturan!$D$34="",Aturan!$C$34,Aturan!$D$34),"Nyaman","Cukup")))))</f>
        <v>Tidak dinilai</v>
      </c>
      <c r="P220" s="68" t="str">
        <f aca="false">IF($A220="","",IF(AND(Aturan!$C$35="",Aturan!$D$35=""),"Tidak dinilai",IF(H220="","Belum ada data",IF(H220&lt;IF(Aturan!$C$35="",0,Aturan!$C$35),"Kurang",IF(H220&gt;=IF(Aturan!$D$35="",Aturan!$C$35,Aturan!$D$35),"Nyaman","Cukup")))))</f>
        <v>Tidak dinilai</v>
      </c>
      <c r="Q220" s="68" t="str">
        <f aca="false">IF($A220="","",IF(COUNTIF(K220:P220,"Tidak dinilai")=6,"Tidak dinilai",IF(COUNTIF(K220:P220,"Kurang")&gt;0,"Kurang cocok",IF(COUNTIF(K220:P220,"Belum ada data")&gt;0,"Data belum lengkap",IF(COUNTIF(K220:P220,"Cukup")&gt;0,"Bisa, dengan catatan","Cocok")))))</f>
        <v>Cocok</v>
      </c>
      <c r="R220" s="66" t="str">
        <f aca="false">IF($A220="","",IF(K220="Kurang","prosesor tingkat "&amp;C220&amp;" dari 5, di bawah batas minimal (tingkat "&amp;Aturan!$C$30&amp;")",IF(K220="Cukup","prosesor tingkat "&amp;C220&amp;" dari 5 cukup, nyamannya mulai tingkat "&amp;Aturan!$D$30,IF(K220="Belum ada data","tingkat prosesor belum diisi",""))))</f>
        <v/>
      </c>
      <c r="S220" s="66" t="str">
        <f aca="false">IF($A220="","",IF(L220="Kurang","grafis tingkat "&amp;D220&amp;" dari 5, di bawah batas minimal (tingkat "&amp;Aturan!$C$31&amp;")",IF(L220="Cukup","grafis tingkat "&amp;D220&amp;" dari 5 cukup, nyamannya mulai tingkat "&amp;Aturan!$D$31,IF(L220="Belum ada data","tingkat grafis belum diisi",""))))</f>
        <v/>
      </c>
      <c r="T220" s="66" t="str">
        <f aca="false">IF($A220="","",IF(M220="Kurang","RAM "&amp;E220&amp;" GB, di bawah batas minimal "&amp;Aturan!$C$32&amp;" GB ("&amp;I220&amp;")",IF(M220="Cukup","RAM "&amp;E220&amp;" GB cukup, nyamannya "&amp;Aturan!$D$32&amp;" GB atau lebih ("&amp;I220&amp;")",IF(M220="Belum ada data","ukuran RAM belum diisi",""))))</f>
        <v/>
      </c>
      <c r="U220" s="66" t="str">
        <f aca="false">IF($A220="","",IF(N220="Kurang","penyimpanan "&amp;F220&amp;" GB, di bawah batas minimal "&amp;Aturan!$C$33&amp;" GB ("&amp;J220&amp;")",IF(N220="Cukup","penyimpanan "&amp;F220&amp;" GB cukup, nyamannya "&amp;Aturan!$D$33&amp;" GB atau lebih ("&amp;J220&amp;")",IF(N220="Belum ada data","ukuran penyimpanan belum diisi",""))))</f>
        <v/>
      </c>
      <c r="V220" s="66" t="str">
        <f aca="false">IF($A220="","",IF(O220="Kurang","layar "&amp;Varian!$AG48&amp;", di bawah batas minimal ("&amp;IFERROR(INDEX(Aturan!$A$63:$A$66,MATCH(Aturan!$C$34,Aturan!$B$63:$B$66,0)),"peringkat "&amp;Aturan!$C$34)&amp;")",IF(O220="Cukup","layar "&amp;Varian!$AG48&amp;" cukup, nyamannya "&amp;IFERROR(INDEX(Aturan!$A$63:$A$66,MATCH(Aturan!$D$34,Aturan!$B$63:$B$66,0)),"peringkat "&amp;Aturan!$D$34),IF(O220="Belum ada data","jenis layar belum diketahui",""))))</f>
        <v/>
      </c>
      <c r="W220" s="66" t="str">
        <f aca="false">IF($A220="","",IF(P220="Kurang","layar "&amp;H220&amp;" Hz, di bawah batas minimal "&amp;Aturan!$C$35&amp;" Hz",IF(P220="Cukup","layar "&amp;H220&amp;" Hz cukup, nyamannya "&amp;Aturan!$D$35&amp;" Hz atau lebih",IF(P220="Belum ada data","refresh rate belum diketahui",""))))</f>
        <v/>
      </c>
      <c r="X220" s="66" t="str">
        <f aca="false">IF($A220="","",IF(K220="Kurang",R220&amp;"; ","")&amp;IF(L220="Kurang",S220&amp;"; ","")&amp;IF(M220="Kurang",T220&amp;"; ","")&amp;IF(N220="Kurang",U220&amp;"; ","")&amp;IF(O220="Kurang",V220&amp;"; ","")&amp;IF(P220="Kurang",W220&amp;"; ","")&amp;IF(K220="Belum ada data",R220&amp;"; ","")&amp;IF(L220="Belum ada data",S220&amp;"; ","")&amp;IF(M220="Belum ada data",T220&amp;"; ","")&amp;IF(N220="Belum ada data",U220&amp;"; ","")&amp;IF(O220="Belum ada data",V220&amp;"; ","")&amp;IF(P220="Belum ada data",W220&amp;"; ","")&amp;IF(K220="Cukup",R220&amp;"; ","")&amp;IF(L220="Cukup",S220&amp;"; ","")&amp;IF(M220="Cukup",T220&amp;"; ","")&amp;IF(N220="Cukup",U220&amp;"; ","")&amp;IF(O220="Cukup",V220&amp;"; ","")&amp;IF(P220="Cukup",W220&amp;"; ",""))</f>
        <v/>
      </c>
      <c r="Y220" s="66" t="str">
        <f aca="false">IF($A220="","",IF(K220="Nyaman","prosesor, ","")&amp;IF(L220="Nyaman","grafis, ","")&amp;IF(M220="Nyaman","RAM, ","")&amp;IF(N220="Nyaman","penyimpanan, ","")&amp;IF(O220="Nyaman","layar, ","")&amp;IF(P220="Nyaman","refresh rate, ",""))</f>
        <v>prosesor, RAM, penyimpanan, </v>
      </c>
      <c r="Z220" s="66" t="str">
        <f aca="false">IF($A220="","",IF(Q220="Tidak dinilai","Belum ada kriteria yang dinilai untuk kebutuhan ini.",IF(Q220="Cocok","Semua kriteria yang dinilai sudah nyaman: "&amp;LEFT(Y220,LEN(Y220)-2)&amp;".",UPPER(LEFT(X220,1))&amp;MID(X220,2,LEN(X220)-3)&amp;"."&amp;IF(Y220="",""," Sudah nyaman: "&amp;LEFT(Y220,LEN(Y220)-2)&amp;"."))))</f>
        <v>Semua kriteria yang dinilai sudah nyaman: prosesor, RAM, penyimpanan.</v>
      </c>
      <c r="AA220" s="66" t="str">
        <f aca="false">IF($A220="","",IF(Varian!$AR48="Windows 10","• "&amp;Aturan!$E$71&amp;CHAR(10),"")&amp;IF(Varian!$BB48="tidak","• "&amp;Aturan!$E$72&amp;CHAR(10),"")&amp;IF(OR(Varian!$AD48="belum terverifikasi",Varian!$AD48="tidak diketahui"),"• "&amp;Aturan!$E$73&amp;CHAR(10),"")&amp;IF(Varian!$AH48="1366x768","• "&amp;Aturan!$E$74&amp;CHAR(10),"")&amp;IF(Varian!$AG48="TN","• "&amp;Aturan!$E$75&amp;CHAR(10),"")&amp;IF(AND(Varian!$Q48="disolder",ISNUMBER(Varian!$M48),Varian!$M48&lt;=8),"• "&amp;Aturan!$E$76&amp;CHAR(10),""))</f>
        <v/>
      </c>
      <c r="AB220" s="66" t="str">
        <f aca="false">IF($A220="","",IF(AA220="","",LEFT(AA220,LEN(AA220)-1)))</f>
        <v/>
      </c>
      <c r="AC220" s="67" t="n">
        <f aca="false">IF($A220="","",IF(AA220="",0,LEN(AA220)-LEN(SUBSTITUTE(AA220,CHAR(10),""))))</f>
        <v>0</v>
      </c>
    </row>
    <row r="221" customFormat="false" ht="15" hidden="false" customHeight="true" outlineLevel="0" collapsed="false">
      <c r="A221" s="33" t="str">
        <f aca="false">IF(Varian!$A48="","",Varian!$A48)</f>
        <v>lenovo-thinkpad-x1-carbon-gen-8-i5-10310u-16-256</v>
      </c>
      <c r="B221" s="33" t="str">
        <f aca="false">IF($A221="","",Aturan!$A$22)</f>
        <v>Desain grafis</v>
      </c>
      <c r="C221" s="69" t="n">
        <f aca="false">IF($A221="","",IFERROR(IF(ISNUMBER(INDEX(CPU!$J$4:$J$64,MATCH(Varian!$J48,CPU!$A$4:$A$64,0))),INDEX(CPU!$J$4:$J$64,MATCH(Varian!$J48,CPU!$A$4:$A$64,0)),""),""))</f>
        <v>2</v>
      </c>
      <c r="D221" s="69" t="n">
        <f aca="false">IF($A221="","",IFERROR(IF(ISNUMBER(INDEX(GPU!$G$4:$G$64,MATCH(Varian!$K48,GPU!$A$4:$A$64,0))),INDEX(GPU!$G$4:$G$64,MATCH(Varian!$K48,GPU!$A$4:$A$64,0)),""),""))</f>
        <v>1</v>
      </c>
      <c r="E221" s="69" t="n">
        <f aca="false">IF($A221="","",IF(ISNUMBER(Varian!$M48),Varian!$M48,""))</f>
        <v>16</v>
      </c>
      <c r="F221" s="69" t="n">
        <f aca="false">IF($A221="","",IF(ISNUMBER(Varian!$V48),Varian!$V48,""))</f>
        <v>256</v>
      </c>
      <c r="G221" s="69" t="n">
        <f aca="false">IF($A221="","",IFERROR(INDEX(Aturan!$B$63:$B$66,MATCH(Varian!$AG48,Aturan!$A$63:$A$66,0)),""))</f>
        <v>3</v>
      </c>
      <c r="H221" s="69" t="n">
        <f aca="false">IF($A221="","",IF(ISNUMBER(Varian!$AI48),Varian!$AI48,""))</f>
        <v>60</v>
      </c>
      <c r="I221" s="33" t="str">
        <f aca="false">IF($A221="","",IF(Varian!$Q48="disolder","menempel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menempel di papan utama, tidak bisa ditambah</v>
      </c>
      <c r="J221" s="33" t="str">
        <f aca="false">IF($A221="","",IF(Varian!$Z48="ya","bisa diganti dengan yang lebih besar",IF(Varian!$Z48="tidak","menempel, tidak bisa diganti","belum diketahui apakah bisa diganti")))</f>
        <v>bisa diganti dengan yang lebih besar</v>
      </c>
      <c r="K221" s="70" t="str">
        <f aca="false">IF($A221="","",IF(AND(Aturan!$C$36="",Aturan!$D$36=""),"Tidak dinilai",IF(C221="","Belum ada data",IF(C221&lt;IF(Aturan!$C$36="",0,Aturan!$C$36),"Kurang",IF(C221&gt;=IF(Aturan!$D$36="",Aturan!$C$36,Aturan!$D$36),"Nyaman","Cukup")))))</f>
        <v>Cukup</v>
      </c>
      <c r="L221" s="70" t="str">
        <f aca="false">IF($A221="","",IF(AND(Aturan!$C$37="",Aturan!$D$37=""),"Tidak dinilai",IF(D221="","Belum ada data",IF(D221&lt;IF(Aturan!$C$37="",0,Aturan!$C$37),"Kurang",IF(D221&gt;=IF(Aturan!$D$37="",Aturan!$C$37,Aturan!$D$37),"Nyaman","Cukup")))))</f>
        <v>Cukup</v>
      </c>
      <c r="M221" s="70" t="str">
        <f aca="false">IF($A221="","",IF(AND(Aturan!$C$38="",Aturan!$D$38=""),"Tidak dinilai",IF(E221="","Belum ada data",IF(E221&lt;IF(Aturan!$C$38="",0,Aturan!$C$38),"Kurang",IF(E221&gt;=IF(Aturan!$D$38="",Aturan!$C$38,Aturan!$D$38),"Nyaman","Cukup")))))</f>
        <v>Nyaman</v>
      </c>
      <c r="N221" s="70" t="str">
        <f aca="false">IF($A221="","",IF(AND(Aturan!$C$39="",Aturan!$D$39=""),"Tidak dinilai",IF(F221="","Belum ada data",IF(F221&lt;IF(Aturan!$C$39="",0,Aturan!$C$39),"Kurang",IF(F221&gt;=IF(Aturan!$D$39="",Aturan!$C$39,Aturan!$D$39),"Nyaman","Cukup")))))</f>
        <v>Cukup</v>
      </c>
      <c r="O221" s="70" t="str">
        <f aca="false">IF($A221="","",IF(AND(Aturan!$C$40="",Aturan!$D$40=""),"Tidak dinilai",IF(G221="","Belum ada data",IF(G221&lt;IF(Aturan!$C$40="",0,Aturan!$C$40),"Kurang",IF(G221&gt;=IF(Aturan!$D$40="",Aturan!$C$40,Aturan!$D$40),"Nyaman","Cukup")))))</f>
        <v>Cukup</v>
      </c>
      <c r="P221" s="70" t="str">
        <f aca="false">IF($A221="","",IF(AND(Aturan!$C$41="",Aturan!$D$41=""),"Tidak dinilai",IF(H221="","Belum ada data",IF(H221&lt;IF(Aturan!$C$41="",0,Aturan!$C$41),"Kurang",IF(H221&gt;=IF(Aturan!$D$41="",Aturan!$C$41,Aturan!$D$41),"Nyaman","Cukup")))))</f>
        <v>Tidak dinilai</v>
      </c>
      <c r="Q221" s="70" t="str">
        <f aca="false">IF($A221="","",IF(COUNTIF(K221:P221,"Tidak dinilai")=6,"Tidak dinilai",IF(COUNTIF(K221:P221,"Kurang")&gt;0,"Kurang cocok",IF(COUNTIF(K221:P221,"Belum ada data")&gt;0,"Data belum lengkap",IF(COUNTIF(K221:P221,"Cukup")&gt;0,"Bisa, dengan catatan","Cocok")))))</f>
        <v>Bisa, dengan catatan</v>
      </c>
      <c r="R221" s="33" t="str">
        <f aca="false">IF($A221="","",IF(K221="Kurang","prosesor tingkat "&amp;C221&amp;" dari 5, di bawah batas minimal (tingkat "&amp;Aturan!$C$36&amp;")",IF(K221="Cukup","prosesor tingkat "&amp;C221&amp;" dari 5 cukup, nyamannya mulai tingkat "&amp;Aturan!$D$36,IF(K221="Belum ada data","tingkat prosesor belum diisi",""))))</f>
        <v>prosesor tingkat 2 dari 5 cukup, nyamannya mulai tingkat 3</v>
      </c>
      <c r="S221" s="33" t="str">
        <f aca="false">IF($A221="","",IF(L221="Kurang","grafis tingkat "&amp;D221&amp;" dari 5, di bawah batas minimal (tingkat "&amp;Aturan!$C$37&amp;")",IF(L221="Cukup","grafis tingkat "&amp;D221&amp;" dari 5 cukup, nyamannya mulai tingkat "&amp;Aturan!$D$37,IF(L221="Belum ada data","tingkat grafis belum diisi",""))))</f>
        <v>grafis tingkat 1 dari 5 cukup, nyamannya mulai tingkat 2</v>
      </c>
      <c r="T221" s="33" t="str">
        <f aca="false">IF($A221="","",IF(M221="Kurang","RAM "&amp;E221&amp;" GB, di bawah batas minimal "&amp;Aturan!$C$38&amp;" GB ("&amp;I221&amp;")",IF(M221="Cukup","RAM "&amp;E221&amp;" GB cukup, nyamannya "&amp;Aturan!$D$38&amp;" GB atau lebih ("&amp;I221&amp;")",IF(M221="Belum ada data","ukuran RAM belum diisi",""))))</f>
        <v/>
      </c>
      <c r="U221" s="33" t="str">
        <f aca="false">IF($A221="","",IF(N221="Kurang","penyimpanan "&amp;F221&amp;" GB, di bawah batas minimal "&amp;Aturan!$C$39&amp;" GB ("&amp;J221&amp;")",IF(N221="Cukup","penyimpanan "&amp;F221&amp;" GB cukup, nyamannya "&amp;Aturan!$D$39&amp;" GB atau lebih ("&amp;J221&amp;")",IF(N221="Belum ada data","ukuran penyimpanan belum diisi",""))))</f>
        <v>penyimpanan 256 GB cukup, nyamannya 512 GB atau lebih (bisa diganti dengan yang lebih besar)</v>
      </c>
      <c r="V221" s="33" t="str">
        <f aca="false">IF($A221="","",IF(O221="Kurang","layar "&amp;Varian!$AG48&amp;", di bawah batas minimal ("&amp;IFERROR(INDEX(Aturan!$A$63:$A$66,MATCH(Aturan!$C$40,Aturan!$B$63:$B$66,0)),"peringkat "&amp;Aturan!$C$40)&amp;")",IF(O221="Cukup","layar "&amp;Varian!$AG48&amp;" cukup, nyamannya "&amp;IFERROR(INDEX(Aturan!$A$63:$A$66,MATCH(Aturan!$D$40,Aturan!$B$63:$B$66,0)),"peringkat "&amp;Aturan!$D$40),IF(O221="Belum ada data","jenis layar belum diketahui",""))))</f>
        <v>layar IPS cukup, nyamannya OLED</v>
      </c>
      <c r="W221" s="33" t="str">
        <f aca="false">IF($A221="","",IF(P221="Kurang","layar "&amp;H221&amp;" Hz, di bawah batas minimal "&amp;Aturan!$C$41&amp;" Hz",IF(P221="Cukup","layar "&amp;H221&amp;" Hz cukup, nyamannya "&amp;Aturan!$D$41&amp;" Hz atau lebih",IF(P221="Belum ada data","refresh rate belum diketahui",""))))</f>
        <v/>
      </c>
      <c r="X221" s="33" t="str">
        <f aca="false">IF($A221="","",IF(K221="Kurang",R221&amp;"; ","")&amp;IF(L221="Kurang",S221&amp;"; ","")&amp;IF(M221="Kurang",T221&amp;"; ","")&amp;IF(N221="Kurang",U221&amp;"; ","")&amp;IF(O221="Kurang",V221&amp;"; ","")&amp;IF(P221="Kurang",W221&amp;"; ","")&amp;IF(K221="Belum ada data",R221&amp;"; ","")&amp;IF(L221="Belum ada data",S221&amp;"; ","")&amp;IF(M221="Belum ada data",T221&amp;"; ","")&amp;IF(N221="Belum ada data",U221&amp;"; ","")&amp;IF(O221="Belum ada data",V221&amp;"; ","")&amp;IF(P221="Belum ada data",W221&amp;"; ","")&amp;IF(K221="Cukup",R221&amp;"; ","")&amp;IF(L221="Cukup",S221&amp;"; ","")&amp;IF(M221="Cukup",T221&amp;"; ","")&amp;IF(N221="Cukup",U221&amp;"; ","")&amp;IF(O221="Cukup",V221&amp;"; ","")&amp;IF(P221="Cukup",W221&amp;"; ",""))</f>
        <v>prosesor tingkat 2 dari 5 cukup, nyamannya mulai tingkat 3; grafis tingkat 1 dari 5 cukup, nyamannya mulai tingkat 2; penyimpanan 256 GB cukup, nyamannya 512 GB atau lebih (bisa diganti dengan yang lebih besar); layar IPS cukup, nyamannya OLED; </v>
      </c>
      <c r="Y221" s="33" t="str">
        <f aca="false">IF($A221="","",IF(K221="Nyaman","prosesor, ","")&amp;IF(L221="Nyaman","grafis, ","")&amp;IF(M221="Nyaman","RAM, ","")&amp;IF(N221="Nyaman","penyimpanan, ","")&amp;IF(O221="Nyaman","layar, ","")&amp;IF(P221="Nyaman","refresh rate, ",""))</f>
        <v>RAM, </v>
      </c>
      <c r="Z221" s="33" t="str">
        <f aca="false">IF($A221="","",IF(Q221="Tidak dinilai","Belum ada kriteria yang dinilai untuk kebutuhan ini.",IF(Q221="Cocok","Semua kriteria yang dinilai sudah nyaman: "&amp;LEFT(Y221,LEN(Y221)-2)&amp;".",UPPER(LEFT(X221,1))&amp;MID(X221,2,LEN(X221)-3)&amp;"."&amp;IF(Y221="",""," Sudah nyaman: "&amp;LEFT(Y221,LEN(Y221)-2)&amp;"."))))</f>
        <v>Prosesor tingkat 2 dari 5 cukup, nyamannya mulai tingkat 3; grafis tingkat 1 dari 5 cukup, nyamannya mulai tingkat 2; penyimpanan 256 GB cukup, nyamannya 512 GB atau lebih (bisa diganti dengan yang lebih besar); layar IPS cukup, nyamannya OLED. Sudah nyaman: RAM.</v>
      </c>
      <c r="AA221" s="33"/>
      <c r="AB221" s="33"/>
      <c r="AC221" s="69"/>
    </row>
    <row r="222" customFormat="false" ht="15" hidden="false" customHeight="true" outlineLevel="0" collapsed="false">
      <c r="A222" s="33" t="str">
        <f aca="false">IF(Varian!$A48="","",Varian!$A48)</f>
        <v>lenovo-thinkpad-x1-carbon-gen-8-i5-10310u-16-256</v>
      </c>
      <c r="B222" s="33" t="str">
        <f aca="false">IF($A222="","",Aturan!$A$23)</f>
        <v>Pemrograman</v>
      </c>
      <c r="C222" s="69" t="n">
        <f aca="false">IF($A222="","",IFERROR(IF(ISNUMBER(INDEX(CPU!$J$4:$J$64,MATCH(Varian!$J48,CPU!$A$4:$A$64,0))),INDEX(CPU!$J$4:$J$64,MATCH(Varian!$J48,CPU!$A$4:$A$64,0)),""),""))</f>
        <v>2</v>
      </c>
      <c r="D222" s="69" t="n">
        <f aca="false">IF($A222="","",IFERROR(IF(ISNUMBER(INDEX(GPU!$G$4:$G$64,MATCH(Varian!$K48,GPU!$A$4:$A$64,0))),INDEX(GPU!$G$4:$G$64,MATCH(Varian!$K48,GPU!$A$4:$A$64,0)),""),""))</f>
        <v>1</v>
      </c>
      <c r="E222" s="69" t="n">
        <f aca="false">IF($A222="","",IF(ISNUMBER(Varian!$M48),Varian!$M48,""))</f>
        <v>16</v>
      </c>
      <c r="F222" s="69" t="n">
        <f aca="false">IF($A222="","",IF(ISNUMBER(Varian!$V48),Varian!$V48,""))</f>
        <v>256</v>
      </c>
      <c r="G222" s="69" t="n">
        <f aca="false">IF($A222="","",IFERROR(INDEX(Aturan!$B$63:$B$66,MATCH(Varian!$AG48,Aturan!$A$63:$A$66,0)),""))</f>
        <v>3</v>
      </c>
      <c r="H222" s="69" t="n">
        <f aca="false">IF($A222="","",IF(ISNUMBER(Varian!$AI48),Varian!$AI48,""))</f>
        <v>60</v>
      </c>
      <c r="I222" s="33" t="str">
        <f aca="false">IF($A222="","",IF(Varian!$Q48="disolder","menempel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menempel di papan utama, tidak bisa ditambah</v>
      </c>
      <c r="J222" s="33" t="str">
        <f aca="false">IF($A222="","",IF(Varian!$Z48="ya","bisa diganti dengan yang lebih besar",IF(Varian!$Z48="tidak","menempel, tidak bisa diganti","belum diketahui apakah bisa diganti")))</f>
        <v>bisa diganti dengan yang lebih besar</v>
      </c>
      <c r="K222" s="70" t="str">
        <f aca="false">IF($A222="","",IF(AND(Aturan!$C$42="",Aturan!$D$42=""),"Tidak dinilai",IF(C222="","Belum ada data",IF(C222&lt;IF(Aturan!$C$42="",0,Aturan!$C$42),"Kurang",IF(C222&gt;=IF(Aturan!$D$42="",Aturan!$C$42,Aturan!$D$42),"Nyaman","Cukup")))))</f>
        <v>Cukup</v>
      </c>
      <c r="L222" s="70" t="str">
        <f aca="false">IF($A222="","",IF(AND(Aturan!$C$43="",Aturan!$D$43=""),"Tidak dinilai",IF(D222="","Belum ada data",IF(D222&lt;IF(Aturan!$C$43="",0,Aturan!$C$43),"Kurang",IF(D222&gt;=IF(Aturan!$D$43="",Aturan!$C$43,Aturan!$D$43),"Nyaman","Cukup")))))</f>
        <v>Tidak dinilai</v>
      </c>
      <c r="M222" s="70" t="str">
        <f aca="false">IF($A222="","",IF(AND(Aturan!$C$44="",Aturan!$D$44=""),"Tidak dinilai",IF(E222="","Belum ada data",IF(E222&lt;IF(Aturan!$C$44="",0,Aturan!$C$44),"Kurang",IF(E222&gt;=IF(Aturan!$D$44="",Aturan!$C$44,Aturan!$D$44),"Nyaman","Cukup")))))</f>
        <v>Nyaman</v>
      </c>
      <c r="N222" s="70" t="str">
        <f aca="false">IF($A222="","",IF(AND(Aturan!$C$45="",Aturan!$D$45=""),"Tidak dinilai",IF(F222="","Belum ada data",IF(F222&lt;IF(Aturan!$C$45="",0,Aturan!$C$45),"Kurang",IF(F222&gt;=IF(Aturan!$D$45="",Aturan!$C$45,Aturan!$D$45),"Nyaman","Cukup")))))</f>
        <v>Cukup</v>
      </c>
      <c r="O222" s="70" t="str">
        <f aca="false">IF($A222="","",IF(AND(Aturan!$C$46="",Aturan!$D$46=""),"Tidak dinilai",IF(G222="","Belum ada data",IF(G222&lt;IF(Aturan!$C$46="",0,Aturan!$C$46),"Kurang",IF(G222&gt;=IF(Aturan!$D$46="",Aturan!$C$46,Aturan!$D$46),"Nyaman","Cukup")))))</f>
        <v>Tidak dinilai</v>
      </c>
      <c r="P222" s="70" t="str">
        <f aca="false">IF($A222="","",IF(AND(Aturan!$C$47="",Aturan!$D$47=""),"Tidak dinilai",IF(H222="","Belum ada data",IF(H222&lt;IF(Aturan!$C$47="",0,Aturan!$C$47),"Kurang",IF(H222&gt;=IF(Aturan!$D$47="",Aturan!$C$47,Aturan!$D$47),"Nyaman","Cukup")))))</f>
        <v>Tidak dinilai</v>
      </c>
      <c r="Q222" s="70" t="str">
        <f aca="false">IF($A222="","",IF(COUNTIF(K222:P222,"Tidak dinilai")=6,"Tidak dinilai",IF(COUNTIF(K222:P222,"Kurang")&gt;0,"Kurang cocok",IF(COUNTIF(K222:P222,"Belum ada data")&gt;0,"Data belum lengkap",IF(COUNTIF(K222:P222,"Cukup")&gt;0,"Bisa, dengan catatan","Cocok")))))</f>
        <v>Bisa, dengan catatan</v>
      </c>
      <c r="R222" s="33" t="str">
        <f aca="false">IF($A222="","",IF(K222="Kurang","prosesor tingkat "&amp;C222&amp;" dari 5, di bawah batas minimal (tingkat "&amp;Aturan!$C$42&amp;")",IF(K222="Cukup","prosesor tingkat "&amp;C222&amp;" dari 5 cukup, nyamannya mulai tingkat "&amp;Aturan!$D$42,IF(K222="Belum ada data","tingkat prosesor belum diisi",""))))</f>
        <v>prosesor tingkat 2 dari 5 cukup, nyamannya mulai tingkat 3</v>
      </c>
      <c r="S222" s="33" t="str">
        <f aca="false">IF($A222="","",IF(L222="Kurang","grafis tingkat "&amp;D222&amp;" dari 5, di bawah batas minimal (tingkat "&amp;Aturan!$C$43&amp;")",IF(L222="Cukup","grafis tingkat "&amp;D222&amp;" dari 5 cukup, nyamannya mulai tingkat "&amp;Aturan!$D$43,IF(L222="Belum ada data","tingkat grafis belum diisi",""))))</f>
        <v/>
      </c>
      <c r="T222" s="33" t="str">
        <f aca="false">IF($A222="","",IF(M222="Kurang","RAM "&amp;E222&amp;" GB, di bawah batas minimal "&amp;Aturan!$C$44&amp;" GB ("&amp;I222&amp;")",IF(M222="Cukup","RAM "&amp;E222&amp;" GB cukup, nyamannya "&amp;Aturan!$D$44&amp;" GB atau lebih ("&amp;I222&amp;")",IF(M222="Belum ada data","ukuran RAM belum diisi",""))))</f>
        <v/>
      </c>
      <c r="U222" s="33" t="str">
        <f aca="false">IF($A222="","",IF(N222="Kurang","penyimpanan "&amp;F222&amp;" GB, di bawah batas minimal "&amp;Aturan!$C$45&amp;" GB ("&amp;J222&amp;")",IF(N222="Cukup","penyimpanan "&amp;F222&amp;" GB cukup, nyamannya "&amp;Aturan!$D$45&amp;" GB atau lebih ("&amp;J222&amp;")",IF(N222="Belum ada data","ukuran penyimpanan belum diisi",""))))</f>
        <v>penyimpanan 256 GB cukup, nyamannya 512 GB atau lebih (bisa diganti dengan yang lebih besar)</v>
      </c>
      <c r="V222" s="33" t="str">
        <f aca="false">IF($A222="","",IF(O222="Kurang","layar "&amp;Varian!$AG48&amp;", di bawah batas minimal ("&amp;IFERROR(INDEX(Aturan!$A$63:$A$66,MATCH(Aturan!$C$46,Aturan!$B$63:$B$66,0)),"peringkat "&amp;Aturan!$C$46)&amp;")",IF(O222="Cukup","layar "&amp;Varian!$AG48&amp;" cukup, nyamannya "&amp;IFERROR(INDEX(Aturan!$A$63:$A$66,MATCH(Aturan!$D$46,Aturan!$B$63:$B$66,0)),"peringkat "&amp;Aturan!$D$46),IF(O222="Belum ada data","jenis layar belum diketahui",""))))</f>
        <v/>
      </c>
      <c r="W222" s="33" t="str">
        <f aca="false">IF($A222="","",IF(P222="Kurang","layar "&amp;H222&amp;" Hz, di bawah batas minimal "&amp;Aturan!$C$47&amp;" Hz",IF(P222="Cukup","layar "&amp;H222&amp;" Hz cukup, nyamannya "&amp;Aturan!$D$47&amp;" Hz atau lebih",IF(P222="Belum ada data","refresh rate belum diketahui",""))))</f>
        <v/>
      </c>
      <c r="X222" s="33" t="str">
        <f aca="false">IF($A222="","",IF(K222="Kurang",R222&amp;"; ","")&amp;IF(L222="Kurang",S222&amp;"; ","")&amp;IF(M222="Kurang",T222&amp;"; ","")&amp;IF(N222="Kurang",U222&amp;"; ","")&amp;IF(O222="Kurang",V222&amp;"; ","")&amp;IF(P222="Kurang",W222&amp;"; ","")&amp;IF(K222="Belum ada data",R222&amp;"; ","")&amp;IF(L222="Belum ada data",S222&amp;"; ","")&amp;IF(M222="Belum ada data",T222&amp;"; ","")&amp;IF(N222="Belum ada data",U222&amp;"; ","")&amp;IF(O222="Belum ada data",V222&amp;"; ","")&amp;IF(P222="Belum ada data",W222&amp;"; ","")&amp;IF(K222="Cukup",R222&amp;"; ","")&amp;IF(L222="Cukup",S222&amp;"; ","")&amp;IF(M222="Cukup",T222&amp;"; ","")&amp;IF(N222="Cukup",U222&amp;"; ","")&amp;IF(O222="Cukup",V222&amp;"; ","")&amp;IF(P222="Cukup",W222&amp;"; ",""))</f>
        <v>prosesor tingkat 2 dari 5 cukup, nyamannya mulai tingkat 3; penyimpanan 256 GB cukup, nyamannya 512 GB atau lebih (bisa diganti dengan yang lebih besar); </v>
      </c>
      <c r="Y222" s="33" t="str">
        <f aca="false">IF($A222="","",IF(K222="Nyaman","prosesor, ","")&amp;IF(L222="Nyaman","grafis, ","")&amp;IF(M222="Nyaman","RAM, ","")&amp;IF(N222="Nyaman","penyimpanan, ","")&amp;IF(O222="Nyaman","layar, ","")&amp;IF(P222="Nyaman","refresh rate, ",""))</f>
        <v>RAM, </v>
      </c>
      <c r="Z222" s="33" t="str">
        <f aca="false">IF($A222="","",IF(Q222="Tidak dinilai","Belum ada kriteria yang dinilai untuk kebutuhan ini.",IF(Q222="Cocok","Semua kriteria yang dinilai sudah nyaman: "&amp;LEFT(Y222,LEN(Y222)-2)&amp;".",UPPER(LEFT(X222,1))&amp;MID(X222,2,LEN(X222)-3)&amp;"."&amp;IF(Y222="",""," Sudah nyaman: "&amp;LEFT(Y222,LEN(Y222)-2)&amp;"."))))</f>
        <v>Prosesor tingkat 2 dari 5 cukup, nyamannya mulai tingkat 3; penyimpanan 256 GB cukup, nyamannya 512 GB atau lebih (bisa diganti dengan yang lebih besar). Sudah nyaman: RAM.</v>
      </c>
      <c r="AA222" s="33"/>
      <c r="AB222" s="33"/>
      <c r="AC222" s="69"/>
    </row>
    <row r="223" customFormat="false" ht="15" hidden="false" customHeight="true" outlineLevel="0" collapsed="false">
      <c r="A223" s="33" t="str">
        <f aca="false">IF(Varian!$A48="","",Varian!$A48)</f>
        <v>lenovo-thinkpad-x1-carbon-gen-8-i5-10310u-16-256</v>
      </c>
      <c r="B223" s="33" t="str">
        <f aca="false">IF($A223="","",Aturan!$A$24)</f>
        <v>Game ringan</v>
      </c>
      <c r="C223" s="69" t="n">
        <f aca="false">IF($A223="","",IFERROR(IF(ISNUMBER(INDEX(CPU!$J$4:$J$64,MATCH(Varian!$J48,CPU!$A$4:$A$64,0))),INDEX(CPU!$J$4:$J$64,MATCH(Varian!$J48,CPU!$A$4:$A$64,0)),""),""))</f>
        <v>2</v>
      </c>
      <c r="D223" s="69" t="n">
        <f aca="false">IF($A223="","",IFERROR(IF(ISNUMBER(INDEX(GPU!$G$4:$G$64,MATCH(Varian!$K48,GPU!$A$4:$A$64,0))),INDEX(GPU!$G$4:$G$64,MATCH(Varian!$K48,GPU!$A$4:$A$64,0)),""),""))</f>
        <v>1</v>
      </c>
      <c r="E223" s="69" t="n">
        <f aca="false">IF($A223="","",IF(ISNUMBER(Varian!$M48),Varian!$M48,""))</f>
        <v>16</v>
      </c>
      <c r="F223" s="69" t="n">
        <f aca="false">IF($A223="","",IF(ISNUMBER(Varian!$V48),Varian!$V48,""))</f>
        <v>256</v>
      </c>
      <c r="G223" s="69" t="n">
        <f aca="false">IF($A223="","",IFERROR(INDEX(Aturan!$B$63:$B$66,MATCH(Varian!$AG48,Aturan!$A$63:$A$66,0)),""))</f>
        <v>3</v>
      </c>
      <c r="H223" s="69" t="n">
        <f aca="false">IF($A223="","",IF(ISNUMBER(Varian!$AI48),Varian!$AI48,""))</f>
        <v>60</v>
      </c>
      <c r="I223" s="33" t="str">
        <f aca="false">IF($A223="","",IF(Varian!$Q48="disolder","menempel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menempel di papan utama, tidak bisa ditambah</v>
      </c>
      <c r="J223" s="33" t="str">
        <f aca="false">IF($A223="","",IF(Varian!$Z48="ya","bisa diganti dengan yang lebih besar",IF(Varian!$Z48="tidak","menempel, tidak bisa diganti","belum diketahui apakah bisa diganti")))</f>
        <v>bisa diganti dengan yang lebih besar</v>
      </c>
      <c r="K223" s="70" t="str">
        <f aca="false">IF($A223="","",IF(AND(Aturan!$C$48="",Aturan!$D$48=""),"Tidak dinilai",IF(C223="","Belum ada data",IF(C223&lt;IF(Aturan!$C$48="",0,Aturan!$C$48),"Kurang",IF(C223&gt;=IF(Aturan!$D$48="",Aturan!$C$48,Aturan!$D$48),"Nyaman","Cukup")))))</f>
        <v>Cukup</v>
      </c>
      <c r="L223" s="70" t="str">
        <f aca="false">IF($A223="","",IF(AND(Aturan!$C$49="",Aturan!$D$49=""),"Tidak dinilai",IF(D223="","Belum ada data",IF(D223&lt;IF(Aturan!$C$49="",0,Aturan!$C$49),"Kurang",IF(D223&gt;=IF(Aturan!$D$49="",Aturan!$C$49,Aturan!$D$49),"Nyaman","Cukup")))))</f>
        <v>Cukup</v>
      </c>
      <c r="M223" s="70" t="str">
        <f aca="false">IF($A223="","",IF(AND(Aturan!$C$50="",Aturan!$D$50=""),"Tidak dinilai",IF(E223="","Belum ada data",IF(E223&lt;IF(Aturan!$C$50="",0,Aturan!$C$50),"Kurang",IF(E223&gt;=IF(Aturan!$D$50="",Aturan!$C$50,Aturan!$D$50),"Nyaman","Cukup")))))</f>
        <v>Nyaman</v>
      </c>
      <c r="N223" s="70" t="str">
        <f aca="false">IF($A223="","",IF(AND(Aturan!$C$51="",Aturan!$D$51=""),"Tidak dinilai",IF(F223="","Belum ada data",IF(F223&lt;IF(Aturan!$C$51="",0,Aturan!$C$51),"Kurang",IF(F223&gt;=IF(Aturan!$D$51="",Aturan!$C$51,Aturan!$D$51),"Nyaman","Cukup")))))</f>
        <v>Nyaman</v>
      </c>
      <c r="O223" s="70" t="str">
        <f aca="false">IF($A223="","",IF(AND(Aturan!$C$52="",Aturan!$D$52=""),"Tidak dinilai",IF(G223="","Belum ada data",IF(G223&lt;IF(Aturan!$C$52="",0,Aturan!$C$52),"Kurang",IF(G223&gt;=IF(Aturan!$D$52="",Aturan!$C$52,Aturan!$D$52),"Nyaman","Cukup")))))</f>
        <v>Tidak dinilai</v>
      </c>
      <c r="P223" s="70" t="str">
        <f aca="false">IF($A223="","",IF(AND(Aturan!$C$53="",Aturan!$D$53=""),"Tidak dinilai",IF(H223="","Belum ada data",IF(H223&lt;IF(Aturan!$C$53="",0,Aturan!$C$53),"Kurang",IF(H223&gt;=IF(Aturan!$D$53="",Aturan!$C$53,Aturan!$D$53),"Nyaman","Cukup")))))</f>
        <v>Tidak dinilai</v>
      </c>
      <c r="Q223" s="70" t="str">
        <f aca="false">IF($A223="","",IF(COUNTIF(K223:P223,"Tidak dinilai")=6,"Tidak dinilai",IF(COUNTIF(K223:P223,"Kurang")&gt;0,"Kurang cocok",IF(COUNTIF(K223:P223,"Belum ada data")&gt;0,"Data belum lengkap",IF(COUNTIF(K223:P223,"Cukup")&gt;0,"Bisa, dengan catatan","Cocok")))))</f>
        <v>Bisa, dengan catatan</v>
      </c>
      <c r="R223" s="33" t="str">
        <f aca="false">IF($A223="","",IF(K223="Kurang","prosesor tingkat "&amp;C223&amp;" dari 5, di bawah batas minimal (tingkat "&amp;Aturan!$C$48&amp;")",IF(K223="Cukup","prosesor tingkat "&amp;C223&amp;" dari 5 cukup, nyamannya mulai tingkat "&amp;Aturan!$D$48,IF(K223="Belum ada data","tingkat prosesor belum diisi",""))))</f>
        <v>prosesor tingkat 2 dari 5 cukup, nyamannya mulai tingkat 3</v>
      </c>
      <c r="S223" s="33" t="str">
        <f aca="false">IF($A223="","",IF(L223="Kurang","grafis tingkat "&amp;D223&amp;" dari 5, di bawah batas minimal (tingkat "&amp;Aturan!$C$49&amp;")",IF(L223="Cukup","grafis tingkat "&amp;D223&amp;" dari 5 cukup, nyamannya mulai tingkat "&amp;Aturan!$D$49,IF(L223="Belum ada data","tingkat grafis belum diisi",""))))</f>
        <v>grafis tingkat 1 dari 5 cukup, nyamannya mulai tingkat 2</v>
      </c>
      <c r="T223" s="33" t="str">
        <f aca="false">IF($A223="","",IF(M223="Kurang","RAM "&amp;E223&amp;" GB, di bawah batas minimal "&amp;Aturan!$C$50&amp;" GB ("&amp;I223&amp;")",IF(M223="Cukup","RAM "&amp;E223&amp;" GB cukup, nyamannya "&amp;Aturan!$D$50&amp;" GB atau lebih ("&amp;I223&amp;")",IF(M223="Belum ada data","ukuran RAM belum diisi",""))))</f>
        <v/>
      </c>
      <c r="U223" s="33" t="str">
        <f aca="false">IF($A223="","",IF(N223="Kurang","penyimpanan "&amp;F223&amp;" GB, di bawah batas minimal "&amp;Aturan!$C$51&amp;" GB ("&amp;J223&amp;")",IF(N223="Cukup","penyimpanan "&amp;F223&amp;" GB cukup, nyamannya "&amp;Aturan!$D$51&amp;" GB atau lebih ("&amp;J223&amp;")",IF(N223="Belum ada data","ukuran penyimpanan belum diisi",""))))</f>
        <v/>
      </c>
      <c r="V223" s="33" t="str">
        <f aca="false">IF($A223="","",IF(O223="Kurang","layar "&amp;Varian!$AG48&amp;", di bawah batas minimal ("&amp;IFERROR(INDEX(Aturan!$A$63:$A$66,MATCH(Aturan!$C$52,Aturan!$B$63:$B$66,0)),"peringkat "&amp;Aturan!$C$52)&amp;")",IF(O223="Cukup","layar "&amp;Varian!$AG48&amp;" cukup, nyamannya "&amp;IFERROR(INDEX(Aturan!$A$63:$A$66,MATCH(Aturan!$D$52,Aturan!$B$63:$B$66,0)),"peringkat "&amp;Aturan!$D$52),IF(O223="Belum ada data","jenis layar belum diketahui",""))))</f>
        <v/>
      </c>
      <c r="W223" s="33" t="str">
        <f aca="false">IF($A223="","",IF(P223="Kurang","layar "&amp;H223&amp;" Hz, di bawah batas minimal "&amp;Aturan!$C$53&amp;" Hz",IF(P223="Cukup","layar "&amp;H223&amp;" Hz cukup, nyamannya "&amp;Aturan!$D$53&amp;" Hz atau lebih",IF(P223="Belum ada data","refresh rate belum diketahui",""))))</f>
        <v/>
      </c>
      <c r="X223" s="33" t="str">
        <f aca="false">IF($A223="","",IF(K223="Kurang",R223&amp;"; ","")&amp;IF(L223="Kurang",S223&amp;"; ","")&amp;IF(M223="Kurang",T223&amp;"; ","")&amp;IF(N223="Kurang",U223&amp;"; ","")&amp;IF(O223="Kurang",V223&amp;"; ","")&amp;IF(P223="Kurang",W223&amp;"; ","")&amp;IF(K223="Belum ada data",R223&amp;"; ","")&amp;IF(L223="Belum ada data",S223&amp;"; ","")&amp;IF(M223="Belum ada data",T223&amp;"; ","")&amp;IF(N223="Belum ada data",U223&amp;"; ","")&amp;IF(O223="Belum ada data",V223&amp;"; ","")&amp;IF(P223="Belum ada data",W223&amp;"; ","")&amp;IF(K223="Cukup",R223&amp;"; ","")&amp;IF(L223="Cukup",S223&amp;"; ","")&amp;IF(M223="Cukup",T223&amp;"; ","")&amp;IF(N223="Cukup",U223&amp;"; ","")&amp;IF(O223="Cukup",V223&amp;"; ","")&amp;IF(P223="Cukup",W223&amp;"; ",""))</f>
        <v>prosesor tingkat 2 dari 5 cukup, nyamannya mulai tingkat 3; grafis tingkat 1 dari 5 cukup, nyamannya mulai tingkat 2; </v>
      </c>
      <c r="Y223" s="33" t="str">
        <f aca="false">IF($A223="","",IF(K223="Nyaman","prosesor, ","")&amp;IF(L223="Nyaman","grafis, ","")&amp;IF(M223="Nyaman","RAM, ","")&amp;IF(N223="Nyaman","penyimpanan, ","")&amp;IF(O223="Nyaman","layar, ","")&amp;IF(P223="Nyaman","refresh rate, ",""))</f>
        <v>RAM, penyimpanan, </v>
      </c>
      <c r="Z223" s="33" t="str">
        <f aca="false">IF($A223="","",IF(Q223="Tidak dinilai","Belum ada kriteria yang dinilai untuk kebutuhan ini.",IF(Q223="Cocok","Semua kriteria yang dinilai sudah nyaman: "&amp;LEFT(Y223,LEN(Y223)-2)&amp;".",UPPER(LEFT(X223,1))&amp;MID(X223,2,LEN(X223)-3)&amp;"."&amp;IF(Y223="",""," Sudah nyaman: "&amp;LEFT(Y223,LEN(Y223)-2)&amp;"."))))</f>
        <v>Prosesor tingkat 2 dari 5 cukup, nyamannya mulai tingkat 3; grafis tingkat 1 dari 5 cukup, nyamannya mulai tingkat 2. Sudah nyaman: RAM, penyimpanan.</v>
      </c>
      <c r="AA223" s="33"/>
      <c r="AB223" s="33"/>
      <c r="AC223" s="69"/>
    </row>
    <row r="224" customFormat="false" ht="15" hidden="false" customHeight="true" outlineLevel="0" collapsed="false">
      <c r="A224" s="33" t="str">
        <f aca="false">IF(Varian!$A48="","",Varian!$A48)</f>
        <v>lenovo-thinkpad-x1-carbon-gen-8-i5-10310u-16-256</v>
      </c>
      <c r="B224" s="33" t="str">
        <f aca="false">IF($A224="","",Aturan!$A$25)</f>
        <v>Game berat</v>
      </c>
      <c r="C224" s="69" t="n">
        <f aca="false">IF($A224="","",IFERROR(IF(ISNUMBER(INDEX(CPU!$J$4:$J$64,MATCH(Varian!$J48,CPU!$A$4:$A$64,0))),INDEX(CPU!$J$4:$J$64,MATCH(Varian!$J48,CPU!$A$4:$A$64,0)),""),""))</f>
        <v>2</v>
      </c>
      <c r="D224" s="69" t="n">
        <f aca="false">IF($A224="","",IFERROR(IF(ISNUMBER(INDEX(GPU!$G$4:$G$64,MATCH(Varian!$K48,GPU!$A$4:$A$64,0))),INDEX(GPU!$G$4:$G$64,MATCH(Varian!$K48,GPU!$A$4:$A$64,0)),""),""))</f>
        <v>1</v>
      </c>
      <c r="E224" s="69" t="n">
        <f aca="false">IF($A224="","",IF(ISNUMBER(Varian!$M48),Varian!$M48,""))</f>
        <v>16</v>
      </c>
      <c r="F224" s="69" t="n">
        <f aca="false">IF($A224="","",IF(ISNUMBER(Varian!$V48),Varian!$V48,""))</f>
        <v>256</v>
      </c>
      <c r="G224" s="69" t="n">
        <f aca="false">IF($A224="","",IFERROR(INDEX(Aturan!$B$63:$B$66,MATCH(Varian!$AG48,Aturan!$A$63:$A$66,0)),""))</f>
        <v>3</v>
      </c>
      <c r="H224" s="69" t="n">
        <f aca="false">IF($A224="","",IF(ISNUMBER(Varian!$AI48),Varian!$AI48,""))</f>
        <v>60</v>
      </c>
      <c r="I224" s="33" t="str">
        <f aca="false">IF($A224="","",IF(Varian!$Q48="disolder","menempel di papan utama, tidak bisa ditambah",IF(OR(Varian!$Q48="slot",Varian!$Q48="setengah_disolder"),IF(Varian!$Q48="setengah_disolder","sebagian menempel, ","")&amp;IF(ISNUMBER(Varian!$U48),IF(AND(ISNUMBER(Varian!$M48),Varian!$U48&gt;Varian!$M48),"bisa dinaikkan lewat slot sampai "&amp;Varian!$U48&amp;" GB","sudah di batas maksimal "&amp;Varian!$U48&amp;" GB"),"ada slot, batas maksimalnya belum diketahui"),"belum diketahui apakah bisa ditambah")))</f>
        <v>menempel di papan utama, tidak bisa ditambah</v>
      </c>
      <c r="J224" s="33" t="str">
        <f aca="false">IF($A224="","",IF(Varian!$Z48="ya","bisa diganti dengan yang lebih besar",IF(Varian!$Z48="tidak","menempel, tidak bisa diganti","belum diketahui apakah bisa diganti")))</f>
        <v>bisa diganti dengan yang lebih besar</v>
      </c>
      <c r="K224" s="70" t="str">
        <f aca="false">IF($A224="","",IF(AND(Aturan!$C$54="",Aturan!$D$54=""),"Tidak dinilai",IF(C224="","Belum ada data",IF(C224&lt;IF(Aturan!$C$54="",0,Aturan!$C$54),"Kurang",IF(C224&gt;=IF(Aturan!$D$54="",Aturan!$C$54,Aturan!$D$54),"Nyaman","Cukup")))))</f>
        <v>Kurang</v>
      </c>
      <c r="L224" s="70" t="str">
        <f aca="false">IF($A224="","",IF(AND(Aturan!$C$55="",Aturan!$D$55=""),"Tidak dinilai",IF(D224="","Belum ada data",IF(D224&lt;IF(Aturan!$C$55="",0,Aturan!$C$55),"Kurang",IF(D224&gt;=IF(Aturan!$D$55="",Aturan!$C$55,Aturan!$D$55),"Nyaman","Cukup")))))</f>
        <v>Kurang</v>
      </c>
      <c r="M224" s="70" t="str">
        <f aca="false">IF($A224="","",IF(AND(Aturan!$C$56="",Aturan!$D$56=""),"Tidak dinilai",IF(E224="","Belum ada data",IF(E224&lt;IF(Aturan!$C$56="",0,Aturan!$C$56),"Kurang",IF(E224&gt;=IF(Aturan!$D$56="",Aturan!$C$56,Aturan!$D$56),"Nyaman","Cukup")))))</f>
        <v>Nyaman</v>
      </c>
      <c r="N224" s="70" t="str">
        <f aca="false">IF($A224="","",IF(AND(Aturan!$C$57="",Aturan!$D$57=""),"Tidak dinilai",IF(F224="","Belum ada data",IF(F224&lt;IF(Aturan!$C$57="",0,Aturan!$C$57),"Kurang",IF(F224&gt;=IF(Aturan!$D$57="",Aturan!$C$57,Aturan!$D$57),"Nyaman","Cukup")))))</f>
        <v>Kurang</v>
      </c>
      <c r="O224" s="70" t="str">
        <f aca="false">IF($A224="","",IF(AND(Aturan!$C$58="",Aturan!$D$58=""),"Tidak dinilai",IF(G224="","Belum ada data",IF(G224&lt;IF(Aturan!$C$58="",0,Aturan!$C$58),"Kurang",IF(G224&gt;=IF(Aturan!$D$58="",Aturan!$C$58,Aturan!$D$58),"Nyaman","Cukup")))))</f>
        <v>Tidak dinilai</v>
      </c>
      <c r="P224" s="70" t="str">
        <f aca="false">IF($A224="","",IF(AND(Aturan!$C$59="",Aturan!$D$59=""),"Tidak dinilai",IF(H224="","Belum ada data",IF(H224&lt;IF(Aturan!$C$59="",0,Aturan!$C$59),"Kurang",IF(H224&gt;=IF(Aturan!$D$59="",Aturan!$C$59,Aturan!$D$59),"Nyaman","Cukup")))))</f>
        <v>Cukup</v>
      </c>
      <c r="Q224" s="70" t="str">
        <f aca="false">IF($A224="","",IF(COUNTIF(K224:P224,"Tidak dinilai")=6,"Tidak dinilai",IF(COUNTIF(K224:P224,"Kurang")&gt;0,"Kurang cocok",IF(COUNTIF(K224:P224,"Belum ada data")&gt;0,"Data belum lengkap",IF(COUNTIF(K224:P224,"Cukup")&gt;0,"Bisa, dengan catatan","Cocok")))))</f>
        <v>Kurang cocok</v>
      </c>
      <c r="R224" s="33" t="str">
        <f aca="false">IF($A224="","",IF(K224="Kurang","prosesor tingkat "&amp;C224&amp;" dari 5, di bawah batas minimal (tingkat "&amp;Aturan!$C$54&amp;")",IF(K224="Cukup","prosesor tingkat "&amp;C224&amp;" dari 5 cukup, nyamannya mulai tingkat "&amp;Aturan!$D$54,IF(K224="Belum ada data","tingkat prosesor belum diisi",""))))</f>
        <v>prosesor tingkat 2 dari 5, di bawah batas minimal (tingkat 3)</v>
      </c>
      <c r="S224" s="33" t="str">
        <f aca="false">IF($A224="","",IF(L224="Kurang","grafis tingkat "&amp;D224&amp;" dari 5, di bawah batas minimal (tingkat "&amp;Aturan!$C$55&amp;")",IF(L224="Cukup","grafis tingkat "&amp;D224&amp;" dari 5 cukup, nyamannya mulai tingkat "&amp;Aturan!$D$55,IF(L224="Belum ada data","tingkat grafis belum diisi",""))))</f>
        <v>grafis tingkat 1 dari 5, di bawah batas minimal (tingkat 3)</v>
      </c>
      <c r="T224" s="33" t="str">
        <f aca="false">IF($A224="","",IF(M224="Kurang","RAM "&amp;E224&amp;" GB, di bawah batas minimal "&amp;Aturan!$C$56&amp;" GB ("&amp;I224&amp;")",IF(M224="Cukup","RAM "&amp;E224&amp;" GB cukup, nyamannya "&amp;Aturan!$D$56&amp;" GB atau lebih ("&amp;I224&amp;")",IF(M224="Belum ada data","ukuran RAM belum diisi",""))))</f>
        <v/>
      </c>
      <c r="U224" s="33" t="str">
        <f aca="false">IF($A224="","",IF(N224="Kurang","penyimpanan "&amp;F224&amp;" GB, di bawah batas minimal "&amp;Aturan!$C$57&amp;" GB ("&amp;J224&amp;")",IF(N224="Cukup","penyimpanan "&amp;F224&amp;" GB cukup, nyamannya "&amp;Aturan!$D$57&amp;" GB atau lebih ("&amp;J224&amp;")",IF(N224="Belum ada data","ukuran penyimpanan belum diisi",""))))</f>
        <v>penyimpanan 256 GB, di bawah batas minimal 512 GB (bisa diganti dengan yang lebih besar)</v>
      </c>
      <c r="V224" s="33" t="str">
        <f aca="false">IF($A224="","",IF(O224="Kurang","layar "&amp;Varian!$AG48&amp;", di bawah batas minimal ("&amp;IFERROR(INDEX(Aturan!$A$63:$A$66,MATCH(Aturan!$C$58,Aturan!$B$63:$B$66,0)),"peringkat "&amp;Aturan!$C$58)&amp;")",IF(O224="Cukup","layar "&amp;Varian!$AG48&amp;" cukup, nyamannya "&amp;IFERROR(INDEX(Aturan!$A$63:$A$66,MATCH(Aturan!$D$58,Aturan!$B$63:$B$66,0)),"peringkat "&amp;Aturan!$D$58),IF(O224="Belum ada data","jenis layar belum diketahui",""))))</f>
        <v/>
      </c>
      <c r="W224" s="33" t="str">
        <f aca="false">IF($A224="","",IF(P224="Kurang","layar "&amp;H224&amp;" Hz, di bawah batas minimal "&amp;Aturan!$C$59&amp;" Hz",IF(P224="Cukup","layar "&amp;H224&amp;" Hz cukup, nyamannya "&amp;Aturan!$D$59&amp;" Hz atau lebih",IF(P224="Belum ada data","refresh rate belum diketahui",""))))</f>
        <v>layar 60 Hz cukup, nyamannya 120 Hz atau lebih</v>
      </c>
      <c r="X224" s="33" t="str">
        <f aca="false">IF($A224="","",IF(K224="Kurang",R224&amp;"; ","")&amp;IF(L224="Kurang",S224&amp;"; ","")&amp;IF(M224="Kurang",T224&amp;"; ","")&amp;IF(N224="Kurang",U224&amp;"; ","")&amp;IF(O224="Kurang",V224&amp;"; ","")&amp;IF(P224="Kurang",W224&amp;"; ","")&amp;IF(K224="Belum ada data",R224&amp;"; ","")&amp;IF(L224="Belum ada data",S224&amp;"; ","")&amp;IF(M224="Belum ada data",T224&amp;"; ","")&amp;IF(N224="Belum ada data",U224&amp;"; ","")&amp;IF(O224="Belum ada data",V224&amp;"; ","")&amp;IF(P224="Belum ada data",W224&amp;"; ","")&amp;IF(K224="Cukup",R224&amp;"; ","")&amp;IF(L224="Cukup",S224&amp;"; ","")&amp;IF(M224="Cukup",T224&amp;"; ","")&amp;IF(N224="Cukup",U224&amp;"; ","")&amp;IF(O224="Cukup",V224&amp;"; ","")&amp;IF(P224="Cukup",W224&amp;"; ",""))</f>
        <v>prosesor tingkat 2 dari 5, di bawah batas minimal (tingkat 3); grafis tingkat 1 dari 5, di bawah batas minimal (tingkat 3); penyimpanan 256 GB, di bawah batas minimal 512 GB (bisa diganti dengan yang lebih besar); layar 60 Hz cukup, nyamannya 120 Hz atau lebih; </v>
      </c>
      <c r="Y224" s="33" t="str">
        <f aca="false">IF($A224="","",IF(K224="Nyaman","prosesor, ","")&amp;IF(L224="Nyaman","grafis, ","")&amp;IF(M224="Nyaman","RAM, ","")&amp;IF(N224="Nyaman","penyimpanan, ","")&amp;IF(O224="Nyaman","layar, ","")&amp;IF(P224="Nyaman","refresh rate, ",""))</f>
        <v>RAM, </v>
      </c>
      <c r="Z224" s="33" t="str">
        <f aca="false">IF($A224="","",IF(Q224="Tidak dinilai","Belum ada kriteria yang dinilai untuk kebutuhan ini.",IF(Q224="Cocok","Semua kriteria yang dinilai sudah nyaman: "&amp;LEFT(Y224,LEN(Y224)-2)&amp;".",UPPER(LEFT(X224,1))&amp;MID(X224,2,LEN(X224)-3)&amp;"."&amp;IF(Y224="",""," Sudah nyaman: "&amp;LEFT(Y224,LEN(Y224)-2)&amp;"."))))</f>
        <v>Prosesor tingkat 2 dari 5, di bawah batas minimal (tingkat 3); grafis tingkat 1 dari 5, di bawah batas minimal (tingkat 3); penyimpanan 256 GB, di bawah batas minimal 512 GB (bisa diganti dengan yang lebih besar); layar 60 Hz cukup, nyamannya 120 Hz atau lebih. Sudah nyaman: RAM.</v>
      </c>
      <c r="AA224" s="33"/>
      <c r="AB224" s="33"/>
      <c r="AC224" s="69"/>
    </row>
    <row r="225" customFormat="false" ht="15" hidden="false" customHeight="true" outlineLevel="0" collapsed="false">
      <c r="A225" s="66" t="str">
        <f aca="false">IF(Varian!$A49="","",Varian!$A49)</f>
        <v>dell-xps-13-9360-i5-7200u-8-256</v>
      </c>
      <c r="B225" s="66" t="str">
        <f aca="false">IF($A225="","",Aturan!$A$21)</f>
        <v>Kuliah dan kantor</v>
      </c>
      <c r="C225" s="67" t="n">
        <f aca="false">IF($A225="","",IFERROR(IF(ISNUMBER(INDEX(CPU!$J$4:$J$64,MATCH(Varian!$J49,CPU!$A$4:$A$64,0))),INDEX(CPU!$J$4:$J$64,MATCH(Varian!$J49,CPU!$A$4:$A$64,0)),""),""))</f>
        <v>1</v>
      </c>
      <c r="D225" s="67" t="n">
        <f aca="false">IF($A225="","",IFERROR(IF(ISNUMBER(INDEX(GPU!$G$4:$G$64,MATCH(Varian!$K49,GPU!$A$4:$A$64,0))),INDEX(GPU!$G$4:$G$64,MATCH(Varian!$K49,GPU!$A$4:$A$64,0)),""),""))</f>
        <v>1</v>
      </c>
      <c r="E225" s="67" t="n">
        <f aca="false">IF($A225="","",IF(ISNUMBER(Varian!$M49),Varian!$M49,""))</f>
        <v>8</v>
      </c>
      <c r="F225" s="67" t="n">
        <f aca="false">IF($A225="","",IF(ISNUMBER(Varian!$V49),Varian!$V49,""))</f>
        <v>256</v>
      </c>
      <c r="G225" s="67" t="n">
        <f aca="false">IF($A225="","",IFERROR(INDEX(Aturan!$B$63:$B$66,MATCH(Varian!$AG49,Aturan!$A$63:$A$66,0)),""))</f>
        <v>3</v>
      </c>
      <c r="H225" s="67" t="n">
        <f aca="false">IF($A225="","",IF(ISNUMBER(Varian!$AI49),Varian!$AI49,""))</f>
        <v>60</v>
      </c>
      <c r="I225" s="66" t="str">
        <f aca="false">IF($A225="","",IF(Varian!$Q49="disolder","menempel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menempel di papan utama, tidak bisa ditambah</v>
      </c>
      <c r="J225" s="66" t="str">
        <f aca="false">IF($A225="","",IF(Varian!$Z49="ya","bisa diganti dengan yang lebih besar",IF(Varian!$Z49="tidak","menempel, tidak bisa diganti","belum diketahui apakah bisa diganti")))</f>
        <v>bisa diganti dengan yang lebih besar</v>
      </c>
      <c r="K225" s="68" t="str">
        <f aca="false">IF($A225="","",IF(AND(Aturan!$C$30="",Aturan!$D$30=""),"Tidak dinilai",IF(C225="","Belum ada data",IF(C225&lt;IF(Aturan!$C$30="",0,Aturan!$C$30),"Kurang",IF(C225&gt;=IF(Aturan!$D$30="",Aturan!$C$30,Aturan!$D$30),"Nyaman","Cukup")))))</f>
        <v>Cukup</v>
      </c>
      <c r="L225" s="68" t="str">
        <f aca="false">IF($A225="","",IF(AND(Aturan!$C$31="",Aturan!$D$31=""),"Tidak dinilai",IF(D225="","Belum ada data",IF(D225&lt;IF(Aturan!$C$31="",0,Aturan!$C$31),"Kurang",IF(D225&gt;=IF(Aturan!$D$31="",Aturan!$C$31,Aturan!$D$31),"Nyaman","Cukup")))))</f>
        <v>Tidak dinilai</v>
      </c>
      <c r="M225" s="68" t="str">
        <f aca="false">IF($A225="","",IF(AND(Aturan!$C$32="",Aturan!$D$32=""),"Tidak dinilai",IF(E225="","Belum ada data",IF(E225&lt;IF(Aturan!$C$32="",0,Aturan!$C$32),"Kurang",IF(E225&gt;=IF(Aturan!$D$32="",Aturan!$C$32,Aturan!$D$32),"Nyaman","Cukup")))))</f>
        <v>Nyaman</v>
      </c>
      <c r="N225" s="68" t="str">
        <f aca="false">IF($A225="","",IF(AND(Aturan!$C$33="",Aturan!$D$33=""),"Tidak dinilai",IF(F225="","Belum ada data",IF(F225&lt;IF(Aturan!$C$33="",0,Aturan!$C$33),"Kurang",IF(F225&gt;=IF(Aturan!$D$33="",Aturan!$C$33,Aturan!$D$33),"Nyaman","Cukup")))))</f>
        <v>Nyaman</v>
      </c>
      <c r="O225" s="68" t="str">
        <f aca="false">IF($A225="","",IF(AND(Aturan!$C$34="",Aturan!$D$34=""),"Tidak dinilai",IF(G225="","Belum ada data",IF(G225&lt;IF(Aturan!$C$34="",0,Aturan!$C$34),"Kurang",IF(G225&gt;=IF(Aturan!$D$34="",Aturan!$C$34,Aturan!$D$34),"Nyaman","Cukup")))))</f>
        <v>Tidak dinilai</v>
      </c>
      <c r="P225" s="68" t="str">
        <f aca="false">IF($A225="","",IF(AND(Aturan!$C$35="",Aturan!$D$35=""),"Tidak dinilai",IF(H225="","Belum ada data",IF(H225&lt;IF(Aturan!$C$35="",0,Aturan!$C$35),"Kurang",IF(H225&gt;=IF(Aturan!$D$35="",Aturan!$C$35,Aturan!$D$35),"Nyaman","Cukup")))))</f>
        <v>Tidak dinilai</v>
      </c>
      <c r="Q225" s="68" t="str">
        <f aca="false">IF($A225="","",IF(COUNTIF(K225:P225,"Tidak dinilai")=6,"Tidak dinilai",IF(COUNTIF(K225:P225,"Kurang")&gt;0,"Kurang cocok",IF(COUNTIF(K225:P225,"Belum ada data")&gt;0,"Data belum lengkap",IF(COUNTIF(K225:P225,"Cukup")&gt;0,"Bisa, dengan catatan","Cocok")))))</f>
        <v>Bisa, dengan catatan</v>
      </c>
      <c r="R225" s="66" t="str">
        <f aca="false">IF($A225="","",IF(K225="Kurang","prosesor tingkat "&amp;C225&amp;" dari 5, di bawah batas minimal (tingkat "&amp;Aturan!$C$30&amp;")",IF(K225="Cukup","prosesor tingkat "&amp;C225&amp;" dari 5 cukup, nyamannya mulai tingkat "&amp;Aturan!$D$30,IF(K225="Belum ada data","tingkat prosesor belum diisi",""))))</f>
        <v>prosesor tingkat 1 dari 5 cukup, nyamannya mulai tingkat 2</v>
      </c>
      <c r="S225" s="66" t="str">
        <f aca="false">IF($A225="","",IF(L225="Kurang","grafis tingkat "&amp;D225&amp;" dari 5, di bawah batas minimal (tingkat "&amp;Aturan!$C$31&amp;")",IF(L225="Cukup","grafis tingkat "&amp;D225&amp;" dari 5 cukup, nyamannya mulai tingkat "&amp;Aturan!$D$31,IF(L225="Belum ada data","tingkat grafis belum diisi",""))))</f>
        <v/>
      </c>
      <c r="T225" s="66" t="str">
        <f aca="false">IF($A225="","",IF(M225="Kurang","RAM "&amp;E225&amp;" GB, di bawah batas minimal "&amp;Aturan!$C$32&amp;" GB ("&amp;I225&amp;")",IF(M225="Cukup","RAM "&amp;E225&amp;" GB cukup, nyamannya "&amp;Aturan!$D$32&amp;" GB atau lebih ("&amp;I225&amp;")",IF(M225="Belum ada data","ukuran RAM belum diisi",""))))</f>
        <v/>
      </c>
      <c r="U225" s="66" t="str">
        <f aca="false">IF($A225="","",IF(N225="Kurang","penyimpanan "&amp;F225&amp;" GB, di bawah batas minimal "&amp;Aturan!$C$33&amp;" GB ("&amp;J225&amp;")",IF(N225="Cukup","penyimpanan "&amp;F225&amp;" GB cukup, nyamannya "&amp;Aturan!$D$33&amp;" GB atau lebih ("&amp;J225&amp;")",IF(N225="Belum ada data","ukuran penyimpanan belum diisi",""))))</f>
        <v/>
      </c>
      <c r="V225" s="66" t="str">
        <f aca="false">IF($A225="","",IF(O225="Kurang","layar "&amp;Varian!$AG49&amp;", di bawah batas minimal ("&amp;IFERROR(INDEX(Aturan!$A$63:$A$66,MATCH(Aturan!$C$34,Aturan!$B$63:$B$66,0)),"peringkat "&amp;Aturan!$C$34)&amp;")",IF(O225="Cukup","layar "&amp;Varian!$AG49&amp;" cukup, nyamannya "&amp;IFERROR(INDEX(Aturan!$A$63:$A$66,MATCH(Aturan!$D$34,Aturan!$B$63:$B$66,0)),"peringkat "&amp;Aturan!$D$34),IF(O225="Belum ada data","jenis layar belum diketahui",""))))</f>
        <v/>
      </c>
      <c r="W225" s="66" t="str">
        <f aca="false">IF($A225="","",IF(P225="Kurang","layar "&amp;H225&amp;" Hz, di bawah batas minimal "&amp;Aturan!$C$35&amp;" Hz",IF(P225="Cukup","layar "&amp;H225&amp;" Hz cukup, nyamannya "&amp;Aturan!$D$35&amp;" Hz atau lebih",IF(P225="Belum ada data","refresh rate belum diketahui",""))))</f>
        <v/>
      </c>
      <c r="X225" s="66" t="str">
        <f aca="false">IF($A225="","",IF(K225="Kurang",R225&amp;"; ","")&amp;IF(L225="Kurang",S225&amp;"; ","")&amp;IF(M225="Kurang",T225&amp;"; ","")&amp;IF(N225="Kurang",U225&amp;"; ","")&amp;IF(O225="Kurang",V225&amp;"; ","")&amp;IF(P225="Kurang",W225&amp;"; ","")&amp;IF(K225="Belum ada data",R225&amp;"; ","")&amp;IF(L225="Belum ada data",S225&amp;"; ","")&amp;IF(M225="Belum ada data",T225&amp;"; ","")&amp;IF(N225="Belum ada data",U225&amp;"; ","")&amp;IF(O225="Belum ada data",V225&amp;"; ","")&amp;IF(P225="Belum ada data",W225&amp;"; ","")&amp;IF(K225="Cukup",R225&amp;"; ","")&amp;IF(L225="Cukup",S225&amp;"; ","")&amp;IF(M225="Cukup",T225&amp;"; ","")&amp;IF(N225="Cukup",U225&amp;"; ","")&amp;IF(O225="Cukup",V225&amp;"; ","")&amp;IF(P225="Cukup",W225&amp;"; ",""))</f>
        <v>prosesor tingkat 1 dari 5 cukup, nyamannya mulai tingkat 2; </v>
      </c>
      <c r="Y225" s="66" t="str">
        <f aca="false">IF($A225="","",IF(K225="Nyaman","prosesor, ","")&amp;IF(L225="Nyaman","grafis, ","")&amp;IF(M225="Nyaman","RAM, ","")&amp;IF(N225="Nyaman","penyimpanan, ","")&amp;IF(O225="Nyaman","layar, ","")&amp;IF(P225="Nyaman","refresh rate, ",""))</f>
        <v>RAM, penyimpanan, </v>
      </c>
      <c r="Z225" s="66" t="str">
        <f aca="false">IF($A225="","",IF(Q225="Tidak dinilai","Belum ada kriteria yang dinilai untuk kebutuhan ini.",IF(Q225="Cocok","Semua kriteria yang dinilai sudah nyaman: "&amp;LEFT(Y225,LEN(Y225)-2)&amp;".",UPPER(LEFT(X225,1))&amp;MID(X225,2,LEN(X225)-3)&amp;"."&amp;IF(Y225="",""," Sudah nyaman: "&amp;LEFT(Y225,LEN(Y225)-2)&amp;"."))))</f>
        <v>Prosesor tingkat 1 dari 5 cukup, nyamannya mulai tingkat 2. Sudah nyaman: RAM, penyimpanan.</v>
      </c>
      <c r="AA225" s="71" t="str">
        <f aca="false">IF($A225="","",IF(Varian!$AR49="Windows 10","• "&amp;Aturan!$E$71&amp;CHAR(10),"")&amp;IF(Varian!$BB49="tidak","• "&amp;Aturan!$E$72&amp;CHAR(10),"")&amp;IF(OR(Varian!$AD49="belum terverifikasi",Varian!$AD49="tidak diketahui"),"• "&amp;Aturan!$E$73&amp;CHAR(10),"")&amp;IF(Varian!$AH49="1366x768","• "&amp;Aturan!$E$74&amp;CHAR(10),"")&amp;IF(Varian!$AG49="TN","• "&amp;Aturan!$E$75&amp;CHAR(10),"")&amp;IF(AND(Varian!$Q49="disolder",ISNUMBER(Varian!$M49),Varian!$M49&lt;=8),"• "&amp;Aturan!$E$76&amp;CHAR(10),""))</f>
        <v>• Prosesor tidak resmi mendukung Windows 11, sehingga sulit naik ke versi Windows yang lebih baru.
• RAM menempel di papan utama dan tidak bisa ditambah, padahal ukurannya kecil (8 GB atau kurang).
</v>
      </c>
      <c r="AB225" s="71" t="str">
        <f aca="false">IF($A225="","",IF(AA225="","",LEFT(AA225,LEN(AA225)-1)))</f>
        <v>• Prosesor tidak resmi mendukung Windows 11, sehingga sulit naik ke versi Windows yang lebih baru.
• RAM menempel di papan utama dan tidak bisa ditambah, padahal ukurannya kecil (8 GB atau kurang).</v>
      </c>
      <c r="AC225" s="67" t="n">
        <f aca="false">IF($A225="","",IF(AA225="",0,LEN(AA225)-LEN(SUBSTITUTE(AA225,CHAR(10),""))))</f>
        <v>2</v>
      </c>
    </row>
    <row r="226" customFormat="false" ht="15" hidden="false" customHeight="true" outlineLevel="0" collapsed="false">
      <c r="A226" s="33" t="str">
        <f aca="false">IF(Varian!$A49="","",Varian!$A49)</f>
        <v>dell-xps-13-9360-i5-7200u-8-256</v>
      </c>
      <c r="B226" s="33" t="str">
        <f aca="false">IF($A226="","",Aturan!$A$22)</f>
        <v>Desain grafis</v>
      </c>
      <c r="C226" s="69" t="n">
        <f aca="false">IF($A226="","",IFERROR(IF(ISNUMBER(INDEX(CPU!$J$4:$J$64,MATCH(Varian!$J49,CPU!$A$4:$A$64,0))),INDEX(CPU!$J$4:$J$64,MATCH(Varian!$J49,CPU!$A$4:$A$64,0)),""),""))</f>
        <v>1</v>
      </c>
      <c r="D226" s="69" t="n">
        <f aca="false">IF($A226="","",IFERROR(IF(ISNUMBER(INDEX(GPU!$G$4:$G$64,MATCH(Varian!$K49,GPU!$A$4:$A$64,0))),INDEX(GPU!$G$4:$G$64,MATCH(Varian!$K49,GPU!$A$4:$A$64,0)),""),""))</f>
        <v>1</v>
      </c>
      <c r="E226" s="69" t="n">
        <f aca="false">IF($A226="","",IF(ISNUMBER(Varian!$M49),Varian!$M49,""))</f>
        <v>8</v>
      </c>
      <c r="F226" s="69" t="n">
        <f aca="false">IF($A226="","",IF(ISNUMBER(Varian!$V49),Varian!$V49,""))</f>
        <v>256</v>
      </c>
      <c r="G226" s="69" t="n">
        <f aca="false">IF($A226="","",IFERROR(INDEX(Aturan!$B$63:$B$66,MATCH(Varian!$AG49,Aturan!$A$63:$A$66,0)),""))</f>
        <v>3</v>
      </c>
      <c r="H226" s="69" t="n">
        <f aca="false">IF($A226="","",IF(ISNUMBER(Varian!$AI49),Varian!$AI49,""))</f>
        <v>60</v>
      </c>
      <c r="I226" s="33" t="str">
        <f aca="false">IF($A226="","",IF(Varian!$Q49="disolder","menempel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menempel di papan utama, tidak bisa ditambah</v>
      </c>
      <c r="J226" s="33" t="str">
        <f aca="false">IF($A226="","",IF(Varian!$Z49="ya","bisa diganti dengan yang lebih besar",IF(Varian!$Z49="tidak","menempel, tidak bisa diganti","belum diketahui apakah bisa diganti")))</f>
        <v>bisa diganti dengan yang lebih besar</v>
      </c>
      <c r="K226" s="70" t="str">
        <f aca="false">IF($A226="","",IF(AND(Aturan!$C$36="",Aturan!$D$36=""),"Tidak dinilai",IF(C226="","Belum ada data",IF(C226&lt;IF(Aturan!$C$36="",0,Aturan!$C$36),"Kurang",IF(C226&gt;=IF(Aturan!$D$36="",Aturan!$C$36,Aturan!$D$36),"Nyaman","Cukup")))))</f>
        <v>Kurang</v>
      </c>
      <c r="L226" s="70" t="str">
        <f aca="false">IF($A226="","",IF(AND(Aturan!$C$37="",Aturan!$D$37=""),"Tidak dinilai",IF(D226="","Belum ada data",IF(D226&lt;IF(Aturan!$C$37="",0,Aturan!$C$37),"Kurang",IF(D226&gt;=IF(Aturan!$D$37="",Aturan!$C$37,Aturan!$D$37),"Nyaman","Cukup")))))</f>
        <v>Cukup</v>
      </c>
      <c r="M226" s="70" t="str">
        <f aca="false">IF($A226="","",IF(AND(Aturan!$C$38="",Aturan!$D$38=""),"Tidak dinilai",IF(E226="","Belum ada data",IF(E226&lt;IF(Aturan!$C$38="",0,Aturan!$C$38),"Kurang",IF(E226&gt;=IF(Aturan!$D$38="",Aturan!$C$38,Aturan!$D$38),"Nyaman","Cukup")))))</f>
        <v>Cukup</v>
      </c>
      <c r="N226" s="70" t="str">
        <f aca="false">IF($A226="","",IF(AND(Aturan!$C$39="",Aturan!$D$39=""),"Tidak dinilai",IF(F226="","Belum ada data",IF(F226&lt;IF(Aturan!$C$39="",0,Aturan!$C$39),"Kurang",IF(F226&gt;=IF(Aturan!$D$39="",Aturan!$C$39,Aturan!$D$39),"Nyaman","Cukup")))))</f>
        <v>Cukup</v>
      </c>
      <c r="O226" s="70" t="str">
        <f aca="false">IF($A226="","",IF(AND(Aturan!$C$40="",Aturan!$D$40=""),"Tidak dinilai",IF(G226="","Belum ada data",IF(G226&lt;IF(Aturan!$C$40="",0,Aturan!$C$40),"Kurang",IF(G226&gt;=IF(Aturan!$D$40="",Aturan!$C$40,Aturan!$D$40),"Nyaman","Cukup")))))</f>
        <v>Cukup</v>
      </c>
      <c r="P226" s="70" t="str">
        <f aca="false">IF($A226="","",IF(AND(Aturan!$C$41="",Aturan!$D$41=""),"Tidak dinilai",IF(H226="","Belum ada data",IF(H226&lt;IF(Aturan!$C$41="",0,Aturan!$C$41),"Kurang",IF(H226&gt;=IF(Aturan!$D$41="",Aturan!$C$41,Aturan!$D$41),"Nyaman","Cukup")))))</f>
        <v>Tidak dinilai</v>
      </c>
      <c r="Q226" s="70" t="str">
        <f aca="false">IF($A226="","",IF(COUNTIF(K226:P226,"Tidak dinilai")=6,"Tidak dinilai",IF(COUNTIF(K226:P226,"Kurang")&gt;0,"Kurang cocok",IF(COUNTIF(K226:P226,"Belum ada data")&gt;0,"Data belum lengkap",IF(COUNTIF(K226:P226,"Cukup")&gt;0,"Bisa, dengan catatan","Cocok")))))</f>
        <v>Kurang cocok</v>
      </c>
      <c r="R226" s="33" t="str">
        <f aca="false">IF($A226="","",IF(K226="Kurang","prosesor tingkat "&amp;C226&amp;" dari 5, di bawah batas minimal (tingkat "&amp;Aturan!$C$36&amp;")",IF(K226="Cukup","prosesor tingkat "&amp;C226&amp;" dari 5 cukup, nyamannya mulai tingkat "&amp;Aturan!$D$36,IF(K226="Belum ada data","tingkat prosesor belum diisi",""))))</f>
        <v>prosesor tingkat 1 dari 5, di bawah batas minimal (tingkat 2)</v>
      </c>
      <c r="S226" s="33" t="str">
        <f aca="false">IF($A226="","",IF(L226="Kurang","grafis tingkat "&amp;D226&amp;" dari 5, di bawah batas minimal (tingkat "&amp;Aturan!$C$37&amp;")",IF(L226="Cukup","grafis tingkat "&amp;D226&amp;" dari 5 cukup, nyamannya mulai tingkat "&amp;Aturan!$D$37,IF(L226="Belum ada data","tingkat grafis belum diisi",""))))</f>
        <v>grafis tingkat 1 dari 5 cukup, nyamannya mulai tingkat 2</v>
      </c>
      <c r="T226" s="33" t="str">
        <f aca="false">IF($A226="","",IF(M226="Kurang","RAM "&amp;E226&amp;" GB, di bawah batas minimal "&amp;Aturan!$C$38&amp;" GB ("&amp;I226&amp;")",IF(M226="Cukup","RAM "&amp;E226&amp;" GB cukup, nyamannya "&amp;Aturan!$D$38&amp;" GB atau lebih ("&amp;I226&amp;")",IF(M226="Belum ada data","ukuran RAM belum diisi",""))))</f>
        <v>RAM 8 GB cukup, nyamannya 16 GB atau lebih (menempel di papan utama, tidak bisa ditambah)</v>
      </c>
      <c r="U226" s="33" t="str">
        <f aca="false">IF($A226="","",IF(N226="Kurang","penyimpanan "&amp;F226&amp;" GB, di bawah batas minimal "&amp;Aturan!$C$39&amp;" GB ("&amp;J226&amp;")",IF(N226="Cukup","penyimpanan "&amp;F226&amp;" GB cukup, nyamannya "&amp;Aturan!$D$39&amp;" GB atau lebih ("&amp;J226&amp;")",IF(N226="Belum ada data","ukuran penyimpanan belum diisi",""))))</f>
        <v>penyimpanan 256 GB cukup, nyamannya 512 GB atau lebih (bisa diganti dengan yang lebih besar)</v>
      </c>
      <c r="V226" s="33" t="str">
        <f aca="false">IF($A226="","",IF(O226="Kurang","layar "&amp;Varian!$AG49&amp;", di bawah batas minimal ("&amp;IFERROR(INDEX(Aturan!$A$63:$A$66,MATCH(Aturan!$C$40,Aturan!$B$63:$B$66,0)),"peringkat "&amp;Aturan!$C$40)&amp;")",IF(O226="Cukup","layar "&amp;Varian!$AG49&amp;" cukup, nyamannya "&amp;IFERROR(INDEX(Aturan!$A$63:$A$66,MATCH(Aturan!$D$40,Aturan!$B$63:$B$66,0)),"peringkat "&amp;Aturan!$D$40),IF(O226="Belum ada data","jenis layar belum diketahui",""))))</f>
        <v>layar IPS cukup, nyamannya OLED</v>
      </c>
      <c r="W226" s="33" t="str">
        <f aca="false">IF($A226="","",IF(P226="Kurang","layar "&amp;H226&amp;" Hz, di bawah batas minimal "&amp;Aturan!$C$41&amp;" Hz",IF(P226="Cukup","layar "&amp;H226&amp;" Hz cukup, nyamannya "&amp;Aturan!$D$41&amp;" Hz atau lebih",IF(P226="Belum ada data","refresh rate belum diketahui",""))))</f>
        <v/>
      </c>
      <c r="X226" s="33" t="str">
        <f aca="false">IF($A226="","",IF(K226="Kurang",R226&amp;"; ","")&amp;IF(L226="Kurang",S226&amp;"; ","")&amp;IF(M226="Kurang",T226&amp;"; ","")&amp;IF(N226="Kurang",U226&amp;"; ","")&amp;IF(O226="Kurang",V226&amp;"; ","")&amp;IF(P226="Kurang",W226&amp;"; ","")&amp;IF(K226="Belum ada data",R226&amp;"; ","")&amp;IF(L226="Belum ada data",S226&amp;"; ","")&amp;IF(M226="Belum ada data",T226&amp;"; ","")&amp;IF(N226="Belum ada data",U226&amp;"; ","")&amp;IF(O226="Belum ada data",V226&amp;"; ","")&amp;IF(P226="Belum ada data",W226&amp;"; ","")&amp;IF(K226="Cukup",R226&amp;"; ","")&amp;IF(L226="Cukup",S226&amp;"; ","")&amp;IF(M226="Cukup",T226&amp;"; ","")&amp;IF(N226="Cukup",U226&amp;"; ","")&amp;IF(O226="Cukup",V226&amp;"; ","")&amp;IF(P226="Cukup",W226&amp;"; ",""))</f>
        <v>prosesor tingkat 1 dari 5, di bawah batas minimal (tingkat 2); grafis tingkat 1 dari 5 cukup, nyamannya mulai tingkat 2; RAM 8 GB cukup, nyamannya 16 GB atau lebih (menempel di papan utama, tidak bisa ditambah); penyimpanan 256 GB cukup, nyamannya 512 GB atau lebih (bisa diganti dengan yang lebih besar); layar IPS cukup, nyamannya OLED; </v>
      </c>
      <c r="Y226" s="33" t="str">
        <f aca="false">IF($A226="","",IF(K226="Nyaman","prosesor, ","")&amp;IF(L226="Nyaman","grafis, ","")&amp;IF(M226="Nyaman","RAM, ","")&amp;IF(N226="Nyaman","penyimpanan, ","")&amp;IF(O226="Nyaman","layar, ","")&amp;IF(P226="Nyaman","refresh rate, ",""))</f>
        <v/>
      </c>
      <c r="Z226" s="33" t="str">
        <f aca="false">IF($A226="","",IF(Q226="Tidak dinilai","Belum ada kriteria yang dinilai untuk kebutuhan ini.",IF(Q226="Cocok","Semua kriteria yang dinilai sudah nyaman: "&amp;LEFT(Y226,LEN(Y226)-2)&amp;".",UPPER(LEFT(X226,1))&amp;MID(X226,2,LEN(X226)-3)&amp;"."&amp;IF(Y226="",""," Sudah nyaman: "&amp;LEFT(Y226,LEN(Y226)-2)&amp;"."))))</f>
        <v>Prosesor tingkat 1 dari 5, di bawah batas minimal (tingkat 2); grafis tingkat 1 dari 5 cukup, nyamannya mulai tingkat 2; RAM 8 GB cukup, nyamannya 16 GB atau lebih (menempel di papan utama, tidak bisa ditambah); penyimpanan 256 GB cukup, nyamannya 512 GB atau lebih (bisa diganti dengan yang lebih besar); layar IPS cukup, nyamannya OLED.</v>
      </c>
      <c r="AA226" s="33"/>
      <c r="AB226" s="33"/>
      <c r="AC226" s="69"/>
    </row>
    <row r="227" customFormat="false" ht="15" hidden="false" customHeight="true" outlineLevel="0" collapsed="false">
      <c r="A227" s="33" t="str">
        <f aca="false">IF(Varian!$A49="","",Varian!$A49)</f>
        <v>dell-xps-13-9360-i5-7200u-8-256</v>
      </c>
      <c r="B227" s="33" t="str">
        <f aca="false">IF($A227="","",Aturan!$A$23)</f>
        <v>Pemrograman</v>
      </c>
      <c r="C227" s="69" t="n">
        <f aca="false">IF($A227="","",IFERROR(IF(ISNUMBER(INDEX(CPU!$J$4:$J$64,MATCH(Varian!$J49,CPU!$A$4:$A$64,0))),INDEX(CPU!$J$4:$J$64,MATCH(Varian!$J49,CPU!$A$4:$A$64,0)),""),""))</f>
        <v>1</v>
      </c>
      <c r="D227" s="69" t="n">
        <f aca="false">IF($A227="","",IFERROR(IF(ISNUMBER(INDEX(GPU!$G$4:$G$64,MATCH(Varian!$K49,GPU!$A$4:$A$64,0))),INDEX(GPU!$G$4:$G$64,MATCH(Varian!$K49,GPU!$A$4:$A$64,0)),""),""))</f>
        <v>1</v>
      </c>
      <c r="E227" s="69" t="n">
        <f aca="false">IF($A227="","",IF(ISNUMBER(Varian!$M49),Varian!$M49,""))</f>
        <v>8</v>
      </c>
      <c r="F227" s="69" t="n">
        <f aca="false">IF($A227="","",IF(ISNUMBER(Varian!$V49),Varian!$V49,""))</f>
        <v>256</v>
      </c>
      <c r="G227" s="69" t="n">
        <f aca="false">IF($A227="","",IFERROR(INDEX(Aturan!$B$63:$B$66,MATCH(Varian!$AG49,Aturan!$A$63:$A$66,0)),""))</f>
        <v>3</v>
      </c>
      <c r="H227" s="69" t="n">
        <f aca="false">IF($A227="","",IF(ISNUMBER(Varian!$AI49),Varian!$AI49,""))</f>
        <v>60</v>
      </c>
      <c r="I227" s="33" t="str">
        <f aca="false">IF($A227="","",IF(Varian!$Q49="disolder","menempel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menempel di papan utama, tidak bisa ditambah</v>
      </c>
      <c r="J227" s="33" t="str">
        <f aca="false">IF($A227="","",IF(Varian!$Z49="ya","bisa diganti dengan yang lebih besar",IF(Varian!$Z49="tidak","menempel, tidak bisa diganti","belum diketahui apakah bisa diganti")))</f>
        <v>bisa diganti dengan yang lebih besar</v>
      </c>
      <c r="K227" s="70" t="str">
        <f aca="false">IF($A227="","",IF(AND(Aturan!$C$42="",Aturan!$D$42=""),"Tidak dinilai",IF(C227="","Belum ada data",IF(C227&lt;IF(Aturan!$C$42="",0,Aturan!$C$42),"Kurang",IF(C227&gt;=IF(Aturan!$D$42="",Aturan!$C$42,Aturan!$D$42),"Nyaman","Cukup")))))</f>
        <v>Kurang</v>
      </c>
      <c r="L227" s="70" t="str">
        <f aca="false">IF($A227="","",IF(AND(Aturan!$C$43="",Aturan!$D$43=""),"Tidak dinilai",IF(D227="","Belum ada data",IF(D227&lt;IF(Aturan!$C$43="",0,Aturan!$C$43),"Kurang",IF(D227&gt;=IF(Aturan!$D$43="",Aturan!$C$43,Aturan!$D$43),"Nyaman","Cukup")))))</f>
        <v>Tidak dinilai</v>
      </c>
      <c r="M227" s="70" t="str">
        <f aca="false">IF($A227="","",IF(AND(Aturan!$C$44="",Aturan!$D$44=""),"Tidak dinilai",IF(E227="","Belum ada data",IF(E227&lt;IF(Aturan!$C$44="",0,Aturan!$C$44),"Kurang",IF(E227&gt;=IF(Aturan!$D$44="",Aturan!$C$44,Aturan!$D$44),"Nyaman","Cukup")))))</f>
        <v>Cukup</v>
      </c>
      <c r="N227" s="70" t="str">
        <f aca="false">IF($A227="","",IF(AND(Aturan!$C$45="",Aturan!$D$45=""),"Tidak dinilai",IF(F227="","Belum ada data",IF(F227&lt;IF(Aturan!$C$45="",0,Aturan!$C$45),"Kurang",IF(F227&gt;=IF(Aturan!$D$45="",Aturan!$C$45,Aturan!$D$45),"Nyaman","Cukup")))))</f>
        <v>Cukup</v>
      </c>
      <c r="O227" s="70" t="str">
        <f aca="false">IF($A227="","",IF(AND(Aturan!$C$46="",Aturan!$D$46=""),"Tidak dinilai",IF(G227="","Belum ada data",IF(G227&lt;IF(Aturan!$C$46="",0,Aturan!$C$46),"Kurang",IF(G227&gt;=IF(Aturan!$D$46="",Aturan!$C$46,Aturan!$D$46),"Nyaman","Cukup")))))</f>
        <v>Tidak dinilai</v>
      </c>
      <c r="P227" s="70" t="str">
        <f aca="false">IF($A227="","",IF(AND(Aturan!$C$47="",Aturan!$D$47=""),"Tidak dinilai",IF(H227="","Belum ada data",IF(H227&lt;IF(Aturan!$C$47="",0,Aturan!$C$47),"Kurang",IF(H227&gt;=IF(Aturan!$D$47="",Aturan!$C$47,Aturan!$D$47),"Nyaman","Cukup")))))</f>
        <v>Tidak dinilai</v>
      </c>
      <c r="Q227" s="70" t="str">
        <f aca="false">IF($A227="","",IF(COUNTIF(K227:P227,"Tidak dinilai")=6,"Tidak dinilai",IF(COUNTIF(K227:P227,"Kurang")&gt;0,"Kurang cocok",IF(COUNTIF(K227:P227,"Belum ada data")&gt;0,"Data belum lengkap",IF(COUNTIF(K227:P227,"Cukup")&gt;0,"Bisa, dengan catatan","Cocok")))))</f>
        <v>Kurang cocok</v>
      </c>
      <c r="R227" s="33" t="str">
        <f aca="false">IF($A227="","",IF(K227="Kurang","prosesor tingkat "&amp;C227&amp;" dari 5, di bawah batas minimal (tingkat "&amp;Aturan!$C$42&amp;")",IF(K227="Cukup","prosesor tingkat "&amp;C227&amp;" dari 5 cukup, nyamannya mulai tingkat "&amp;Aturan!$D$42,IF(K227="Belum ada data","tingkat prosesor belum diisi",""))))</f>
        <v>prosesor tingkat 1 dari 5, di bawah batas minimal (tingkat 2)</v>
      </c>
      <c r="S227" s="33" t="str">
        <f aca="false">IF($A227="","",IF(L227="Kurang","grafis tingkat "&amp;D227&amp;" dari 5, di bawah batas minimal (tingkat "&amp;Aturan!$C$43&amp;")",IF(L227="Cukup","grafis tingkat "&amp;D227&amp;" dari 5 cukup, nyamannya mulai tingkat "&amp;Aturan!$D$43,IF(L227="Belum ada data","tingkat grafis belum diisi",""))))</f>
        <v/>
      </c>
      <c r="T227" s="33" t="str">
        <f aca="false">IF($A227="","",IF(M227="Kurang","RAM "&amp;E227&amp;" GB, di bawah batas minimal "&amp;Aturan!$C$44&amp;" GB ("&amp;I227&amp;")",IF(M227="Cukup","RAM "&amp;E227&amp;" GB cukup, nyamannya "&amp;Aturan!$D$44&amp;" GB atau lebih ("&amp;I227&amp;")",IF(M227="Belum ada data","ukuran RAM belum diisi",""))))</f>
        <v>RAM 8 GB cukup, nyamannya 16 GB atau lebih (menempel di papan utama, tidak bisa ditambah)</v>
      </c>
      <c r="U227" s="33" t="str">
        <f aca="false">IF($A227="","",IF(N227="Kurang","penyimpanan "&amp;F227&amp;" GB, di bawah batas minimal "&amp;Aturan!$C$45&amp;" GB ("&amp;J227&amp;")",IF(N227="Cukup","penyimpanan "&amp;F227&amp;" GB cukup, nyamannya "&amp;Aturan!$D$45&amp;" GB atau lebih ("&amp;J227&amp;")",IF(N227="Belum ada data","ukuran penyimpanan belum diisi",""))))</f>
        <v>penyimpanan 256 GB cukup, nyamannya 512 GB atau lebih (bisa diganti dengan yang lebih besar)</v>
      </c>
      <c r="V227" s="33" t="str">
        <f aca="false">IF($A227="","",IF(O227="Kurang","layar "&amp;Varian!$AG49&amp;", di bawah batas minimal ("&amp;IFERROR(INDEX(Aturan!$A$63:$A$66,MATCH(Aturan!$C$46,Aturan!$B$63:$B$66,0)),"peringkat "&amp;Aturan!$C$46)&amp;")",IF(O227="Cukup","layar "&amp;Varian!$AG49&amp;" cukup, nyamannya "&amp;IFERROR(INDEX(Aturan!$A$63:$A$66,MATCH(Aturan!$D$46,Aturan!$B$63:$B$66,0)),"peringkat "&amp;Aturan!$D$46),IF(O227="Belum ada data","jenis layar belum diketahui",""))))</f>
        <v/>
      </c>
      <c r="W227" s="33" t="str">
        <f aca="false">IF($A227="","",IF(P227="Kurang","layar "&amp;H227&amp;" Hz, di bawah batas minimal "&amp;Aturan!$C$47&amp;" Hz",IF(P227="Cukup","layar "&amp;H227&amp;" Hz cukup, nyamannya "&amp;Aturan!$D$47&amp;" Hz atau lebih",IF(P227="Belum ada data","refresh rate belum diketahui",""))))</f>
        <v/>
      </c>
      <c r="X227" s="33" t="str">
        <f aca="false">IF($A227="","",IF(K227="Kurang",R227&amp;"; ","")&amp;IF(L227="Kurang",S227&amp;"; ","")&amp;IF(M227="Kurang",T227&amp;"; ","")&amp;IF(N227="Kurang",U227&amp;"; ","")&amp;IF(O227="Kurang",V227&amp;"; ","")&amp;IF(P227="Kurang",W227&amp;"; ","")&amp;IF(K227="Belum ada data",R227&amp;"; ","")&amp;IF(L227="Belum ada data",S227&amp;"; ","")&amp;IF(M227="Belum ada data",T227&amp;"; ","")&amp;IF(N227="Belum ada data",U227&amp;"; ","")&amp;IF(O227="Belum ada data",V227&amp;"; ","")&amp;IF(P227="Belum ada data",W227&amp;"; ","")&amp;IF(K227="Cukup",R227&amp;"; ","")&amp;IF(L227="Cukup",S227&amp;"; ","")&amp;IF(M227="Cukup",T227&amp;"; ","")&amp;IF(N227="Cukup",U227&amp;"; ","")&amp;IF(O227="Cukup",V227&amp;"; ","")&amp;IF(P227="Cukup",W227&amp;"; ",""))</f>
        <v>prosesor tingkat 1 dari 5, di bawah batas minimal (tingkat 2); RAM 8 GB cukup, nyamannya 16 GB atau lebih (menempel di papan utama, tidak bisa ditambah); penyimpanan 256 GB cukup, nyamannya 512 GB atau lebih (bisa diganti dengan yang lebih besar); </v>
      </c>
      <c r="Y227" s="33" t="str">
        <f aca="false">IF($A227="","",IF(K227="Nyaman","prosesor, ","")&amp;IF(L227="Nyaman","grafis, ","")&amp;IF(M227="Nyaman","RAM, ","")&amp;IF(N227="Nyaman","penyimpanan, ","")&amp;IF(O227="Nyaman","layar, ","")&amp;IF(P227="Nyaman","refresh rate, ",""))</f>
        <v/>
      </c>
      <c r="Z227" s="33" t="str">
        <f aca="false">IF($A227="","",IF(Q227="Tidak dinilai","Belum ada kriteria yang dinilai untuk kebutuhan ini.",IF(Q227="Cocok","Semua kriteria yang dinilai sudah nyaman: "&amp;LEFT(Y227,LEN(Y227)-2)&amp;".",UPPER(LEFT(X227,1))&amp;MID(X227,2,LEN(X227)-3)&amp;"."&amp;IF(Y227="",""," Sudah nyaman: "&amp;LEFT(Y227,LEN(Y227)-2)&amp;"."))))</f>
        <v>Prosesor tingkat 1 dari 5, di bawah batas minimal (tingkat 2); RAM 8 GB cukup, nyamannya 16 GB atau lebih (menempel di papan utama, tidak bisa ditambah); penyimpanan 256 GB cukup, nyamannya 512 GB atau lebih (bisa diganti dengan yang lebih besar).</v>
      </c>
      <c r="AA227" s="33"/>
      <c r="AB227" s="33"/>
      <c r="AC227" s="69"/>
    </row>
    <row r="228" customFormat="false" ht="15" hidden="false" customHeight="true" outlineLevel="0" collapsed="false">
      <c r="A228" s="33" t="str">
        <f aca="false">IF(Varian!$A49="","",Varian!$A49)</f>
        <v>dell-xps-13-9360-i5-7200u-8-256</v>
      </c>
      <c r="B228" s="33" t="str">
        <f aca="false">IF($A228="","",Aturan!$A$24)</f>
        <v>Game ringan</v>
      </c>
      <c r="C228" s="69" t="n">
        <f aca="false">IF($A228="","",IFERROR(IF(ISNUMBER(INDEX(CPU!$J$4:$J$64,MATCH(Varian!$J49,CPU!$A$4:$A$64,0))),INDEX(CPU!$J$4:$J$64,MATCH(Varian!$J49,CPU!$A$4:$A$64,0)),""),""))</f>
        <v>1</v>
      </c>
      <c r="D228" s="69" t="n">
        <f aca="false">IF($A228="","",IFERROR(IF(ISNUMBER(INDEX(GPU!$G$4:$G$64,MATCH(Varian!$K49,GPU!$A$4:$A$64,0))),INDEX(GPU!$G$4:$G$64,MATCH(Varian!$K49,GPU!$A$4:$A$64,0)),""),""))</f>
        <v>1</v>
      </c>
      <c r="E228" s="69" t="n">
        <f aca="false">IF($A228="","",IF(ISNUMBER(Varian!$M49),Varian!$M49,""))</f>
        <v>8</v>
      </c>
      <c r="F228" s="69" t="n">
        <f aca="false">IF($A228="","",IF(ISNUMBER(Varian!$V49),Varian!$V49,""))</f>
        <v>256</v>
      </c>
      <c r="G228" s="69" t="n">
        <f aca="false">IF($A228="","",IFERROR(INDEX(Aturan!$B$63:$B$66,MATCH(Varian!$AG49,Aturan!$A$63:$A$66,0)),""))</f>
        <v>3</v>
      </c>
      <c r="H228" s="69" t="n">
        <f aca="false">IF($A228="","",IF(ISNUMBER(Varian!$AI49),Varian!$AI49,""))</f>
        <v>60</v>
      </c>
      <c r="I228" s="33" t="str">
        <f aca="false">IF($A228="","",IF(Varian!$Q49="disolder","menempel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menempel di papan utama, tidak bisa ditambah</v>
      </c>
      <c r="J228" s="33" t="str">
        <f aca="false">IF($A228="","",IF(Varian!$Z49="ya","bisa diganti dengan yang lebih besar",IF(Varian!$Z49="tidak","menempel, tidak bisa diganti","belum diketahui apakah bisa diganti")))</f>
        <v>bisa diganti dengan yang lebih besar</v>
      </c>
      <c r="K228" s="70" t="str">
        <f aca="false">IF($A228="","",IF(AND(Aturan!$C$48="",Aturan!$D$48=""),"Tidak dinilai",IF(C228="","Belum ada data",IF(C228&lt;IF(Aturan!$C$48="",0,Aturan!$C$48),"Kurang",IF(C228&gt;=IF(Aturan!$D$48="",Aturan!$C$48,Aturan!$D$48),"Nyaman","Cukup")))))</f>
        <v>Kurang</v>
      </c>
      <c r="L228" s="70" t="str">
        <f aca="false">IF($A228="","",IF(AND(Aturan!$C$49="",Aturan!$D$49=""),"Tidak dinilai",IF(D228="","Belum ada data",IF(D228&lt;IF(Aturan!$C$49="",0,Aturan!$C$49),"Kurang",IF(D228&gt;=IF(Aturan!$D$49="",Aturan!$C$49,Aturan!$D$49),"Nyaman","Cukup")))))</f>
        <v>Cukup</v>
      </c>
      <c r="M228" s="70" t="str">
        <f aca="false">IF($A228="","",IF(AND(Aturan!$C$50="",Aturan!$D$50=""),"Tidak dinilai",IF(E228="","Belum ada data",IF(E228&lt;IF(Aturan!$C$50="",0,Aturan!$C$50),"Kurang",IF(E228&gt;=IF(Aturan!$D$50="",Aturan!$C$50,Aturan!$D$50),"Nyaman","Cukup")))))</f>
        <v>Nyaman</v>
      </c>
      <c r="N228" s="70" t="str">
        <f aca="false">IF($A228="","",IF(AND(Aturan!$C$51="",Aturan!$D$51=""),"Tidak dinilai",IF(F228="","Belum ada data",IF(F228&lt;IF(Aturan!$C$51="",0,Aturan!$C$51),"Kurang",IF(F228&gt;=IF(Aturan!$D$51="",Aturan!$C$51,Aturan!$D$51),"Nyaman","Cukup")))))</f>
        <v>Nyaman</v>
      </c>
      <c r="O228" s="70" t="str">
        <f aca="false">IF($A228="","",IF(AND(Aturan!$C$52="",Aturan!$D$52=""),"Tidak dinilai",IF(G228="","Belum ada data",IF(G228&lt;IF(Aturan!$C$52="",0,Aturan!$C$52),"Kurang",IF(G228&gt;=IF(Aturan!$D$52="",Aturan!$C$52,Aturan!$D$52),"Nyaman","Cukup")))))</f>
        <v>Tidak dinilai</v>
      </c>
      <c r="P228" s="70" t="str">
        <f aca="false">IF($A228="","",IF(AND(Aturan!$C$53="",Aturan!$D$53=""),"Tidak dinilai",IF(H228="","Belum ada data",IF(H228&lt;IF(Aturan!$C$53="",0,Aturan!$C$53),"Kurang",IF(H228&gt;=IF(Aturan!$D$53="",Aturan!$C$53,Aturan!$D$53),"Nyaman","Cukup")))))</f>
        <v>Tidak dinilai</v>
      </c>
      <c r="Q228" s="70" t="str">
        <f aca="false">IF($A228="","",IF(COUNTIF(K228:P228,"Tidak dinilai")=6,"Tidak dinilai",IF(COUNTIF(K228:P228,"Kurang")&gt;0,"Kurang cocok",IF(COUNTIF(K228:P228,"Belum ada data")&gt;0,"Data belum lengkap",IF(COUNTIF(K228:P228,"Cukup")&gt;0,"Bisa, dengan catatan","Cocok")))))</f>
        <v>Kurang cocok</v>
      </c>
      <c r="R228" s="33" t="str">
        <f aca="false">IF($A228="","",IF(K228="Kurang","prosesor tingkat "&amp;C228&amp;" dari 5, di bawah batas minimal (tingkat "&amp;Aturan!$C$48&amp;")",IF(K228="Cukup","prosesor tingkat "&amp;C228&amp;" dari 5 cukup, nyamannya mulai tingkat "&amp;Aturan!$D$48,IF(K228="Belum ada data","tingkat prosesor belum diisi",""))))</f>
        <v>prosesor tingkat 1 dari 5, di bawah batas minimal (tingkat 2)</v>
      </c>
      <c r="S228" s="33" t="str">
        <f aca="false">IF($A228="","",IF(L228="Kurang","grafis tingkat "&amp;D228&amp;" dari 5, di bawah batas minimal (tingkat "&amp;Aturan!$C$49&amp;")",IF(L228="Cukup","grafis tingkat "&amp;D228&amp;" dari 5 cukup, nyamannya mulai tingkat "&amp;Aturan!$D$49,IF(L228="Belum ada data","tingkat grafis belum diisi",""))))</f>
        <v>grafis tingkat 1 dari 5 cukup, nyamannya mulai tingkat 2</v>
      </c>
      <c r="T228" s="33" t="str">
        <f aca="false">IF($A228="","",IF(M228="Kurang","RAM "&amp;E228&amp;" GB, di bawah batas minimal "&amp;Aturan!$C$50&amp;" GB ("&amp;I228&amp;")",IF(M228="Cukup","RAM "&amp;E228&amp;" GB cukup, nyamannya "&amp;Aturan!$D$50&amp;" GB atau lebih ("&amp;I228&amp;")",IF(M228="Belum ada data","ukuran RAM belum diisi",""))))</f>
        <v/>
      </c>
      <c r="U228" s="33" t="str">
        <f aca="false">IF($A228="","",IF(N228="Kurang","penyimpanan "&amp;F228&amp;" GB, di bawah batas minimal "&amp;Aturan!$C$51&amp;" GB ("&amp;J228&amp;")",IF(N228="Cukup","penyimpanan "&amp;F228&amp;" GB cukup, nyamannya "&amp;Aturan!$D$51&amp;" GB atau lebih ("&amp;J228&amp;")",IF(N228="Belum ada data","ukuran penyimpanan belum diisi",""))))</f>
        <v/>
      </c>
      <c r="V228" s="33" t="str">
        <f aca="false">IF($A228="","",IF(O228="Kurang","layar "&amp;Varian!$AG49&amp;", di bawah batas minimal ("&amp;IFERROR(INDEX(Aturan!$A$63:$A$66,MATCH(Aturan!$C$52,Aturan!$B$63:$B$66,0)),"peringkat "&amp;Aturan!$C$52)&amp;")",IF(O228="Cukup","layar "&amp;Varian!$AG49&amp;" cukup, nyamannya "&amp;IFERROR(INDEX(Aturan!$A$63:$A$66,MATCH(Aturan!$D$52,Aturan!$B$63:$B$66,0)),"peringkat "&amp;Aturan!$D$52),IF(O228="Belum ada data","jenis layar belum diketahui",""))))</f>
        <v/>
      </c>
      <c r="W228" s="33" t="str">
        <f aca="false">IF($A228="","",IF(P228="Kurang","layar "&amp;H228&amp;" Hz, di bawah batas minimal "&amp;Aturan!$C$53&amp;" Hz",IF(P228="Cukup","layar "&amp;H228&amp;" Hz cukup, nyamannya "&amp;Aturan!$D$53&amp;" Hz atau lebih",IF(P228="Belum ada data","refresh rate belum diketahui",""))))</f>
        <v/>
      </c>
      <c r="X228" s="33" t="str">
        <f aca="false">IF($A228="","",IF(K228="Kurang",R228&amp;"; ","")&amp;IF(L228="Kurang",S228&amp;"; ","")&amp;IF(M228="Kurang",T228&amp;"; ","")&amp;IF(N228="Kurang",U228&amp;"; ","")&amp;IF(O228="Kurang",V228&amp;"; ","")&amp;IF(P228="Kurang",W228&amp;"; ","")&amp;IF(K228="Belum ada data",R228&amp;"; ","")&amp;IF(L228="Belum ada data",S228&amp;"; ","")&amp;IF(M228="Belum ada data",T228&amp;"; ","")&amp;IF(N228="Belum ada data",U228&amp;"; ","")&amp;IF(O228="Belum ada data",V228&amp;"; ","")&amp;IF(P228="Belum ada data",W228&amp;"; ","")&amp;IF(K228="Cukup",R228&amp;"; ","")&amp;IF(L228="Cukup",S228&amp;"; ","")&amp;IF(M228="Cukup",T228&amp;"; ","")&amp;IF(N228="Cukup",U228&amp;"; ","")&amp;IF(O228="Cukup",V228&amp;"; ","")&amp;IF(P228="Cukup",W228&amp;"; ",""))</f>
        <v>prosesor tingkat 1 dari 5, di bawah batas minimal (tingkat 2); grafis tingkat 1 dari 5 cukup, nyamannya mulai tingkat 2; </v>
      </c>
      <c r="Y228" s="33" t="str">
        <f aca="false">IF($A228="","",IF(K228="Nyaman","prosesor, ","")&amp;IF(L228="Nyaman","grafis, ","")&amp;IF(M228="Nyaman","RAM, ","")&amp;IF(N228="Nyaman","penyimpanan, ","")&amp;IF(O228="Nyaman","layar, ","")&amp;IF(P228="Nyaman","refresh rate, ",""))</f>
        <v>RAM, penyimpanan, </v>
      </c>
      <c r="Z228" s="33" t="str">
        <f aca="false">IF($A228="","",IF(Q228="Tidak dinilai","Belum ada kriteria yang dinilai untuk kebutuhan ini.",IF(Q228="Cocok","Semua kriteria yang dinilai sudah nyaman: "&amp;LEFT(Y228,LEN(Y228)-2)&amp;".",UPPER(LEFT(X228,1))&amp;MID(X228,2,LEN(X228)-3)&amp;"."&amp;IF(Y228="",""," Sudah nyaman: "&amp;LEFT(Y228,LEN(Y228)-2)&amp;"."))))</f>
        <v>Prosesor tingkat 1 dari 5, di bawah batas minimal (tingkat 2); grafis tingkat 1 dari 5 cukup, nyamannya mulai tingkat 2. Sudah nyaman: RAM, penyimpanan.</v>
      </c>
      <c r="AA228" s="33"/>
      <c r="AB228" s="33"/>
      <c r="AC228" s="69"/>
    </row>
    <row r="229" customFormat="false" ht="15" hidden="false" customHeight="true" outlineLevel="0" collapsed="false">
      <c r="A229" s="33" t="str">
        <f aca="false">IF(Varian!$A49="","",Varian!$A49)</f>
        <v>dell-xps-13-9360-i5-7200u-8-256</v>
      </c>
      <c r="B229" s="33" t="str">
        <f aca="false">IF($A229="","",Aturan!$A$25)</f>
        <v>Game berat</v>
      </c>
      <c r="C229" s="69" t="n">
        <f aca="false">IF($A229="","",IFERROR(IF(ISNUMBER(INDEX(CPU!$J$4:$J$64,MATCH(Varian!$J49,CPU!$A$4:$A$64,0))),INDEX(CPU!$J$4:$J$64,MATCH(Varian!$J49,CPU!$A$4:$A$64,0)),""),""))</f>
        <v>1</v>
      </c>
      <c r="D229" s="69" t="n">
        <f aca="false">IF($A229="","",IFERROR(IF(ISNUMBER(INDEX(GPU!$G$4:$G$64,MATCH(Varian!$K49,GPU!$A$4:$A$64,0))),INDEX(GPU!$G$4:$G$64,MATCH(Varian!$K49,GPU!$A$4:$A$64,0)),""),""))</f>
        <v>1</v>
      </c>
      <c r="E229" s="69" t="n">
        <f aca="false">IF($A229="","",IF(ISNUMBER(Varian!$M49),Varian!$M49,""))</f>
        <v>8</v>
      </c>
      <c r="F229" s="69" t="n">
        <f aca="false">IF($A229="","",IF(ISNUMBER(Varian!$V49),Varian!$V49,""))</f>
        <v>256</v>
      </c>
      <c r="G229" s="69" t="n">
        <f aca="false">IF($A229="","",IFERROR(INDEX(Aturan!$B$63:$B$66,MATCH(Varian!$AG49,Aturan!$A$63:$A$66,0)),""))</f>
        <v>3</v>
      </c>
      <c r="H229" s="69" t="n">
        <f aca="false">IF($A229="","",IF(ISNUMBER(Varian!$AI49),Varian!$AI49,""))</f>
        <v>60</v>
      </c>
      <c r="I229" s="33" t="str">
        <f aca="false">IF($A229="","",IF(Varian!$Q49="disolder","menempel di papan utama, tidak bisa ditambah",IF(OR(Varian!$Q49="slot",Varian!$Q49="setengah_disolder"),IF(Varian!$Q49="setengah_disolder","sebagian menempel, ","")&amp;IF(ISNUMBER(Varian!$U49),IF(AND(ISNUMBER(Varian!$M49),Varian!$U49&gt;Varian!$M49),"bisa dinaikkan lewat slot sampai "&amp;Varian!$U49&amp;" GB","sudah di batas maksimal "&amp;Varian!$U49&amp;" GB"),"ada slot, batas maksimalnya belum diketahui"),"belum diketahui apakah bisa ditambah")))</f>
        <v>menempel di papan utama, tidak bisa ditambah</v>
      </c>
      <c r="J229" s="33" t="str">
        <f aca="false">IF($A229="","",IF(Varian!$Z49="ya","bisa diganti dengan yang lebih besar",IF(Varian!$Z49="tidak","menempel, tidak bisa diganti","belum diketahui apakah bisa diganti")))</f>
        <v>bisa diganti dengan yang lebih besar</v>
      </c>
      <c r="K229" s="70" t="str">
        <f aca="false">IF($A229="","",IF(AND(Aturan!$C$54="",Aturan!$D$54=""),"Tidak dinilai",IF(C229="","Belum ada data",IF(C229&lt;IF(Aturan!$C$54="",0,Aturan!$C$54),"Kurang",IF(C229&gt;=IF(Aturan!$D$54="",Aturan!$C$54,Aturan!$D$54),"Nyaman","Cukup")))))</f>
        <v>Kurang</v>
      </c>
      <c r="L229" s="70" t="str">
        <f aca="false">IF($A229="","",IF(AND(Aturan!$C$55="",Aturan!$D$55=""),"Tidak dinilai",IF(D229="","Belum ada data",IF(D229&lt;IF(Aturan!$C$55="",0,Aturan!$C$55),"Kurang",IF(D229&gt;=IF(Aturan!$D$55="",Aturan!$C$55,Aturan!$D$55),"Nyaman","Cukup")))))</f>
        <v>Kurang</v>
      </c>
      <c r="M229" s="70" t="str">
        <f aca="false">IF($A229="","",IF(AND(Aturan!$C$56="",Aturan!$D$56=""),"Tidak dinilai",IF(E229="","Belum ada data",IF(E229&lt;IF(Aturan!$C$56="",0,Aturan!$C$56),"Kurang",IF(E229&gt;=IF(Aturan!$D$56="",Aturan!$C$56,Aturan!$D$56),"Nyaman","Cukup")))))</f>
        <v>Cukup</v>
      </c>
      <c r="N229" s="70" t="str">
        <f aca="false">IF($A229="","",IF(AND(Aturan!$C$57="",Aturan!$D$57=""),"Tidak dinilai",IF(F229="","Belum ada data",IF(F229&lt;IF(Aturan!$C$57="",0,Aturan!$C$57),"Kurang",IF(F229&gt;=IF(Aturan!$D$57="",Aturan!$C$57,Aturan!$D$57),"Nyaman","Cukup")))))</f>
        <v>Kurang</v>
      </c>
      <c r="O229" s="70" t="str">
        <f aca="false">IF($A229="","",IF(AND(Aturan!$C$58="",Aturan!$D$58=""),"Tidak dinilai",IF(G229="","Belum ada data",IF(G229&lt;IF(Aturan!$C$58="",0,Aturan!$C$58),"Kurang",IF(G229&gt;=IF(Aturan!$D$58="",Aturan!$C$58,Aturan!$D$58),"Nyaman","Cukup")))))</f>
        <v>Tidak dinilai</v>
      </c>
      <c r="P229" s="70" t="str">
        <f aca="false">IF($A229="","",IF(AND(Aturan!$C$59="",Aturan!$D$59=""),"Tidak dinilai",IF(H229="","Belum ada data",IF(H229&lt;IF(Aturan!$C$59="",0,Aturan!$C$59),"Kurang",IF(H229&gt;=IF(Aturan!$D$59="",Aturan!$C$59,Aturan!$D$59),"Nyaman","Cukup")))))</f>
        <v>Cukup</v>
      </c>
      <c r="Q229" s="70" t="str">
        <f aca="false">IF($A229="","",IF(COUNTIF(K229:P229,"Tidak dinilai")=6,"Tidak dinilai",IF(COUNTIF(K229:P229,"Kurang")&gt;0,"Kurang cocok",IF(COUNTIF(K229:P229,"Belum ada data")&gt;0,"Data belum lengkap",IF(COUNTIF(K229:P229,"Cukup")&gt;0,"Bisa, dengan catatan","Cocok")))))</f>
        <v>Kurang cocok</v>
      </c>
      <c r="R229" s="33" t="str">
        <f aca="false">IF($A229="","",IF(K229="Kurang","prosesor tingkat "&amp;C229&amp;" dari 5, di bawah batas minimal (tingkat "&amp;Aturan!$C$54&amp;")",IF(K229="Cukup","prosesor tingkat "&amp;C229&amp;" dari 5 cukup, nyamannya mulai tingkat "&amp;Aturan!$D$54,IF(K229="Belum ada data","tingkat prosesor belum diisi",""))))</f>
        <v>prosesor tingkat 1 dari 5, di bawah batas minimal (tingkat 3)</v>
      </c>
      <c r="S229" s="33" t="str">
        <f aca="false">IF($A229="","",IF(L229="Kurang","grafis tingkat "&amp;D229&amp;" dari 5, di bawah batas minimal (tingkat "&amp;Aturan!$C$55&amp;")",IF(L229="Cukup","grafis tingkat "&amp;D229&amp;" dari 5 cukup, nyamannya mulai tingkat "&amp;Aturan!$D$55,IF(L229="Belum ada data","tingkat grafis belum diisi",""))))</f>
        <v>grafis tingkat 1 dari 5, di bawah batas minimal (tingkat 3)</v>
      </c>
      <c r="T229" s="33" t="str">
        <f aca="false">IF($A229="","",IF(M229="Kurang","RAM "&amp;E229&amp;" GB, di bawah batas minimal "&amp;Aturan!$C$56&amp;" GB ("&amp;I229&amp;")",IF(M229="Cukup","RAM "&amp;E229&amp;" GB cukup, nyamannya "&amp;Aturan!$D$56&amp;" GB atau lebih ("&amp;I229&amp;")",IF(M229="Belum ada data","ukuran RAM belum diisi",""))))</f>
        <v>RAM 8 GB cukup, nyamannya 16 GB atau lebih (menempel di papan utama, tidak bisa ditambah)</v>
      </c>
      <c r="U229" s="33" t="str">
        <f aca="false">IF($A229="","",IF(N229="Kurang","penyimpanan "&amp;F229&amp;" GB, di bawah batas minimal "&amp;Aturan!$C$57&amp;" GB ("&amp;J229&amp;")",IF(N229="Cukup","penyimpanan "&amp;F229&amp;" GB cukup, nyamannya "&amp;Aturan!$D$57&amp;" GB atau lebih ("&amp;J229&amp;")",IF(N229="Belum ada data","ukuran penyimpanan belum diisi",""))))</f>
        <v>penyimpanan 256 GB, di bawah batas minimal 512 GB (bisa diganti dengan yang lebih besar)</v>
      </c>
      <c r="V229" s="33" t="str">
        <f aca="false">IF($A229="","",IF(O229="Kurang","layar "&amp;Varian!$AG49&amp;", di bawah batas minimal ("&amp;IFERROR(INDEX(Aturan!$A$63:$A$66,MATCH(Aturan!$C$58,Aturan!$B$63:$B$66,0)),"peringkat "&amp;Aturan!$C$58)&amp;")",IF(O229="Cukup","layar "&amp;Varian!$AG49&amp;" cukup, nyamannya "&amp;IFERROR(INDEX(Aturan!$A$63:$A$66,MATCH(Aturan!$D$58,Aturan!$B$63:$B$66,0)),"peringkat "&amp;Aturan!$D$58),IF(O229="Belum ada data","jenis layar belum diketahui",""))))</f>
        <v/>
      </c>
      <c r="W229" s="33" t="str">
        <f aca="false">IF($A229="","",IF(P229="Kurang","layar "&amp;H229&amp;" Hz, di bawah batas minimal "&amp;Aturan!$C$59&amp;" Hz",IF(P229="Cukup","layar "&amp;H229&amp;" Hz cukup, nyamannya "&amp;Aturan!$D$59&amp;" Hz atau lebih",IF(P229="Belum ada data","refresh rate belum diketahui",""))))</f>
        <v>layar 60 Hz cukup, nyamannya 120 Hz atau lebih</v>
      </c>
      <c r="X229" s="33" t="str">
        <f aca="false">IF($A229="","",IF(K229="Kurang",R229&amp;"; ","")&amp;IF(L229="Kurang",S229&amp;"; ","")&amp;IF(M229="Kurang",T229&amp;"; ","")&amp;IF(N229="Kurang",U229&amp;"; ","")&amp;IF(O229="Kurang",V229&amp;"; ","")&amp;IF(P229="Kurang",W229&amp;"; ","")&amp;IF(K229="Belum ada data",R229&amp;"; ","")&amp;IF(L229="Belum ada data",S229&amp;"; ","")&amp;IF(M229="Belum ada data",T229&amp;"; ","")&amp;IF(N229="Belum ada data",U229&amp;"; ","")&amp;IF(O229="Belum ada data",V229&amp;"; ","")&amp;IF(P229="Belum ada data",W229&amp;"; ","")&amp;IF(K229="Cukup",R229&amp;"; ","")&amp;IF(L229="Cukup",S229&amp;"; ","")&amp;IF(M229="Cukup",T229&amp;"; ","")&amp;IF(N229="Cukup",U229&amp;"; ","")&amp;IF(O229="Cukup",V229&amp;"; ","")&amp;IF(P229="Cukup",W229&amp;"; ",""))</f>
        <v>prosesor tingkat 1 dari 5, di bawah batas minimal (tingkat 3); grafis tingkat 1 dari 5, di bawah batas minimal (tingkat 3); penyimpanan 256 GB, di bawah batas minimal 512 GB (bisa diganti dengan yang lebih besar); RAM 8 GB cukup, nyamannya 16 GB atau lebih (menempel di papan utama, tidak bisa ditambah); layar 60 Hz cukup, nyamannya 120 Hz atau lebih; </v>
      </c>
      <c r="Y229" s="33" t="str">
        <f aca="false">IF($A229="","",IF(K229="Nyaman","prosesor, ","")&amp;IF(L229="Nyaman","grafis, ","")&amp;IF(M229="Nyaman","RAM, ","")&amp;IF(N229="Nyaman","penyimpanan, ","")&amp;IF(O229="Nyaman","layar, ","")&amp;IF(P229="Nyaman","refresh rate, ",""))</f>
        <v/>
      </c>
      <c r="Z229" s="33" t="str">
        <f aca="false">IF($A229="","",IF(Q229="Tidak dinilai","Belum ada kriteria yang dinilai untuk kebutuhan ini.",IF(Q229="Cocok","Semua kriteria yang dinilai sudah nyaman: "&amp;LEFT(Y229,LEN(Y229)-2)&amp;".",UPPER(LEFT(X229,1))&amp;MID(X229,2,LEN(X229)-3)&amp;"."&amp;IF(Y229="",""," Sudah nyaman: "&amp;LEFT(Y229,LEN(Y229)-2)&amp;"."))))</f>
        <v>Prosesor tingkat 1 dari 5, di bawah batas minimal (tingkat 3); grafis tingkat 1 dari 5, di bawah batas minimal (tingkat 3); penyimpanan 256 GB, di bawah batas minimal 512 GB (bisa diganti dengan yang lebih besar); RAM 8 GB cukup, nyamannya 16 GB atau lebih (menempel di papan utama, tidak bisa ditambah); layar 60 Hz cukup, nyamannya 120 Hz atau lebih.</v>
      </c>
      <c r="AA229" s="33"/>
      <c r="AB229" s="33"/>
      <c r="AC229" s="69"/>
    </row>
    <row r="230" customFormat="false" ht="15" hidden="false" customHeight="true" outlineLevel="0" collapsed="false">
      <c r="A230" s="66" t="str">
        <f aca="false">IF(Varian!$A50="","",Varian!$A50)</f>
        <v>lenovo-thinkpad-e14-gen-7-core3-100u-8-512</v>
      </c>
      <c r="B230" s="66" t="str">
        <f aca="false">IF($A230="","",Aturan!$A$21)</f>
        <v>Kuliah dan kantor</v>
      </c>
      <c r="C230" s="67" t="n">
        <f aca="false">IF($A230="","",IFERROR(IF(ISNUMBER(INDEX(CPU!$J$4:$J$64,MATCH(Varian!$J50,CPU!$A$4:$A$64,0))),INDEX(CPU!$J$4:$J$64,MATCH(Varian!$J50,CPU!$A$4:$A$64,0)),""),""))</f>
        <v>2</v>
      </c>
      <c r="D230" s="67" t="n">
        <f aca="false">IF($A230="","",IFERROR(IF(ISNUMBER(INDEX(GPU!$G$4:$G$64,MATCH(Varian!$K50,GPU!$A$4:$A$64,0))),INDEX(GPU!$G$4:$G$64,MATCH(Varian!$K50,GPU!$A$4:$A$64,0)),""),""))</f>
        <v>2</v>
      </c>
      <c r="E230" s="67" t="n">
        <f aca="false">IF($A230="","",IF(ISNUMBER(Varian!$M50),Varian!$M50,""))</f>
        <v>8</v>
      </c>
      <c r="F230" s="67" t="n">
        <f aca="false">IF($A230="","",IF(ISNUMBER(Varian!$V50),Varian!$V50,""))</f>
        <v>512</v>
      </c>
      <c r="G230" s="67" t="n">
        <f aca="false">IF($A230="","",IFERROR(INDEX(Aturan!$B$63:$B$66,MATCH(Varian!$AG50,Aturan!$A$63:$A$66,0)),""))</f>
        <v>3</v>
      </c>
      <c r="H230" s="67" t="n">
        <f aca="false">IF($A230="","",IF(ISNUMBER(Varian!$AI50),Varian!$AI50,""))</f>
        <v>60</v>
      </c>
      <c r="I230" s="66" t="str">
        <f aca="false">IF($A230="","",IF(Varian!$Q50="disolder","menempel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bisa dinaikkan lewat slot sampai 64 GB</v>
      </c>
      <c r="J230" s="66" t="str">
        <f aca="false">IF($A230="","",IF(Varian!$Z50="ya","bisa diganti dengan yang lebih besar",IF(Varian!$Z50="tidak","menempel, tidak bisa diganti","belum diketahui apakah bisa diganti")))</f>
        <v>bisa diganti dengan yang lebih besar</v>
      </c>
      <c r="K230" s="68" t="str">
        <f aca="false">IF($A230="","",IF(AND(Aturan!$C$30="",Aturan!$D$30=""),"Tidak dinilai",IF(C230="","Belum ada data",IF(C230&lt;IF(Aturan!$C$30="",0,Aturan!$C$30),"Kurang",IF(C230&gt;=IF(Aturan!$D$30="",Aturan!$C$30,Aturan!$D$30),"Nyaman","Cukup")))))</f>
        <v>Nyaman</v>
      </c>
      <c r="L230" s="68" t="str">
        <f aca="false">IF($A230="","",IF(AND(Aturan!$C$31="",Aturan!$D$31=""),"Tidak dinilai",IF(D230="","Belum ada data",IF(D230&lt;IF(Aturan!$C$31="",0,Aturan!$C$31),"Kurang",IF(D230&gt;=IF(Aturan!$D$31="",Aturan!$C$31,Aturan!$D$31),"Nyaman","Cukup")))))</f>
        <v>Tidak dinilai</v>
      </c>
      <c r="M230" s="68" t="str">
        <f aca="false">IF($A230="","",IF(AND(Aturan!$C$32="",Aturan!$D$32=""),"Tidak dinilai",IF(E230="","Belum ada data",IF(E230&lt;IF(Aturan!$C$32="",0,Aturan!$C$32),"Kurang",IF(E230&gt;=IF(Aturan!$D$32="",Aturan!$C$32,Aturan!$D$32),"Nyaman","Cukup")))))</f>
        <v>Nyaman</v>
      </c>
      <c r="N230" s="68" t="str">
        <f aca="false">IF($A230="","",IF(AND(Aturan!$C$33="",Aturan!$D$33=""),"Tidak dinilai",IF(F230="","Belum ada data",IF(F230&lt;IF(Aturan!$C$33="",0,Aturan!$C$33),"Kurang",IF(F230&gt;=IF(Aturan!$D$33="",Aturan!$C$33,Aturan!$D$33),"Nyaman","Cukup")))))</f>
        <v>Nyaman</v>
      </c>
      <c r="O230" s="68" t="str">
        <f aca="false">IF($A230="","",IF(AND(Aturan!$C$34="",Aturan!$D$34=""),"Tidak dinilai",IF(G230="","Belum ada data",IF(G230&lt;IF(Aturan!$C$34="",0,Aturan!$C$34),"Kurang",IF(G230&gt;=IF(Aturan!$D$34="",Aturan!$C$34,Aturan!$D$34),"Nyaman","Cukup")))))</f>
        <v>Tidak dinilai</v>
      </c>
      <c r="P230" s="68" t="str">
        <f aca="false">IF($A230="","",IF(AND(Aturan!$C$35="",Aturan!$D$35=""),"Tidak dinilai",IF(H230="","Belum ada data",IF(H230&lt;IF(Aturan!$C$35="",0,Aturan!$C$35),"Kurang",IF(H230&gt;=IF(Aturan!$D$35="",Aturan!$C$35,Aturan!$D$35),"Nyaman","Cukup")))))</f>
        <v>Tidak dinilai</v>
      </c>
      <c r="Q230" s="68" t="str">
        <f aca="false">IF($A230="","",IF(COUNTIF(K230:P230,"Tidak dinilai")=6,"Tidak dinilai",IF(COUNTIF(K230:P230,"Kurang")&gt;0,"Kurang cocok",IF(COUNTIF(K230:P230,"Belum ada data")&gt;0,"Data belum lengkap",IF(COUNTIF(K230:P230,"Cukup")&gt;0,"Bisa, dengan catatan","Cocok")))))</f>
        <v>Cocok</v>
      </c>
      <c r="R230" s="66" t="str">
        <f aca="false">IF($A230="","",IF(K230="Kurang","prosesor tingkat "&amp;C230&amp;" dari 5, di bawah batas minimal (tingkat "&amp;Aturan!$C$30&amp;")",IF(K230="Cukup","prosesor tingkat "&amp;C230&amp;" dari 5 cukup, nyamannya mulai tingkat "&amp;Aturan!$D$30,IF(K230="Belum ada data","tingkat prosesor belum diisi",""))))</f>
        <v/>
      </c>
      <c r="S230" s="66" t="str">
        <f aca="false">IF($A230="","",IF(L230="Kurang","grafis tingkat "&amp;D230&amp;" dari 5, di bawah batas minimal (tingkat "&amp;Aturan!$C$31&amp;")",IF(L230="Cukup","grafis tingkat "&amp;D230&amp;" dari 5 cukup, nyamannya mulai tingkat "&amp;Aturan!$D$31,IF(L230="Belum ada data","tingkat grafis belum diisi",""))))</f>
        <v/>
      </c>
      <c r="T230" s="66" t="str">
        <f aca="false">IF($A230="","",IF(M230="Kurang","RAM "&amp;E230&amp;" GB, di bawah batas minimal "&amp;Aturan!$C$32&amp;" GB ("&amp;I230&amp;")",IF(M230="Cukup","RAM "&amp;E230&amp;" GB cukup, nyamannya "&amp;Aturan!$D$32&amp;" GB atau lebih ("&amp;I230&amp;")",IF(M230="Belum ada data","ukuran RAM belum diisi",""))))</f>
        <v/>
      </c>
      <c r="U230" s="66" t="str">
        <f aca="false">IF($A230="","",IF(N230="Kurang","penyimpanan "&amp;F230&amp;" GB, di bawah batas minimal "&amp;Aturan!$C$33&amp;" GB ("&amp;J230&amp;")",IF(N230="Cukup","penyimpanan "&amp;F230&amp;" GB cukup, nyamannya "&amp;Aturan!$D$33&amp;" GB atau lebih ("&amp;J230&amp;")",IF(N230="Belum ada data","ukuran penyimpanan belum diisi",""))))</f>
        <v/>
      </c>
      <c r="V230" s="66" t="str">
        <f aca="false">IF($A230="","",IF(O230="Kurang","layar "&amp;Varian!$AG50&amp;", di bawah batas minimal ("&amp;IFERROR(INDEX(Aturan!$A$63:$A$66,MATCH(Aturan!$C$34,Aturan!$B$63:$B$66,0)),"peringkat "&amp;Aturan!$C$34)&amp;")",IF(O230="Cukup","layar "&amp;Varian!$AG50&amp;" cukup, nyamannya "&amp;IFERROR(INDEX(Aturan!$A$63:$A$66,MATCH(Aturan!$D$34,Aturan!$B$63:$B$66,0)),"peringkat "&amp;Aturan!$D$34),IF(O230="Belum ada data","jenis layar belum diketahui",""))))</f>
        <v/>
      </c>
      <c r="W230" s="66" t="str">
        <f aca="false">IF($A230="","",IF(P230="Kurang","layar "&amp;H230&amp;" Hz, di bawah batas minimal "&amp;Aturan!$C$35&amp;" Hz",IF(P230="Cukup","layar "&amp;H230&amp;" Hz cukup, nyamannya "&amp;Aturan!$D$35&amp;" Hz atau lebih",IF(P230="Belum ada data","refresh rate belum diketahui",""))))</f>
        <v/>
      </c>
      <c r="X230" s="66" t="str">
        <f aca="false">IF($A230="","",IF(K230="Kurang",R230&amp;"; ","")&amp;IF(L230="Kurang",S230&amp;"; ","")&amp;IF(M230="Kurang",T230&amp;"; ","")&amp;IF(N230="Kurang",U230&amp;"; ","")&amp;IF(O230="Kurang",V230&amp;"; ","")&amp;IF(P230="Kurang",W230&amp;"; ","")&amp;IF(K230="Belum ada data",R230&amp;"; ","")&amp;IF(L230="Belum ada data",S230&amp;"; ","")&amp;IF(M230="Belum ada data",T230&amp;"; ","")&amp;IF(N230="Belum ada data",U230&amp;"; ","")&amp;IF(O230="Belum ada data",V230&amp;"; ","")&amp;IF(P230="Belum ada data",W230&amp;"; ","")&amp;IF(K230="Cukup",R230&amp;"; ","")&amp;IF(L230="Cukup",S230&amp;"; ","")&amp;IF(M230="Cukup",T230&amp;"; ","")&amp;IF(N230="Cukup",U230&amp;"; ","")&amp;IF(O230="Cukup",V230&amp;"; ","")&amp;IF(P230="Cukup",W230&amp;"; ",""))</f>
        <v/>
      </c>
      <c r="Y230" s="66" t="str">
        <f aca="false">IF($A230="","",IF(K230="Nyaman","prosesor, ","")&amp;IF(L230="Nyaman","grafis, ","")&amp;IF(M230="Nyaman","RAM, ","")&amp;IF(N230="Nyaman","penyimpanan, ","")&amp;IF(O230="Nyaman","layar, ","")&amp;IF(P230="Nyaman","refresh rate, ",""))</f>
        <v>prosesor, RAM, penyimpanan, </v>
      </c>
      <c r="Z230" s="66" t="str">
        <f aca="false">IF($A230="","",IF(Q230="Tidak dinilai","Belum ada kriteria yang dinilai untuk kebutuhan ini.",IF(Q230="Cocok","Semua kriteria yang dinilai sudah nyaman: "&amp;LEFT(Y230,LEN(Y230)-2)&amp;".",UPPER(LEFT(X230,1))&amp;MID(X230,2,LEN(X230)-3)&amp;"."&amp;IF(Y230="",""," Sudah nyaman: "&amp;LEFT(Y230,LEN(Y230)-2)&amp;"."))))</f>
        <v>Semua kriteria yang dinilai sudah nyaman: prosesor, RAM, penyimpanan.</v>
      </c>
      <c r="AA230" s="66" t="str">
        <f aca="false">IF($A230="","",IF(Varian!$AR50="Windows 10","• "&amp;Aturan!$E$71&amp;CHAR(10),"")&amp;IF(Varian!$BB50="tidak","• "&amp;Aturan!$E$72&amp;CHAR(10),"")&amp;IF(OR(Varian!$AD50="belum terverifikasi",Varian!$AD50="tidak diketahui"),"• "&amp;Aturan!$E$73&amp;CHAR(10),"")&amp;IF(Varian!$AH50="1366x768","• "&amp;Aturan!$E$74&amp;CHAR(10),"")&amp;IF(Varian!$AG50="TN","• "&amp;Aturan!$E$75&amp;CHAR(10),"")&amp;IF(AND(Varian!$Q50="disolder",ISNUMBER(Varian!$M50),Varian!$M50&lt;=8),"• "&amp;Aturan!$E$76&amp;CHAR(10),""))</f>
        <v/>
      </c>
      <c r="AB230" s="66" t="str">
        <f aca="false">IF($A230="","",IF(AA230="","",LEFT(AA230,LEN(AA230)-1)))</f>
        <v/>
      </c>
      <c r="AC230" s="67" t="n">
        <f aca="false">IF($A230="","",IF(AA230="",0,LEN(AA230)-LEN(SUBSTITUTE(AA230,CHAR(10),""))))</f>
        <v>0</v>
      </c>
    </row>
    <row r="231" customFormat="false" ht="15" hidden="false" customHeight="true" outlineLevel="0" collapsed="false">
      <c r="A231" s="33" t="str">
        <f aca="false">IF(Varian!$A50="","",Varian!$A50)</f>
        <v>lenovo-thinkpad-e14-gen-7-core3-100u-8-512</v>
      </c>
      <c r="B231" s="33" t="str">
        <f aca="false">IF($A231="","",Aturan!$A$22)</f>
        <v>Desain grafis</v>
      </c>
      <c r="C231" s="69" t="n">
        <f aca="false">IF($A231="","",IFERROR(IF(ISNUMBER(INDEX(CPU!$J$4:$J$64,MATCH(Varian!$J50,CPU!$A$4:$A$64,0))),INDEX(CPU!$J$4:$J$64,MATCH(Varian!$J50,CPU!$A$4:$A$64,0)),""),""))</f>
        <v>2</v>
      </c>
      <c r="D231" s="69" t="n">
        <f aca="false">IF($A231="","",IFERROR(IF(ISNUMBER(INDEX(GPU!$G$4:$G$64,MATCH(Varian!$K50,GPU!$A$4:$A$64,0))),INDEX(GPU!$G$4:$G$64,MATCH(Varian!$K50,GPU!$A$4:$A$64,0)),""),""))</f>
        <v>2</v>
      </c>
      <c r="E231" s="69" t="n">
        <f aca="false">IF($A231="","",IF(ISNUMBER(Varian!$M50),Varian!$M50,""))</f>
        <v>8</v>
      </c>
      <c r="F231" s="69" t="n">
        <f aca="false">IF($A231="","",IF(ISNUMBER(Varian!$V50),Varian!$V50,""))</f>
        <v>512</v>
      </c>
      <c r="G231" s="69" t="n">
        <f aca="false">IF($A231="","",IFERROR(INDEX(Aturan!$B$63:$B$66,MATCH(Varian!$AG50,Aturan!$A$63:$A$66,0)),""))</f>
        <v>3</v>
      </c>
      <c r="H231" s="69" t="n">
        <f aca="false">IF($A231="","",IF(ISNUMBER(Varian!$AI50),Varian!$AI50,""))</f>
        <v>60</v>
      </c>
      <c r="I231" s="33" t="str">
        <f aca="false">IF($A231="","",IF(Varian!$Q50="disolder","menempel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bisa dinaikkan lewat slot sampai 64 GB</v>
      </c>
      <c r="J231" s="33" t="str">
        <f aca="false">IF($A231="","",IF(Varian!$Z50="ya","bisa diganti dengan yang lebih besar",IF(Varian!$Z50="tidak","menempel, tidak bisa diganti","belum diketahui apakah bisa diganti")))</f>
        <v>bisa diganti dengan yang lebih besar</v>
      </c>
      <c r="K231" s="70" t="str">
        <f aca="false">IF($A231="","",IF(AND(Aturan!$C$36="",Aturan!$D$36=""),"Tidak dinilai",IF(C231="","Belum ada data",IF(C231&lt;IF(Aturan!$C$36="",0,Aturan!$C$36),"Kurang",IF(C231&gt;=IF(Aturan!$D$36="",Aturan!$C$36,Aturan!$D$36),"Nyaman","Cukup")))))</f>
        <v>Cukup</v>
      </c>
      <c r="L231" s="70" t="str">
        <f aca="false">IF($A231="","",IF(AND(Aturan!$C$37="",Aturan!$D$37=""),"Tidak dinilai",IF(D231="","Belum ada data",IF(D231&lt;IF(Aturan!$C$37="",0,Aturan!$C$37),"Kurang",IF(D231&gt;=IF(Aturan!$D$37="",Aturan!$C$37,Aturan!$D$37),"Nyaman","Cukup")))))</f>
        <v>Nyaman</v>
      </c>
      <c r="M231" s="70" t="str">
        <f aca="false">IF($A231="","",IF(AND(Aturan!$C$38="",Aturan!$D$38=""),"Tidak dinilai",IF(E231="","Belum ada data",IF(E231&lt;IF(Aturan!$C$38="",0,Aturan!$C$38),"Kurang",IF(E231&gt;=IF(Aturan!$D$38="",Aturan!$C$38,Aturan!$D$38),"Nyaman","Cukup")))))</f>
        <v>Cukup</v>
      </c>
      <c r="N231" s="70" t="str">
        <f aca="false">IF($A231="","",IF(AND(Aturan!$C$39="",Aturan!$D$39=""),"Tidak dinilai",IF(F231="","Belum ada data",IF(F231&lt;IF(Aturan!$C$39="",0,Aturan!$C$39),"Kurang",IF(F231&gt;=IF(Aturan!$D$39="",Aturan!$C$39,Aturan!$D$39),"Nyaman","Cukup")))))</f>
        <v>Nyaman</v>
      </c>
      <c r="O231" s="70" t="str">
        <f aca="false">IF($A231="","",IF(AND(Aturan!$C$40="",Aturan!$D$40=""),"Tidak dinilai",IF(G231="","Belum ada data",IF(G231&lt;IF(Aturan!$C$40="",0,Aturan!$C$40),"Kurang",IF(G231&gt;=IF(Aturan!$D$40="",Aturan!$C$40,Aturan!$D$40),"Nyaman","Cukup")))))</f>
        <v>Cukup</v>
      </c>
      <c r="P231" s="70" t="str">
        <f aca="false">IF($A231="","",IF(AND(Aturan!$C$41="",Aturan!$D$41=""),"Tidak dinilai",IF(H231="","Belum ada data",IF(H231&lt;IF(Aturan!$C$41="",0,Aturan!$C$41),"Kurang",IF(H231&gt;=IF(Aturan!$D$41="",Aturan!$C$41,Aturan!$D$41),"Nyaman","Cukup")))))</f>
        <v>Tidak dinilai</v>
      </c>
      <c r="Q231" s="70" t="str">
        <f aca="false">IF($A231="","",IF(COUNTIF(K231:P231,"Tidak dinilai")=6,"Tidak dinilai",IF(COUNTIF(K231:P231,"Kurang")&gt;0,"Kurang cocok",IF(COUNTIF(K231:P231,"Belum ada data")&gt;0,"Data belum lengkap",IF(COUNTIF(K231:P231,"Cukup")&gt;0,"Bisa, dengan catatan","Cocok")))))</f>
        <v>Bisa, dengan catatan</v>
      </c>
      <c r="R231" s="33" t="str">
        <f aca="false">IF($A231="","",IF(K231="Kurang","prosesor tingkat "&amp;C231&amp;" dari 5, di bawah batas minimal (tingkat "&amp;Aturan!$C$36&amp;")",IF(K231="Cukup","prosesor tingkat "&amp;C231&amp;" dari 5 cukup, nyamannya mulai tingkat "&amp;Aturan!$D$36,IF(K231="Belum ada data","tingkat prosesor belum diisi",""))))</f>
        <v>prosesor tingkat 2 dari 5 cukup, nyamannya mulai tingkat 3</v>
      </c>
      <c r="S231" s="33" t="str">
        <f aca="false">IF($A231="","",IF(L231="Kurang","grafis tingkat "&amp;D231&amp;" dari 5, di bawah batas minimal (tingkat "&amp;Aturan!$C$37&amp;")",IF(L231="Cukup","grafis tingkat "&amp;D231&amp;" dari 5 cukup, nyamannya mulai tingkat "&amp;Aturan!$D$37,IF(L231="Belum ada data","tingkat grafis belum diisi",""))))</f>
        <v/>
      </c>
      <c r="T231" s="33" t="str">
        <f aca="false">IF($A231="","",IF(M231="Kurang","RAM "&amp;E231&amp;" GB, di bawah batas minimal "&amp;Aturan!$C$38&amp;" GB ("&amp;I231&amp;")",IF(M231="Cukup","RAM "&amp;E231&amp;" GB cukup, nyamannya "&amp;Aturan!$D$38&amp;" GB atau lebih ("&amp;I231&amp;")",IF(M231="Belum ada data","ukuran RAM belum diisi",""))))</f>
        <v>RAM 8 GB cukup, nyamannya 16 GB atau lebih (bisa dinaikkan lewat slot sampai 64 GB)</v>
      </c>
      <c r="U231" s="33" t="str">
        <f aca="false">IF($A231="","",IF(N231="Kurang","penyimpanan "&amp;F231&amp;" GB, di bawah batas minimal "&amp;Aturan!$C$39&amp;" GB ("&amp;J231&amp;")",IF(N231="Cukup","penyimpanan "&amp;F231&amp;" GB cukup, nyamannya "&amp;Aturan!$D$39&amp;" GB atau lebih ("&amp;J231&amp;")",IF(N231="Belum ada data","ukuran penyimpanan belum diisi",""))))</f>
        <v/>
      </c>
      <c r="V231" s="33" t="str">
        <f aca="false">IF($A231="","",IF(O231="Kurang","layar "&amp;Varian!$AG50&amp;", di bawah batas minimal ("&amp;IFERROR(INDEX(Aturan!$A$63:$A$66,MATCH(Aturan!$C$40,Aturan!$B$63:$B$66,0)),"peringkat "&amp;Aturan!$C$40)&amp;")",IF(O231="Cukup","layar "&amp;Varian!$AG50&amp;" cukup, nyamannya "&amp;IFERROR(INDEX(Aturan!$A$63:$A$66,MATCH(Aturan!$D$40,Aturan!$B$63:$B$66,0)),"peringkat "&amp;Aturan!$D$40),IF(O231="Belum ada data","jenis layar belum diketahui",""))))</f>
        <v>layar IPS cukup, nyamannya OLED</v>
      </c>
      <c r="W231" s="33" t="str">
        <f aca="false">IF($A231="","",IF(P231="Kurang","layar "&amp;H231&amp;" Hz, di bawah batas minimal "&amp;Aturan!$C$41&amp;" Hz",IF(P231="Cukup","layar "&amp;H231&amp;" Hz cukup, nyamannya "&amp;Aturan!$D$41&amp;" Hz atau lebih",IF(P231="Belum ada data","refresh rate belum diketahui",""))))</f>
        <v/>
      </c>
      <c r="X231" s="33" t="str">
        <f aca="false">IF($A231="","",IF(K231="Kurang",R231&amp;"; ","")&amp;IF(L231="Kurang",S231&amp;"; ","")&amp;IF(M231="Kurang",T231&amp;"; ","")&amp;IF(N231="Kurang",U231&amp;"; ","")&amp;IF(O231="Kurang",V231&amp;"; ","")&amp;IF(P231="Kurang",W231&amp;"; ","")&amp;IF(K231="Belum ada data",R231&amp;"; ","")&amp;IF(L231="Belum ada data",S231&amp;"; ","")&amp;IF(M231="Belum ada data",T231&amp;"; ","")&amp;IF(N231="Belum ada data",U231&amp;"; ","")&amp;IF(O231="Belum ada data",V231&amp;"; ","")&amp;IF(P231="Belum ada data",W231&amp;"; ","")&amp;IF(K231="Cukup",R231&amp;"; ","")&amp;IF(L231="Cukup",S231&amp;"; ","")&amp;IF(M231="Cukup",T231&amp;"; ","")&amp;IF(N231="Cukup",U231&amp;"; ","")&amp;IF(O231="Cukup",V231&amp;"; ","")&amp;IF(P231="Cukup",W231&amp;"; ",""))</f>
        <v>prosesor tingkat 2 dari 5 cukup, nyamannya mulai tingkat 3; RAM 8 GB cukup, nyamannya 16 GB atau lebih (bisa dinaikkan lewat slot sampai 64 GB); layar IPS cukup, nyamannya OLED; </v>
      </c>
      <c r="Y231" s="33" t="str">
        <f aca="false">IF($A231="","",IF(K231="Nyaman","prosesor, ","")&amp;IF(L231="Nyaman","grafis, ","")&amp;IF(M231="Nyaman","RAM, ","")&amp;IF(N231="Nyaman","penyimpanan, ","")&amp;IF(O231="Nyaman","layar, ","")&amp;IF(P231="Nyaman","refresh rate, ",""))</f>
        <v>grafis, penyimpanan, </v>
      </c>
      <c r="Z231" s="33" t="str">
        <f aca="false">IF($A231="","",IF(Q231="Tidak dinilai","Belum ada kriteria yang dinilai untuk kebutuhan ini.",IF(Q231="Cocok","Semua kriteria yang dinilai sudah nyaman: "&amp;LEFT(Y231,LEN(Y231)-2)&amp;".",UPPER(LEFT(X231,1))&amp;MID(X231,2,LEN(X231)-3)&amp;"."&amp;IF(Y231="",""," Sudah nyaman: "&amp;LEFT(Y231,LEN(Y231)-2)&amp;"."))))</f>
        <v>Prosesor tingkat 2 dari 5 cukup, nyamannya mulai tingkat 3; RAM 8 GB cukup, nyamannya 16 GB atau lebih (bisa dinaikkan lewat slot sampai 64 GB); layar IPS cukup, nyamannya OLED. Sudah nyaman: grafis, penyimpanan.</v>
      </c>
      <c r="AA231" s="33"/>
      <c r="AB231" s="33"/>
      <c r="AC231" s="69"/>
    </row>
    <row r="232" customFormat="false" ht="15" hidden="false" customHeight="true" outlineLevel="0" collapsed="false">
      <c r="A232" s="33" t="str">
        <f aca="false">IF(Varian!$A50="","",Varian!$A50)</f>
        <v>lenovo-thinkpad-e14-gen-7-core3-100u-8-512</v>
      </c>
      <c r="B232" s="33" t="str">
        <f aca="false">IF($A232="","",Aturan!$A$23)</f>
        <v>Pemrograman</v>
      </c>
      <c r="C232" s="69" t="n">
        <f aca="false">IF($A232="","",IFERROR(IF(ISNUMBER(INDEX(CPU!$J$4:$J$64,MATCH(Varian!$J50,CPU!$A$4:$A$64,0))),INDEX(CPU!$J$4:$J$64,MATCH(Varian!$J50,CPU!$A$4:$A$64,0)),""),""))</f>
        <v>2</v>
      </c>
      <c r="D232" s="69" t="n">
        <f aca="false">IF($A232="","",IFERROR(IF(ISNUMBER(INDEX(GPU!$G$4:$G$64,MATCH(Varian!$K50,GPU!$A$4:$A$64,0))),INDEX(GPU!$G$4:$G$64,MATCH(Varian!$K50,GPU!$A$4:$A$64,0)),""),""))</f>
        <v>2</v>
      </c>
      <c r="E232" s="69" t="n">
        <f aca="false">IF($A232="","",IF(ISNUMBER(Varian!$M50),Varian!$M50,""))</f>
        <v>8</v>
      </c>
      <c r="F232" s="69" t="n">
        <f aca="false">IF($A232="","",IF(ISNUMBER(Varian!$V50),Varian!$V50,""))</f>
        <v>512</v>
      </c>
      <c r="G232" s="69" t="n">
        <f aca="false">IF($A232="","",IFERROR(INDEX(Aturan!$B$63:$B$66,MATCH(Varian!$AG50,Aturan!$A$63:$A$66,0)),""))</f>
        <v>3</v>
      </c>
      <c r="H232" s="69" t="n">
        <f aca="false">IF($A232="","",IF(ISNUMBER(Varian!$AI50),Varian!$AI50,""))</f>
        <v>60</v>
      </c>
      <c r="I232" s="33" t="str">
        <f aca="false">IF($A232="","",IF(Varian!$Q50="disolder","menempel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bisa dinaikkan lewat slot sampai 64 GB</v>
      </c>
      <c r="J232" s="33" t="str">
        <f aca="false">IF($A232="","",IF(Varian!$Z50="ya","bisa diganti dengan yang lebih besar",IF(Varian!$Z50="tidak","menempel, tidak bisa diganti","belum diketahui apakah bisa diganti")))</f>
        <v>bisa diganti dengan yang lebih besar</v>
      </c>
      <c r="K232" s="70" t="str">
        <f aca="false">IF($A232="","",IF(AND(Aturan!$C$42="",Aturan!$D$42=""),"Tidak dinilai",IF(C232="","Belum ada data",IF(C232&lt;IF(Aturan!$C$42="",0,Aturan!$C$42),"Kurang",IF(C232&gt;=IF(Aturan!$D$42="",Aturan!$C$42,Aturan!$D$42),"Nyaman","Cukup")))))</f>
        <v>Cukup</v>
      </c>
      <c r="L232" s="70" t="str">
        <f aca="false">IF($A232="","",IF(AND(Aturan!$C$43="",Aturan!$D$43=""),"Tidak dinilai",IF(D232="","Belum ada data",IF(D232&lt;IF(Aturan!$C$43="",0,Aturan!$C$43),"Kurang",IF(D232&gt;=IF(Aturan!$D$43="",Aturan!$C$43,Aturan!$D$43),"Nyaman","Cukup")))))</f>
        <v>Tidak dinilai</v>
      </c>
      <c r="M232" s="70" t="str">
        <f aca="false">IF($A232="","",IF(AND(Aturan!$C$44="",Aturan!$D$44=""),"Tidak dinilai",IF(E232="","Belum ada data",IF(E232&lt;IF(Aturan!$C$44="",0,Aturan!$C$44),"Kurang",IF(E232&gt;=IF(Aturan!$D$44="",Aturan!$C$44,Aturan!$D$44),"Nyaman","Cukup")))))</f>
        <v>Cukup</v>
      </c>
      <c r="N232" s="70" t="str">
        <f aca="false">IF($A232="","",IF(AND(Aturan!$C$45="",Aturan!$D$45=""),"Tidak dinilai",IF(F232="","Belum ada data",IF(F232&lt;IF(Aturan!$C$45="",0,Aturan!$C$45),"Kurang",IF(F232&gt;=IF(Aturan!$D$45="",Aturan!$C$45,Aturan!$D$45),"Nyaman","Cukup")))))</f>
        <v>Nyaman</v>
      </c>
      <c r="O232" s="70" t="str">
        <f aca="false">IF($A232="","",IF(AND(Aturan!$C$46="",Aturan!$D$46=""),"Tidak dinilai",IF(G232="","Belum ada data",IF(G232&lt;IF(Aturan!$C$46="",0,Aturan!$C$46),"Kurang",IF(G232&gt;=IF(Aturan!$D$46="",Aturan!$C$46,Aturan!$D$46),"Nyaman","Cukup")))))</f>
        <v>Tidak dinilai</v>
      </c>
      <c r="P232" s="70" t="str">
        <f aca="false">IF($A232="","",IF(AND(Aturan!$C$47="",Aturan!$D$47=""),"Tidak dinilai",IF(H232="","Belum ada data",IF(H232&lt;IF(Aturan!$C$47="",0,Aturan!$C$47),"Kurang",IF(H232&gt;=IF(Aturan!$D$47="",Aturan!$C$47,Aturan!$D$47),"Nyaman","Cukup")))))</f>
        <v>Tidak dinilai</v>
      </c>
      <c r="Q232" s="70" t="str">
        <f aca="false">IF($A232="","",IF(COUNTIF(K232:P232,"Tidak dinilai")=6,"Tidak dinilai",IF(COUNTIF(K232:P232,"Kurang")&gt;0,"Kurang cocok",IF(COUNTIF(K232:P232,"Belum ada data")&gt;0,"Data belum lengkap",IF(COUNTIF(K232:P232,"Cukup")&gt;0,"Bisa, dengan catatan","Cocok")))))</f>
        <v>Bisa, dengan catatan</v>
      </c>
      <c r="R232" s="33" t="str">
        <f aca="false">IF($A232="","",IF(K232="Kurang","prosesor tingkat "&amp;C232&amp;" dari 5, di bawah batas minimal (tingkat "&amp;Aturan!$C$42&amp;")",IF(K232="Cukup","prosesor tingkat "&amp;C232&amp;" dari 5 cukup, nyamannya mulai tingkat "&amp;Aturan!$D$42,IF(K232="Belum ada data","tingkat prosesor belum diisi",""))))</f>
        <v>prosesor tingkat 2 dari 5 cukup, nyamannya mulai tingkat 3</v>
      </c>
      <c r="S232" s="33" t="str">
        <f aca="false">IF($A232="","",IF(L232="Kurang","grafis tingkat "&amp;D232&amp;" dari 5, di bawah batas minimal (tingkat "&amp;Aturan!$C$43&amp;")",IF(L232="Cukup","grafis tingkat "&amp;D232&amp;" dari 5 cukup, nyamannya mulai tingkat "&amp;Aturan!$D$43,IF(L232="Belum ada data","tingkat grafis belum diisi",""))))</f>
        <v/>
      </c>
      <c r="T232" s="33" t="str">
        <f aca="false">IF($A232="","",IF(M232="Kurang","RAM "&amp;E232&amp;" GB, di bawah batas minimal "&amp;Aturan!$C$44&amp;" GB ("&amp;I232&amp;")",IF(M232="Cukup","RAM "&amp;E232&amp;" GB cukup, nyamannya "&amp;Aturan!$D$44&amp;" GB atau lebih ("&amp;I232&amp;")",IF(M232="Belum ada data","ukuran RAM belum diisi",""))))</f>
        <v>RAM 8 GB cukup, nyamannya 16 GB atau lebih (bisa dinaikkan lewat slot sampai 64 GB)</v>
      </c>
      <c r="U232" s="33" t="str">
        <f aca="false">IF($A232="","",IF(N232="Kurang","penyimpanan "&amp;F232&amp;" GB, di bawah batas minimal "&amp;Aturan!$C$45&amp;" GB ("&amp;J232&amp;")",IF(N232="Cukup","penyimpanan "&amp;F232&amp;" GB cukup, nyamannya "&amp;Aturan!$D$45&amp;" GB atau lebih ("&amp;J232&amp;")",IF(N232="Belum ada data","ukuran penyimpanan belum diisi",""))))</f>
        <v/>
      </c>
      <c r="V232" s="33" t="str">
        <f aca="false">IF($A232="","",IF(O232="Kurang","layar "&amp;Varian!$AG50&amp;", di bawah batas minimal ("&amp;IFERROR(INDEX(Aturan!$A$63:$A$66,MATCH(Aturan!$C$46,Aturan!$B$63:$B$66,0)),"peringkat "&amp;Aturan!$C$46)&amp;")",IF(O232="Cukup","layar "&amp;Varian!$AG50&amp;" cukup, nyamannya "&amp;IFERROR(INDEX(Aturan!$A$63:$A$66,MATCH(Aturan!$D$46,Aturan!$B$63:$B$66,0)),"peringkat "&amp;Aturan!$D$46),IF(O232="Belum ada data","jenis layar belum diketahui",""))))</f>
        <v/>
      </c>
      <c r="W232" s="33" t="str">
        <f aca="false">IF($A232="","",IF(P232="Kurang","layar "&amp;H232&amp;" Hz, di bawah batas minimal "&amp;Aturan!$C$47&amp;" Hz",IF(P232="Cukup","layar "&amp;H232&amp;" Hz cukup, nyamannya "&amp;Aturan!$D$47&amp;" Hz atau lebih",IF(P232="Belum ada data","refresh rate belum diketahui",""))))</f>
        <v/>
      </c>
      <c r="X232" s="33" t="str">
        <f aca="false">IF($A232="","",IF(K232="Kurang",R232&amp;"; ","")&amp;IF(L232="Kurang",S232&amp;"; ","")&amp;IF(M232="Kurang",T232&amp;"; ","")&amp;IF(N232="Kurang",U232&amp;"; ","")&amp;IF(O232="Kurang",V232&amp;"; ","")&amp;IF(P232="Kurang",W232&amp;"; ","")&amp;IF(K232="Belum ada data",R232&amp;"; ","")&amp;IF(L232="Belum ada data",S232&amp;"; ","")&amp;IF(M232="Belum ada data",T232&amp;"; ","")&amp;IF(N232="Belum ada data",U232&amp;"; ","")&amp;IF(O232="Belum ada data",V232&amp;"; ","")&amp;IF(P232="Belum ada data",W232&amp;"; ","")&amp;IF(K232="Cukup",R232&amp;"; ","")&amp;IF(L232="Cukup",S232&amp;"; ","")&amp;IF(M232="Cukup",T232&amp;"; ","")&amp;IF(N232="Cukup",U232&amp;"; ","")&amp;IF(O232="Cukup",V232&amp;"; ","")&amp;IF(P232="Cukup",W232&amp;"; ",""))</f>
        <v>prosesor tingkat 2 dari 5 cukup, nyamannya mulai tingkat 3; RAM 8 GB cukup, nyamannya 16 GB atau lebih (bisa dinaikkan lewat slot sampai 64 GB); </v>
      </c>
      <c r="Y232" s="33" t="str">
        <f aca="false">IF($A232="","",IF(K232="Nyaman","prosesor, ","")&amp;IF(L232="Nyaman","grafis, ","")&amp;IF(M232="Nyaman","RAM, ","")&amp;IF(N232="Nyaman","penyimpanan, ","")&amp;IF(O232="Nyaman","layar, ","")&amp;IF(P232="Nyaman","refresh rate, ",""))</f>
        <v>penyimpanan, </v>
      </c>
      <c r="Z232" s="33" t="str">
        <f aca="false">IF($A232="","",IF(Q232="Tidak dinilai","Belum ada kriteria yang dinilai untuk kebutuhan ini.",IF(Q232="Cocok","Semua kriteria yang dinilai sudah nyaman: "&amp;LEFT(Y232,LEN(Y232)-2)&amp;".",UPPER(LEFT(X232,1))&amp;MID(X232,2,LEN(X232)-3)&amp;"."&amp;IF(Y232="",""," Sudah nyaman: "&amp;LEFT(Y232,LEN(Y232)-2)&amp;"."))))</f>
        <v>Prosesor tingkat 2 dari 5 cukup, nyamannya mulai tingkat 3; RAM 8 GB cukup, nyamannya 16 GB atau lebih (bisa dinaikkan lewat slot sampai 64 GB). Sudah nyaman: penyimpanan.</v>
      </c>
      <c r="AA232" s="33"/>
      <c r="AB232" s="33"/>
      <c r="AC232" s="69"/>
    </row>
    <row r="233" customFormat="false" ht="15" hidden="false" customHeight="true" outlineLevel="0" collapsed="false">
      <c r="A233" s="33" t="str">
        <f aca="false">IF(Varian!$A50="","",Varian!$A50)</f>
        <v>lenovo-thinkpad-e14-gen-7-core3-100u-8-512</v>
      </c>
      <c r="B233" s="33" t="str">
        <f aca="false">IF($A233="","",Aturan!$A$24)</f>
        <v>Game ringan</v>
      </c>
      <c r="C233" s="69" t="n">
        <f aca="false">IF($A233="","",IFERROR(IF(ISNUMBER(INDEX(CPU!$J$4:$J$64,MATCH(Varian!$J50,CPU!$A$4:$A$64,0))),INDEX(CPU!$J$4:$J$64,MATCH(Varian!$J50,CPU!$A$4:$A$64,0)),""),""))</f>
        <v>2</v>
      </c>
      <c r="D233" s="69" t="n">
        <f aca="false">IF($A233="","",IFERROR(IF(ISNUMBER(INDEX(GPU!$G$4:$G$64,MATCH(Varian!$K50,GPU!$A$4:$A$64,0))),INDEX(GPU!$G$4:$G$64,MATCH(Varian!$K50,GPU!$A$4:$A$64,0)),""),""))</f>
        <v>2</v>
      </c>
      <c r="E233" s="69" t="n">
        <f aca="false">IF($A233="","",IF(ISNUMBER(Varian!$M50),Varian!$M50,""))</f>
        <v>8</v>
      </c>
      <c r="F233" s="69" t="n">
        <f aca="false">IF($A233="","",IF(ISNUMBER(Varian!$V50),Varian!$V50,""))</f>
        <v>512</v>
      </c>
      <c r="G233" s="69" t="n">
        <f aca="false">IF($A233="","",IFERROR(INDEX(Aturan!$B$63:$B$66,MATCH(Varian!$AG50,Aturan!$A$63:$A$66,0)),""))</f>
        <v>3</v>
      </c>
      <c r="H233" s="69" t="n">
        <f aca="false">IF($A233="","",IF(ISNUMBER(Varian!$AI50),Varian!$AI50,""))</f>
        <v>60</v>
      </c>
      <c r="I233" s="33" t="str">
        <f aca="false">IF($A233="","",IF(Varian!$Q50="disolder","menempel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bisa dinaikkan lewat slot sampai 64 GB</v>
      </c>
      <c r="J233" s="33" t="str">
        <f aca="false">IF($A233="","",IF(Varian!$Z50="ya","bisa diganti dengan yang lebih besar",IF(Varian!$Z50="tidak","menempel, tidak bisa diganti","belum diketahui apakah bisa diganti")))</f>
        <v>bisa diganti dengan yang lebih besar</v>
      </c>
      <c r="K233" s="70" t="str">
        <f aca="false">IF($A233="","",IF(AND(Aturan!$C$48="",Aturan!$D$48=""),"Tidak dinilai",IF(C233="","Belum ada data",IF(C233&lt;IF(Aturan!$C$48="",0,Aturan!$C$48),"Kurang",IF(C233&gt;=IF(Aturan!$D$48="",Aturan!$C$48,Aturan!$D$48),"Nyaman","Cukup")))))</f>
        <v>Cukup</v>
      </c>
      <c r="L233" s="70" t="str">
        <f aca="false">IF($A233="","",IF(AND(Aturan!$C$49="",Aturan!$D$49=""),"Tidak dinilai",IF(D233="","Belum ada data",IF(D233&lt;IF(Aturan!$C$49="",0,Aturan!$C$49),"Kurang",IF(D233&gt;=IF(Aturan!$D$49="",Aturan!$C$49,Aturan!$D$49),"Nyaman","Cukup")))))</f>
        <v>Nyaman</v>
      </c>
      <c r="M233" s="70" t="str">
        <f aca="false">IF($A233="","",IF(AND(Aturan!$C$50="",Aturan!$D$50=""),"Tidak dinilai",IF(E233="","Belum ada data",IF(E233&lt;IF(Aturan!$C$50="",0,Aturan!$C$50),"Kurang",IF(E233&gt;=IF(Aturan!$D$50="",Aturan!$C$50,Aturan!$D$50),"Nyaman","Cukup")))))</f>
        <v>Nyaman</v>
      </c>
      <c r="N233" s="70" t="str">
        <f aca="false">IF($A233="","",IF(AND(Aturan!$C$51="",Aturan!$D$51=""),"Tidak dinilai",IF(F233="","Belum ada data",IF(F233&lt;IF(Aturan!$C$51="",0,Aturan!$C$51),"Kurang",IF(F233&gt;=IF(Aturan!$D$51="",Aturan!$C$51,Aturan!$D$51),"Nyaman","Cukup")))))</f>
        <v>Nyaman</v>
      </c>
      <c r="O233" s="70" t="str">
        <f aca="false">IF($A233="","",IF(AND(Aturan!$C$52="",Aturan!$D$52=""),"Tidak dinilai",IF(G233="","Belum ada data",IF(G233&lt;IF(Aturan!$C$52="",0,Aturan!$C$52),"Kurang",IF(G233&gt;=IF(Aturan!$D$52="",Aturan!$C$52,Aturan!$D$52),"Nyaman","Cukup")))))</f>
        <v>Tidak dinilai</v>
      </c>
      <c r="P233" s="70" t="str">
        <f aca="false">IF($A233="","",IF(AND(Aturan!$C$53="",Aturan!$D$53=""),"Tidak dinilai",IF(H233="","Belum ada data",IF(H233&lt;IF(Aturan!$C$53="",0,Aturan!$C$53),"Kurang",IF(H233&gt;=IF(Aturan!$D$53="",Aturan!$C$53,Aturan!$D$53),"Nyaman","Cukup")))))</f>
        <v>Tidak dinilai</v>
      </c>
      <c r="Q233" s="70" t="str">
        <f aca="false">IF($A233="","",IF(COUNTIF(K233:P233,"Tidak dinilai")=6,"Tidak dinilai",IF(COUNTIF(K233:P233,"Kurang")&gt;0,"Kurang cocok",IF(COUNTIF(K233:P233,"Belum ada data")&gt;0,"Data belum lengkap",IF(COUNTIF(K233:P233,"Cukup")&gt;0,"Bisa, dengan catatan","Cocok")))))</f>
        <v>Bisa, dengan catatan</v>
      </c>
      <c r="R233" s="33" t="str">
        <f aca="false">IF($A233="","",IF(K233="Kurang","prosesor tingkat "&amp;C233&amp;" dari 5, di bawah batas minimal (tingkat "&amp;Aturan!$C$48&amp;")",IF(K233="Cukup","prosesor tingkat "&amp;C233&amp;" dari 5 cukup, nyamannya mulai tingkat "&amp;Aturan!$D$48,IF(K233="Belum ada data","tingkat prosesor belum diisi",""))))</f>
        <v>prosesor tingkat 2 dari 5 cukup, nyamannya mulai tingkat 3</v>
      </c>
      <c r="S233" s="33" t="str">
        <f aca="false">IF($A233="","",IF(L233="Kurang","grafis tingkat "&amp;D233&amp;" dari 5, di bawah batas minimal (tingkat "&amp;Aturan!$C$49&amp;")",IF(L233="Cukup","grafis tingkat "&amp;D233&amp;" dari 5 cukup, nyamannya mulai tingkat "&amp;Aturan!$D$49,IF(L233="Belum ada data","tingkat grafis belum diisi",""))))</f>
        <v/>
      </c>
      <c r="T233" s="33" t="str">
        <f aca="false">IF($A233="","",IF(M233="Kurang","RAM "&amp;E233&amp;" GB, di bawah batas minimal "&amp;Aturan!$C$50&amp;" GB ("&amp;I233&amp;")",IF(M233="Cukup","RAM "&amp;E233&amp;" GB cukup, nyamannya "&amp;Aturan!$D$50&amp;" GB atau lebih ("&amp;I233&amp;")",IF(M233="Belum ada data","ukuran RAM belum diisi",""))))</f>
        <v/>
      </c>
      <c r="U233" s="33" t="str">
        <f aca="false">IF($A233="","",IF(N233="Kurang","penyimpanan "&amp;F233&amp;" GB, di bawah batas minimal "&amp;Aturan!$C$51&amp;" GB ("&amp;J233&amp;")",IF(N233="Cukup","penyimpanan "&amp;F233&amp;" GB cukup, nyamannya "&amp;Aturan!$D$51&amp;" GB atau lebih ("&amp;J233&amp;")",IF(N233="Belum ada data","ukuran penyimpanan belum diisi",""))))</f>
        <v/>
      </c>
      <c r="V233" s="33" t="str">
        <f aca="false">IF($A233="","",IF(O233="Kurang","layar "&amp;Varian!$AG50&amp;", di bawah batas minimal ("&amp;IFERROR(INDEX(Aturan!$A$63:$A$66,MATCH(Aturan!$C$52,Aturan!$B$63:$B$66,0)),"peringkat "&amp;Aturan!$C$52)&amp;")",IF(O233="Cukup","layar "&amp;Varian!$AG50&amp;" cukup, nyamannya "&amp;IFERROR(INDEX(Aturan!$A$63:$A$66,MATCH(Aturan!$D$52,Aturan!$B$63:$B$66,0)),"peringkat "&amp;Aturan!$D$52),IF(O233="Belum ada data","jenis layar belum diketahui",""))))</f>
        <v/>
      </c>
      <c r="W233" s="33" t="str">
        <f aca="false">IF($A233="","",IF(P233="Kurang","layar "&amp;H233&amp;" Hz, di bawah batas minimal "&amp;Aturan!$C$53&amp;" Hz",IF(P233="Cukup","layar "&amp;H233&amp;" Hz cukup, nyamannya "&amp;Aturan!$D$53&amp;" Hz atau lebih",IF(P233="Belum ada data","refresh rate belum diketahui",""))))</f>
        <v/>
      </c>
      <c r="X233" s="33" t="str">
        <f aca="false">IF($A233="","",IF(K233="Kurang",R233&amp;"; ","")&amp;IF(L233="Kurang",S233&amp;"; ","")&amp;IF(M233="Kurang",T233&amp;"; ","")&amp;IF(N233="Kurang",U233&amp;"; ","")&amp;IF(O233="Kurang",V233&amp;"; ","")&amp;IF(P233="Kurang",W233&amp;"; ","")&amp;IF(K233="Belum ada data",R233&amp;"; ","")&amp;IF(L233="Belum ada data",S233&amp;"; ","")&amp;IF(M233="Belum ada data",T233&amp;"; ","")&amp;IF(N233="Belum ada data",U233&amp;"; ","")&amp;IF(O233="Belum ada data",V233&amp;"; ","")&amp;IF(P233="Belum ada data",W233&amp;"; ","")&amp;IF(K233="Cukup",R233&amp;"; ","")&amp;IF(L233="Cukup",S233&amp;"; ","")&amp;IF(M233="Cukup",T233&amp;"; ","")&amp;IF(N233="Cukup",U233&amp;"; ","")&amp;IF(O233="Cukup",V233&amp;"; ","")&amp;IF(P233="Cukup",W233&amp;"; ",""))</f>
        <v>prosesor tingkat 2 dari 5 cukup, nyamannya mulai tingkat 3; </v>
      </c>
      <c r="Y233" s="33" t="str">
        <f aca="false">IF($A233="","",IF(K233="Nyaman","prosesor, ","")&amp;IF(L233="Nyaman","grafis, ","")&amp;IF(M233="Nyaman","RAM, ","")&amp;IF(N233="Nyaman","penyimpanan, ","")&amp;IF(O233="Nyaman","layar, ","")&amp;IF(P233="Nyaman","refresh rate, ",""))</f>
        <v>grafis, RAM, penyimpanan, </v>
      </c>
      <c r="Z233" s="33" t="str">
        <f aca="false">IF($A233="","",IF(Q233="Tidak dinilai","Belum ada kriteria yang dinilai untuk kebutuhan ini.",IF(Q233="Cocok","Semua kriteria yang dinilai sudah nyaman: "&amp;LEFT(Y233,LEN(Y233)-2)&amp;".",UPPER(LEFT(X233,1))&amp;MID(X233,2,LEN(X233)-3)&amp;"."&amp;IF(Y233="",""," Sudah nyaman: "&amp;LEFT(Y233,LEN(Y233)-2)&amp;"."))))</f>
        <v>Prosesor tingkat 2 dari 5 cukup, nyamannya mulai tingkat 3. Sudah nyaman: grafis, RAM, penyimpanan.</v>
      </c>
      <c r="AA233" s="33"/>
      <c r="AB233" s="33"/>
      <c r="AC233" s="69"/>
    </row>
    <row r="234" customFormat="false" ht="15" hidden="false" customHeight="true" outlineLevel="0" collapsed="false">
      <c r="A234" s="33" t="str">
        <f aca="false">IF(Varian!$A50="","",Varian!$A50)</f>
        <v>lenovo-thinkpad-e14-gen-7-core3-100u-8-512</v>
      </c>
      <c r="B234" s="33" t="str">
        <f aca="false">IF($A234="","",Aturan!$A$25)</f>
        <v>Game berat</v>
      </c>
      <c r="C234" s="69" t="n">
        <f aca="false">IF($A234="","",IFERROR(IF(ISNUMBER(INDEX(CPU!$J$4:$J$64,MATCH(Varian!$J50,CPU!$A$4:$A$64,0))),INDEX(CPU!$J$4:$J$64,MATCH(Varian!$J50,CPU!$A$4:$A$64,0)),""),""))</f>
        <v>2</v>
      </c>
      <c r="D234" s="69" t="n">
        <f aca="false">IF($A234="","",IFERROR(IF(ISNUMBER(INDEX(GPU!$G$4:$G$64,MATCH(Varian!$K50,GPU!$A$4:$A$64,0))),INDEX(GPU!$G$4:$G$64,MATCH(Varian!$K50,GPU!$A$4:$A$64,0)),""),""))</f>
        <v>2</v>
      </c>
      <c r="E234" s="69" t="n">
        <f aca="false">IF($A234="","",IF(ISNUMBER(Varian!$M50),Varian!$M50,""))</f>
        <v>8</v>
      </c>
      <c r="F234" s="69" t="n">
        <f aca="false">IF($A234="","",IF(ISNUMBER(Varian!$V50),Varian!$V50,""))</f>
        <v>512</v>
      </c>
      <c r="G234" s="69" t="n">
        <f aca="false">IF($A234="","",IFERROR(INDEX(Aturan!$B$63:$B$66,MATCH(Varian!$AG50,Aturan!$A$63:$A$66,0)),""))</f>
        <v>3</v>
      </c>
      <c r="H234" s="69" t="n">
        <f aca="false">IF($A234="","",IF(ISNUMBER(Varian!$AI50),Varian!$AI50,""))</f>
        <v>60</v>
      </c>
      <c r="I234" s="33" t="str">
        <f aca="false">IF($A234="","",IF(Varian!$Q50="disolder","menempel di papan utama, tidak bisa ditambah",IF(OR(Varian!$Q50="slot",Varian!$Q50="setengah_disolder"),IF(Varian!$Q50="setengah_disolder","sebagian menempel, ","")&amp;IF(ISNUMBER(Varian!$U50),IF(AND(ISNUMBER(Varian!$M50),Varian!$U50&gt;Varian!$M50),"bisa dinaikkan lewat slot sampai "&amp;Varian!$U50&amp;" GB","sudah di batas maksimal "&amp;Varian!$U50&amp;" GB"),"ada slot, batas maksimalnya belum diketahui"),"belum diketahui apakah bisa ditambah")))</f>
        <v>bisa dinaikkan lewat slot sampai 64 GB</v>
      </c>
      <c r="J234" s="33" t="str">
        <f aca="false">IF($A234="","",IF(Varian!$Z50="ya","bisa diganti dengan yang lebih besar",IF(Varian!$Z50="tidak","menempel, tidak bisa diganti","belum diketahui apakah bisa diganti")))</f>
        <v>bisa diganti dengan yang lebih besar</v>
      </c>
      <c r="K234" s="70" t="str">
        <f aca="false">IF($A234="","",IF(AND(Aturan!$C$54="",Aturan!$D$54=""),"Tidak dinilai",IF(C234="","Belum ada data",IF(C234&lt;IF(Aturan!$C$54="",0,Aturan!$C$54),"Kurang",IF(C234&gt;=IF(Aturan!$D$54="",Aturan!$C$54,Aturan!$D$54),"Nyaman","Cukup")))))</f>
        <v>Kurang</v>
      </c>
      <c r="L234" s="70" t="str">
        <f aca="false">IF($A234="","",IF(AND(Aturan!$C$55="",Aturan!$D$55=""),"Tidak dinilai",IF(D234="","Belum ada data",IF(D234&lt;IF(Aturan!$C$55="",0,Aturan!$C$55),"Kurang",IF(D234&gt;=IF(Aturan!$D$55="",Aturan!$C$55,Aturan!$D$55),"Nyaman","Cukup")))))</f>
        <v>Kurang</v>
      </c>
      <c r="M234" s="70" t="str">
        <f aca="false">IF($A234="","",IF(AND(Aturan!$C$56="",Aturan!$D$56=""),"Tidak dinilai",IF(E234="","Belum ada data",IF(E234&lt;IF(Aturan!$C$56="",0,Aturan!$C$56),"Kurang",IF(E234&gt;=IF(Aturan!$D$56="",Aturan!$C$56,Aturan!$D$56),"Nyaman","Cukup")))))</f>
        <v>Cukup</v>
      </c>
      <c r="N234" s="70" t="str">
        <f aca="false">IF($A234="","",IF(AND(Aturan!$C$57="",Aturan!$D$57=""),"Tidak dinilai",IF(F234="","Belum ada data",IF(F234&lt;IF(Aturan!$C$57="",0,Aturan!$C$57),"Kurang",IF(F234&gt;=IF(Aturan!$D$57="",Aturan!$C$57,Aturan!$D$57),"Nyaman","Cukup")))))</f>
        <v>Cukup</v>
      </c>
      <c r="O234" s="70" t="str">
        <f aca="false">IF($A234="","",IF(AND(Aturan!$C$58="",Aturan!$D$58=""),"Tidak dinilai",IF(G234="","Belum ada data",IF(G234&lt;IF(Aturan!$C$58="",0,Aturan!$C$58),"Kurang",IF(G234&gt;=IF(Aturan!$D$58="",Aturan!$C$58,Aturan!$D$58),"Nyaman","Cukup")))))</f>
        <v>Tidak dinilai</v>
      </c>
      <c r="P234" s="70" t="str">
        <f aca="false">IF($A234="","",IF(AND(Aturan!$C$59="",Aturan!$D$59=""),"Tidak dinilai",IF(H234="","Belum ada data",IF(H234&lt;IF(Aturan!$C$59="",0,Aturan!$C$59),"Kurang",IF(H234&gt;=IF(Aturan!$D$59="",Aturan!$C$59,Aturan!$D$59),"Nyaman","Cukup")))))</f>
        <v>Cukup</v>
      </c>
      <c r="Q234" s="70" t="str">
        <f aca="false">IF($A234="","",IF(COUNTIF(K234:P234,"Tidak dinilai")=6,"Tidak dinilai",IF(COUNTIF(K234:P234,"Kurang")&gt;0,"Kurang cocok",IF(COUNTIF(K234:P234,"Belum ada data")&gt;0,"Data belum lengkap",IF(COUNTIF(K234:P234,"Cukup")&gt;0,"Bisa, dengan catatan","Cocok")))))</f>
        <v>Kurang cocok</v>
      </c>
      <c r="R234" s="33" t="str">
        <f aca="false">IF($A234="","",IF(K234="Kurang","prosesor tingkat "&amp;C234&amp;" dari 5, di bawah batas minimal (tingkat "&amp;Aturan!$C$54&amp;")",IF(K234="Cukup","prosesor tingkat "&amp;C234&amp;" dari 5 cukup, nyamannya mulai tingkat "&amp;Aturan!$D$54,IF(K234="Belum ada data","tingkat prosesor belum diisi",""))))</f>
        <v>prosesor tingkat 2 dari 5, di bawah batas minimal (tingkat 3)</v>
      </c>
      <c r="S234" s="33" t="str">
        <f aca="false">IF($A234="","",IF(L234="Kurang","grafis tingkat "&amp;D234&amp;" dari 5, di bawah batas minimal (tingkat "&amp;Aturan!$C$55&amp;")",IF(L234="Cukup","grafis tingkat "&amp;D234&amp;" dari 5 cukup, nyamannya mulai tingkat "&amp;Aturan!$D$55,IF(L234="Belum ada data","tingkat grafis belum diisi",""))))</f>
        <v>grafis tingkat 2 dari 5, di bawah batas minimal (tingkat 3)</v>
      </c>
      <c r="T234" s="33" t="str">
        <f aca="false">IF($A234="","",IF(M234="Kurang","RAM "&amp;E234&amp;" GB, di bawah batas minimal "&amp;Aturan!$C$56&amp;" GB ("&amp;I234&amp;")",IF(M234="Cukup","RAM "&amp;E234&amp;" GB cukup, nyamannya "&amp;Aturan!$D$56&amp;" GB atau lebih ("&amp;I234&amp;")",IF(M234="Belum ada data","ukuran RAM belum diisi",""))))</f>
        <v>RAM 8 GB cukup, nyamannya 16 GB atau lebih (bisa dinaikkan lewat slot sampai 64 GB)</v>
      </c>
      <c r="U234" s="33" t="str">
        <f aca="false">IF($A234="","",IF(N234="Kurang","penyimpanan "&amp;F234&amp;" GB, di bawah batas minimal "&amp;Aturan!$C$57&amp;" GB ("&amp;J234&amp;")",IF(N234="Cukup","penyimpanan "&amp;F234&amp;" GB cukup, nyamannya "&amp;Aturan!$D$57&amp;" GB atau lebih ("&amp;J234&amp;")",IF(N234="Belum ada data","ukuran penyimpanan belum diisi",""))))</f>
        <v>penyimpanan 512 GB cukup, nyamannya 1000 GB atau lebih (bisa diganti dengan yang lebih besar)</v>
      </c>
      <c r="V234" s="33" t="str">
        <f aca="false">IF($A234="","",IF(O234="Kurang","layar "&amp;Varian!$AG50&amp;", di bawah batas minimal ("&amp;IFERROR(INDEX(Aturan!$A$63:$A$66,MATCH(Aturan!$C$58,Aturan!$B$63:$B$66,0)),"peringkat "&amp;Aturan!$C$58)&amp;")",IF(O234="Cukup","layar "&amp;Varian!$AG50&amp;" cukup, nyamannya "&amp;IFERROR(INDEX(Aturan!$A$63:$A$66,MATCH(Aturan!$D$58,Aturan!$B$63:$B$66,0)),"peringkat "&amp;Aturan!$D$58),IF(O234="Belum ada data","jenis layar belum diketahui",""))))</f>
        <v/>
      </c>
      <c r="W234" s="33" t="str">
        <f aca="false">IF($A234="","",IF(P234="Kurang","layar "&amp;H234&amp;" Hz, di bawah batas minimal "&amp;Aturan!$C$59&amp;" Hz",IF(P234="Cukup","layar "&amp;H234&amp;" Hz cukup, nyamannya "&amp;Aturan!$D$59&amp;" Hz atau lebih",IF(P234="Belum ada data","refresh rate belum diketahui",""))))</f>
        <v>layar 60 Hz cukup, nyamannya 120 Hz atau lebih</v>
      </c>
      <c r="X234" s="33" t="str">
        <f aca="false">IF($A234="","",IF(K234="Kurang",R234&amp;"; ","")&amp;IF(L234="Kurang",S234&amp;"; ","")&amp;IF(M234="Kurang",T234&amp;"; ","")&amp;IF(N234="Kurang",U234&amp;"; ","")&amp;IF(O234="Kurang",V234&amp;"; ","")&amp;IF(P234="Kurang",W234&amp;"; ","")&amp;IF(K234="Belum ada data",R234&amp;"; ","")&amp;IF(L234="Belum ada data",S234&amp;"; ","")&amp;IF(M234="Belum ada data",T234&amp;"; ","")&amp;IF(N234="Belum ada data",U234&amp;"; ","")&amp;IF(O234="Belum ada data",V234&amp;"; ","")&amp;IF(P234="Belum ada data",W234&amp;"; ","")&amp;IF(K234="Cukup",R234&amp;"; ","")&amp;IF(L234="Cukup",S234&amp;"; ","")&amp;IF(M234="Cukup",T234&amp;"; ","")&amp;IF(N234="Cukup",U234&amp;"; ","")&amp;IF(O234="Cukup",V234&amp;"; ","")&amp;IF(P234="Cukup",W234&amp;"; ",""))</f>
        <v>prosesor tingkat 2 dari 5, di bawah batas minimal (tingkat 3); grafis tingkat 2 dari 5, di bawah batas minimal (tingkat 3); RAM 8 GB cukup, nyamannya 16 GB atau lebih (bisa dinaikkan lewat slot sampai 64 GB); penyimpanan 512 GB cukup, nyamannya 1000 GB atau lebih (bisa diganti dengan yang lebih besar); layar 60 Hz cukup, nyamannya 120 Hz atau lebih; </v>
      </c>
      <c r="Y234" s="33" t="str">
        <f aca="false">IF($A234="","",IF(K234="Nyaman","prosesor, ","")&amp;IF(L234="Nyaman","grafis, ","")&amp;IF(M234="Nyaman","RAM, ","")&amp;IF(N234="Nyaman","penyimpanan, ","")&amp;IF(O234="Nyaman","layar, ","")&amp;IF(P234="Nyaman","refresh rate, ",""))</f>
        <v/>
      </c>
      <c r="Z234" s="33" t="str">
        <f aca="false">IF($A234="","",IF(Q234="Tidak dinilai","Belum ada kriteria yang dinilai untuk kebutuhan ini.",IF(Q234="Cocok","Semua kriteria yang dinilai sudah nyaman: "&amp;LEFT(Y234,LEN(Y234)-2)&amp;".",UPPER(LEFT(X234,1))&amp;MID(X234,2,LEN(X234)-3)&amp;"."&amp;IF(Y234="",""," Sudah nyaman: "&amp;LEFT(Y234,LEN(Y234)-2)&amp;"."))))</f>
        <v>Prosesor tingkat 2 dari 5, di bawah batas minimal (tingkat 3); grafis tingkat 2 dari 5, di bawah batas minimal (tingkat 3); RAM 8 GB cukup, nyamannya 16 GB atau lebih (bisa dinaikkan lewat slot sampai 64 GB); penyimpanan 512 GB cukup, nyamannya 1000 GB atau lebih (bisa diganti dengan yang lebih besar); layar 60 Hz cukup, nyamannya 120 Hz atau lebih.</v>
      </c>
      <c r="AA234" s="33"/>
      <c r="AB234" s="33"/>
      <c r="AC234" s="69"/>
    </row>
    <row r="235" customFormat="false" ht="15" hidden="false" customHeight="true" outlineLevel="0" collapsed="false">
      <c r="A235" s="66" t="str">
        <f aca="false">IF(Varian!$A51="","",Varian!$A51)</f>
        <v>dell-inspiron-15-3530-i7-1355u-16-512</v>
      </c>
      <c r="B235" s="66" t="str">
        <f aca="false">IF($A235="","",Aturan!$A$21)</f>
        <v>Kuliah dan kantor</v>
      </c>
      <c r="C235" s="67" t="n">
        <f aca="false">IF($A235="","",IFERROR(IF(ISNUMBER(INDEX(CPU!$J$4:$J$64,MATCH(Varian!$J51,CPU!$A$4:$A$64,0))),INDEX(CPU!$J$4:$J$64,MATCH(Varian!$J51,CPU!$A$4:$A$64,0)),""),""))</f>
        <v>3</v>
      </c>
      <c r="D235" s="67" t="n">
        <f aca="false">IF($A235="","",IFERROR(IF(ISNUMBER(INDEX(GPU!$G$4:$G$64,MATCH(Varian!$K51,GPU!$A$4:$A$64,0))),INDEX(GPU!$G$4:$G$64,MATCH(Varian!$K51,GPU!$A$4:$A$64,0)),""),""))</f>
        <v>2</v>
      </c>
      <c r="E235" s="67" t="n">
        <f aca="false">IF($A235="","",IF(ISNUMBER(Varian!$M51),Varian!$M51,""))</f>
        <v>16</v>
      </c>
      <c r="F235" s="67" t="n">
        <f aca="false">IF($A235="","",IF(ISNUMBER(Varian!$V51),Varian!$V51,""))</f>
        <v>512</v>
      </c>
      <c r="G235" s="67" t="n">
        <f aca="false">IF($A235="","",IFERROR(INDEX(Aturan!$B$63:$B$66,MATCH(Varian!$AG51,Aturan!$A$63:$A$66,0)),""))</f>
        <v>3</v>
      </c>
      <c r="H235" s="67" t="n">
        <f aca="false">IF($A235="","",IF(ISNUMBER(Varian!$AI51),Varian!$AI51,""))</f>
        <v>120</v>
      </c>
      <c r="I235" s="66" t="str">
        <f aca="false">IF($A235="","",IF(Varian!$Q51="disolder","menempel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sudah di batas maksimal 16 GB</v>
      </c>
      <c r="J235" s="66" t="str">
        <f aca="false">IF($A235="","",IF(Varian!$Z51="ya","bisa diganti dengan yang lebih besar",IF(Varian!$Z51="tidak","menempel, tidak bisa diganti","belum diketahui apakah bisa diganti")))</f>
        <v>bisa diganti dengan yang lebih besar</v>
      </c>
      <c r="K235" s="68" t="str">
        <f aca="false">IF($A235="","",IF(AND(Aturan!$C$30="",Aturan!$D$30=""),"Tidak dinilai",IF(C235="","Belum ada data",IF(C235&lt;IF(Aturan!$C$30="",0,Aturan!$C$30),"Kurang",IF(C235&gt;=IF(Aturan!$D$30="",Aturan!$C$30,Aturan!$D$30),"Nyaman","Cukup")))))</f>
        <v>Nyaman</v>
      </c>
      <c r="L235" s="68" t="str">
        <f aca="false">IF($A235="","",IF(AND(Aturan!$C$31="",Aturan!$D$31=""),"Tidak dinilai",IF(D235="","Belum ada data",IF(D235&lt;IF(Aturan!$C$31="",0,Aturan!$C$31),"Kurang",IF(D235&gt;=IF(Aturan!$D$31="",Aturan!$C$31,Aturan!$D$31),"Nyaman","Cukup")))))</f>
        <v>Tidak dinilai</v>
      </c>
      <c r="M235" s="68" t="str">
        <f aca="false">IF($A235="","",IF(AND(Aturan!$C$32="",Aturan!$D$32=""),"Tidak dinilai",IF(E235="","Belum ada data",IF(E235&lt;IF(Aturan!$C$32="",0,Aturan!$C$32),"Kurang",IF(E235&gt;=IF(Aturan!$D$32="",Aturan!$C$32,Aturan!$D$32),"Nyaman","Cukup")))))</f>
        <v>Nyaman</v>
      </c>
      <c r="N235" s="68" t="str">
        <f aca="false">IF($A235="","",IF(AND(Aturan!$C$33="",Aturan!$D$33=""),"Tidak dinilai",IF(F235="","Belum ada data",IF(F235&lt;IF(Aturan!$C$33="",0,Aturan!$C$33),"Kurang",IF(F235&gt;=IF(Aturan!$D$33="",Aturan!$C$33,Aturan!$D$33),"Nyaman","Cukup")))))</f>
        <v>Nyaman</v>
      </c>
      <c r="O235" s="68" t="str">
        <f aca="false">IF($A235="","",IF(AND(Aturan!$C$34="",Aturan!$D$34=""),"Tidak dinilai",IF(G235="","Belum ada data",IF(G235&lt;IF(Aturan!$C$34="",0,Aturan!$C$34),"Kurang",IF(G235&gt;=IF(Aturan!$D$34="",Aturan!$C$34,Aturan!$D$34),"Nyaman","Cukup")))))</f>
        <v>Tidak dinilai</v>
      </c>
      <c r="P235" s="68" t="str">
        <f aca="false">IF($A235="","",IF(AND(Aturan!$C$35="",Aturan!$D$35=""),"Tidak dinilai",IF(H235="","Belum ada data",IF(H235&lt;IF(Aturan!$C$35="",0,Aturan!$C$35),"Kurang",IF(H235&gt;=IF(Aturan!$D$35="",Aturan!$C$35,Aturan!$D$35),"Nyaman","Cukup")))))</f>
        <v>Tidak dinilai</v>
      </c>
      <c r="Q235" s="68" t="str">
        <f aca="false">IF($A235="","",IF(COUNTIF(K235:P235,"Tidak dinilai")=6,"Tidak dinilai",IF(COUNTIF(K235:P235,"Kurang")&gt;0,"Kurang cocok",IF(COUNTIF(K235:P235,"Belum ada data")&gt;0,"Data belum lengkap",IF(COUNTIF(K235:P235,"Cukup")&gt;0,"Bisa, dengan catatan","Cocok")))))</f>
        <v>Cocok</v>
      </c>
      <c r="R235" s="66" t="str">
        <f aca="false">IF($A235="","",IF(K235="Kurang","prosesor tingkat "&amp;C235&amp;" dari 5, di bawah batas minimal (tingkat "&amp;Aturan!$C$30&amp;")",IF(K235="Cukup","prosesor tingkat "&amp;C235&amp;" dari 5 cukup, nyamannya mulai tingkat "&amp;Aturan!$D$30,IF(K235="Belum ada data","tingkat prosesor belum diisi",""))))</f>
        <v/>
      </c>
      <c r="S235" s="66" t="str">
        <f aca="false">IF($A235="","",IF(L235="Kurang","grafis tingkat "&amp;D235&amp;" dari 5, di bawah batas minimal (tingkat "&amp;Aturan!$C$31&amp;")",IF(L235="Cukup","grafis tingkat "&amp;D235&amp;" dari 5 cukup, nyamannya mulai tingkat "&amp;Aturan!$D$31,IF(L235="Belum ada data","tingkat grafis belum diisi",""))))</f>
        <v/>
      </c>
      <c r="T235" s="66" t="str">
        <f aca="false">IF($A235="","",IF(M235="Kurang","RAM "&amp;E235&amp;" GB, di bawah batas minimal "&amp;Aturan!$C$32&amp;" GB ("&amp;I235&amp;")",IF(M235="Cukup","RAM "&amp;E235&amp;" GB cukup, nyamannya "&amp;Aturan!$D$32&amp;" GB atau lebih ("&amp;I235&amp;")",IF(M235="Belum ada data","ukuran RAM belum diisi",""))))</f>
        <v/>
      </c>
      <c r="U235" s="66" t="str">
        <f aca="false">IF($A235="","",IF(N235="Kurang","penyimpanan "&amp;F235&amp;" GB, di bawah batas minimal "&amp;Aturan!$C$33&amp;" GB ("&amp;J235&amp;")",IF(N235="Cukup","penyimpanan "&amp;F235&amp;" GB cukup, nyamannya "&amp;Aturan!$D$33&amp;" GB atau lebih ("&amp;J235&amp;")",IF(N235="Belum ada data","ukuran penyimpanan belum diisi",""))))</f>
        <v/>
      </c>
      <c r="V235" s="66" t="str">
        <f aca="false">IF($A235="","",IF(O235="Kurang","layar "&amp;Varian!$AG51&amp;", di bawah batas minimal ("&amp;IFERROR(INDEX(Aturan!$A$63:$A$66,MATCH(Aturan!$C$34,Aturan!$B$63:$B$66,0)),"peringkat "&amp;Aturan!$C$34)&amp;")",IF(O235="Cukup","layar "&amp;Varian!$AG51&amp;" cukup, nyamannya "&amp;IFERROR(INDEX(Aturan!$A$63:$A$66,MATCH(Aturan!$D$34,Aturan!$B$63:$B$66,0)),"peringkat "&amp;Aturan!$D$34),IF(O235="Belum ada data","jenis layar belum diketahui",""))))</f>
        <v/>
      </c>
      <c r="W235" s="66" t="str">
        <f aca="false">IF($A235="","",IF(P235="Kurang","layar "&amp;H235&amp;" Hz, di bawah batas minimal "&amp;Aturan!$C$35&amp;" Hz",IF(P235="Cukup","layar "&amp;H235&amp;" Hz cukup, nyamannya "&amp;Aturan!$D$35&amp;" Hz atau lebih",IF(P235="Belum ada data","refresh rate belum diketahui",""))))</f>
        <v/>
      </c>
      <c r="X235" s="66" t="str">
        <f aca="false">IF($A235="","",IF(K235="Kurang",R235&amp;"; ","")&amp;IF(L235="Kurang",S235&amp;"; ","")&amp;IF(M235="Kurang",T235&amp;"; ","")&amp;IF(N235="Kurang",U235&amp;"; ","")&amp;IF(O235="Kurang",V235&amp;"; ","")&amp;IF(P235="Kurang",W235&amp;"; ","")&amp;IF(K235="Belum ada data",R235&amp;"; ","")&amp;IF(L235="Belum ada data",S235&amp;"; ","")&amp;IF(M235="Belum ada data",T235&amp;"; ","")&amp;IF(N235="Belum ada data",U235&amp;"; ","")&amp;IF(O235="Belum ada data",V235&amp;"; ","")&amp;IF(P235="Belum ada data",W235&amp;"; ","")&amp;IF(K235="Cukup",R235&amp;"; ","")&amp;IF(L235="Cukup",S235&amp;"; ","")&amp;IF(M235="Cukup",T235&amp;"; ","")&amp;IF(N235="Cukup",U235&amp;"; ","")&amp;IF(O235="Cukup",V235&amp;"; ","")&amp;IF(P235="Cukup",W235&amp;"; ",""))</f>
        <v/>
      </c>
      <c r="Y235" s="66" t="str">
        <f aca="false">IF($A235="","",IF(K235="Nyaman","prosesor, ","")&amp;IF(L235="Nyaman","grafis, ","")&amp;IF(M235="Nyaman","RAM, ","")&amp;IF(N235="Nyaman","penyimpanan, ","")&amp;IF(O235="Nyaman","layar, ","")&amp;IF(P235="Nyaman","refresh rate, ",""))</f>
        <v>prosesor, RAM, penyimpanan, </v>
      </c>
      <c r="Z235" s="66" t="str">
        <f aca="false">IF($A235="","",IF(Q235="Tidak dinilai","Belum ada kriteria yang dinilai untuk kebutuhan ini.",IF(Q235="Cocok","Semua kriteria yang dinilai sudah nyaman: "&amp;LEFT(Y235,LEN(Y235)-2)&amp;".",UPPER(LEFT(X235,1))&amp;MID(X235,2,LEN(X235)-3)&amp;"."&amp;IF(Y235="",""," Sudah nyaman: "&amp;LEFT(Y235,LEN(Y235)-2)&amp;"."))))</f>
        <v>Semua kriteria yang dinilai sudah nyaman: prosesor, RAM, penyimpanan.</v>
      </c>
      <c r="AA235" s="66" t="str">
        <f aca="false">IF($A235="","",IF(Varian!$AR51="Windows 10","• "&amp;Aturan!$E$71&amp;CHAR(10),"")&amp;IF(Varian!$BB51="tidak","• "&amp;Aturan!$E$72&amp;CHAR(10),"")&amp;IF(OR(Varian!$AD51="belum terverifikasi",Varian!$AD51="tidak diketahui"),"• "&amp;Aturan!$E$73&amp;CHAR(10),"")&amp;IF(Varian!$AH51="1366x768","• "&amp;Aturan!$E$74&amp;CHAR(10),"")&amp;IF(Varian!$AG51="TN","• "&amp;Aturan!$E$75&amp;CHAR(10),"")&amp;IF(AND(Varian!$Q51="disolder",ISNUMBER(Varian!$M51),Varian!$M51&lt;=8),"• "&amp;Aturan!$E$76&amp;CHAR(10),""))</f>
        <v/>
      </c>
      <c r="AB235" s="66" t="str">
        <f aca="false">IF($A235="","",IF(AA235="","",LEFT(AA235,LEN(AA235)-1)))</f>
        <v/>
      </c>
      <c r="AC235" s="67" t="n">
        <f aca="false">IF($A235="","",IF(AA235="",0,LEN(AA235)-LEN(SUBSTITUTE(AA235,CHAR(10),""))))</f>
        <v>0</v>
      </c>
    </row>
    <row r="236" customFormat="false" ht="15" hidden="false" customHeight="true" outlineLevel="0" collapsed="false">
      <c r="A236" s="33" t="str">
        <f aca="false">IF(Varian!$A51="","",Varian!$A51)</f>
        <v>dell-inspiron-15-3530-i7-1355u-16-512</v>
      </c>
      <c r="B236" s="33" t="str">
        <f aca="false">IF($A236="","",Aturan!$A$22)</f>
        <v>Desain grafis</v>
      </c>
      <c r="C236" s="69" t="n">
        <f aca="false">IF($A236="","",IFERROR(IF(ISNUMBER(INDEX(CPU!$J$4:$J$64,MATCH(Varian!$J51,CPU!$A$4:$A$64,0))),INDEX(CPU!$J$4:$J$64,MATCH(Varian!$J51,CPU!$A$4:$A$64,0)),""),""))</f>
        <v>3</v>
      </c>
      <c r="D236" s="69" t="n">
        <f aca="false">IF($A236="","",IFERROR(IF(ISNUMBER(INDEX(GPU!$G$4:$G$64,MATCH(Varian!$K51,GPU!$A$4:$A$64,0))),INDEX(GPU!$G$4:$G$64,MATCH(Varian!$K51,GPU!$A$4:$A$64,0)),""),""))</f>
        <v>2</v>
      </c>
      <c r="E236" s="69" t="n">
        <f aca="false">IF($A236="","",IF(ISNUMBER(Varian!$M51),Varian!$M51,""))</f>
        <v>16</v>
      </c>
      <c r="F236" s="69" t="n">
        <f aca="false">IF($A236="","",IF(ISNUMBER(Varian!$V51),Varian!$V51,""))</f>
        <v>512</v>
      </c>
      <c r="G236" s="69" t="n">
        <f aca="false">IF($A236="","",IFERROR(INDEX(Aturan!$B$63:$B$66,MATCH(Varian!$AG51,Aturan!$A$63:$A$66,0)),""))</f>
        <v>3</v>
      </c>
      <c r="H236" s="69" t="n">
        <f aca="false">IF($A236="","",IF(ISNUMBER(Varian!$AI51),Varian!$AI51,""))</f>
        <v>120</v>
      </c>
      <c r="I236" s="33" t="str">
        <f aca="false">IF($A236="","",IF(Varian!$Q51="disolder","menempel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sudah di batas maksimal 16 GB</v>
      </c>
      <c r="J236" s="33" t="str">
        <f aca="false">IF($A236="","",IF(Varian!$Z51="ya","bisa diganti dengan yang lebih besar",IF(Varian!$Z51="tidak","menempel, tidak bisa diganti","belum diketahui apakah bisa diganti")))</f>
        <v>bisa diganti dengan yang lebih besar</v>
      </c>
      <c r="K236" s="70" t="str">
        <f aca="false">IF($A236="","",IF(AND(Aturan!$C$36="",Aturan!$D$36=""),"Tidak dinilai",IF(C236="","Belum ada data",IF(C236&lt;IF(Aturan!$C$36="",0,Aturan!$C$36),"Kurang",IF(C236&gt;=IF(Aturan!$D$36="",Aturan!$C$36,Aturan!$D$36),"Nyaman","Cukup")))))</f>
        <v>Nyaman</v>
      </c>
      <c r="L236" s="70" t="str">
        <f aca="false">IF($A236="","",IF(AND(Aturan!$C$37="",Aturan!$D$37=""),"Tidak dinilai",IF(D236="","Belum ada data",IF(D236&lt;IF(Aturan!$C$37="",0,Aturan!$C$37),"Kurang",IF(D236&gt;=IF(Aturan!$D$37="",Aturan!$C$37,Aturan!$D$37),"Nyaman","Cukup")))))</f>
        <v>Nyaman</v>
      </c>
      <c r="M236" s="70" t="str">
        <f aca="false">IF($A236="","",IF(AND(Aturan!$C$38="",Aturan!$D$38=""),"Tidak dinilai",IF(E236="","Belum ada data",IF(E236&lt;IF(Aturan!$C$38="",0,Aturan!$C$38),"Kurang",IF(E236&gt;=IF(Aturan!$D$38="",Aturan!$C$38,Aturan!$D$38),"Nyaman","Cukup")))))</f>
        <v>Nyaman</v>
      </c>
      <c r="N236" s="70" t="str">
        <f aca="false">IF($A236="","",IF(AND(Aturan!$C$39="",Aturan!$D$39=""),"Tidak dinilai",IF(F236="","Belum ada data",IF(F236&lt;IF(Aturan!$C$39="",0,Aturan!$C$39),"Kurang",IF(F236&gt;=IF(Aturan!$D$39="",Aturan!$C$39,Aturan!$D$39),"Nyaman","Cukup")))))</f>
        <v>Nyaman</v>
      </c>
      <c r="O236" s="70" t="str">
        <f aca="false">IF($A236="","",IF(AND(Aturan!$C$40="",Aturan!$D$40=""),"Tidak dinilai",IF(G236="","Belum ada data",IF(G236&lt;IF(Aturan!$C$40="",0,Aturan!$C$40),"Kurang",IF(G236&gt;=IF(Aturan!$D$40="",Aturan!$C$40,Aturan!$D$40),"Nyaman","Cukup")))))</f>
        <v>Cukup</v>
      </c>
      <c r="P236" s="70" t="str">
        <f aca="false">IF($A236="","",IF(AND(Aturan!$C$41="",Aturan!$D$41=""),"Tidak dinilai",IF(H236="","Belum ada data",IF(H236&lt;IF(Aturan!$C$41="",0,Aturan!$C$41),"Kurang",IF(H236&gt;=IF(Aturan!$D$41="",Aturan!$C$41,Aturan!$D$41),"Nyaman","Cukup")))))</f>
        <v>Tidak dinilai</v>
      </c>
      <c r="Q236" s="70" t="str">
        <f aca="false">IF($A236="","",IF(COUNTIF(K236:P236,"Tidak dinilai")=6,"Tidak dinilai",IF(COUNTIF(K236:P236,"Kurang")&gt;0,"Kurang cocok",IF(COUNTIF(K236:P236,"Belum ada data")&gt;0,"Data belum lengkap",IF(COUNTIF(K236:P236,"Cukup")&gt;0,"Bisa, dengan catatan","Cocok")))))</f>
        <v>Bisa, dengan catatan</v>
      </c>
      <c r="R236" s="33" t="str">
        <f aca="false">IF($A236="","",IF(K236="Kurang","prosesor tingkat "&amp;C236&amp;" dari 5, di bawah batas minimal (tingkat "&amp;Aturan!$C$36&amp;")",IF(K236="Cukup","prosesor tingkat "&amp;C236&amp;" dari 5 cukup, nyamannya mulai tingkat "&amp;Aturan!$D$36,IF(K236="Belum ada data","tingkat prosesor belum diisi",""))))</f>
        <v/>
      </c>
      <c r="S236" s="33" t="str">
        <f aca="false">IF($A236="","",IF(L236="Kurang","grafis tingkat "&amp;D236&amp;" dari 5, di bawah batas minimal (tingkat "&amp;Aturan!$C$37&amp;")",IF(L236="Cukup","grafis tingkat "&amp;D236&amp;" dari 5 cukup, nyamannya mulai tingkat "&amp;Aturan!$D$37,IF(L236="Belum ada data","tingkat grafis belum diisi",""))))</f>
        <v/>
      </c>
      <c r="T236" s="33" t="str">
        <f aca="false">IF($A236="","",IF(M236="Kurang","RAM "&amp;E236&amp;" GB, di bawah batas minimal "&amp;Aturan!$C$38&amp;" GB ("&amp;I236&amp;")",IF(M236="Cukup","RAM "&amp;E236&amp;" GB cukup, nyamannya "&amp;Aturan!$D$38&amp;" GB atau lebih ("&amp;I236&amp;")",IF(M236="Belum ada data","ukuran RAM belum diisi",""))))</f>
        <v/>
      </c>
      <c r="U236" s="33" t="str">
        <f aca="false">IF($A236="","",IF(N236="Kurang","penyimpanan "&amp;F236&amp;" GB, di bawah batas minimal "&amp;Aturan!$C$39&amp;" GB ("&amp;J236&amp;")",IF(N236="Cukup","penyimpanan "&amp;F236&amp;" GB cukup, nyamannya "&amp;Aturan!$D$39&amp;" GB atau lebih ("&amp;J236&amp;")",IF(N236="Belum ada data","ukuran penyimpanan belum diisi",""))))</f>
        <v/>
      </c>
      <c r="V236" s="33" t="str">
        <f aca="false">IF($A236="","",IF(O236="Kurang","layar "&amp;Varian!$AG51&amp;", di bawah batas minimal ("&amp;IFERROR(INDEX(Aturan!$A$63:$A$66,MATCH(Aturan!$C$40,Aturan!$B$63:$B$66,0)),"peringkat "&amp;Aturan!$C$40)&amp;")",IF(O236="Cukup","layar "&amp;Varian!$AG51&amp;" cukup, nyamannya "&amp;IFERROR(INDEX(Aturan!$A$63:$A$66,MATCH(Aturan!$D$40,Aturan!$B$63:$B$66,0)),"peringkat "&amp;Aturan!$D$40),IF(O236="Belum ada data","jenis layar belum diketahui",""))))</f>
        <v>layar IPS cukup, nyamannya OLED</v>
      </c>
      <c r="W236" s="33" t="str">
        <f aca="false">IF($A236="","",IF(P236="Kurang","layar "&amp;H236&amp;" Hz, di bawah batas minimal "&amp;Aturan!$C$41&amp;" Hz",IF(P236="Cukup","layar "&amp;H236&amp;" Hz cukup, nyamannya "&amp;Aturan!$D$41&amp;" Hz atau lebih",IF(P236="Belum ada data","refresh rate belum diketahui",""))))</f>
        <v/>
      </c>
      <c r="X236" s="33" t="str">
        <f aca="false">IF($A236="","",IF(K236="Kurang",R236&amp;"; ","")&amp;IF(L236="Kurang",S236&amp;"; ","")&amp;IF(M236="Kurang",T236&amp;"; ","")&amp;IF(N236="Kurang",U236&amp;"; ","")&amp;IF(O236="Kurang",V236&amp;"; ","")&amp;IF(P236="Kurang",W236&amp;"; ","")&amp;IF(K236="Belum ada data",R236&amp;"; ","")&amp;IF(L236="Belum ada data",S236&amp;"; ","")&amp;IF(M236="Belum ada data",T236&amp;"; ","")&amp;IF(N236="Belum ada data",U236&amp;"; ","")&amp;IF(O236="Belum ada data",V236&amp;"; ","")&amp;IF(P236="Belum ada data",W236&amp;"; ","")&amp;IF(K236="Cukup",R236&amp;"; ","")&amp;IF(L236="Cukup",S236&amp;"; ","")&amp;IF(M236="Cukup",T236&amp;"; ","")&amp;IF(N236="Cukup",U236&amp;"; ","")&amp;IF(O236="Cukup",V236&amp;"; ","")&amp;IF(P236="Cukup",W236&amp;"; ",""))</f>
        <v>layar IPS cukup, nyamannya OLED; </v>
      </c>
      <c r="Y236" s="33" t="str">
        <f aca="false">IF($A236="","",IF(K236="Nyaman","prosesor, ","")&amp;IF(L236="Nyaman","grafis, ","")&amp;IF(M236="Nyaman","RAM, ","")&amp;IF(N236="Nyaman","penyimpanan, ","")&amp;IF(O236="Nyaman","layar, ","")&amp;IF(P236="Nyaman","refresh rate, ",""))</f>
        <v>prosesor, grafis, RAM, penyimpanan, </v>
      </c>
      <c r="Z236" s="33" t="str">
        <f aca="false">IF($A236="","",IF(Q236="Tidak dinilai","Belum ada kriteria yang dinilai untuk kebutuhan ini.",IF(Q236="Cocok","Semua kriteria yang dinilai sudah nyaman: "&amp;LEFT(Y236,LEN(Y236)-2)&amp;".",UPPER(LEFT(X236,1))&amp;MID(X236,2,LEN(X236)-3)&amp;"."&amp;IF(Y236="",""," Sudah nyaman: "&amp;LEFT(Y236,LEN(Y236)-2)&amp;"."))))</f>
        <v>Layar IPS cukup, nyamannya OLED. Sudah nyaman: prosesor, grafis, RAM, penyimpanan.</v>
      </c>
      <c r="AA236" s="33"/>
      <c r="AB236" s="33"/>
      <c r="AC236" s="69"/>
    </row>
    <row r="237" customFormat="false" ht="15" hidden="false" customHeight="true" outlineLevel="0" collapsed="false">
      <c r="A237" s="33" t="str">
        <f aca="false">IF(Varian!$A51="","",Varian!$A51)</f>
        <v>dell-inspiron-15-3530-i7-1355u-16-512</v>
      </c>
      <c r="B237" s="33" t="str">
        <f aca="false">IF($A237="","",Aturan!$A$23)</f>
        <v>Pemrograman</v>
      </c>
      <c r="C237" s="69" t="n">
        <f aca="false">IF($A237="","",IFERROR(IF(ISNUMBER(INDEX(CPU!$J$4:$J$64,MATCH(Varian!$J51,CPU!$A$4:$A$64,0))),INDEX(CPU!$J$4:$J$64,MATCH(Varian!$J51,CPU!$A$4:$A$64,0)),""),""))</f>
        <v>3</v>
      </c>
      <c r="D237" s="69" t="n">
        <f aca="false">IF($A237="","",IFERROR(IF(ISNUMBER(INDEX(GPU!$G$4:$G$64,MATCH(Varian!$K51,GPU!$A$4:$A$64,0))),INDEX(GPU!$G$4:$G$64,MATCH(Varian!$K51,GPU!$A$4:$A$64,0)),""),""))</f>
        <v>2</v>
      </c>
      <c r="E237" s="69" t="n">
        <f aca="false">IF($A237="","",IF(ISNUMBER(Varian!$M51),Varian!$M51,""))</f>
        <v>16</v>
      </c>
      <c r="F237" s="69" t="n">
        <f aca="false">IF($A237="","",IF(ISNUMBER(Varian!$V51),Varian!$V51,""))</f>
        <v>512</v>
      </c>
      <c r="G237" s="69" t="n">
        <f aca="false">IF($A237="","",IFERROR(INDEX(Aturan!$B$63:$B$66,MATCH(Varian!$AG51,Aturan!$A$63:$A$66,0)),""))</f>
        <v>3</v>
      </c>
      <c r="H237" s="69" t="n">
        <f aca="false">IF($A237="","",IF(ISNUMBER(Varian!$AI51),Varian!$AI51,""))</f>
        <v>120</v>
      </c>
      <c r="I237" s="33" t="str">
        <f aca="false">IF($A237="","",IF(Varian!$Q51="disolder","menempel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sudah di batas maksimal 16 GB</v>
      </c>
      <c r="J237" s="33" t="str">
        <f aca="false">IF($A237="","",IF(Varian!$Z51="ya","bisa diganti dengan yang lebih besar",IF(Varian!$Z51="tidak","menempel, tidak bisa diganti","belum diketahui apakah bisa diganti")))</f>
        <v>bisa diganti dengan yang lebih besar</v>
      </c>
      <c r="K237" s="70" t="str">
        <f aca="false">IF($A237="","",IF(AND(Aturan!$C$42="",Aturan!$D$42=""),"Tidak dinilai",IF(C237="","Belum ada data",IF(C237&lt;IF(Aturan!$C$42="",0,Aturan!$C$42),"Kurang",IF(C237&gt;=IF(Aturan!$D$42="",Aturan!$C$42,Aturan!$D$42),"Nyaman","Cukup")))))</f>
        <v>Nyaman</v>
      </c>
      <c r="L237" s="70" t="str">
        <f aca="false">IF($A237="","",IF(AND(Aturan!$C$43="",Aturan!$D$43=""),"Tidak dinilai",IF(D237="","Belum ada data",IF(D237&lt;IF(Aturan!$C$43="",0,Aturan!$C$43),"Kurang",IF(D237&gt;=IF(Aturan!$D$43="",Aturan!$C$43,Aturan!$D$43),"Nyaman","Cukup")))))</f>
        <v>Tidak dinilai</v>
      </c>
      <c r="M237" s="70" t="str">
        <f aca="false">IF($A237="","",IF(AND(Aturan!$C$44="",Aturan!$D$44=""),"Tidak dinilai",IF(E237="","Belum ada data",IF(E237&lt;IF(Aturan!$C$44="",0,Aturan!$C$44),"Kurang",IF(E237&gt;=IF(Aturan!$D$44="",Aturan!$C$44,Aturan!$D$44),"Nyaman","Cukup")))))</f>
        <v>Nyaman</v>
      </c>
      <c r="N237" s="70" t="str">
        <f aca="false">IF($A237="","",IF(AND(Aturan!$C$45="",Aturan!$D$45=""),"Tidak dinilai",IF(F237="","Belum ada data",IF(F237&lt;IF(Aturan!$C$45="",0,Aturan!$C$45),"Kurang",IF(F237&gt;=IF(Aturan!$D$45="",Aturan!$C$45,Aturan!$D$45),"Nyaman","Cukup")))))</f>
        <v>Nyaman</v>
      </c>
      <c r="O237" s="70" t="str">
        <f aca="false">IF($A237="","",IF(AND(Aturan!$C$46="",Aturan!$D$46=""),"Tidak dinilai",IF(G237="","Belum ada data",IF(G237&lt;IF(Aturan!$C$46="",0,Aturan!$C$46),"Kurang",IF(G237&gt;=IF(Aturan!$D$46="",Aturan!$C$46,Aturan!$D$46),"Nyaman","Cukup")))))</f>
        <v>Tidak dinilai</v>
      </c>
      <c r="P237" s="70" t="str">
        <f aca="false">IF($A237="","",IF(AND(Aturan!$C$47="",Aturan!$D$47=""),"Tidak dinilai",IF(H237="","Belum ada data",IF(H237&lt;IF(Aturan!$C$47="",0,Aturan!$C$47),"Kurang",IF(H237&gt;=IF(Aturan!$D$47="",Aturan!$C$47,Aturan!$D$47),"Nyaman","Cukup")))))</f>
        <v>Tidak dinilai</v>
      </c>
      <c r="Q237" s="70" t="str">
        <f aca="false">IF($A237="","",IF(COUNTIF(K237:P237,"Tidak dinilai")=6,"Tidak dinilai",IF(COUNTIF(K237:P237,"Kurang")&gt;0,"Kurang cocok",IF(COUNTIF(K237:P237,"Belum ada data")&gt;0,"Data belum lengkap",IF(COUNTIF(K237:P237,"Cukup")&gt;0,"Bisa, dengan catatan","Cocok")))))</f>
        <v>Cocok</v>
      </c>
      <c r="R237" s="33" t="str">
        <f aca="false">IF($A237="","",IF(K237="Kurang","prosesor tingkat "&amp;C237&amp;" dari 5, di bawah batas minimal (tingkat "&amp;Aturan!$C$42&amp;")",IF(K237="Cukup","prosesor tingkat "&amp;C237&amp;" dari 5 cukup, nyamannya mulai tingkat "&amp;Aturan!$D$42,IF(K237="Belum ada data","tingkat prosesor belum diisi",""))))</f>
        <v/>
      </c>
      <c r="S237" s="33" t="str">
        <f aca="false">IF($A237="","",IF(L237="Kurang","grafis tingkat "&amp;D237&amp;" dari 5, di bawah batas minimal (tingkat "&amp;Aturan!$C$43&amp;")",IF(L237="Cukup","grafis tingkat "&amp;D237&amp;" dari 5 cukup, nyamannya mulai tingkat "&amp;Aturan!$D$43,IF(L237="Belum ada data","tingkat grafis belum diisi",""))))</f>
        <v/>
      </c>
      <c r="T237" s="33" t="str">
        <f aca="false">IF($A237="","",IF(M237="Kurang","RAM "&amp;E237&amp;" GB, di bawah batas minimal "&amp;Aturan!$C$44&amp;" GB ("&amp;I237&amp;")",IF(M237="Cukup","RAM "&amp;E237&amp;" GB cukup, nyamannya "&amp;Aturan!$D$44&amp;" GB atau lebih ("&amp;I237&amp;")",IF(M237="Belum ada data","ukuran RAM belum diisi",""))))</f>
        <v/>
      </c>
      <c r="U237" s="33" t="str">
        <f aca="false">IF($A237="","",IF(N237="Kurang","penyimpanan "&amp;F237&amp;" GB, di bawah batas minimal "&amp;Aturan!$C$45&amp;" GB ("&amp;J237&amp;")",IF(N237="Cukup","penyimpanan "&amp;F237&amp;" GB cukup, nyamannya "&amp;Aturan!$D$45&amp;" GB atau lebih ("&amp;J237&amp;")",IF(N237="Belum ada data","ukuran penyimpanan belum diisi",""))))</f>
        <v/>
      </c>
      <c r="V237" s="33" t="str">
        <f aca="false">IF($A237="","",IF(O237="Kurang","layar "&amp;Varian!$AG51&amp;", di bawah batas minimal ("&amp;IFERROR(INDEX(Aturan!$A$63:$A$66,MATCH(Aturan!$C$46,Aturan!$B$63:$B$66,0)),"peringkat "&amp;Aturan!$C$46)&amp;")",IF(O237="Cukup","layar "&amp;Varian!$AG51&amp;" cukup, nyamannya "&amp;IFERROR(INDEX(Aturan!$A$63:$A$66,MATCH(Aturan!$D$46,Aturan!$B$63:$B$66,0)),"peringkat "&amp;Aturan!$D$46),IF(O237="Belum ada data","jenis layar belum diketahui",""))))</f>
        <v/>
      </c>
      <c r="W237" s="33" t="str">
        <f aca="false">IF($A237="","",IF(P237="Kurang","layar "&amp;H237&amp;" Hz, di bawah batas minimal "&amp;Aturan!$C$47&amp;" Hz",IF(P237="Cukup","layar "&amp;H237&amp;" Hz cukup, nyamannya "&amp;Aturan!$D$47&amp;" Hz atau lebih",IF(P237="Belum ada data","refresh rate belum diketahui",""))))</f>
        <v/>
      </c>
      <c r="X237" s="33" t="str">
        <f aca="false">IF($A237="","",IF(K237="Kurang",R237&amp;"; ","")&amp;IF(L237="Kurang",S237&amp;"; ","")&amp;IF(M237="Kurang",T237&amp;"; ","")&amp;IF(N237="Kurang",U237&amp;"; ","")&amp;IF(O237="Kurang",V237&amp;"; ","")&amp;IF(P237="Kurang",W237&amp;"; ","")&amp;IF(K237="Belum ada data",R237&amp;"; ","")&amp;IF(L237="Belum ada data",S237&amp;"; ","")&amp;IF(M237="Belum ada data",T237&amp;"; ","")&amp;IF(N237="Belum ada data",U237&amp;"; ","")&amp;IF(O237="Belum ada data",V237&amp;"; ","")&amp;IF(P237="Belum ada data",W237&amp;"; ","")&amp;IF(K237="Cukup",R237&amp;"; ","")&amp;IF(L237="Cukup",S237&amp;"; ","")&amp;IF(M237="Cukup",T237&amp;"; ","")&amp;IF(N237="Cukup",U237&amp;"; ","")&amp;IF(O237="Cukup",V237&amp;"; ","")&amp;IF(P237="Cukup",W237&amp;"; ",""))</f>
        <v/>
      </c>
      <c r="Y237" s="33" t="str">
        <f aca="false">IF($A237="","",IF(K237="Nyaman","prosesor, ","")&amp;IF(L237="Nyaman","grafis, ","")&amp;IF(M237="Nyaman","RAM, ","")&amp;IF(N237="Nyaman","penyimpanan, ","")&amp;IF(O237="Nyaman","layar, ","")&amp;IF(P237="Nyaman","refresh rate, ",""))</f>
        <v>prosesor, RAM, penyimpanan, </v>
      </c>
      <c r="Z237" s="33" t="str">
        <f aca="false">IF($A237="","",IF(Q237="Tidak dinilai","Belum ada kriteria yang dinilai untuk kebutuhan ini.",IF(Q237="Cocok","Semua kriteria yang dinilai sudah nyaman: "&amp;LEFT(Y237,LEN(Y237)-2)&amp;".",UPPER(LEFT(X237,1))&amp;MID(X237,2,LEN(X237)-3)&amp;"."&amp;IF(Y237="",""," Sudah nyaman: "&amp;LEFT(Y237,LEN(Y237)-2)&amp;"."))))</f>
        <v>Semua kriteria yang dinilai sudah nyaman: prosesor, RAM, penyimpanan.</v>
      </c>
      <c r="AA237" s="33"/>
      <c r="AB237" s="33"/>
      <c r="AC237" s="69"/>
    </row>
    <row r="238" customFormat="false" ht="15" hidden="false" customHeight="true" outlineLevel="0" collapsed="false">
      <c r="A238" s="33" t="str">
        <f aca="false">IF(Varian!$A51="","",Varian!$A51)</f>
        <v>dell-inspiron-15-3530-i7-1355u-16-512</v>
      </c>
      <c r="B238" s="33" t="str">
        <f aca="false">IF($A238="","",Aturan!$A$24)</f>
        <v>Game ringan</v>
      </c>
      <c r="C238" s="69" t="n">
        <f aca="false">IF($A238="","",IFERROR(IF(ISNUMBER(INDEX(CPU!$J$4:$J$64,MATCH(Varian!$J51,CPU!$A$4:$A$64,0))),INDEX(CPU!$J$4:$J$64,MATCH(Varian!$J51,CPU!$A$4:$A$64,0)),""),""))</f>
        <v>3</v>
      </c>
      <c r="D238" s="69" t="n">
        <f aca="false">IF($A238="","",IFERROR(IF(ISNUMBER(INDEX(GPU!$G$4:$G$64,MATCH(Varian!$K51,GPU!$A$4:$A$64,0))),INDEX(GPU!$G$4:$G$64,MATCH(Varian!$K51,GPU!$A$4:$A$64,0)),""),""))</f>
        <v>2</v>
      </c>
      <c r="E238" s="69" t="n">
        <f aca="false">IF($A238="","",IF(ISNUMBER(Varian!$M51),Varian!$M51,""))</f>
        <v>16</v>
      </c>
      <c r="F238" s="69" t="n">
        <f aca="false">IF($A238="","",IF(ISNUMBER(Varian!$V51),Varian!$V51,""))</f>
        <v>512</v>
      </c>
      <c r="G238" s="69" t="n">
        <f aca="false">IF($A238="","",IFERROR(INDEX(Aturan!$B$63:$B$66,MATCH(Varian!$AG51,Aturan!$A$63:$A$66,0)),""))</f>
        <v>3</v>
      </c>
      <c r="H238" s="69" t="n">
        <f aca="false">IF($A238="","",IF(ISNUMBER(Varian!$AI51),Varian!$AI51,""))</f>
        <v>120</v>
      </c>
      <c r="I238" s="33" t="str">
        <f aca="false">IF($A238="","",IF(Varian!$Q51="disolder","menempel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sudah di batas maksimal 16 GB</v>
      </c>
      <c r="J238" s="33" t="str">
        <f aca="false">IF($A238="","",IF(Varian!$Z51="ya","bisa diganti dengan yang lebih besar",IF(Varian!$Z51="tidak","menempel, tidak bisa diganti","belum diketahui apakah bisa diganti")))</f>
        <v>bisa diganti dengan yang lebih besar</v>
      </c>
      <c r="K238" s="70" t="str">
        <f aca="false">IF($A238="","",IF(AND(Aturan!$C$48="",Aturan!$D$48=""),"Tidak dinilai",IF(C238="","Belum ada data",IF(C238&lt;IF(Aturan!$C$48="",0,Aturan!$C$48),"Kurang",IF(C238&gt;=IF(Aturan!$D$48="",Aturan!$C$48,Aturan!$D$48),"Nyaman","Cukup")))))</f>
        <v>Nyaman</v>
      </c>
      <c r="L238" s="70" t="str">
        <f aca="false">IF($A238="","",IF(AND(Aturan!$C$49="",Aturan!$D$49=""),"Tidak dinilai",IF(D238="","Belum ada data",IF(D238&lt;IF(Aturan!$C$49="",0,Aturan!$C$49),"Kurang",IF(D238&gt;=IF(Aturan!$D$49="",Aturan!$C$49,Aturan!$D$49),"Nyaman","Cukup")))))</f>
        <v>Nyaman</v>
      </c>
      <c r="M238" s="70" t="str">
        <f aca="false">IF($A238="","",IF(AND(Aturan!$C$50="",Aturan!$D$50=""),"Tidak dinilai",IF(E238="","Belum ada data",IF(E238&lt;IF(Aturan!$C$50="",0,Aturan!$C$50),"Kurang",IF(E238&gt;=IF(Aturan!$D$50="",Aturan!$C$50,Aturan!$D$50),"Nyaman","Cukup")))))</f>
        <v>Nyaman</v>
      </c>
      <c r="N238" s="70" t="str">
        <f aca="false">IF($A238="","",IF(AND(Aturan!$C$51="",Aturan!$D$51=""),"Tidak dinilai",IF(F238="","Belum ada data",IF(F238&lt;IF(Aturan!$C$51="",0,Aturan!$C$51),"Kurang",IF(F238&gt;=IF(Aturan!$D$51="",Aturan!$C$51,Aturan!$D$51),"Nyaman","Cukup")))))</f>
        <v>Nyaman</v>
      </c>
      <c r="O238" s="70" t="str">
        <f aca="false">IF($A238="","",IF(AND(Aturan!$C$52="",Aturan!$D$52=""),"Tidak dinilai",IF(G238="","Belum ada data",IF(G238&lt;IF(Aturan!$C$52="",0,Aturan!$C$52),"Kurang",IF(G238&gt;=IF(Aturan!$D$52="",Aturan!$C$52,Aturan!$D$52),"Nyaman","Cukup")))))</f>
        <v>Tidak dinilai</v>
      </c>
      <c r="P238" s="70" t="str">
        <f aca="false">IF($A238="","",IF(AND(Aturan!$C$53="",Aturan!$D$53=""),"Tidak dinilai",IF(H238="","Belum ada data",IF(H238&lt;IF(Aturan!$C$53="",0,Aturan!$C$53),"Kurang",IF(H238&gt;=IF(Aturan!$D$53="",Aturan!$C$53,Aturan!$D$53),"Nyaman","Cukup")))))</f>
        <v>Tidak dinilai</v>
      </c>
      <c r="Q238" s="70" t="str">
        <f aca="false">IF($A238="","",IF(COUNTIF(K238:P238,"Tidak dinilai")=6,"Tidak dinilai",IF(COUNTIF(K238:P238,"Kurang")&gt;0,"Kurang cocok",IF(COUNTIF(K238:P238,"Belum ada data")&gt;0,"Data belum lengkap",IF(COUNTIF(K238:P238,"Cukup")&gt;0,"Bisa, dengan catatan","Cocok")))))</f>
        <v>Cocok</v>
      </c>
      <c r="R238" s="33" t="str">
        <f aca="false">IF($A238="","",IF(K238="Kurang","prosesor tingkat "&amp;C238&amp;" dari 5, di bawah batas minimal (tingkat "&amp;Aturan!$C$48&amp;")",IF(K238="Cukup","prosesor tingkat "&amp;C238&amp;" dari 5 cukup, nyamannya mulai tingkat "&amp;Aturan!$D$48,IF(K238="Belum ada data","tingkat prosesor belum diisi",""))))</f>
        <v/>
      </c>
      <c r="S238" s="33" t="str">
        <f aca="false">IF($A238="","",IF(L238="Kurang","grafis tingkat "&amp;D238&amp;" dari 5, di bawah batas minimal (tingkat "&amp;Aturan!$C$49&amp;")",IF(L238="Cukup","grafis tingkat "&amp;D238&amp;" dari 5 cukup, nyamannya mulai tingkat "&amp;Aturan!$D$49,IF(L238="Belum ada data","tingkat grafis belum diisi",""))))</f>
        <v/>
      </c>
      <c r="T238" s="33" t="str">
        <f aca="false">IF($A238="","",IF(M238="Kurang","RAM "&amp;E238&amp;" GB, di bawah batas minimal "&amp;Aturan!$C$50&amp;" GB ("&amp;I238&amp;")",IF(M238="Cukup","RAM "&amp;E238&amp;" GB cukup, nyamannya "&amp;Aturan!$D$50&amp;" GB atau lebih ("&amp;I238&amp;")",IF(M238="Belum ada data","ukuran RAM belum diisi",""))))</f>
        <v/>
      </c>
      <c r="U238" s="33" t="str">
        <f aca="false">IF($A238="","",IF(N238="Kurang","penyimpanan "&amp;F238&amp;" GB, di bawah batas minimal "&amp;Aturan!$C$51&amp;" GB ("&amp;J238&amp;")",IF(N238="Cukup","penyimpanan "&amp;F238&amp;" GB cukup, nyamannya "&amp;Aturan!$D$51&amp;" GB atau lebih ("&amp;J238&amp;")",IF(N238="Belum ada data","ukuran penyimpanan belum diisi",""))))</f>
        <v/>
      </c>
      <c r="V238" s="33" t="str">
        <f aca="false">IF($A238="","",IF(O238="Kurang","layar "&amp;Varian!$AG51&amp;", di bawah batas minimal ("&amp;IFERROR(INDEX(Aturan!$A$63:$A$66,MATCH(Aturan!$C$52,Aturan!$B$63:$B$66,0)),"peringkat "&amp;Aturan!$C$52)&amp;")",IF(O238="Cukup","layar "&amp;Varian!$AG51&amp;" cukup, nyamannya "&amp;IFERROR(INDEX(Aturan!$A$63:$A$66,MATCH(Aturan!$D$52,Aturan!$B$63:$B$66,0)),"peringkat "&amp;Aturan!$D$52),IF(O238="Belum ada data","jenis layar belum diketahui",""))))</f>
        <v/>
      </c>
      <c r="W238" s="33" t="str">
        <f aca="false">IF($A238="","",IF(P238="Kurang","layar "&amp;H238&amp;" Hz, di bawah batas minimal "&amp;Aturan!$C$53&amp;" Hz",IF(P238="Cukup","layar "&amp;H238&amp;" Hz cukup, nyamannya "&amp;Aturan!$D$53&amp;" Hz atau lebih",IF(P238="Belum ada data","refresh rate belum diketahui",""))))</f>
        <v/>
      </c>
      <c r="X238" s="33" t="str">
        <f aca="false">IF($A238="","",IF(K238="Kurang",R238&amp;"; ","")&amp;IF(L238="Kurang",S238&amp;"; ","")&amp;IF(M238="Kurang",T238&amp;"; ","")&amp;IF(N238="Kurang",U238&amp;"; ","")&amp;IF(O238="Kurang",V238&amp;"; ","")&amp;IF(P238="Kurang",W238&amp;"; ","")&amp;IF(K238="Belum ada data",R238&amp;"; ","")&amp;IF(L238="Belum ada data",S238&amp;"; ","")&amp;IF(M238="Belum ada data",T238&amp;"; ","")&amp;IF(N238="Belum ada data",U238&amp;"; ","")&amp;IF(O238="Belum ada data",V238&amp;"; ","")&amp;IF(P238="Belum ada data",W238&amp;"; ","")&amp;IF(K238="Cukup",R238&amp;"; ","")&amp;IF(L238="Cukup",S238&amp;"; ","")&amp;IF(M238="Cukup",T238&amp;"; ","")&amp;IF(N238="Cukup",U238&amp;"; ","")&amp;IF(O238="Cukup",V238&amp;"; ","")&amp;IF(P238="Cukup",W238&amp;"; ",""))</f>
        <v/>
      </c>
      <c r="Y238" s="33" t="str">
        <f aca="false">IF($A238="","",IF(K238="Nyaman","prosesor, ","")&amp;IF(L238="Nyaman","grafis, ","")&amp;IF(M238="Nyaman","RAM, ","")&amp;IF(N238="Nyaman","penyimpanan, ","")&amp;IF(O238="Nyaman","layar, ","")&amp;IF(P238="Nyaman","refresh rate, ",""))</f>
        <v>prosesor, grafis, RAM, penyimpanan, </v>
      </c>
      <c r="Z238" s="33" t="str">
        <f aca="false">IF($A238="","",IF(Q238="Tidak dinilai","Belum ada kriteria yang dinilai untuk kebutuhan ini.",IF(Q238="Cocok","Semua kriteria yang dinilai sudah nyaman: "&amp;LEFT(Y238,LEN(Y238)-2)&amp;".",UPPER(LEFT(X238,1))&amp;MID(X238,2,LEN(X238)-3)&amp;"."&amp;IF(Y238="",""," Sudah nyaman: "&amp;LEFT(Y238,LEN(Y238)-2)&amp;"."))))</f>
        <v>Semua kriteria yang dinilai sudah nyaman: prosesor, grafis, RAM, penyimpanan.</v>
      </c>
      <c r="AA238" s="33"/>
      <c r="AB238" s="33"/>
      <c r="AC238" s="69"/>
    </row>
    <row r="239" customFormat="false" ht="15" hidden="false" customHeight="true" outlineLevel="0" collapsed="false">
      <c r="A239" s="33" t="str">
        <f aca="false">IF(Varian!$A51="","",Varian!$A51)</f>
        <v>dell-inspiron-15-3530-i7-1355u-16-512</v>
      </c>
      <c r="B239" s="33" t="str">
        <f aca="false">IF($A239="","",Aturan!$A$25)</f>
        <v>Game berat</v>
      </c>
      <c r="C239" s="69" t="n">
        <f aca="false">IF($A239="","",IFERROR(IF(ISNUMBER(INDEX(CPU!$J$4:$J$64,MATCH(Varian!$J51,CPU!$A$4:$A$64,0))),INDEX(CPU!$J$4:$J$64,MATCH(Varian!$J51,CPU!$A$4:$A$64,0)),""),""))</f>
        <v>3</v>
      </c>
      <c r="D239" s="69" t="n">
        <f aca="false">IF($A239="","",IFERROR(IF(ISNUMBER(INDEX(GPU!$G$4:$G$64,MATCH(Varian!$K51,GPU!$A$4:$A$64,0))),INDEX(GPU!$G$4:$G$64,MATCH(Varian!$K51,GPU!$A$4:$A$64,0)),""),""))</f>
        <v>2</v>
      </c>
      <c r="E239" s="69" t="n">
        <f aca="false">IF($A239="","",IF(ISNUMBER(Varian!$M51),Varian!$M51,""))</f>
        <v>16</v>
      </c>
      <c r="F239" s="69" t="n">
        <f aca="false">IF($A239="","",IF(ISNUMBER(Varian!$V51),Varian!$V51,""))</f>
        <v>512</v>
      </c>
      <c r="G239" s="69" t="n">
        <f aca="false">IF($A239="","",IFERROR(INDEX(Aturan!$B$63:$B$66,MATCH(Varian!$AG51,Aturan!$A$63:$A$66,0)),""))</f>
        <v>3</v>
      </c>
      <c r="H239" s="69" t="n">
        <f aca="false">IF($A239="","",IF(ISNUMBER(Varian!$AI51),Varian!$AI51,""))</f>
        <v>120</v>
      </c>
      <c r="I239" s="33" t="str">
        <f aca="false">IF($A239="","",IF(Varian!$Q51="disolder","menempel di papan utama, tidak bisa ditambah",IF(OR(Varian!$Q51="slot",Varian!$Q51="setengah_disolder"),IF(Varian!$Q51="setengah_disolder","sebagian menempel, ","")&amp;IF(ISNUMBER(Varian!$U51),IF(AND(ISNUMBER(Varian!$M51),Varian!$U51&gt;Varian!$M51),"bisa dinaikkan lewat slot sampai "&amp;Varian!$U51&amp;" GB","sudah di batas maksimal "&amp;Varian!$U51&amp;" GB"),"ada slot, batas maksimalnya belum diketahui"),"belum diketahui apakah bisa ditambah")))</f>
        <v>sudah di batas maksimal 16 GB</v>
      </c>
      <c r="J239" s="33" t="str">
        <f aca="false">IF($A239="","",IF(Varian!$Z51="ya","bisa diganti dengan yang lebih besar",IF(Varian!$Z51="tidak","menempel, tidak bisa diganti","belum diketahui apakah bisa diganti")))</f>
        <v>bisa diganti dengan yang lebih besar</v>
      </c>
      <c r="K239" s="70" t="str">
        <f aca="false">IF($A239="","",IF(AND(Aturan!$C$54="",Aturan!$D$54=""),"Tidak dinilai",IF(C239="","Belum ada data",IF(C239&lt;IF(Aturan!$C$54="",0,Aturan!$C$54),"Kurang",IF(C239&gt;=IF(Aturan!$D$54="",Aturan!$C$54,Aturan!$D$54),"Nyaman","Cukup")))))</f>
        <v>Cukup</v>
      </c>
      <c r="L239" s="70" t="str">
        <f aca="false">IF($A239="","",IF(AND(Aturan!$C$55="",Aturan!$D$55=""),"Tidak dinilai",IF(D239="","Belum ada data",IF(D239&lt;IF(Aturan!$C$55="",0,Aturan!$C$55),"Kurang",IF(D239&gt;=IF(Aturan!$D$55="",Aturan!$C$55,Aturan!$D$55),"Nyaman","Cukup")))))</f>
        <v>Kurang</v>
      </c>
      <c r="M239" s="70" t="str">
        <f aca="false">IF($A239="","",IF(AND(Aturan!$C$56="",Aturan!$D$56=""),"Tidak dinilai",IF(E239="","Belum ada data",IF(E239&lt;IF(Aturan!$C$56="",0,Aturan!$C$56),"Kurang",IF(E239&gt;=IF(Aturan!$D$56="",Aturan!$C$56,Aturan!$D$56),"Nyaman","Cukup")))))</f>
        <v>Nyaman</v>
      </c>
      <c r="N239" s="70" t="str">
        <f aca="false">IF($A239="","",IF(AND(Aturan!$C$57="",Aturan!$D$57=""),"Tidak dinilai",IF(F239="","Belum ada data",IF(F239&lt;IF(Aturan!$C$57="",0,Aturan!$C$57),"Kurang",IF(F239&gt;=IF(Aturan!$D$57="",Aturan!$C$57,Aturan!$D$57),"Nyaman","Cukup")))))</f>
        <v>Cukup</v>
      </c>
      <c r="O239" s="70" t="str">
        <f aca="false">IF($A239="","",IF(AND(Aturan!$C$58="",Aturan!$D$58=""),"Tidak dinilai",IF(G239="","Belum ada data",IF(G239&lt;IF(Aturan!$C$58="",0,Aturan!$C$58),"Kurang",IF(G239&gt;=IF(Aturan!$D$58="",Aturan!$C$58,Aturan!$D$58),"Nyaman","Cukup")))))</f>
        <v>Tidak dinilai</v>
      </c>
      <c r="P239" s="70" t="str">
        <f aca="false">IF($A239="","",IF(AND(Aturan!$C$59="",Aturan!$D$59=""),"Tidak dinilai",IF(H239="","Belum ada data",IF(H239&lt;IF(Aturan!$C$59="",0,Aturan!$C$59),"Kurang",IF(H239&gt;=IF(Aturan!$D$59="",Aturan!$C$59,Aturan!$D$59),"Nyaman","Cukup")))))</f>
        <v>Nyaman</v>
      </c>
      <c r="Q239" s="70" t="str">
        <f aca="false">IF($A239="","",IF(COUNTIF(K239:P239,"Tidak dinilai")=6,"Tidak dinilai",IF(COUNTIF(K239:P239,"Kurang")&gt;0,"Kurang cocok",IF(COUNTIF(K239:P239,"Belum ada data")&gt;0,"Data belum lengkap",IF(COUNTIF(K239:P239,"Cukup")&gt;0,"Bisa, dengan catatan","Cocok")))))</f>
        <v>Kurang cocok</v>
      </c>
      <c r="R239" s="33" t="str">
        <f aca="false">IF($A239="","",IF(K239="Kurang","prosesor tingkat "&amp;C239&amp;" dari 5, di bawah batas minimal (tingkat "&amp;Aturan!$C$54&amp;")",IF(K239="Cukup","prosesor tingkat "&amp;C239&amp;" dari 5 cukup, nyamannya mulai tingkat "&amp;Aturan!$D$54,IF(K239="Belum ada data","tingkat prosesor belum diisi",""))))</f>
        <v>prosesor tingkat 3 dari 5 cukup, nyamannya mulai tingkat 4</v>
      </c>
      <c r="S239" s="33" t="str">
        <f aca="false">IF($A239="","",IF(L239="Kurang","grafis tingkat "&amp;D239&amp;" dari 5, di bawah batas minimal (tingkat "&amp;Aturan!$C$55&amp;")",IF(L239="Cukup","grafis tingkat "&amp;D239&amp;" dari 5 cukup, nyamannya mulai tingkat "&amp;Aturan!$D$55,IF(L239="Belum ada data","tingkat grafis belum diisi",""))))</f>
        <v>grafis tingkat 2 dari 5, di bawah batas minimal (tingkat 3)</v>
      </c>
      <c r="T239" s="33" t="str">
        <f aca="false">IF($A239="","",IF(M239="Kurang","RAM "&amp;E239&amp;" GB, di bawah batas minimal "&amp;Aturan!$C$56&amp;" GB ("&amp;I239&amp;")",IF(M239="Cukup","RAM "&amp;E239&amp;" GB cukup, nyamannya "&amp;Aturan!$D$56&amp;" GB atau lebih ("&amp;I239&amp;")",IF(M239="Belum ada data","ukuran RAM belum diisi",""))))</f>
        <v/>
      </c>
      <c r="U239" s="33" t="str">
        <f aca="false">IF($A239="","",IF(N239="Kurang","penyimpanan "&amp;F239&amp;" GB, di bawah batas minimal "&amp;Aturan!$C$57&amp;" GB ("&amp;J239&amp;")",IF(N239="Cukup","penyimpanan "&amp;F239&amp;" GB cukup, nyamannya "&amp;Aturan!$D$57&amp;" GB atau lebih ("&amp;J239&amp;")",IF(N239="Belum ada data","ukuran penyimpanan belum diisi",""))))</f>
        <v>penyimpanan 512 GB cukup, nyamannya 1000 GB atau lebih (bisa diganti dengan yang lebih besar)</v>
      </c>
      <c r="V239" s="33" t="str">
        <f aca="false">IF($A239="","",IF(O239="Kurang","layar "&amp;Varian!$AG51&amp;", di bawah batas minimal ("&amp;IFERROR(INDEX(Aturan!$A$63:$A$66,MATCH(Aturan!$C$58,Aturan!$B$63:$B$66,0)),"peringkat "&amp;Aturan!$C$58)&amp;")",IF(O239="Cukup","layar "&amp;Varian!$AG51&amp;" cukup, nyamannya "&amp;IFERROR(INDEX(Aturan!$A$63:$A$66,MATCH(Aturan!$D$58,Aturan!$B$63:$B$66,0)),"peringkat "&amp;Aturan!$D$58),IF(O239="Belum ada data","jenis layar belum diketahui",""))))</f>
        <v/>
      </c>
      <c r="W239" s="33" t="str">
        <f aca="false">IF($A239="","",IF(P239="Kurang","layar "&amp;H239&amp;" Hz, di bawah batas minimal "&amp;Aturan!$C$59&amp;" Hz",IF(P239="Cukup","layar "&amp;H239&amp;" Hz cukup, nyamannya "&amp;Aturan!$D$59&amp;" Hz atau lebih",IF(P239="Belum ada data","refresh rate belum diketahui",""))))</f>
        <v/>
      </c>
      <c r="X239" s="33" t="str">
        <f aca="false">IF($A239="","",IF(K239="Kurang",R239&amp;"; ","")&amp;IF(L239="Kurang",S239&amp;"; ","")&amp;IF(M239="Kurang",T239&amp;"; ","")&amp;IF(N239="Kurang",U239&amp;"; ","")&amp;IF(O239="Kurang",V239&amp;"; ","")&amp;IF(P239="Kurang",W239&amp;"; ","")&amp;IF(K239="Belum ada data",R239&amp;"; ","")&amp;IF(L239="Belum ada data",S239&amp;"; ","")&amp;IF(M239="Belum ada data",T239&amp;"; ","")&amp;IF(N239="Belum ada data",U239&amp;"; ","")&amp;IF(O239="Belum ada data",V239&amp;"; ","")&amp;IF(P239="Belum ada data",W239&amp;"; ","")&amp;IF(K239="Cukup",R239&amp;"; ","")&amp;IF(L239="Cukup",S239&amp;"; ","")&amp;IF(M239="Cukup",T239&amp;"; ","")&amp;IF(N239="Cukup",U239&amp;"; ","")&amp;IF(O239="Cukup",V239&amp;"; ","")&amp;IF(P239="Cukup",W239&amp;"; ",""))</f>
        <v>grafis tingkat 2 dari 5, di bawah batas minimal (tingkat 3); prosesor tingkat 3 dari 5 cukup, nyamannya mulai tingkat 4; penyimpanan 512 GB cukup, nyamannya 1000 GB atau lebih (bisa diganti dengan yang lebih besar); </v>
      </c>
      <c r="Y239" s="33" t="str">
        <f aca="false">IF($A239="","",IF(K239="Nyaman","prosesor, ","")&amp;IF(L239="Nyaman","grafis, ","")&amp;IF(M239="Nyaman","RAM, ","")&amp;IF(N239="Nyaman","penyimpanan, ","")&amp;IF(O239="Nyaman","layar, ","")&amp;IF(P239="Nyaman","refresh rate, ",""))</f>
        <v>RAM, refresh rate, </v>
      </c>
      <c r="Z239" s="33" t="str">
        <f aca="false">IF($A239="","",IF(Q239="Tidak dinilai","Belum ada kriteria yang dinilai untuk kebutuhan ini.",IF(Q239="Cocok","Semua kriteria yang dinilai sudah nyaman: "&amp;LEFT(Y239,LEN(Y239)-2)&amp;".",UPPER(LEFT(X239,1))&amp;MID(X239,2,LEN(X239)-3)&amp;"."&amp;IF(Y239="",""," Sudah nyaman: "&amp;LEFT(Y239,LEN(Y239)-2)&amp;"."))))</f>
        <v>Grafis tingkat 2 dari 5, di bawah batas minimal (tingkat 3); prosesor tingkat 3 dari 5 cukup, nyamannya mulai tingkat 4; penyimpanan 512 GB cukup, nyamannya 1000 GB atau lebih (bisa diganti dengan yang lebih besar). Sudah nyaman: RAM, refresh rate.</v>
      </c>
      <c r="AA239" s="33"/>
      <c r="AB239" s="33"/>
      <c r="AC239" s="69"/>
    </row>
    <row r="240" customFormat="false" ht="15" hidden="false" customHeight="true" outlineLevel="0" collapsed="false">
      <c r="A240" s="66" t="str">
        <f aca="false">IF(Varian!$A52="","",Varian!$A52)</f>
        <v>hp-pavilion-plus-14-ew0021tu-i5-1335u-16-512</v>
      </c>
      <c r="B240" s="66" t="str">
        <f aca="false">IF($A240="","",Aturan!$A$21)</f>
        <v>Kuliah dan kantor</v>
      </c>
      <c r="C240" s="67" t="n">
        <f aca="false">IF($A240="","",IFERROR(IF(ISNUMBER(INDEX(CPU!$J$4:$J$64,MATCH(Varian!$J52,CPU!$A$4:$A$64,0))),INDEX(CPU!$J$4:$J$64,MATCH(Varian!$J52,CPU!$A$4:$A$64,0)),""),""))</f>
        <v>3</v>
      </c>
      <c r="D240" s="67" t="n">
        <f aca="false">IF($A240="","",IFERROR(IF(ISNUMBER(INDEX(GPU!$G$4:$G$64,MATCH(Varian!$K52,GPU!$A$4:$A$64,0))),INDEX(GPU!$G$4:$G$64,MATCH(Varian!$K52,GPU!$A$4:$A$64,0)),""),""))</f>
        <v>2</v>
      </c>
      <c r="E240" s="67" t="n">
        <f aca="false">IF($A240="","",IF(ISNUMBER(Varian!$M52),Varian!$M52,""))</f>
        <v>16</v>
      </c>
      <c r="F240" s="67" t="n">
        <f aca="false">IF($A240="","",IF(ISNUMBER(Varian!$V52),Varian!$V52,""))</f>
        <v>512</v>
      </c>
      <c r="G240" s="67" t="n">
        <f aca="false">IF($A240="","",IFERROR(INDEX(Aturan!$B$63:$B$66,MATCH(Varian!$AG52,Aturan!$A$63:$A$66,0)),""))</f>
        <v>3</v>
      </c>
      <c r="H240" s="67" t="str">
        <f aca="false">IF($A240="","",IF(ISNUMBER(Varian!$AI52),Varian!$AI52,""))</f>
        <v/>
      </c>
      <c r="I240" s="66" t="str">
        <f aca="false">IF($A240="","",IF(Varian!$Q52="disolder","menempel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menempel di papan utama, tidak bisa ditambah</v>
      </c>
      <c r="J240" s="66" t="str">
        <f aca="false">IF($A240="","",IF(Varian!$Z52="ya","bisa diganti dengan yang lebih besar",IF(Varian!$Z52="tidak","menempel, tidak bisa diganti","belum diketahui apakah bisa diganti")))</f>
        <v>belum diketahui apakah bisa diganti</v>
      </c>
      <c r="K240" s="68" t="str">
        <f aca="false">IF($A240="","",IF(AND(Aturan!$C$30="",Aturan!$D$30=""),"Tidak dinilai",IF(C240="","Belum ada data",IF(C240&lt;IF(Aturan!$C$30="",0,Aturan!$C$30),"Kurang",IF(C240&gt;=IF(Aturan!$D$30="",Aturan!$C$30,Aturan!$D$30),"Nyaman","Cukup")))))</f>
        <v>Nyaman</v>
      </c>
      <c r="L240" s="68" t="str">
        <f aca="false">IF($A240="","",IF(AND(Aturan!$C$31="",Aturan!$D$31=""),"Tidak dinilai",IF(D240="","Belum ada data",IF(D240&lt;IF(Aturan!$C$31="",0,Aturan!$C$31),"Kurang",IF(D240&gt;=IF(Aturan!$D$31="",Aturan!$C$31,Aturan!$D$31),"Nyaman","Cukup")))))</f>
        <v>Tidak dinilai</v>
      </c>
      <c r="M240" s="68" t="str">
        <f aca="false">IF($A240="","",IF(AND(Aturan!$C$32="",Aturan!$D$32=""),"Tidak dinilai",IF(E240="","Belum ada data",IF(E240&lt;IF(Aturan!$C$32="",0,Aturan!$C$32),"Kurang",IF(E240&gt;=IF(Aturan!$D$32="",Aturan!$C$32,Aturan!$D$32),"Nyaman","Cukup")))))</f>
        <v>Nyaman</v>
      </c>
      <c r="N240" s="68" t="str">
        <f aca="false">IF($A240="","",IF(AND(Aturan!$C$33="",Aturan!$D$33=""),"Tidak dinilai",IF(F240="","Belum ada data",IF(F240&lt;IF(Aturan!$C$33="",0,Aturan!$C$33),"Kurang",IF(F240&gt;=IF(Aturan!$D$33="",Aturan!$C$33,Aturan!$D$33),"Nyaman","Cukup")))))</f>
        <v>Nyaman</v>
      </c>
      <c r="O240" s="68" t="str">
        <f aca="false">IF($A240="","",IF(AND(Aturan!$C$34="",Aturan!$D$34=""),"Tidak dinilai",IF(G240="","Belum ada data",IF(G240&lt;IF(Aturan!$C$34="",0,Aturan!$C$34),"Kurang",IF(G240&gt;=IF(Aturan!$D$34="",Aturan!$C$34,Aturan!$D$34),"Nyaman","Cukup")))))</f>
        <v>Tidak dinilai</v>
      </c>
      <c r="P240" s="68" t="str">
        <f aca="false">IF($A240="","",IF(AND(Aturan!$C$35="",Aturan!$D$35=""),"Tidak dinilai",IF(H240="","Belum ada data",IF(H240&lt;IF(Aturan!$C$35="",0,Aturan!$C$35),"Kurang",IF(H240&gt;=IF(Aturan!$D$35="",Aturan!$C$35,Aturan!$D$35),"Nyaman","Cukup")))))</f>
        <v>Tidak dinilai</v>
      </c>
      <c r="Q240" s="68" t="str">
        <f aca="false">IF($A240="","",IF(COUNTIF(K240:P240,"Tidak dinilai")=6,"Tidak dinilai",IF(COUNTIF(K240:P240,"Kurang")&gt;0,"Kurang cocok",IF(COUNTIF(K240:P240,"Belum ada data")&gt;0,"Data belum lengkap",IF(COUNTIF(K240:P240,"Cukup")&gt;0,"Bisa, dengan catatan","Cocok")))))</f>
        <v>Cocok</v>
      </c>
      <c r="R240" s="66" t="str">
        <f aca="false">IF($A240="","",IF(K240="Kurang","prosesor tingkat "&amp;C240&amp;" dari 5, di bawah batas minimal (tingkat "&amp;Aturan!$C$30&amp;")",IF(K240="Cukup","prosesor tingkat "&amp;C240&amp;" dari 5 cukup, nyamannya mulai tingkat "&amp;Aturan!$D$30,IF(K240="Belum ada data","tingkat prosesor belum diisi",""))))</f>
        <v/>
      </c>
      <c r="S240" s="66" t="str">
        <f aca="false">IF($A240="","",IF(L240="Kurang","grafis tingkat "&amp;D240&amp;" dari 5, di bawah batas minimal (tingkat "&amp;Aturan!$C$31&amp;")",IF(L240="Cukup","grafis tingkat "&amp;D240&amp;" dari 5 cukup, nyamannya mulai tingkat "&amp;Aturan!$D$31,IF(L240="Belum ada data","tingkat grafis belum diisi",""))))</f>
        <v/>
      </c>
      <c r="T240" s="66" t="str">
        <f aca="false">IF($A240="","",IF(M240="Kurang","RAM "&amp;E240&amp;" GB, di bawah batas minimal "&amp;Aturan!$C$32&amp;" GB ("&amp;I240&amp;")",IF(M240="Cukup","RAM "&amp;E240&amp;" GB cukup, nyamannya "&amp;Aturan!$D$32&amp;" GB atau lebih ("&amp;I240&amp;")",IF(M240="Belum ada data","ukuran RAM belum diisi",""))))</f>
        <v/>
      </c>
      <c r="U240" s="66" t="str">
        <f aca="false">IF($A240="","",IF(N240="Kurang","penyimpanan "&amp;F240&amp;" GB, di bawah batas minimal "&amp;Aturan!$C$33&amp;" GB ("&amp;J240&amp;")",IF(N240="Cukup","penyimpanan "&amp;F240&amp;" GB cukup, nyamannya "&amp;Aturan!$D$33&amp;" GB atau lebih ("&amp;J240&amp;")",IF(N240="Belum ada data","ukuran penyimpanan belum diisi",""))))</f>
        <v/>
      </c>
      <c r="V240" s="66" t="str">
        <f aca="false">IF($A240="","",IF(O240="Kurang","layar "&amp;Varian!$AG52&amp;", di bawah batas minimal ("&amp;IFERROR(INDEX(Aturan!$A$63:$A$66,MATCH(Aturan!$C$34,Aturan!$B$63:$B$66,0)),"peringkat "&amp;Aturan!$C$34)&amp;")",IF(O240="Cukup","layar "&amp;Varian!$AG52&amp;" cukup, nyamannya "&amp;IFERROR(INDEX(Aturan!$A$63:$A$66,MATCH(Aturan!$D$34,Aturan!$B$63:$B$66,0)),"peringkat "&amp;Aturan!$D$34),IF(O240="Belum ada data","jenis layar belum diketahui",""))))</f>
        <v/>
      </c>
      <c r="W240" s="66" t="str">
        <f aca="false">IF($A240="","",IF(P240="Kurang","layar "&amp;H240&amp;" Hz, di bawah batas minimal "&amp;Aturan!$C$35&amp;" Hz",IF(P240="Cukup","layar "&amp;H240&amp;" Hz cukup, nyamannya "&amp;Aturan!$D$35&amp;" Hz atau lebih",IF(P240="Belum ada data","refresh rate belum diketahui",""))))</f>
        <v/>
      </c>
      <c r="X240" s="66" t="str">
        <f aca="false">IF($A240="","",IF(K240="Kurang",R240&amp;"; ","")&amp;IF(L240="Kurang",S240&amp;"; ","")&amp;IF(M240="Kurang",T240&amp;"; ","")&amp;IF(N240="Kurang",U240&amp;"; ","")&amp;IF(O240="Kurang",V240&amp;"; ","")&amp;IF(P240="Kurang",W240&amp;"; ","")&amp;IF(K240="Belum ada data",R240&amp;"; ","")&amp;IF(L240="Belum ada data",S240&amp;"; ","")&amp;IF(M240="Belum ada data",T240&amp;"; ","")&amp;IF(N240="Belum ada data",U240&amp;"; ","")&amp;IF(O240="Belum ada data",V240&amp;"; ","")&amp;IF(P240="Belum ada data",W240&amp;"; ","")&amp;IF(K240="Cukup",R240&amp;"; ","")&amp;IF(L240="Cukup",S240&amp;"; ","")&amp;IF(M240="Cukup",T240&amp;"; ","")&amp;IF(N240="Cukup",U240&amp;"; ","")&amp;IF(O240="Cukup",V240&amp;"; ","")&amp;IF(P240="Cukup",W240&amp;"; ",""))</f>
        <v/>
      </c>
      <c r="Y240" s="66" t="str">
        <f aca="false">IF($A240="","",IF(K240="Nyaman","prosesor, ","")&amp;IF(L240="Nyaman","grafis, ","")&amp;IF(M240="Nyaman","RAM, ","")&amp;IF(N240="Nyaman","penyimpanan, ","")&amp;IF(O240="Nyaman","layar, ","")&amp;IF(P240="Nyaman","refresh rate, ",""))</f>
        <v>prosesor, RAM, penyimpanan, </v>
      </c>
      <c r="Z240" s="66" t="str">
        <f aca="false">IF($A240="","",IF(Q240="Tidak dinilai","Belum ada kriteria yang dinilai untuk kebutuhan ini.",IF(Q240="Cocok","Semua kriteria yang dinilai sudah nyaman: "&amp;LEFT(Y240,LEN(Y240)-2)&amp;".",UPPER(LEFT(X240,1))&amp;MID(X240,2,LEN(X240)-3)&amp;"."&amp;IF(Y240="",""," Sudah nyaman: "&amp;LEFT(Y240,LEN(Y240)-2)&amp;"."))))</f>
        <v>Semua kriteria yang dinilai sudah nyaman: prosesor, RAM, penyimpanan.</v>
      </c>
      <c r="AA240" s="66" t="str">
        <f aca="false">IF($A240="","",IF(Varian!$AR52="Windows 10","• "&amp;Aturan!$E$71&amp;CHAR(10),"")&amp;IF(Varian!$BB52="tidak","• "&amp;Aturan!$E$72&amp;CHAR(10),"")&amp;IF(OR(Varian!$AD52="belum terverifikasi",Varian!$AD52="tidak diketahui"),"• "&amp;Aturan!$E$73&amp;CHAR(10),"")&amp;IF(Varian!$AH52="1366x768","• "&amp;Aturan!$E$74&amp;CHAR(10),"")&amp;IF(Varian!$AG52="TN","• "&amp;Aturan!$E$75&amp;CHAR(10),"")&amp;IF(AND(Varian!$Q52="disolder",ISNUMBER(Varian!$M52),Varian!$M52&lt;=8),"• "&amp;Aturan!$E$76&amp;CHAR(10),""))</f>
        <v/>
      </c>
      <c r="AB240" s="66" t="str">
        <f aca="false">IF($A240="","",IF(AA240="","",LEFT(AA240,LEN(AA240)-1)))</f>
        <v/>
      </c>
      <c r="AC240" s="67" t="n">
        <f aca="false">IF($A240="","",IF(AA240="",0,LEN(AA240)-LEN(SUBSTITUTE(AA240,CHAR(10),""))))</f>
        <v>0</v>
      </c>
    </row>
    <row r="241" customFormat="false" ht="15" hidden="false" customHeight="true" outlineLevel="0" collapsed="false">
      <c r="A241" s="33" t="str">
        <f aca="false">IF(Varian!$A52="","",Varian!$A52)</f>
        <v>hp-pavilion-plus-14-ew0021tu-i5-1335u-16-512</v>
      </c>
      <c r="B241" s="33" t="str">
        <f aca="false">IF($A241="","",Aturan!$A$22)</f>
        <v>Desain grafis</v>
      </c>
      <c r="C241" s="69" t="n">
        <f aca="false">IF($A241="","",IFERROR(IF(ISNUMBER(INDEX(CPU!$J$4:$J$64,MATCH(Varian!$J52,CPU!$A$4:$A$64,0))),INDEX(CPU!$J$4:$J$64,MATCH(Varian!$J52,CPU!$A$4:$A$64,0)),""),""))</f>
        <v>3</v>
      </c>
      <c r="D241" s="69" t="n">
        <f aca="false">IF($A241="","",IFERROR(IF(ISNUMBER(INDEX(GPU!$G$4:$G$64,MATCH(Varian!$K52,GPU!$A$4:$A$64,0))),INDEX(GPU!$G$4:$G$64,MATCH(Varian!$K52,GPU!$A$4:$A$64,0)),""),""))</f>
        <v>2</v>
      </c>
      <c r="E241" s="69" t="n">
        <f aca="false">IF($A241="","",IF(ISNUMBER(Varian!$M52),Varian!$M52,""))</f>
        <v>16</v>
      </c>
      <c r="F241" s="69" t="n">
        <f aca="false">IF($A241="","",IF(ISNUMBER(Varian!$V52),Varian!$V52,""))</f>
        <v>512</v>
      </c>
      <c r="G241" s="69" t="n">
        <f aca="false">IF($A241="","",IFERROR(INDEX(Aturan!$B$63:$B$66,MATCH(Varian!$AG52,Aturan!$A$63:$A$66,0)),""))</f>
        <v>3</v>
      </c>
      <c r="H241" s="69" t="str">
        <f aca="false">IF($A241="","",IF(ISNUMBER(Varian!$AI52),Varian!$AI52,""))</f>
        <v/>
      </c>
      <c r="I241" s="33" t="str">
        <f aca="false">IF($A241="","",IF(Varian!$Q52="disolder","menempel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menempel di papan utama, tidak bisa ditambah</v>
      </c>
      <c r="J241" s="33" t="str">
        <f aca="false">IF($A241="","",IF(Varian!$Z52="ya","bisa diganti dengan yang lebih besar",IF(Varian!$Z52="tidak","menempel, tidak bisa diganti","belum diketahui apakah bisa diganti")))</f>
        <v>belum diketahui apakah bisa diganti</v>
      </c>
      <c r="K241" s="70" t="str">
        <f aca="false">IF($A241="","",IF(AND(Aturan!$C$36="",Aturan!$D$36=""),"Tidak dinilai",IF(C241="","Belum ada data",IF(C241&lt;IF(Aturan!$C$36="",0,Aturan!$C$36),"Kurang",IF(C241&gt;=IF(Aturan!$D$36="",Aturan!$C$36,Aturan!$D$36),"Nyaman","Cukup")))))</f>
        <v>Nyaman</v>
      </c>
      <c r="L241" s="70" t="str">
        <f aca="false">IF($A241="","",IF(AND(Aturan!$C$37="",Aturan!$D$37=""),"Tidak dinilai",IF(D241="","Belum ada data",IF(D241&lt;IF(Aturan!$C$37="",0,Aturan!$C$37),"Kurang",IF(D241&gt;=IF(Aturan!$D$37="",Aturan!$C$37,Aturan!$D$37),"Nyaman","Cukup")))))</f>
        <v>Nyaman</v>
      </c>
      <c r="M241" s="70" t="str">
        <f aca="false">IF($A241="","",IF(AND(Aturan!$C$38="",Aturan!$D$38=""),"Tidak dinilai",IF(E241="","Belum ada data",IF(E241&lt;IF(Aturan!$C$38="",0,Aturan!$C$38),"Kurang",IF(E241&gt;=IF(Aturan!$D$38="",Aturan!$C$38,Aturan!$D$38),"Nyaman","Cukup")))))</f>
        <v>Nyaman</v>
      </c>
      <c r="N241" s="70" t="str">
        <f aca="false">IF($A241="","",IF(AND(Aturan!$C$39="",Aturan!$D$39=""),"Tidak dinilai",IF(F241="","Belum ada data",IF(F241&lt;IF(Aturan!$C$39="",0,Aturan!$C$39),"Kurang",IF(F241&gt;=IF(Aturan!$D$39="",Aturan!$C$39,Aturan!$D$39),"Nyaman","Cukup")))))</f>
        <v>Nyaman</v>
      </c>
      <c r="O241" s="70" t="str">
        <f aca="false">IF($A241="","",IF(AND(Aturan!$C$40="",Aturan!$D$40=""),"Tidak dinilai",IF(G241="","Belum ada data",IF(G241&lt;IF(Aturan!$C$40="",0,Aturan!$C$40),"Kurang",IF(G241&gt;=IF(Aturan!$D$40="",Aturan!$C$40,Aturan!$D$40),"Nyaman","Cukup")))))</f>
        <v>Cukup</v>
      </c>
      <c r="P241" s="70" t="str">
        <f aca="false">IF($A241="","",IF(AND(Aturan!$C$41="",Aturan!$D$41=""),"Tidak dinilai",IF(H241="","Belum ada data",IF(H241&lt;IF(Aturan!$C$41="",0,Aturan!$C$41),"Kurang",IF(H241&gt;=IF(Aturan!$D$41="",Aturan!$C$41,Aturan!$D$41),"Nyaman","Cukup")))))</f>
        <v>Tidak dinilai</v>
      </c>
      <c r="Q241" s="70" t="str">
        <f aca="false">IF($A241="","",IF(COUNTIF(K241:P241,"Tidak dinilai")=6,"Tidak dinilai",IF(COUNTIF(K241:P241,"Kurang")&gt;0,"Kurang cocok",IF(COUNTIF(K241:P241,"Belum ada data")&gt;0,"Data belum lengkap",IF(COUNTIF(K241:P241,"Cukup")&gt;0,"Bisa, dengan catatan","Cocok")))))</f>
        <v>Bisa, dengan catatan</v>
      </c>
      <c r="R241" s="33" t="str">
        <f aca="false">IF($A241="","",IF(K241="Kurang","prosesor tingkat "&amp;C241&amp;" dari 5, di bawah batas minimal (tingkat "&amp;Aturan!$C$36&amp;")",IF(K241="Cukup","prosesor tingkat "&amp;C241&amp;" dari 5 cukup, nyamannya mulai tingkat "&amp;Aturan!$D$36,IF(K241="Belum ada data","tingkat prosesor belum diisi",""))))</f>
        <v/>
      </c>
      <c r="S241" s="33" t="str">
        <f aca="false">IF($A241="","",IF(L241="Kurang","grafis tingkat "&amp;D241&amp;" dari 5, di bawah batas minimal (tingkat "&amp;Aturan!$C$37&amp;")",IF(L241="Cukup","grafis tingkat "&amp;D241&amp;" dari 5 cukup, nyamannya mulai tingkat "&amp;Aturan!$D$37,IF(L241="Belum ada data","tingkat grafis belum diisi",""))))</f>
        <v/>
      </c>
      <c r="T241" s="33" t="str">
        <f aca="false">IF($A241="","",IF(M241="Kurang","RAM "&amp;E241&amp;" GB, di bawah batas minimal "&amp;Aturan!$C$38&amp;" GB ("&amp;I241&amp;")",IF(M241="Cukup","RAM "&amp;E241&amp;" GB cukup, nyamannya "&amp;Aturan!$D$38&amp;" GB atau lebih ("&amp;I241&amp;")",IF(M241="Belum ada data","ukuran RAM belum diisi",""))))</f>
        <v/>
      </c>
      <c r="U241" s="33" t="str">
        <f aca="false">IF($A241="","",IF(N241="Kurang","penyimpanan "&amp;F241&amp;" GB, di bawah batas minimal "&amp;Aturan!$C$39&amp;" GB ("&amp;J241&amp;")",IF(N241="Cukup","penyimpanan "&amp;F241&amp;" GB cukup, nyamannya "&amp;Aturan!$D$39&amp;" GB atau lebih ("&amp;J241&amp;")",IF(N241="Belum ada data","ukuran penyimpanan belum diisi",""))))</f>
        <v/>
      </c>
      <c r="V241" s="33" t="str">
        <f aca="false">IF($A241="","",IF(O241="Kurang","layar "&amp;Varian!$AG52&amp;", di bawah batas minimal ("&amp;IFERROR(INDEX(Aturan!$A$63:$A$66,MATCH(Aturan!$C$40,Aturan!$B$63:$B$66,0)),"peringkat "&amp;Aturan!$C$40)&amp;")",IF(O241="Cukup","layar "&amp;Varian!$AG52&amp;" cukup, nyamannya "&amp;IFERROR(INDEX(Aturan!$A$63:$A$66,MATCH(Aturan!$D$40,Aturan!$B$63:$B$66,0)),"peringkat "&amp;Aturan!$D$40),IF(O241="Belum ada data","jenis layar belum diketahui",""))))</f>
        <v>layar IPS cukup, nyamannya OLED</v>
      </c>
      <c r="W241" s="33" t="str">
        <f aca="false">IF($A241="","",IF(P241="Kurang","layar "&amp;H241&amp;" Hz, di bawah batas minimal "&amp;Aturan!$C$41&amp;" Hz",IF(P241="Cukup","layar "&amp;H241&amp;" Hz cukup, nyamannya "&amp;Aturan!$D$41&amp;" Hz atau lebih",IF(P241="Belum ada data","refresh rate belum diketahui",""))))</f>
        <v/>
      </c>
      <c r="X241" s="33" t="str">
        <f aca="false">IF($A241="","",IF(K241="Kurang",R241&amp;"; ","")&amp;IF(L241="Kurang",S241&amp;"; ","")&amp;IF(M241="Kurang",T241&amp;"; ","")&amp;IF(N241="Kurang",U241&amp;"; ","")&amp;IF(O241="Kurang",V241&amp;"; ","")&amp;IF(P241="Kurang",W241&amp;"; ","")&amp;IF(K241="Belum ada data",R241&amp;"; ","")&amp;IF(L241="Belum ada data",S241&amp;"; ","")&amp;IF(M241="Belum ada data",T241&amp;"; ","")&amp;IF(N241="Belum ada data",U241&amp;"; ","")&amp;IF(O241="Belum ada data",V241&amp;"; ","")&amp;IF(P241="Belum ada data",W241&amp;"; ","")&amp;IF(K241="Cukup",R241&amp;"; ","")&amp;IF(L241="Cukup",S241&amp;"; ","")&amp;IF(M241="Cukup",T241&amp;"; ","")&amp;IF(N241="Cukup",U241&amp;"; ","")&amp;IF(O241="Cukup",V241&amp;"; ","")&amp;IF(P241="Cukup",W241&amp;"; ",""))</f>
        <v>layar IPS cukup, nyamannya OLED; </v>
      </c>
      <c r="Y241" s="33" t="str">
        <f aca="false">IF($A241="","",IF(K241="Nyaman","prosesor, ","")&amp;IF(L241="Nyaman","grafis, ","")&amp;IF(M241="Nyaman","RAM, ","")&amp;IF(N241="Nyaman","penyimpanan, ","")&amp;IF(O241="Nyaman","layar, ","")&amp;IF(P241="Nyaman","refresh rate, ",""))</f>
        <v>prosesor, grafis, RAM, penyimpanan, </v>
      </c>
      <c r="Z241" s="33" t="str">
        <f aca="false">IF($A241="","",IF(Q241="Tidak dinilai","Belum ada kriteria yang dinilai untuk kebutuhan ini.",IF(Q241="Cocok","Semua kriteria yang dinilai sudah nyaman: "&amp;LEFT(Y241,LEN(Y241)-2)&amp;".",UPPER(LEFT(X241,1))&amp;MID(X241,2,LEN(X241)-3)&amp;"."&amp;IF(Y241="",""," Sudah nyaman: "&amp;LEFT(Y241,LEN(Y241)-2)&amp;"."))))</f>
        <v>Layar IPS cukup, nyamannya OLED. Sudah nyaman: prosesor, grafis, RAM, penyimpanan.</v>
      </c>
      <c r="AA241" s="33"/>
      <c r="AB241" s="33"/>
      <c r="AC241" s="69"/>
    </row>
    <row r="242" customFormat="false" ht="15" hidden="false" customHeight="true" outlineLevel="0" collapsed="false">
      <c r="A242" s="33" t="str">
        <f aca="false">IF(Varian!$A52="","",Varian!$A52)</f>
        <v>hp-pavilion-plus-14-ew0021tu-i5-1335u-16-512</v>
      </c>
      <c r="B242" s="33" t="str">
        <f aca="false">IF($A242="","",Aturan!$A$23)</f>
        <v>Pemrograman</v>
      </c>
      <c r="C242" s="69" t="n">
        <f aca="false">IF($A242="","",IFERROR(IF(ISNUMBER(INDEX(CPU!$J$4:$J$64,MATCH(Varian!$J52,CPU!$A$4:$A$64,0))),INDEX(CPU!$J$4:$J$64,MATCH(Varian!$J52,CPU!$A$4:$A$64,0)),""),""))</f>
        <v>3</v>
      </c>
      <c r="D242" s="69" t="n">
        <f aca="false">IF($A242="","",IFERROR(IF(ISNUMBER(INDEX(GPU!$G$4:$G$64,MATCH(Varian!$K52,GPU!$A$4:$A$64,0))),INDEX(GPU!$G$4:$G$64,MATCH(Varian!$K52,GPU!$A$4:$A$64,0)),""),""))</f>
        <v>2</v>
      </c>
      <c r="E242" s="69" t="n">
        <f aca="false">IF($A242="","",IF(ISNUMBER(Varian!$M52),Varian!$M52,""))</f>
        <v>16</v>
      </c>
      <c r="F242" s="69" t="n">
        <f aca="false">IF($A242="","",IF(ISNUMBER(Varian!$V52),Varian!$V52,""))</f>
        <v>512</v>
      </c>
      <c r="G242" s="69" t="n">
        <f aca="false">IF($A242="","",IFERROR(INDEX(Aturan!$B$63:$B$66,MATCH(Varian!$AG52,Aturan!$A$63:$A$66,0)),""))</f>
        <v>3</v>
      </c>
      <c r="H242" s="69" t="str">
        <f aca="false">IF($A242="","",IF(ISNUMBER(Varian!$AI52),Varian!$AI52,""))</f>
        <v/>
      </c>
      <c r="I242" s="33" t="str">
        <f aca="false">IF($A242="","",IF(Varian!$Q52="disolder","menempel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menempel di papan utama, tidak bisa ditambah</v>
      </c>
      <c r="J242" s="33" t="str">
        <f aca="false">IF($A242="","",IF(Varian!$Z52="ya","bisa diganti dengan yang lebih besar",IF(Varian!$Z52="tidak","menempel, tidak bisa diganti","belum diketahui apakah bisa diganti")))</f>
        <v>belum diketahui apakah bisa diganti</v>
      </c>
      <c r="K242" s="70" t="str">
        <f aca="false">IF($A242="","",IF(AND(Aturan!$C$42="",Aturan!$D$42=""),"Tidak dinilai",IF(C242="","Belum ada data",IF(C242&lt;IF(Aturan!$C$42="",0,Aturan!$C$42),"Kurang",IF(C242&gt;=IF(Aturan!$D$42="",Aturan!$C$42,Aturan!$D$42),"Nyaman","Cukup")))))</f>
        <v>Nyaman</v>
      </c>
      <c r="L242" s="70" t="str">
        <f aca="false">IF($A242="","",IF(AND(Aturan!$C$43="",Aturan!$D$43=""),"Tidak dinilai",IF(D242="","Belum ada data",IF(D242&lt;IF(Aturan!$C$43="",0,Aturan!$C$43),"Kurang",IF(D242&gt;=IF(Aturan!$D$43="",Aturan!$C$43,Aturan!$D$43),"Nyaman","Cukup")))))</f>
        <v>Tidak dinilai</v>
      </c>
      <c r="M242" s="70" t="str">
        <f aca="false">IF($A242="","",IF(AND(Aturan!$C$44="",Aturan!$D$44=""),"Tidak dinilai",IF(E242="","Belum ada data",IF(E242&lt;IF(Aturan!$C$44="",0,Aturan!$C$44),"Kurang",IF(E242&gt;=IF(Aturan!$D$44="",Aturan!$C$44,Aturan!$D$44),"Nyaman","Cukup")))))</f>
        <v>Nyaman</v>
      </c>
      <c r="N242" s="70" t="str">
        <f aca="false">IF($A242="","",IF(AND(Aturan!$C$45="",Aturan!$D$45=""),"Tidak dinilai",IF(F242="","Belum ada data",IF(F242&lt;IF(Aturan!$C$45="",0,Aturan!$C$45),"Kurang",IF(F242&gt;=IF(Aturan!$D$45="",Aturan!$C$45,Aturan!$D$45),"Nyaman","Cukup")))))</f>
        <v>Nyaman</v>
      </c>
      <c r="O242" s="70" t="str">
        <f aca="false">IF($A242="","",IF(AND(Aturan!$C$46="",Aturan!$D$46=""),"Tidak dinilai",IF(G242="","Belum ada data",IF(G242&lt;IF(Aturan!$C$46="",0,Aturan!$C$46),"Kurang",IF(G242&gt;=IF(Aturan!$D$46="",Aturan!$C$46,Aturan!$D$46),"Nyaman","Cukup")))))</f>
        <v>Tidak dinilai</v>
      </c>
      <c r="P242" s="70" t="str">
        <f aca="false">IF($A242="","",IF(AND(Aturan!$C$47="",Aturan!$D$47=""),"Tidak dinilai",IF(H242="","Belum ada data",IF(H242&lt;IF(Aturan!$C$47="",0,Aturan!$C$47),"Kurang",IF(H242&gt;=IF(Aturan!$D$47="",Aturan!$C$47,Aturan!$D$47),"Nyaman","Cukup")))))</f>
        <v>Tidak dinilai</v>
      </c>
      <c r="Q242" s="70" t="str">
        <f aca="false">IF($A242="","",IF(COUNTIF(K242:P242,"Tidak dinilai")=6,"Tidak dinilai",IF(COUNTIF(K242:P242,"Kurang")&gt;0,"Kurang cocok",IF(COUNTIF(K242:P242,"Belum ada data")&gt;0,"Data belum lengkap",IF(COUNTIF(K242:P242,"Cukup")&gt;0,"Bisa, dengan catatan","Cocok")))))</f>
        <v>Cocok</v>
      </c>
      <c r="R242" s="33" t="str">
        <f aca="false">IF($A242="","",IF(K242="Kurang","prosesor tingkat "&amp;C242&amp;" dari 5, di bawah batas minimal (tingkat "&amp;Aturan!$C$42&amp;")",IF(K242="Cukup","prosesor tingkat "&amp;C242&amp;" dari 5 cukup, nyamannya mulai tingkat "&amp;Aturan!$D$42,IF(K242="Belum ada data","tingkat prosesor belum diisi",""))))</f>
        <v/>
      </c>
      <c r="S242" s="33" t="str">
        <f aca="false">IF($A242="","",IF(L242="Kurang","grafis tingkat "&amp;D242&amp;" dari 5, di bawah batas minimal (tingkat "&amp;Aturan!$C$43&amp;")",IF(L242="Cukup","grafis tingkat "&amp;D242&amp;" dari 5 cukup, nyamannya mulai tingkat "&amp;Aturan!$D$43,IF(L242="Belum ada data","tingkat grafis belum diisi",""))))</f>
        <v/>
      </c>
      <c r="T242" s="33" t="str">
        <f aca="false">IF($A242="","",IF(M242="Kurang","RAM "&amp;E242&amp;" GB, di bawah batas minimal "&amp;Aturan!$C$44&amp;" GB ("&amp;I242&amp;")",IF(M242="Cukup","RAM "&amp;E242&amp;" GB cukup, nyamannya "&amp;Aturan!$D$44&amp;" GB atau lebih ("&amp;I242&amp;")",IF(M242="Belum ada data","ukuran RAM belum diisi",""))))</f>
        <v/>
      </c>
      <c r="U242" s="33" t="str">
        <f aca="false">IF($A242="","",IF(N242="Kurang","penyimpanan "&amp;F242&amp;" GB, di bawah batas minimal "&amp;Aturan!$C$45&amp;" GB ("&amp;J242&amp;")",IF(N242="Cukup","penyimpanan "&amp;F242&amp;" GB cukup, nyamannya "&amp;Aturan!$D$45&amp;" GB atau lebih ("&amp;J242&amp;")",IF(N242="Belum ada data","ukuran penyimpanan belum diisi",""))))</f>
        <v/>
      </c>
      <c r="V242" s="33" t="str">
        <f aca="false">IF($A242="","",IF(O242="Kurang","layar "&amp;Varian!$AG52&amp;", di bawah batas minimal ("&amp;IFERROR(INDEX(Aturan!$A$63:$A$66,MATCH(Aturan!$C$46,Aturan!$B$63:$B$66,0)),"peringkat "&amp;Aturan!$C$46)&amp;")",IF(O242="Cukup","layar "&amp;Varian!$AG52&amp;" cukup, nyamannya "&amp;IFERROR(INDEX(Aturan!$A$63:$A$66,MATCH(Aturan!$D$46,Aturan!$B$63:$B$66,0)),"peringkat "&amp;Aturan!$D$46),IF(O242="Belum ada data","jenis layar belum diketahui",""))))</f>
        <v/>
      </c>
      <c r="W242" s="33" t="str">
        <f aca="false">IF($A242="","",IF(P242="Kurang","layar "&amp;H242&amp;" Hz, di bawah batas minimal "&amp;Aturan!$C$47&amp;" Hz",IF(P242="Cukup","layar "&amp;H242&amp;" Hz cukup, nyamannya "&amp;Aturan!$D$47&amp;" Hz atau lebih",IF(P242="Belum ada data","refresh rate belum diketahui",""))))</f>
        <v/>
      </c>
      <c r="X242" s="33" t="str">
        <f aca="false">IF($A242="","",IF(K242="Kurang",R242&amp;"; ","")&amp;IF(L242="Kurang",S242&amp;"; ","")&amp;IF(M242="Kurang",T242&amp;"; ","")&amp;IF(N242="Kurang",U242&amp;"; ","")&amp;IF(O242="Kurang",V242&amp;"; ","")&amp;IF(P242="Kurang",W242&amp;"; ","")&amp;IF(K242="Belum ada data",R242&amp;"; ","")&amp;IF(L242="Belum ada data",S242&amp;"; ","")&amp;IF(M242="Belum ada data",T242&amp;"; ","")&amp;IF(N242="Belum ada data",U242&amp;"; ","")&amp;IF(O242="Belum ada data",V242&amp;"; ","")&amp;IF(P242="Belum ada data",W242&amp;"; ","")&amp;IF(K242="Cukup",R242&amp;"; ","")&amp;IF(L242="Cukup",S242&amp;"; ","")&amp;IF(M242="Cukup",T242&amp;"; ","")&amp;IF(N242="Cukup",U242&amp;"; ","")&amp;IF(O242="Cukup",V242&amp;"; ","")&amp;IF(P242="Cukup",W242&amp;"; ",""))</f>
        <v/>
      </c>
      <c r="Y242" s="33" t="str">
        <f aca="false">IF($A242="","",IF(K242="Nyaman","prosesor, ","")&amp;IF(L242="Nyaman","grafis, ","")&amp;IF(M242="Nyaman","RAM, ","")&amp;IF(N242="Nyaman","penyimpanan, ","")&amp;IF(O242="Nyaman","layar, ","")&amp;IF(P242="Nyaman","refresh rate, ",""))</f>
        <v>prosesor, RAM, penyimpanan, </v>
      </c>
      <c r="Z242" s="33" t="str">
        <f aca="false">IF($A242="","",IF(Q242="Tidak dinilai","Belum ada kriteria yang dinilai untuk kebutuhan ini.",IF(Q242="Cocok","Semua kriteria yang dinilai sudah nyaman: "&amp;LEFT(Y242,LEN(Y242)-2)&amp;".",UPPER(LEFT(X242,1))&amp;MID(X242,2,LEN(X242)-3)&amp;"."&amp;IF(Y242="",""," Sudah nyaman: "&amp;LEFT(Y242,LEN(Y242)-2)&amp;"."))))</f>
        <v>Semua kriteria yang dinilai sudah nyaman: prosesor, RAM, penyimpanan.</v>
      </c>
      <c r="AA242" s="33"/>
      <c r="AB242" s="33"/>
      <c r="AC242" s="69"/>
    </row>
    <row r="243" customFormat="false" ht="15" hidden="false" customHeight="true" outlineLevel="0" collapsed="false">
      <c r="A243" s="33" t="str">
        <f aca="false">IF(Varian!$A52="","",Varian!$A52)</f>
        <v>hp-pavilion-plus-14-ew0021tu-i5-1335u-16-512</v>
      </c>
      <c r="B243" s="33" t="str">
        <f aca="false">IF($A243="","",Aturan!$A$24)</f>
        <v>Game ringan</v>
      </c>
      <c r="C243" s="69" t="n">
        <f aca="false">IF($A243="","",IFERROR(IF(ISNUMBER(INDEX(CPU!$J$4:$J$64,MATCH(Varian!$J52,CPU!$A$4:$A$64,0))),INDEX(CPU!$J$4:$J$64,MATCH(Varian!$J52,CPU!$A$4:$A$64,0)),""),""))</f>
        <v>3</v>
      </c>
      <c r="D243" s="69" t="n">
        <f aca="false">IF($A243="","",IFERROR(IF(ISNUMBER(INDEX(GPU!$G$4:$G$64,MATCH(Varian!$K52,GPU!$A$4:$A$64,0))),INDEX(GPU!$G$4:$G$64,MATCH(Varian!$K52,GPU!$A$4:$A$64,0)),""),""))</f>
        <v>2</v>
      </c>
      <c r="E243" s="69" t="n">
        <f aca="false">IF($A243="","",IF(ISNUMBER(Varian!$M52),Varian!$M52,""))</f>
        <v>16</v>
      </c>
      <c r="F243" s="69" t="n">
        <f aca="false">IF($A243="","",IF(ISNUMBER(Varian!$V52),Varian!$V52,""))</f>
        <v>512</v>
      </c>
      <c r="G243" s="69" t="n">
        <f aca="false">IF($A243="","",IFERROR(INDEX(Aturan!$B$63:$B$66,MATCH(Varian!$AG52,Aturan!$A$63:$A$66,0)),""))</f>
        <v>3</v>
      </c>
      <c r="H243" s="69" t="str">
        <f aca="false">IF($A243="","",IF(ISNUMBER(Varian!$AI52),Varian!$AI52,""))</f>
        <v/>
      </c>
      <c r="I243" s="33" t="str">
        <f aca="false">IF($A243="","",IF(Varian!$Q52="disolder","menempel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menempel di papan utama, tidak bisa ditambah</v>
      </c>
      <c r="J243" s="33" t="str">
        <f aca="false">IF($A243="","",IF(Varian!$Z52="ya","bisa diganti dengan yang lebih besar",IF(Varian!$Z52="tidak","menempel, tidak bisa diganti","belum diketahui apakah bisa diganti")))</f>
        <v>belum diketahui apakah bisa diganti</v>
      </c>
      <c r="K243" s="70" t="str">
        <f aca="false">IF($A243="","",IF(AND(Aturan!$C$48="",Aturan!$D$48=""),"Tidak dinilai",IF(C243="","Belum ada data",IF(C243&lt;IF(Aturan!$C$48="",0,Aturan!$C$48),"Kurang",IF(C243&gt;=IF(Aturan!$D$48="",Aturan!$C$48,Aturan!$D$48),"Nyaman","Cukup")))))</f>
        <v>Nyaman</v>
      </c>
      <c r="L243" s="70" t="str">
        <f aca="false">IF($A243="","",IF(AND(Aturan!$C$49="",Aturan!$D$49=""),"Tidak dinilai",IF(D243="","Belum ada data",IF(D243&lt;IF(Aturan!$C$49="",0,Aturan!$C$49),"Kurang",IF(D243&gt;=IF(Aturan!$D$49="",Aturan!$C$49,Aturan!$D$49),"Nyaman","Cukup")))))</f>
        <v>Nyaman</v>
      </c>
      <c r="M243" s="70" t="str">
        <f aca="false">IF($A243="","",IF(AND(Aturan!$C$50="",Aturan!$D$50=""),"Tidak dinilai",IF(E243="","Belum ada data",IF(E243&lt;IF(Aturan!$C$50="",0,Aturan!$C$50),"Kurang",IF(E243&gt;=IF(Aturan!$D$50="",Aturan!$C$50,Aturan!$D$50),"Nyaman","Cukup")))))</f>
        <v>Nyaman</v>
      </c>
      <c r="N243" s="70" t="str">
        <f aca="false">IF($A243="","",IF(AND(Aturan!$C$51="",Aturan!$D$51=""),"Tidak dinilai",IF(F243="","Belum ada data",IF(F243&lt;IF(Aturan!$C$51="",0,Aturan!$C$51),"Kurang",IF(F243&gt;=IF(Aturan!$D$51="",Aturan!$C$51,Aturan!$D$51),"Nyaman","Cukup")))))</f>
        <v>Nyaman</v>
      </c>
      <c r="O243" s="70" t="str">
        <f aca="false">IF($A243="","",IF(AND(Aturan!$C$52="",Aturan!$D$52=""),"Tidak dinilai",IF(G243="","Belum ada data",IF(G243&lt;IF(Aturan!$C$52="",0,Aturan!$C$52),"Kurang",IF(G243&gt;=IF(Aturan!$D$52="",Aturan!$C$52,Aturan!$D$52),"Nyaman","Cukup")))))</f>
        <v>Tidak dinilai</v>
      </c>
      <c r="P243" s="70" t="str">
        <f aca="false">IF($A243="","",IF(AND(Aturan!$C$53="",Aturan!$D$53=""),"Tidak dinilai",IF(H243="","Belum ada data",IF(H243&lt;IF(Aturan!$C$53="",0,Aturan!$C$53),"Kurang",IF(H243&gt;=IF(Aturan!$D$53="",Aturan!$C$53,Aturan!$D$53),"Nyaman","Cukup")))))</f>
        <v>Tidak dinilai</v>
      </c>
      <c r="Q243" s="70" t="str">
        <f aca="false">IF($A243="","",IF(COUNTIF(K243:P243,"Tidak dinilai")=6,"Tidak dinilai",IF(COUNTIF(K243:P243,"Kurang")&gt;0,"Kurang cocok",IF(COUNTIF(K243:P243,"Belum ada data")&gt;0,"Data belum lengkap",IF(COUNTIF(K243:P243,"Cukup")&gt;0,"Bisa, dengan catatan","Cocok")))))</f>
        <v>Cocok</v>
      </c>
      <c r="R243" s="33" t="str">
        <f aca="false">IF($A243="","",IF(K243="Kurang","prosesor tingkat "&amp;C243&amp;" dari 5, di bawah batas minimal (tingkat "&amp;Aturan!$C$48&amp;")",IF(K243="Cukup","prosesor tingkat "&amp;C243&amp;" dari 5 cukup, nyamannya mulai tingkat "&amp;Aturan!$D$48,IF(K243="Belum ada data","tingkat prosesor belum diisi",""))))</f>
        <v/>
      </c>
      <c r="S243" s="33" t="str">
        <f aca="false">IF($A243="","",IF(L243="Kurang","grafis tingkat "&amp;D243&amp;" dari 5, di bawah batas minimal (tingkat "&amp;Aturan!$C$49&amp;")",IF(L243="Cukup","grafis tingkat "&amp;D243&amp;" dari 5 cukup, nyamannya mulai tingkat "&amp;Aturan!$D$49,IF(L243="Belum ada data","tingkat grafis belum diisi",""))))</f>
        <v/>
      </c>
      <c r="T243" s="33" t="str">
        <f aca="false">IF($A243="","",IF(M243="Kurang","RAM "&amp;E243&amp;" GB, di bawah batas minimal "&amp;Aturan!$C$50&amp;" GB ("&amp;I243&amp;")",IF(M243="Cukup","RAM "&amp;E243&amp;" GB cukup, nyamannya "&amp;Aturan!$D$50&amp;" GB atau lebih ("&amp;I243&amp;")",IF(M243="Belum ada data","ukuran RAM belum diisi",""))))</f>
        <v/>
      </c>
      <c r="U243" s="33" t="str">
        <f aca="false">IF($A243="","",IF(N243="Kurang","penyimpanan "&amp;F243&amp;" GB, di bawah batas minimal "&amp;Aturan!$C$51&amp;" GB ("&amp;J243&amp;")",IF(N243="Cukup","penyimpanan "&amp;F243&amp;" GB cukup, nyamannya "&amp;Aturan!$D$51&amp;" GB atau lebih ("&amp;J243&amp;")",IF(N243="Belum ada data","ukuran penyimpanan belum diisi",""))))</f>
        <v/>
      </c>
      <c r="V243" s="33" t="str">
        <f aca="false">IF($A243="","",IF(O243="Kurang","layar "&amp;Varian!$AG52&amp;", di bawah batas minimal ("&amp;IFERROR(INDEX(Aturan!$A$63:$A$66,MATCH(Aturan!$C$52,Aturan!$B$63:$B$66,0)),"peringkat "&amp;Aturan!$C$52)&amp;")",IF(O243="Cukup","layar "&amp;Varian!$AG52&amp;" cukup, nyamannya "&amp;IFERROR(INDEX(Aturan!$A$63:$A$66,MATCH(Aturan!$D$52,Aturan!$B$63:$B$66,0)),"peringkat "&amp;Aturan!$D$52),IF(O243="Belum ada data","jenis layar belum diketahui",""))))</f>
        <v/>
      </c>
      <c r="W243" s="33" t="str">
        <f aca="false">IF($A243="","",IF(P243="Kurang","layar "&amp;H243&amp;" Hz, di bawah batas minimal "&amp;Aturan!$C$53&amp;" Hz",IF(P243="Cukup","layar "&amp;H243&amp;" Hz cukup, nyamannya "&amp;Aturan!$D$53&amp;" Hz atau lebih",IF(P243="Belum ada data","refresh rate belum diketahui",""))))</f>
        <v/>
      </c>
      <c r="X243" s="33" t="str">
        <f aca="false">IF($A243="","",IF(K243="Kurang",R243&amp;"; ","")&amp;IF(L243="Kurang",S243&amp;"; ","")&amp;IF(M243="Kurang",T243&amp;"; ","")&amp;IF(N243="Kurang",U243&amp;"; ","")&amp;IF(O243="Kurang",V243&amp;"; ","")&amp;IF(P243="Kurang",W243&amp;"; ","")&amp;IF(K243="Belum ada data",R243&amp;"; ","")&amp;IF(L243="Belum ada data",S243&amp;"; ","")&amp;IF(M243="Belum ada data",T243&amp;"; ","")&amp;IF(N243="Belum ada data",U243&amp;"; ","")&amp;IF(O243="Belum ada data",V243&amp;"; ","")&amp;IF(P243="Belum ada data",W243&amp;"; ","")&amp;IF(K243="Cukup",R243&amp;"; ","")&amp;IF(L243="Cukup",S243&amp;"; ","")&amp;IF(M243="Cukup",T243&amp;"; ","")&amp;IF(N243="Cukup",U243&amp;"; ","")&amp;IF(O243="Cukup",V243&amp;"; ","")&amp;IF(P243="Cukup",W243&amp;"; ",""))</f>
        <v/>
      </c>
      <c r="Y243" s="33" t="str">
        <f aca="false">IF($A243="","",IF(K243="Nyaman","prosesor, ","")&amp;IF(L243="Nyaman","grafis, ","")&amp;IF(M243="Nyaman","RAM, ","")&amp;IF(N243="Nyaman","penyimpanan, ","")&amp;IF(O243="Nyaman","layar, ","")&amp;IF(P243="Nyaman","refresh rate, ",""))</f>
        <v>prosesor, grafis, RAM, penyimpanan, </v>
      </c>
      <c r="Z243" s="33" t="str">
        <f aca="false">IF($A243="","",IF(Q243="Tidak dinilai","Belum ada kriteria yang dinilai untuk kebutuhan ini.",IF(Q243="Cocok","Semua kriteria yang dinilai sudah nyaman: "&amp;LEFT(Y243,LEN(Y243)-2)&amp;".",UPPER(LEFT(X243,1))&amp;MID(X243,2,LEN(X243)-3)&amp;"."&amp;IF(Y243="",""," Sudah nyaman: "&amp;LEFT(Y243,LEN(Y243)-2)&amp;"."))))</f>
        <v>Semua kriteria yang dinilai sudah nyaman: prosesor, grafis, RAM, penyimpanan.</v>
      </c>
      <c r="AA243" s="33"/>
      <c r="AB243" s="33"/>
      <c r="AC243" s="69"/>
    </row>
    <row r="244" customFormat="false" ht="15" hidden="false" customHeight="true" outlineLevel="0" collapsed="false">
      <c r="A244" s="33" t="str">
        <f aca="false">IF(Varian!$A52="","",Varian!$A52)</f>
        <v>hp-pavilion-plus-14-ew0021tu-i5-1335u-16-512</v>
      </c>
      <c r="B244" s="33" t="str">
        <f aca="false">IF($A244="","",Aturan!$A$25)</f>
        <v>Game berat</v>
      </c>
      <c r="C244" s="69" t="n">
        <f aca="false">IF($A244="","",IFERROR(IF(ISNUMBER(INDEX(CPU!$J$4:$J$64,MATCH(Varian!$J52,CPU!$A$4:$A$64,0))),INDEX(CPU!$J$4:$J$64,MATCH(Varian!$J52,CPU!$A$4:$A$64,0)),""),""))</f>
        <v>3</v>
      </c>
      <c r="D244" s="69" t="n">
        <f aca="false">IF($A244="","",IFERROR(IF(ISNUMBER(INDEX(GPU!$G$4:$G$64,MATCH(Varian!$K52,GPU!$A$4:$A$64,0))),INDEX(GPU!$G$4:$G$64,MATCH(Varian!$K52,GPU!$A$4:$A$64,0)),""),""))</f>
        <v>2</v>
      </c>
      <c r="E244" s="69" t="n">
        <f aca="false">IF($A244="","",IF(ISNUMBER(Varian!$M52),Varian!$M52,""))</f>
        <v>16</v>
      </c>
      <c r="F244" s="69" t="n">
        <f aca="false">IF($A244="","",IF(ISNUMBER(Varian!$V52),Varian!$V52,""))</f>
        <v>512</v>
      </c>
      <c r="G244" s="69" t="n">
        <f aca="false">IF($A244="","",IFERROR(INDEX(Aturan!$B$63:$B$66,MATCH(Varian!$AG52,Aturan!$A$63:$A$66,0)),""))</f>
        <v>3</v>
      </c>
      <c r="H244" s="69" t="str">
        <f aca="false">IF($A244="","",IF(ISNUMBER(Varian!$AI52),Varian!$AI52,""))</f>
        <v/>
      </c>
      <c r="I244" s="33" t="str">
        <f aca="false">IF($A244="","",IF(Varian!$Q52="disolder","menempel di papan utama, tidak bisa ditambah",IF(OR(Varian!$Q52="slot",Varian!$Q52="setengah_disolder"),IF(Varian!$Q52="setengah_disolder","sebagian menempel, ","")&amp;IF(ISNUMBER(Varian!$U52),IF(AND(ISNUMBER(Varian!$M52),Varian!$U52&gt;Varian!$M52),"bisa dinaikkan lewat slot sampai "&amp;Varian!$U52&amp;" GB","sudah di batas maksimal "&amp;Varian!$U52&amp;" GB"),"ada slot, batas maksimalnya belum diketahui"),"belum diketahui apakah bisa ditambah")))</f>
        <v>menempel di papan utama, tidak bisa ditambah</v>
      </c>
      <c r="J244" s="33" t="str">
        <f aca="false">IF($A244="","",IF(Varian!$Z52="ya","bisa diganti dengan yang lebih besar",IF(Varian!$Z52="tidak","menempel, tidak bisa diganti","belum diketahui apakah bisa diganti")))</f>
        <v>belum diketahui apakah bisa diganti</v>
      </c>
      <c r="K244" s="70" t="str">
        <f aca="false">IF($A244="","",IF(AND(Aturan!$C$54="",Aturan!$D$54=""),"Tidak dinilai",IF(C244="","Belum ada data",IF(C244&lt;IF(Aturan!$C$54="",0,Aturan!$C$54),"Kurang",IF(C244&gt;=IF(Aturan!$D$54="",Aturan!$C$54,Aturan!$D$54),"Nyaman","Cukup")))))</f>
        <v>Cukup</v>
      </c>
      <c r="L244" s="70" t="str">
        <f aca="false">IF($A244="","",IF(AND(Aturan!$C$55="",Aturan!$D$55=""),"Tidak dinilai",IF(D244="","Belum ada data",IF(D244&lt;IF(Aturan!$C$55="",0,Aturan!$C$55),"Kurang",IF(D244&gt;=IF(Aturan!$D$55="",Aturan!$C$55,Aturan!$D$55),"Nyaman","Cukup")))))</f>
        <v>Kurang</v>
      </c>
      <c r="M244" s="70" t="str">
        <f aca="false">IF($A244="","",IF(AND(Aturan!$C$56="",Aturan!$D$56=""),"Tidak dinilai",IF(E244="","Belum ada data",IF(E244&lt;IF(Aturan!$C$56="",0,Aturan!$C$56),"Kurang",IF(E244&gt;=IF(Aturan!$D$56="",Aturan!$C$56,Aturan!$D$56),"Nyaman","Cukup")))))</f>
        <v>Nyaman</v>
      </c>
      <c r="N244" s="70" t="str">
        <f aca="false">IF($A244="","",IF(AND(Aturan!$C$57="",Aturan!$D$57=""),"Tidak dinilai",IF(F244="","Belum ada data",IF(F244&lt;IF(Aturan!$C$57="",0,Aturan!$C$57),"Kurang",IF(F244&gt;=IF(Aturan!$D$57="",Aturan!$C$57,Aturan!$D$57),"Nyaman","Cukup")))))</f>
        <v>Cukup</v>
      </c>
      <c r="O244" s="70" t="str">
        <f aca="false">IF($A244="","",IF(AND(Aturan!$C$58="",Aturan!$D$58=""),"Tidak dinilai",IF(G244="","Belum ada data",IF(G244&lt;IF(Aturan!$C$58="",0,Aturan!$C$58),"Kurang",IF(G244&gt;=IF(Aturan!$D$58="",Aturan!$C$58,Aturan!$D$58),"Nyaman","Cukup")))))</f>
        <v>Tidak dinilai</v>
      </c>
      <c r="P244" s="70" t="str">
        <f aca="false">IF($A244="","",IF(AND(Aturan!$C$59="",Aturan!$D$59=""),"Tidak dinilai",IF(H244="","Belum ada data",IF(H244&lt;IF(Aturan!$C$59="",0,Aturan!$C$59),"Kurang",IF(H244&gt;=IF(Aturan!$D$59="",Aturan!$C$59,Aturan!$D$59),"Nyaman","Cukup")))))</f>
        <v>Belum ada data</v>
      </c>
      <c r="Q244" s="70" t="str">
        <f aca="false">IF($A244="","",IF(COUNTIF(K244:P244,"Tidak dinilai")=6,"Tidak dinilai",IF(COUNTIF(K244:P244,"Kurang")&gt;0,"Kurang cocok",IF(COUNTIF(K244:P244,"Belum ada data")&gt;0,"Data belum lengkap",IF(COUNTIF(K244:P244,"Cukup")&gt;0,"Bisa, dengan catatan","Cocok")))))</f>
        <v>Kurang cocok</v>
      </c>
      <c r="R244" s="33" t="str">
        <f aca="false">IF($A244="","",IF(K244="Kurang","prosesor tingkat "&amp;C244&amp;" dari 5, di bawah batas minimal (tingkat "&amp;Aturan!$C$54&amp;")",IF(K244="Cukup","prosesor tingkat "&amp;C244&amp;" dari 5 cukup, nyamannya mulai tingkat "&amp;Aturan!$D$54,IF(K244="Belum ada data","tingkat prosesor belum diisi",""))))</f>
        <v>prosesor tingkat 3 dari 5 cukup, nyamannya mulai tingkat 4</v>
      </c>
      <c r="S244" s="33" t="str">
        <f aca="false">IF($A244="","",IF(L244="Kurang","grafis tingkat "&amp;D244&amp;" dari 5, di bawah batas minimal (tingkat "&amp;Aturan!$C$55&amp;")",IF(L244="Cukup","grafis tingkat "&amp;D244&amp;" dari 5 cukup, nyamannya mulai tingkat "&amp;Aturan!$D$55,IF(L244="Belum ada data","tingkat grafis belum diisi",""))))</f>
        <v>grafis tingkat 2 dari 5, di bawah batas minimal (tingkat 3)</v>
      </c>
      <c r="T244" s="33" t="str">
        <f aca="false">IF($A244="","",IF(M244="Kurang","RAM "&amp;E244&amp;" GB, di bawah batas minimal "&amp;Aturan!$C$56&amp;" GB ("&amp;I244&amp;")",IF(M244="Cukup","RAM "&amp;E244&amp;" GB cukup, nyamannya "&amp;Aturan!$D$56&amp;" GB atau lebih ("&amp;I244&amp;")",IF(M244="Belum ada data","ukuran RAM belum diisi",""))))</f>
        <v/>
      </c>
      <c r="U244" s="33" t="str">
        <f aca="false">IF($A244="","",IF(N244="Kurang","penyimpanan "&amp;F244&amp;" GB, di bawah batas minimal "&amp;Aturan!$C$57&amp;" GB ("&amp;J244&amp;")",IF(N244="Cukup","penyimpanan "&amp;F244&amp;" GB cukup, nyamannya "&amp;Aturan!$D$57&amp;" GB atau lebih ("&amp;J244&amp;")",IF(N244="Belum ada data","ukuran penyimpanan belum diisi",""))))</f>
        <v>penyimpanan 512 GB cukup, nyamannya 1000 GB atau lebih (belum diketahui apakah bisa diganti)</v>
      </c>
      <c r="V244" s="33" t="str">
        <f aca="false">IF($A244="","",IF(O244="Kurang","layar "&amp;Varian!$AG52&amp;", di bawah batas minimal ("&amp;IFERROR(INDEX(Aturan!$A$63:$A$66,MATCH(Aturan!$C$58,Aturan!$B$63:$B$66,0)),"peringkat "&amp;Aturan!$C$58)&amp;")",IF(O244="Cukup","layar "&amp;Varian!$AG52&amp;" cukup, nyamannya "&amp;IFERROR(INDEX(Aturan!$A$63:$A$66,MATCH(Aturan!$D$58,Aturan!$B$63:$B$66,0)),"peringkat "&amp;Aturan!$D$58),IF(O244="Belum ada data","jenis layar belum diketahui",""))))</f>
        <v/>
      </c>
      <c r="W244" s="33" t="str">
        <f aca="false">IF($A244="","",IF(P244="Kurang","layar "&amp;H244&amp;" Hz, di bawah batas minimal "&amp;Aturan!$C$59&amp;" Hz",IF(P244="Cukup","layar "&amp;H244&amp;" Hz cukup, nyamannya "&amp;Aturan!$D$59&amp;" Hz atau lebih",IF(P244="Belum ada data","refresh rate belum diketahui",""))))</f>
        <v>refresh rate belum diketahui</v>
      </c>
      <c r="X244" s="33" t="str">
        <f aca="false">IF($A244="","",IF(K244="Kurang",R244&amp;"; ","")&amp;IF(L244="Kurang",S244&amp;"; ","")&amp;IF(M244="Kurang",T244&amp;"; ","")&amp;IF(N244="Kurang",U244&amp;"; ","")&amp;IF(O244="Kurang",V244&amp;"; ","")&amp;IF(P244="Kurang",W244&amp;"; ","")&amp;IF(K244="Belum ada data",R244&amp;"; ","")&amp;IF(L244="Belum ada data",S244&amp;"; ","")&amp;IF(M244="Belum ada data",T244&amp;"; ","")&amp;IF(N244="Belum ada data",U244&amp;"; ","")&amp;IF(O244="Belum ada data",V244&amp;"; ","")&amp;IF(P244="Belum ada data",W244&amp;"; ","")&amp;IF(K244="Cukup",R244&amp;"; ","")&amp;IF(L244="Cukup",S244&amp;"; ","")&amp;IF(M244="Cukup",T244&amp;"; ","")&amp;IF(N244="Cukup",U244&amp;"; ","")&amp;IF(O244="Cukup",V244&amp;"; ","")&amp;IF(P244="Cukup",W244&amp;"; ",""))</f>
        <v>grafis tingkat 2 dari 5, di bawah batas minimal (tingkat 3); refresh rate belum diketahui; prosesor tingkat 3 dari 5 cukup, nyamannya mulai tingkat 4; penyimpanan 512 GB cukup, nyamannya 1000 GB atau lebih (belum diketahui apakah bisa diganti); </v>
      </c>
      <c r="Y244" s="33" t="str">
        <f aca="false">IF($A244="","",IF(K244="Nyaman","prosesor, ","")&amp;IF(L244="Nyaman","grafis, ","")&amp;IF(M244="Nyaman","RAM, ","")&amp;IF(N244="Nyaman","penyimpanan, ","")&amp;IF(O244="Nyaman","layar, ","")&amp;IF(P244="Nyaman","refresh rate, ",""))</f>
        <v>RAM, </v>
      </c>
      <c r="Z244" s="33" t="str">
        <f aca="false">IF($A244="","",IF(Q244="Tidak dinilai","Belum ada kriteria yang dinilai untuk kebutuhan ini.",IF(Q244="Cocok","Semua kriteria yang dinilai sudah nyaman: "&amp;LEFT(Y244,LEN(Y244)-2)&amp;".",UPPER(LEFT(X244,1))&amp;MID(X244,2,LEN(X244)-3)&amp;"."&amp;IF(Y244="",""," Sudah nyaman: "&amp;LEFT(Y244,LEN(Y244)-2)&amp;"."))))</f>
        <v>Grafis tingkat 2 dari 5, di bawah batas minimal (tingkat 3); refresh rate belum diketahui; prosesor tingkat 3 dari 5 cukup, nyamannya mulai tingkat 4; penyimpanan 512 GB cukup, nyamannya 1000 GB atau lebih (belum diketahui apakah bisa diganti). Sudah nyaman: RAM.</v>
      </c>
      <c r="AA244" s="33"/>
      <c r="AB244" s="33"/>
      <c r="AC244" s="69"/>
    </row>
    <row r="245" customFormat="false" ht="15" hidden="false" customHeight="true" outlineLevel="0" collapsed="false">
      <c r="A245" s="66" t="str">
        <f aca="false">IF(Varian!$A53="","",Varian!$A53)</f>
        <v>asus-expertbook-p1-p1403cva-core5-210h-8-512</v>
      </c>
      <c r="B245" s="66" t="str">
        <f aca="false">IF($A245="","",Aturan!$A$21)</f>
        <v>Kuliah dan kantor</v>
      </c>
      <c r="C245" s="67" t="n">
        <f aca="false">IF($A245="","",IFERROR(IF(ISNUMBER(INDEX(CPU!$J$4:$J$64,MATCH(Varian!$J53,CPU!$A$4:$A$64,0))),INDEX(CPU!$J$4:$J$64,MATCH(Varian!$J53,CPU!$A$4:$A$64,0)),""),""))</f>
        <v>3</v>
      </c>
      <c r="D245" s="67" t="n">
        <f aca="false">IF($A245="","",IFERROR(IF(ISNUMBER(INDEX(GPU!$G$4:$G$64,MATCH(Varian!$K53,GPU!$A$4:$A$64,0))),INDEX(GPU!$G$4:$G$64,MATCH(Varian!$K53,GPU!$A$4:$A$64,0)),""),""))</f>
        <v>2</v>
      </c>
      <c r="E245" s="67" t="n">
        <f aca="false">IF($A245="","",IF(ISNUMBER(Varian!$M53),Varian!$M53,""))</f>
        <v>8</v>
      </c>
      <c r="F245" s="67" t="n">
        <f aca="false">IF($A245="","",IF(ISNUMBER(Varian!$V53),Varian!$V53,""))</f>
        <v>512</v>
      </c>
      <c r="G245" s="67" t="n">
        <f aca="false">IF($A245="","",IFERROR(INDEX(Aturan!$B$63:$B$66,MATCH(Varian!$AG53,Aturan!$A$63:$A$66,0)),""))</f>
        <v>3</v>
      </c>
      <c r="H245" s="67" t="n">
        <f aca="false">IF($A245="","",IF(ISNUMBER(Varian!$AI53),Varian!$AI53,""))</f>
        <v>60</v>
      </c>
      <c r="I245" s="66" t="str">
        <f aca="false">IF($A245="","",IF(Varian!$Q53="disolder","menempel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bisa dinaikkan lewat slot sampai 64 GB</v>
      </c>
      <c r="J245" s="66" t="str">
        <f aca="false">IF($A245="","",IF(Varian!$Z53="ya","bisa diganti dengan yang lebih besar",IF(Varian!$Z53="tidak","menempel, tidak bisa diganti","belum diketahui apakah bisa diganti")))</f>
        <v>bisa diganti dengan yang lebih besar</v>
      </c>
      <c r="K245" s="68" t="str">
        <f aca="false">IF($A245="","",IF(AND(Aturan!$C$30="",Aturan!$D$30=""),"Tidak dinilai",IF(C245="","Belum ada data",IF(C245&lt;IF(Aturan!$C$30="",0,Aturan!$C$30),"Kurang",IF(C245&gt;=IF(Aturan!$D$30="",Aturan!$C$30,Aturan!$D$30),"Nyaman","Cukup")))))</f>
        <v>Nyaman</v>
      </c>
      <c r="L245" s="68" t="str">
        <f aca="false">IF($A245="","",IF(AND(Aturan!$C$31="",Aturan!$D$31=""),"Tidak dinilai",IF(D245="","Belum ada data",IF(D245&lt;IF(Aturan!$C$31="",0,Aturan!$C$31),"Kurang",IF(D245&gt;=IF(Aturan!$D$31="",Aturan!$C$31,Aturan!$D$31),"Nyaman","Cukup")))))</f>
        <v>Tidak dinilai</v>
      </c>
      <c r="M245" s="68" t="str">
        <f aca="false">IF($A245="","",IF(AND(Aturan!$C$32="",Aturan!$D$32=""),"Tidak dinilai",IF(E245="","Belum ada data",IF(E245&lt;IF(Aturan!$C$32="",0,Aturan!$C$32),"Kurang",IF(E245&gt;=IF(Aturan!$D$32="",Aturan!$C$32,Aturan!$D$32),"Nyaman","Cukup")))))</f>
        <v>Nyaman</v>
      </c>
      <c r="N245" s="68" t="str">
        <f aca="false">IF($A245="","",IF(AND(Aturan!$C$33="",Aturan!$D$33=""),"Tidak dinilai",IF(F245="","Belum ada data",IF(F245&lt;IF(Aturan!$C$33="",0,Aturan!$C$33),"Kurang",IF(F245&gt;=IF(Aturan!$D$33="",Aturan!$C$33,Aturan!$D$33),"Nyaman","Cukup")))))</f>
        <v>Nyaman</v>
      </c>
      <c r="O245" s="68" t="str">
        <f aca="false">IF($A245="","",IF(AND(Aturan!$C$34="",Aturan!$D$34=""),"Tidak dinilai",IF(G245="","Belum ada data",IF(G245&lt;IF(Aturan!$C$34="",0,Aturan!$C$34),"Kurang",IF(G245&gt;=IF(Aturan!$D$34="",Aturan!$C$34,Aturan!$D$34),"Nyaman","Cukup")))))</f>
        <v>Tidak dinilai</v>
      </c>
      <c r="P245" s="68" t="str">
        <f aca="false">IF($A245="","",IF(AND(Aturan!$C$35="",Aturan!$D$35=""),"Tidak dinilai",IF(H245="","Belum ada data",IF(H245&lt;IF(Aturan!$C$35="",0,Aturan!$C$35),"Kurang",IF(H245&gt;=IF(Aturan!$D$35="",Aturan!$C$35,Aturan!$D$35),"Nyaman","Cukup")))))</f>
        <v>Tidak dinilai</v>
      </c>
      <c r="Q245" s="68" t="str">
        <f aca="false">IF($A245="","",IF(COUNTIF(K245:P245,"Tidak dinilai")=6,"Tidak dinilai",IF(COUNTIF(K245:P245,"Kurang")&gt;0,"Kurang cocok",IF(COUNTIF(K245:P245,"Belum ada data")&gt;0,"Data belum lengkap",IF(COUNTIF(K245:P245,"Cukup")&gt;0,"Bisa, dengan catatan","Cocok")))))</f>
        <v>Cocok</v>
      </c>
      <c r="R245" s="66" t="str">
        <f aca="false">IF($A245="","",IF(K245="Kurang","prosesor tingkat "&amp;C245&amp;" dari 5, di bawah batas minimal (tingkat "&amp;Aturan!$C$30&amp;")",IF(K245="Cukup","prosesor tingkat "&amp;C245&amp;" dari 5 cukup, nyamannya mulai tingkat "&amp;Aturan!$D$30,IF(K245="Belum ada data","tingkat prosesor belum diisi",""))))</f>
        <v/>
      </c>
      <c r="S245" s="66" t="str">
        <f aca="false">IF($A245="","",IF(L245="Kurang","grafis tingkat "&amp;D245&amp;" dari 5, di bawah batas minimal (tingkat "&amp;Aturan!$C$31&amp;")",IF(L245="Cukup","grafis tingkat "&amp;D245&amp;" dari 5 cukup, nyamannya mulai tingkat "&amp;Aturan!$D$31,IF(L245="Belum ada data","tingkat grafis belum diisi",""))))</f>
        <v/>
      </c>
      <c r="T245" s="66" t="str">
        <f aca="false">IF($A245="","",IF(M245="Kurang","RAM "&amp;E245&amp;" GB, di bawah batas minimal "&amp;Aturan!$C$32&amp;" GB ("&amp;I245&amp;")",IF(M245="Cukup","RAM "&amp;E245&amp;" GB cukup, nyamannya "&amp;Aturan!$D$32&amp;" GB atau lebih ("&amp;I245&amp;")",IF(M245="Belum ada data","ukuran RAM belum diisi",""))))</f>
        <v/>
      </c>
      <c r="U245" s="66" t="str">
        <f aca="false">IF($A245="","",IF(N245="Kurang","penyimpanan "&amp;F245&amp;" GB, di bawah batas minimal "&amp;Aturan!$C$33&amp;" GB ("&amp;J245&amp;")",IF(N245="Cukup","penyimpanan "&amp;F245&amp;" GB cukup, nyamannya "&amp;Aturan!$D$33&amp;" GB atau lebih ("&amp;J245&amp;")",IF(N245="Belum ada data","ukuran penyimpanan belum diisi",""))))</f>
        <v/>
      </c>
      <c r="V245" s="66" t="str">
        <f aca="false">IF($A245="","",IF(O245="Kurang","layar "&amp;Varian!$AG53&amp;", di bawah batas minimal ("&amp;IFERROR(INDEX(Aturan!$A$63:$A$66,MATCH(Aturan!$C$34,Aturan!$B$63:$B$66,0)),"peringkat "&amp;Aturan!$C$34)&amp;")",IF(O245="Cukup","layar "&amp;Varian!$AG53&amp;" cukup, nyamannya "&amp;IFERROR(INDEX(Aturan!$A$63:$A$66,MATCH(Aturan!$D$34,Aturan!$B$63:$B$66,0)),"peringkat "&amp;Aturan!$D$34),IF(O245="Belum ada data","jenis layar belum diketahui",""))))</f>
        <v/>
      </c>
      <c r="W245" s="66" t="str">
        <f aca="false">IF($A245="","",IF(P245="Kurang","layar "&amp;H245&amp;" Hz, di bawah batas minimal "&amp;Aturan!$C$35&amp;" Hz",IF(P245="Cukup","layar "&amp;H245&amp;" Hz cukup, nyamannya "&amp;Aturan!$D$35&amp;" Hz atau lebih",IF(P245="Belum ada data","refresh rate belum diketahui",""))))</f>
        <v/>
      </c>
      <c r="X245" s="66" t="str">
        <f aca="false">IF($A245="","",IF(K245="Kurang",R245&amp;"; ","")&amp;IF(L245="Kurang",S245&amp;"; ","")&amp;IF(M245="Kurang",T245&amp;"; ","")&amp;IF(N245="Kurang",U245&amp;"; ","")&amp;IF(O245="Kurang",V245&amp;"; ","")&amp;IF(P245="Kurang",W245&amp;"; ","")&amp;IF(K245="Belum ada data",R245&amp;"; ","")&amp;IF(L245="Belum ada data",S245&amp;"; ","")&amp;IF(M245="Belum ada data",T245&amp;"; ","")&amp;IF(N245="Belum ada data",U245&amp;"; ","")&amp;IF(O245="Belum ada data",V245&amp;"; ","")&amp;IF(P245="Belum ada data",W245&amp;"; ","")&amp;IF(K245="Cukup",R245&amp;"; ","")&amp;IF(L245="Cukup",S245&amp;"; ","")&amp;IF(M245="Cukup",T245&amp;"; ","")&amp;IF(N245="Cukup",U245&amp;"; ","")&amp;IF(O245="Cukup",V245&amp;"; ","")&amp;IF(P245="Cukup",W245&amp;"; ",""))</f>
        <v/>
      </c>
      <c r="Y245" s="66" t="str">
        <f aca="false">IF($A245="","",IF(K245="Nyaman","prosesor, ","")&amp;IF(L245="Nyaman","grafis, ","")&amp;IF(M245="Nyaman","RAM, ","")&amp;IF(N245="Nyaman","penyimpanan, ","")&amp;IF(O245="Nyaman","layar, ","")&amp;IF(P245="Nyaman","refresh rate, ",""))</f>
        <v>prosesor, RAM, penyimpanan, </v>
      </c>
      <c r="Z245" s="66" t="str">
        <f aca="false">IF($A245="","",IF(Q245="Tidak dinilai","Belum ada kriteria yang dinilai untuk kebutuhan ini.",IF(Q245="Cocok","Semua kriteria yang dinilai sudah nyaman: "&amp;LEFT(Y245,LEN(Y245)-2)&amp;".",UPPER(LEFT(X245,1))&amp;MID(X245,2,LEN(X245)-3)&amp;"."&amp;IF(Y245="",""," Sudah nyaman: "&amp;LEFT(Y245,LEN(Y245)-2)&amp;"."))))</f>
        <v>Semua kriteria yang dinilai sudah nyaman: prosesor, RAM, penyimpanan.</v>
      </c>
      <c r="AA245" s="66" t="str">
        <f aca="false">IF($A245="","",IF(Varian!$AR53="Windows 10","• "&amp;Aturan!$E$71&amp;CHAR(10),"")&amp;IF(Varian!$BB53="tidak","• "&amp;Aturan!$E$72&amp;CHAR(10),"")&amp;IF(OR(Varian!$AD53="belum terverifikasi",Varian!$AD53="tidak diketahui"),"• "&amp;Aturan!$E$73&amp;CHAR(10),"")&amp;IF(Varian!$AH53="1366x768","• "&amp;Aturan!$E$74&amp;CHAR(10),"")&amp;IF(Varian!$AG53="TN","• "&amp;Aturan!$E$75&amp;CHAR(10),"")&amp;IF(AND(Varian!$Q53="disolder",ISNUMBER(Varian!$M53),Varian!$M53&lt;=8),"• "&amp;Aturan!$E$76&amp;CHAR(10),""))</f>
        <v/>
      </c>
      <c r="AB245" s="66" t="str">
        <f aca="false">IF($A245="","",IF(AA245="","",LEFT(AA245,LEN(AA245)-1)))</f>
        <v/>
      </c>
      <c r="AC245" s="67" t="n">
        <f aca="false">IF($A245="","",IF(AA245="",0,LEN(AA245)-LEN(SUBSTITUTE(AA245,CHAR(10),""))))</f>
        <v>0</v>
      </c>
    </row>
    <row r="246" customFormat="false" ht="15" hidden="false" customHeight="true" outlineLevel="0" collapsed="false">
      <c r="A246" s="33" t="str">
        <f aca="false">IF(Varian!$A53="","",Varian!$A53)</f>
        <v>asus-expertbook-p1-p1403cva-core5-210h-8-512</v>
      </c>
      <c r="B246" s="33" t="str">
        <f aca="false">IF($A246="","",Aturan!$A$22)</f>
        <v>Desain grafis</v>
      </c>
      <c r="C246" s="69" t="n">
        <f aca="false">IF($A246="","",IFERROR(IF(ISNUMBER(INDEX(CPU!$J$4:$J$64,MATCH(Varian!$J53,CPU!$A$4:$A$64,0))),INDEX(CPU!$J$4:$J$64,MATCH(Varian!$J53,CPU!$A$4:$A$64,0)),""),""))</f>
        <v>3</v>
      </c>
      <c r="D246" s="69" t="n">
        <f aca="false">IF($A246="","",IFERROR(IF(ISNUMBER(INDEX(GPU!$G$4:$G$64,MATCH(Varian!$K53,GPU!$A$4:$A$64,0))),INDEX(GPU!$G$4:$G$64,MATCH(Varian!$K53,GPU!$A$4:$A$64,0)),""),""))</f>
        <v>2</v>
      </c>
      <c r="E246" s="69" t="n">
        <f aca="false">IF($A246="","",IF(ISNUMBER(Varian!$M53),Varian!$M53,""))</f>
        <v>8</v>
      </c>
      <c r="F246" s="69" t="n">
        <f aca="false">IF($A246="","",IF(ISNUMBER(Varian!$V53),Varian!$V53,""))</f>
        <v>512</v>
      </c>
      <c r="G246" s="69" t="n">
        <f aca="false">IF($A246="","",IFERROR(INDEX(Aturan!$B$63:$B$66,MATCH(Varian!$AG53,Aturan!$A$63:$A$66,0)),""))</f>
        <v>3</v>
      </c>
      <c r="H246" s="69" t="n">
        <f aca="false">IF($A246="","",IF(ISNUMBER(Varian!$AI53),Varian!$AI53,""))</f>
        <v>60</v>
      </c>
      <c r="I246" s="33" t="str">
        <f aca="false">IF($A246="","",IF(Varian!$Q53="disolder","menempel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bisa dinaikkan lewat slot sampai 64 GB</v>
      </c>
      <c r="J246" s="33" t="str">
        <f aca="false">IF($A246="","",IF(Varian!$Z53="ya","bisa diganti dengan yang lebih besar",IF(Varian!$Z53="tidak","menempel, tidak bisa diganti","belum diketahui apakah bisa diganti")))</f>
        <v>bisa diganti dengan yang lebih besar</v>
      </c>
      <c r="K246" s="70" t="str">
        <f aca="false">IF($A246="","",IF(AND(Aturan!$C$36="",Aturan!$D$36=""),"Tidak dinilai",IF(C246="","Belum ada data",IF(C246&lt;IF(Aturan!$C$36="",0,Aturan!$C$36),"Kurang",IF(C246&gt;=IF(Aturan!$D$36="",Aturan!$C$36,Aturan!$D$36),"Nyaman","Cukup")))))</f>
        <v>Nyaman</v>
      </c>
      <c r="L246" s="70" t="str">
        <f aca="false">IF($A246="","",IF(AND(Aturan!$C$37="",Aturan!$D$37=""),"Tidak dinilai",IF(D246="","Belum ada data",IF(D246&lt;IF(Aturan!$C$37="",0,Aturan!$C$37),"Kurang",IF(D246&gt;=IF(Aturan!$D$37="",Aturan!$C$37,Aturan!$D$37),"Nyaman","Cukup")))))</f>
        <v>Nyaman</v>
      </c>
      <c r="M246" s="70" t="str">
        <f aca="false">IF($A246="","",IF(AND(Aturan!$C$38="",Aturan!$D$38=""),"Tidak dinilai",IF(E246="","Belum ada data",IF(E246&lt;IF(Aturan!$C$38="",0,Aturan!$C$38),"Kurang",IF(E246&gt;=IF(Aturan!$D$38="",Aturan!$C$38,Aturan!$D$38),"Nyaman","Cukup")))))</f>
        <v>Cukup</v>
      </c>
      <c r="N246" s="70" t="str">
        <f aca="false">IF($A246="","",IF(AND(Aturan!$C$39="",Aturan!$D$39=""),"Tidak dinilai",IF(F246="","Belum ada data",IF(F246&lt;IF(Aturan!$C$39="",0,Aturan!$C$39),"Kurang",IF(F246&gt;=IF(Aturan!$D$39="",Aturan!$C$39,Aturan!$D$39),"Nyaman","Cukup")))))</f>
        <v>Nyaman</v>
      </c>
      <c r="O246" s="70" t="str">
        <f aca="false">IF($A246="","",IF(AND(Aturan!$C$40="",Aturan!$D$40=""),"Tidak dinilai",IF(G246="","Belum ada data",IF(G246&lt;IF(Aturan!$C$40="",0,Aturan!$C$40),"Kurang",IF(G246&gt;=IF(Aturan!$D$40="",Aturan!$C$40,Aturan!$D$40),"Nyaman","Cukup")))))</f>
        <v>Cukup</v>
      </c>
      <c r="P246" s="70" t="str">
        <f aca="false">IF($A246="","",IF(AND(Aturan!$C$41="",Aturan!$D$41=""),"Tidak dinilai",IF(H246="","Belum ada data",IF(H246&lt;IF(Aturan!$C$41="",0,Aturan!$C$41),"Kurang",IF(H246&gt;=IF(Aturan!$D$41="",Aturan!$C$41,Aturan!$D$41),"Nyaman","Cukup")))))</f>
        <v>Tidak dinilai</v>
      </c>
      <c r="Q246" s="70" t="str">
        <f aca="false">IF($A246="","",IF(COUNTIF(K246:P246,"Tidak dinilai")=6,"Tidak dinilai",IF(COUNTIF(K246:P246,"Kurang")&gt;0,"Kurang cocok",IF(COUNTIF(K246:P246,"Belum ada data")&gt;0,"Data belum lengkap",IF(COUNTIF(K246:P246,"Cukup")&gt;0,"Bisa, dengan catatan","Cocok")))))</f>
        <v>Bisa, dengan catatan</v>
      </c>
      <c r="R246" s="33" t="str">
        <f aca="false">IF($A246="","",IF(K246="Kurang","prosesor tingkat "&amp;C246&amp;" dari 5, di bawah batas minimal (tingkat "&amp;Aturan!$C$36&amp;")",IF(K246="Cukup","prosesor tingkat "&amp;C246&amp;" dari 5 cukup, nyamannya mulai tingkat "&amp;Aturan!$D$36,IF(K246="Belum ada data","tingkat prosesor belum diisi",""))))</f>
        <v/>
      </c>
      <c r="S246" s="33" t="str">
        <f aca="false">IF($A246="","",IF(L246="Kurang","grafis tingkat "&amp;D246&amp;" dari 5, di bawah batas minimal (tingkat "&amp;Aturan!$C$37&amp;")",IF(L246="Cukup","grafis tingkat "&amp;D246&amp;" dari 5 cukup, nyamannya mulai tingkat "&amp;Aturan!$D$37,IF(L246="Belum ada data","tingkat grafis belum diisi",""))))</f>
        <v/>
      </c>
      <c r="T246" s="33" t="str">
        <f aca="false">IF($A246="","",IF(M246="Kurang","RAM "&amp;E246&amp;" GB, di bawah batas minimal "&amp;Aturan!$C$38&amp;" GB ("&amp;I246&amp;")",IF(M246="Cukup","RAM "&amp;E246&amp;" GB cukup, nyamannya "&amp;Aturan!$D$38&amp;" GB atau lebih ("&amp;I246&amp;")",IF(M246="Belum ada data","ukuran RAM belum diisi",""))))</f>
        <v>RAM 8 GB cukup, nyamannya 16 GB atau lebih (bisa dinaikkan lewat slot sampai 64 GB)</v>
      </c>
      <c r="U246" s="33" t="str">
        <f aca="false">IF($A246="","",IF(N246="Kurang","penyimpanan "&amp;F246&amp;" GB, di bawah batas minimal "&amp;Aturan!$C$39&amp;" GB ("&amp;J246&amp;")",IF(N246="Cukup","penyimpanan "&amp;F246&amp;" GB cukup, nyamannya "&amp;Aturan!$D$39&amp;" GB atau lebih ("&amp;J246&amp;")",IF(N246="Belum ada data","ukuran penyimpanan belum diisi",""))))</f>
        <v/>
      </c>
      <c r="V246" s="33" t="str">
        <f aca="false">IF($A246="","",IF(O246="Kurang","layar "&amp;Varian!$AG53&amp;", di bawah batas minimal ("&amp;IFERROR(INDEX(Aturan!$A$63:$A$66,MATCH(Aturan!$C$40,Aturan!$B$63:$B$66,0)),"peringkat "&amp;Aturan!$C$40)&amp;")",IF(O246="Cukup","layar "&amp;Varian!$AG53&amp;" cukup, nyamannya "&amp;IFERROR(INDEX(Aturan!$A$63:$A$66,MATCH(Aturan!$D$40,Aturan!$B$63:$B$66,0)),"peringkat "&amp;Aturan!$D$40),IF(O246="Belum ada data","jenis layar belum diketahui",""))))</f>
        <v>layar IPS cukup, nyamannya OLED</v>
      </c>
      <c r="W246" s="33" t="str">
        <f aca="false">IF($A246="","",IF(P246="Kurang","layar "&amp;H246&amp;" Hz, di bawah batas minimal "&amp;Aturan!$C$41&amp;" Hz",IF(P246="Cukup","layar "&amp;H246&amp;" Hz cukup, nyamannya "&amp;Aturan!$D$41&amp;" Hz atau lebih",IF(P246="Belum ada data","refresh rate belum diketahui",""))))</f>
        <v/>
      </c>
      <c r="X246" s="33" t="str">
        <f aca="false">IF($A246="","",IF(K246="Kurang",R246&amp;"; ","")&amp;IF(L246="Kurang",S246&amp;"; ","")&amp;IF(M246="Kurang",T246&amp;"; ","")&amp;IF(N246="Kurang",U246&amp;"; ","")&amp;IF(O246="Kurang",V246&amp;"; ","")&amp;IF(P246="Kurang",W246&amp;"; ","")&amp;IF(K246="Belum ada data",R246&amp;"; ","")&amp;IF(L246="Belum ada data",S246&amp;"; ","")&amp;IF(M246="Belum ada data",T246&amp;"; ","")&amp;IF(N246="Belum ada data",U246&amp;"; ","")&amp;IF(O246="Belum ada data",V246&amp;"; ","")&amp;IF(P246="Belum ada data",W246&amp;"; ","")&amp;IF(K246="Cukup",R246&amp;"; ","")&amp;IF(L246="Cukup",S246&amp;"; ","")&amp;IF(M246="Cukup",T246&amp;"; ","")&amp;IF(N246="Cukup",U246&amp;"; ","")&amp;IF(O246="Cukup",V246&amp;"; ","")&amp;IF(P246="Cukup",W246&amp;"; ",""))</f>
        <v>RAM 8 GB cukup, nyamannya 16 GB atau lebih (bisa dinaikkan lewat slot sampai 64 GB); layar IPS cukup, nyamannya OLED; </v>
      </c>
      <c r="Y246" s="33" t="str">
        <f aca="false">IF($A246="","",IF(K246="Nyaman","prosesor, ","")&amp;IF(L246="Nyaman","grafis, ","")&amp;IF(M246="Nyaman","RAM, ","")&amp;IF(N246="Nyaman","penyimpanan, ","")&amp;IF(O246="Nyaman","layar, ","")&amp;IF(P246="Nyaman","refresh rate, ",""))</f>
        <v>prosesor, grafis, penyimpanan, </v>
      </c>
      <c r="Z246" s="33" t="str">
        <f aca="false">IF($A246="","",IF(Q246="Tidak dinilai","Belum ada kriteria yang dinilai untuk kebutuhan ini.",IF(Q246="Cocok","Semua kriteria yang dinilai sudah nyaman: "&amp;LEFT(Y246,LEN(Y246)-2)&amp;".",UPPER(LEFT(X246,1))&amp;MID(X246,2,LEN(X246)-3)&amp;"."&amp;IF(Y246="",""," Sudah nyaman: "&amp;LEFT(Y246,LEN(Y246)-2)&amp;"."))))</f>
        <v>RAM 8 GB cukup, nyamannya 16 GB atau lebih (bisa dinaikkan lewat slot sampai 64 GB); layar IPS cukup, nyamannya OLED. Sudah nyaman: prosesor, grafis, penyimpanan.</v>
      </c>
      <c r="AA246" s="33"/>
      <c r="AB246" s="33"/>
      <c r="AC246" s="69"/>
    </row>
    <row r="247" customFormat="false" ht="15" hidden="false" customHeight="true" outlineLevel="0" collapsed="false">
      <c r="A247" s="33" t="str">
        <f aca="false">IF(Varian!$A53="","",Varian!$A53)</f>
        <v>asus-expertbook-p1-p1403cva-core5-210h-8-512</v>
      </c>
      <c r="B247" s="33" t="str">
        <f aca="false">IF($A247="","",Aturan!$A$23)</f>
        <v>Pemrograman</v>
      </c>
      <c r="C247" s="69" t="n">
        <f aca="false">IF($A247="","",IFERROR(IF(ISNUMBER(INDEX(CPU!$J$4:$J$64,MATCH(Varian!$J53,CPU!$A$4:$A$64,0))),INDEX(CPU!$J$4:$J$64,MATCH(Varian!$J53,CPU!$A$4:$A$64,0)),""),""))</f>
        <v>3</v>
      </c>
      <c r="D247" s="69" t="n">
        <f aca="false">IF($A247="","",IFERROR(IF(ISNUMBER(INDEX(GPU!$G$4:$G$64,MATCH(Varian!$K53,GPU!$A$4:$A$64,0))),INDEX(GPU!$G$4:$G$64,MATCH(Varian!$K53,GPU!$A$4:$A$64,0)),""),""))</f>
        <v>2</v>
      </c>
      <c r="E247" s="69" t="n">
        <f aca="false">IF($A247="","",IF(ISNUMBER(Varian!$M53),Varian!$M53,""))</f>
        <v>8</v>
      </c>
      <c r="F247" s="69" t="n">
        <f aca="false">IF($A247="","",IF(ISNUMBER(Varian!$V53),Varian!$V53,""))</f>
        <v>512</v>
      </c>
      <c r="G247" s="69" t="n">
        <f aca="false">IF($A247="","",IFERROR(INDEX(Aturan!$B$63:$B$66,MATCH(Varian!$AG53,Aturan!$A$63:$A$66,0)),""))</f>
        <v>3</v>
      </c>
      <c r="H247" s="69" t="n">
        <f aca="false">IF($A247="","",IF(ISNUMBER(Varian!$AI53),Varian!$AI53,""))</f>
        <v>60</v>
      </c>
      <c r="I247" s="33" t="str">
        <f aca="false">IF($A247="","",IF(Varian!$Q53="disolder","menempel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bisa dinaikkan lewat slot sampai 64 GB</v>
      </c>
      <c r="J247" s="33" t="str">
        <f aca="false">IF($A247="","",IF(Varian!$Z53="ya","bisa diganti dengan yang lebih besar",IF(Varian!$Z53="tidak","menempel, tidak bisa diganti","belum diketahui apakah bisa diganti")))</f>
        <v>bisa diganti dengan yang lebih besar</v>
      </c>
      <c r="K247" s="70" t="str">
        <f aca="false">IF($A247="","",IF(AND(Aturan!$C$42="",Aturan!$D$42=""),"Tidak dinilai",IF(C247="","Belum ada data",IF(C247&lt;IF(Aturan!$C$42="",0,Aturan!$C$42),"Kurang",IF(C247&gt;=IF(Aturan!$D$42="",Aturan!$C$42,Aturan!$D$42),"Nyaman","Cukup")))))</f>
        <v>Nyaman</v>
      </c>
      <c r="L247" s="70" t="str">
        <f aca="false">IF($A247="","",IF(AND(Aturan!$C$43="",Aturan!$D$43=""),"Tidak dinilai",IF(D247="","Belum ada data",IF(D247&lt;IF(Aturan!$C$43="",0,Aturan!$C$43),"Kurang",IF(D247&gt;=IF(Aturan!$D$43="",Aturan!$C$43,Aturan!$D$43),"Nyaman","Cukup")))))</f>
        <v>Tidak dinilai</v>
      </c>
      <c r="M247" s="70" t="str">
        <f aca="false">IF($A247="","",IF(AND(Aturan!$C$44="",Aturan!$D$44=""),"Tidak dinilai",IF(E247="","Belum ada data",IF(E247&lt;IF(Aturan!$C$44="",0,Aturan!$C$44),"Kurang",IF(E247&gt;=IF(Aturan!$D$44="",Aturan!$C$44,Aturan!$D$44),"Nyaman","Cukup")))))</f>
        <v>Cukup</v>
      </c>
      <c r="N247" s="70" t="str">
        <f aca="false">IF($A247="","",IF(AND(Aturan!$C$45="",Aturan!$D$45=""),"Tidak dinilai",IF(F247="","Belum ada data",IF(F247&lt;IF(Aturan!$C$45="",0,Aturan!$C$45),"Kurang",IF(F247&gt;=IF(Aturan!$D$45="",Aturan!$C$45,Aturan!$D$45),"Nyaman","Cukup")))))</f>
        <v>Nyaman</v>
      </c>
      <c r="O247" s="70" t="str">
        <f aca="false">IF($A247="","",IF(AND(Aturan!$C$46="",Aturan!$D$46=""),"Tidak dinilai",IF(G247="","Belum ada data",IF(G247&lt;IF(Aturan!$C$46="",0,Aturan!$C$46),"Kurang",IF(G247&gt;=IF(Aturan!$D$46="",Aturan!$C$46,Aturan!$D$46),"Nyaman","Cukup")))))</f>
        <v>Tidak dinilai</v>
      </c>
      <c r="P247" s="70" t="str">
        <f aca="false">IF($A247="","",IF(AND(Aturan!$C$47="",Aturan!$D$47=""),"Tidak dinilai",IF(H247="","Belum ada data",IF(H247&lt;IF(Aturan!$C$47="",0,Aturan!$C$47),"Kurang",IF(H247&gt;=IF(Aturan!$D$47="",Aturan!$C$47,Aturan!$D$47),"Nyaman","Cukup")))))</f>
        <v>Tidak dinilai</v>
      </c>
      <c r="Q247" s="70" t="str">
        <f aca="false">IF($A247="","",IF(COUNTIF(K247:P247,"Tidak dinilai")=6,"Tidak dinilai",IF(COUNTIF(K247:P247,"Kurang")&gt;0,"Kurang cocok",IF(COUNTIF(K247:P247,"Belum ada data")&gt;0,"Data belum lengkap",IF(COUNTIF(K247:P247,"Cukup")&gt;0,"Bisa, dengan catatan","Cocok")))))</f>
        <v>Bisa, dengan catatan</v>
      </c>
      <c r="R247" s="33" t="str">
        <f aca="false">IF($A247="","",IF(K247="Kurang","prosesor tingkat "&amp;C247&amp;" dari 5, di bawah batas minimal (tingkat "&amp;Aturan!$C$42&amp;")",IF(K247="Cukup","prosesor tingkat "&amp;C247&amp;" dari 5 cukup, nyamannya mulai tingkat "&amp;Aturan!$D$42,IF(K247="Belum ada data","tingkat prosesor belum diisi",""))))</f>
        <v/>
      </c>
      <c r="S247" s="33" t="str">
        <f aca="false">IF($A247="","",IF(L247="Kurang","grafis tingkat "&amp;D247&amp;" dari 5, di bawah batas minimal (tingkat "&amp;Aturan!$C$43&amp;")",IF(L247="Cukup","grafis tingkat "&amp;D247&amp;" dari 5 cukup, nyamannya mulai tingkat "&amp;Aturan!$D$43,IF(L247="Belum ada data","tingkat grafis belum diisi",""))))</f>
        <v/>
      </c>
      <c r="T247" s="33" t="str">
        <f aca="false">IF($A247="","",IF(M247="Kurang","RAM "&amp;E247&amp;" GB, di bawah batas minimal "&amp;Aturan!$C$44&amp;" GB ("&amp;I247&amp;")",IF(M247="Cukup","RAM "&amp;E247&amp;" GB cukup, nyamannya "&amp;Aturan!$D$44&amp;" GB atau lebih ("&amp;I247&amp;")",IF(M247="Belum ada data","ukuran RAM belum diisi",""))))</f>
        <v>RAM 8 GB cukup, nyamannya 16 GB atau lebih (bisa dinaikkan lewat slot sampai 64 GB)</v>
      </c>
      <c r="U247" s="33" t="str">
        <f aca="false">IF($A247="","",IF(N247="Kurang","penyimpanan "&amp;F247&amp;" GB, di bawah batas minimal "&amp;Aturan!$C$45&amp;" GB ("&amp;J247&amp;")",IF(N247="Cukup","penyimpanan "&amp;F247&amp;" GB cukup, nyamannya "&amp;Aturan!$D$45&amp;" GB atau lebih ("&amp;J247&amp;")",IF(N247="Belum ada data","ukuran penyimpanan belum diisi",""))))</f>
        <v/>
      </c>
      <c r="V247" s="33" t="str">
        <f aca="false">IF($A247="","",IF(O247="Kurang","layar "&amp;Varian!$AG53&amp;", di bawah batas minimal ("&amp;IFERROR(INDEX(Aturan!$A$63:$A$66,MATCH(Aturan!$C$46,Aturan!$B$63:$B$66,0)),"peringkat "&amp;Aturan!$C$46)&amp;")",IF(O247="Cukup","layar "&amp;Varian!$AG53&amp;" cukup, nyamannya "&amp;IFERROR(INDEX(Aturan!$A$63:$A$66,MATCH(Aturan!$D$46,Aturan!$B$63:$B$66,0)),"peringkat "&amp;Aturan!$D$46),IF(O247="Belum ada data","jenis layar belum diketahui",""))))</f>
        <v/>
      </c>
      <c r="W247" s="33" t="str">
        <f aca="false">IF($A247="","",IF(P247="Kurang","layar "&amp;H247&amp;" Hz, di bawah batas minimal "&amp;Aturan!$C$47&amp;" Hz",IF(P247="Cukup","layar "&amp;H247&amp;" Hz cukup, nyamannya "&amp;Aturan!$D$47&amp;" Hz atau lebih",IF(P247="Belum ada data","refresh rate belum diketahui",""))))</f>
        <v/>
      </c>
      <c r="X247" s="33" t="str">
        <f aca="false">IF($A247="","",IF(K247="Kurang",R247&amp;"; ","")&amp;IF(L247="Kurang",S247&amp;"; ","")&amp;IF(M247="Kurang",T247&amp;"; ","")&amp;IF(N247="Kurang",U247&amp;"; ","")&amp;IF(O247="Kurang",V247&amp;"; ","")&amp;IF(P247="Kurang",W247&amp;"; ","")&amp;IF(K247="Belum ada data",R247&amp;"; ","")&amp;IF(L247="Belum ada data",S247&amp;"; ","")&amp;IF(M247="Belum ada data",T247&amp;"; ","")&amp;IF(N247="Belum ada data",U247&amp;"; ","")&amp;IF(O247="Belum ada data",V247&amp;"; ","")&amp;IF(P247="Belum ada data",W247&amp;"; ","")&amp;IF(K247="Cukup",R247&amp;"; ","")&amp;IF(L247="Cukup",S247&amp;"; ","")&amp;IF(M247="Cukup",T247&amp;"; ","")&amp;IF(N247="Cukup",U247&amp;"; ","")&amp;IF(O247="Cukup",V247&amp;"; ","")&amp;IF(P247="Cukup",W247&amp;"; ",""))</f>
        <v>RAM 8 GB cukup, nyamannya 16 GB atau lebih (bisa dinaikkan lewat slot sampai 64 GB); </v>
      </c>
      <c r="Y247" s="33" t="str">
        <f aca="false">IF($A247="","",IF(K247="Nyaman","prosesor, ","")&amp;IF(L247="Nyaman","grafis, ","")&amp;IF(M247="Nyaman","RAM, ","")&amp;IF(N247="Nyaman","penyimpanan, ","")&amp;IF(O247="Nyaman","layar, ","")&amp;IF(P247="Nyaman","refresh rate, ",""))</f>
        <v>prosesor, penyimpanan, </v>
      </c>
      <c r="Z247" s="33" t="str">
        <f aca="false">IF($A247="","",IF(Q247="Tidak dinilai","Belum ada kriteria yang dinilai untuk kebutuhan ini.",IF(Q247="Cocok","Semua kriteria yang dinilai sudah nyaman: "&amp;LEFT(Y247,LEN(Y247)-2)&amp;".",UPPER(LEFT(X247,1))&amp;MID(X247,2,LEN(X247)-3)&amp;"."&amp;IF(Y247="",""," Sudah nyaman: "&amp;LEFT(Y247,LEN(Y247)-2)&amp;"."))))</f>
        <v>RAM 8 GB cukup, nyamannya 16 GB atau lebih (bisa dinaikkan lewat slot sampai 64 GB). Sudah nyaman: prosesor, penyimpanan.</v>
      </c>
      <c r="AA247" s="33"/>
      <c r="AB247" s="33"/>
      <c r="AC247" s="69"/>
    </row>
    <row r="248" customFormat="false" ht="15" hidden="false" customHeight="true" outlineLevel="0" collapsed="false">
      <c r="A248" s="33" t="str">
        <f aca="false">IF(Varian!$A53="","",Varian!$A53)</f>
        <v>asus-expertbook-p1-p1403cva-core5-210h-8-512</v>
      </c>
      <c r="B248" s="33" t="str">
        <f aca="false">IF($A248="","",Aturan!$A$24)</f>
        <v>Game ringan</v>
      </c>
      <c r="C248" s="69" t="n">
        <f aca="false">IF($A248="","",IFERROR(IF(ISNUMBER(INDEX(CPU!$J$4:$J$64,MATCH(Varian!$J53,CPU!$A$4:$A$64,0))),INDEX(CPU!$J$4:$J$64,MATCH(Varian!$J53,CPU!$A$4:$A$64,0)),""),""))</f>
        <v>3</v>
      </c>
      <c r="D248" s="69" t="n">
        <f aca="false">IF($A248="","",IFERROR(IF(ISNUMBER(INDEX(GPU!$G$4:$G$64,MATCH(Varian!$K53,GPU!$A$4:$A$64,0))),INDEX(GPU!$G$4:$G$64,MATCH(Varian!$K53,GPU!$A$4:$A$64,0)),""),""))</f>
        <v>2</v>
      </c>
      <c r="E248" s="69" t="n">
        <f aca="false">IF($A248="","",IF(ISNUMBER(Varian!$M53),Varian!$M53,""))</f>
        <v>8</v>
      </c>
      <c r="F248" s="69" t="n">
        <f aca="false">IF($A248="","",IF(ISNUMBER(Varian!$V53),Varian!$V53,""))</f>
        <v>512</v>
      </c>
      <c r="G248" s="69" t="n">
        <f aca="false">IF($A248="","",IFERROR(INDEX(Aturan!$B$63:$B$66,MATCH(Varian!$AG53,Aturan!$A$63:$A$66,0)),""))</f>
        <v>3</v>
      </c>
      <c r="H248" s="69" t="n">
        <f aca="false">IF($A248="","",IF(ISNUMBER(Varian!$AI53),Varian!$AI53,""))</f>
        <v>60</v>
      </c>
      <c r="I248" s="33" t="str">
        <f aca="false">IF($A248="","",IF(Varian!$Q53="disolder","menempel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bisa dinaikkan lewat slot sampai 64 GB</v>
      </c>
      <c r="J248" s="33" t="str">
        <f aca="false">IF($A248="","",IF(Varian!$Z53="ya","bisa diganti dengan yang lebih besar",IF(Varian!$Z53="tidak","menempel, tidak bisa diganti","belum diketahui apakah bisa diganti")))</f>
        <v>bisa diganti dengan yang lebih besar</v>
      </c>
      <c r="K248" s="70" t="str">
        <f aca="false">IF($A248="","",IF(AND(Aturan!$C$48="",Aturan!$D$48=""),"Tidak dinilai",IF(C248="","Belum ada data",IF(C248&lt;IF(Aturan!$C$48="",0,Aturan!$C$48),"Kurang",IF(C248&gt;=IF(Aturan!$D$48="",Aturan!$C$48,Aturan!$D$48),"Nyaman","Cukup")))))</f>
        <v>Nyaman</v>
      </c>
      <c r="L248" s="70" t="str">
        <f aca="false">IF($A248="","",IF(AND(Aturan!$C$49="",Aturan!$D$49=""),"Tidak dinilai",IF(D248="","Belum ada data",IF(D248&lt;IF(Aturan!$C$49="",0,Aturan!$C$49),"Kurang",IF(D248&gt;=IF(Aturan!$D$49="",Aturan!$C$49,Aturan!$D$49),"Nyaman","Cukup")))))</f>
        <v>Nyaman</v>
      </c>
      <c r="M248" s="70" t="str">
        <f aca="false">IF($A248="","",IF(AND(Aturan!$C$50="",Aturan!$D$50=""),"Tidak dinilai",IF(E248="","Belum ada data",IF(E248&lt;IF(Aturan!$C$50="",0,Aturan!$C$50),"Kurang",IF(E248&gt;=IF(Aturan!$D$50="",Aturan!$C$50,Aturan!$D$50),"Nyaman","Cukup")))))</f>
        <v>Nyaman</v>
      </c>
      <c r="N248" s="70" t="str">
        <f aca="false">IF($A248="","",IF(AND(Aturan!$C$51="",Aturan!$D$51=""),"Tidak dinilai",IF(F248="","Belum ada data",IF(F248&lt;IF(Aturan!$C$51="",0,Aturan!$C$51),"Kurang",IF(F248&gt;=IF(Aturan!$D$51="",Aturan!$C$51,Aturan!$D$51),"Nyaman","Cukup")))))</f>
        <v>Nyaman</v>
      </c>
      <c r="O248" s="70" t="str">
        <f aca="false">IF($A248="","",IF(AND(Aturan!$C$52="",Aturan!$D$52=""),"Tidak dinilai",IF(G248="","Belum ada data",IF(G248&lt;IF(Aturan!$C$52="",0,Aturan!$C$52),"Kurang",IF(G248&gt;=IF(Aturan!$D$52="",Aturan!$C$52,Aturan!$D$52),"Nyaman","Cukup")))))</f>
        <v>Tidak dinilai</v>
      </c>
      <c r="P248" s="70" t="str">
        <f aca="false">IF($A248="","",IF(AND(Aturan!$C$53="",Aturan!$D$53=""),"Tidak dinilai",IF(H248="","Belum ada data",IF(H248&lt;IF(Aturan!$C$53="",0,Aturan!$C$53),"Kurang",IF(H248&gt;=IF(Aturan!$D$53="",Aturan!$C$53,Aturan!$D$53),"Nyaman","Cukup")))))</f>
        <v>Tidak dinilai</v>
      </c>
      <c r="Q248" s="70" t="str">
        <f aca="false">IF($A248="","",IF(COUNTIF(K248:P248,"Tidak dinilai")=6,"Tidak dinilai",IF(COUNTIF(K248:P248,"Kurang")&gt;0,"Kurang cocok",IF(COUNTIF(K248:P248,"Belum ada data")&gt;0,"Data belum lengkap",IF(COUNTIF(K248:P248,"Cukup")&gt;0,"Bisa, dengan catatan","Cocok")))))</f>
        <v>Cocok</v>
      </c>
      <c r="R248" s="33" t="str">
        <f aca="false">IF($A248="","",IF(K248="Kurang","prosesor tingkat "&amp;C248&amp;" dari 5, di bawah batas minimal (tingkat "&amp;Aturan!$C$48&amp;")",IF(K248="Cukup","prosesor tingkat "&amp;C248&amp;" dari 5 cukup, nyamannya mulai tingkat "&amp;Aturan!$D$48,IF(K248="Belum ada data","tingkat prosesor belum diisi",""))))</f>
        <v/>
      </c>
      <c r="S248" s="33" t="str">
        <f aca="false">IF($A248="","",IF(L248="Kurang","grafis tingkat "&amp;D248&amp;" dari 5, di bawah batas minimal (tingkat "&amp;Aturan!$C$49&amp;")",IF(L248="Cukup","grafis tingkat "&amp;D248&amp;" dari 5 cukup, nyamannya mulai tingkat "&amp;Aturan!$D$49,IF(L248="Belum ada data","tingkat grafis belum diisi",""))))</f>
        <v/>
      </c>
      <c r="T248" s="33" t="str">
        <f aca="false">IF($A248="","",IF(M248="Kurang","RAM "&amp;E248&amp;" GB, di bawah batas minimal "&amp;Aturan!$C$50&amp;" GB ("&amp;I248&amp;")",IF(M248="Cukup","RAM "&amp;E248&amp;" GB cukup, nyamannya "&amp;Aturan!$D$50&amp;" GB atau lebih ("&amp;I248&amp;")",IF(M248="Belum ada data","ukuran RAM belum diisi",""))))</f>
        <v/>
      </c>
      <c r="U248" s="33" t="str">
        <f aca="false">IF($A248="","",IF(N248="Kurang","penyimpanan "&amp;F248&amp;" GB, di bawah batas minimal "&amp;Aturan!$C$51&amp;" GB ("&amp;J248&amp;")",IF(N248="Cukup","penyimpanan "&amp;F248&amp;" GB cukup, nyamannya "&amp;Aturan!$D$51&amp;" GB atau lebih ("&amp;J248&amp;")",IF(N248="Belum ada data","ukuran penyimpanan belum diisi",""))))</f>
        <v/>
      </c>
      <c r="V248" s="33" t="str">
        <f aca="false">IF($A248="","",IF(O248="Kurang","layar "&amp;Varian!$AG53&amp;", di bawah batas minimal ("&amp;IFERROR(INDEX(Aturan!$A$63:$A$66,MATCH(Aturan!$C$52,Aturan!$B$63:$B$66,0)),"peringkat "&amp;Aturan!$C$52)&amp;")",IF(O248="Cukup","layar "&amp;Varian!$AG53&amp;" cukup, nyamannya "&amp;IFERROR(INDEX(Aturan!$A$63:$A$66,MATCH(Aturan!$D$52,Aturan!$B$63:$B$66,0)),"peringkat "&amp;Aturan!$D$52),IF(O248="Belum ada data","jenis layar belum diketahui",""))))</f>
        <v/>
      </c>
      <c r="W248" s="33" t="str">
        <f aca="false">IF($A248="","",IF(P248="Kurang","layar "&amp;H248&amp;" Hz, di bawah batas minimal "&amp;Aturan!$C$53&amp;" Hz",IF(P248="Cukup","layar "&amp;H248&amp;" Hz cukup, nyamannya "&amp;Aturan!$D$53&amp;" Hz atau lebih",IF(P248="Belum ada data","refresh rate belum diketahui",""))))</f>
        <v/>
      </c>
      <c r="X248" s="33" t="str">
        <f aca="false">IF($A248="","",IF(K248="Kurang",R248&amp;"; ","")&amp;IF(L248="Kurang",S248&amp;"; ","")&amp;IF(M248="Kurang",T248&amp;"; ","")&amp;IF(N248="Kurang",U248&amp;"; ","")&amp;IF(O248="Kurang",V248&amp;"; ","")&amp;IF(P248="Kurang",W248&amp;"; ","")&amp;IF(K248="Belum ada data",R248&amp;"; ","")&amp;IF(L248="Belum ada data",S248&amp;"; ","")&amp;IF(M248="Belum ada data",T248&amp;"; ","")&amp;IF(N248="Belum ada data",U248&amp;"; ","")&amp;IF(O248="Belum ada data",V248&amp;"; ","")&amp;IF(P248="Belum ada data",W248&amp;"; ","")&amp;IF(K248="Cukup",R248&amp;"; ","")&amp;IF(L248="Cukup",S248&amp;"; ","")&amp;IF(M248="Cukup",T248&amp;"; ","")&amp;IF(N248="Cukup",U248&amp;"; ","")&amp;IF(O248="Cukup",V248&amp;"; ","")&amp;IF(P248="Cukup",W248&amp;"; ",""))</f>
        <v/>
      </c>
      <c r="Y248" s="33" t="str">
        <f aca="false">IF($A248="","",IF(K248="Nyaman","prosesor, ","")&amp;IF(L248="Nyaman","grafis, ","")&amp;IF(M248="Nyaman","RAM, ","")&amp;IF(N248="Nyaman","penyimpanan, ","")&amp;IF(O248="Nyaman","layar, ","")&amp;IF(P248="Nyaman","refresh rate, ",""))</f>
        <v>prosesor, grafis, RAM, penyimpanan, </v>
      </c>
      <c r="Z248" s="33" t="str">
        <f aca="false">IF($A248="","",IF(Q248="Tidak dinilai","Belum ada kriteria yang dinilai untuk kebutuhan ini.",IF(Q248="Cocok","Semua kriteria yang dinilai sudah nyaman: "&amp;LEFT(Y248,LEN(Y248)-2)&amp;".",UPPER(LEFT(X248,1))&amp;MID(X248,2,LEN(X248)-3)&amp;"."&amp;IF(Y248="",""," Sudah nyaman: "&amp;LEFT(Y248,LEN(Y248)-2)&amp;"."))))</f>
        <v>Semua kriteria yang dinilai sudah nyaman: prosesor, grafis, RAM, penyimpanan.</v>
      </c>
      <c r="AA248" s="33"/>
      <c r="AB248" s="33"/>
      <c r="AC248" s="69"/>
    </row>
    <row r="249" customFormat="false" ht="15" hidden="false" customHeight="true" outlineLevel="0" collapsed="false">
      <c r="A249" s="33" t="str">
        <f aca="false">IF(Varian!$A53="","",Varian!$A53)</f>
        <v>asus-expertbook-p1-p1403cva-core5-210h-8-512</v>
      </c>
      <c r="B249" s="33" t="str">
        <f aca="false">IF($A249="","",Aturan!$A$25)</f>
        <v>Game berat</v>
      </c>
      <c r="C249" s="69" t="n">
        <f aca="false">IF($A249="","",IFERROR(IF(ISNUMBER(INDEX(CPU!$J$4:$J$64,MATCH(Varian!$J53,CPU!$A$4:$A$64,0))),INDEX(CPU!$J$4:$J$64,MATCH(Varian!$J53,CPU!$A$4:$A$64,0)),""),""))</f>
        <v>3</v>
      </c>
      <c r="D249" s="69" t="n">
        <f aca="false">IF($A249="","",IFERROR(IF(ISNUMBER(INDEX(GPU!$G$4:$G$64,MATCH(Varian!$K53,GPU!$A$4:$A$64,0))),INDEX(GPU!$G$4:$G$64,MATCH(Varian!$K53,GPU!$A$4:$A$64,0)),""),""))</f>
        <v>2</v>
      </c>
      <c r="E249" s="69" t="n">
        <f aca="false">IF($A249="","",IF(ISNUMBER(Varian!$M53),Varian!$M53,""))</f>
        <v>8</v>
      </c>
      <c r="F249" s="69" t="n">
        <f aca="false">IF($A249="","",IF(ISNUMBER(Varian!$V53),Varian!$V53,""))</f>
        <v>512</v>
      </c>
      <c r="G249" s="69" t="n">
        <f aca="false">IF($A249="","",IFERROR(INDEX(Aturan!$B$63:$B$66,MATCH(Varian!$AG53,Aturan!$A$63:$A$66,0)),""))</f>
        <v>3</v>
      </c>
      <c r="H249" s="69" t="n">
        <f aca="false">IF($A249="","",IF(ISNUMBER(Varian!$AI53),Varian!$AI53,""))</f>
        <v>60</v>
      </c>
      <c r="I249" s="33" t="str">
        <f aca="false">IF($A249="","",IF(Varian!$Q53="disolder","menempel di papan utama, tidak bisa ditambah",IF(OR(Varian!$Q53="slot",Varian!$Q53="setengah_disolder"),IF(Varian!$Q53="setengah_disolder","sebagian menempel, ","")&amp;IF(ISNUMBER(Varian!$U53),IF(AND(ISNUMBER(Varian!$M53),Varian!$U53&gt;Varian!$M53),"bisa dinaikkan lewat slot sampai "&amp;Varian!$U53&amp;" GB","sudah di batas maksimal "&amp;Varian!$U53&amp;" GB"),"ada slot, batas maksimalnya belum diketahui"),"belum diketahui apakah bisa ditambah")))</f>
        <v>bisa dinaikkan lewat slot sampai 64 GB</v>
      </c>
      <c r="J249" s="33" t="str">
        <f aca="false">IF($A249="","",IF(Varian!$Z53="ya","bisa diganti dengan yang lebih besar",IF(Varian!$Z53="tidak","menempel, tidak bisa diganti","belum diketahui apakah bisa diganti")))</f>
        <v>bisa diganti dengan yang lebih besar</v>
      </c>
      <c r="K249" s="70" t="str">
        <f aca="false">IF($A249="","",IF(AND(Aturan!$C$54="",Aturan!$D$54=""),"Tidak dinilai",IF(C249="","Belum ada data",IF(C249&lt;IF(Aturan!$C$54="",0,Aturan!$C$54),"Kurang",IF(C249&gt;=IF(Aturan!$D$54="",Aturan!$C$54,Aturan!$D$54),"Nyaman","Cukup")))))</f>
        <v>Cukup</v>
      </c>
      <c r="L249" s="70" t="str">
        <f aca="false">IF($A249="","",IF(AND(Aturan!$C$55="",Aturan!$D$55=""),"Tidak dinilai",IF(D249="","Belum ada data",IF(D249&lt;IF(Aturan!$C$55="",0,Aturan!$C$55),"Kurang",IF(D249&gt;=IF(Aturan!$D$55="",Aturan!$C$55,Aturan!$D$55),"Nyaman","Cukup")))))</f>
        <v>Kurang</v>
      </c>
      <c r="M249" s="70" t="str">
        <f aca="false">IF($A249="","",IF(AND(Aturan!$C$56="",Aturan!$D$56=""),"Tidak dinilai",IF(E249="","Belum ada data",IF(E249&lt;IF(Aturan!$C$56="",0,Aturan!$C$56),"Kurang",IF(E249&gt;=IF(Aturan!$D$56="",Aturan!$C$56,Aturan!$D$56),"Nyaman","Cukup")))))</f>
        <v>Cukup</v>
      </c>
      <c r="N249" s="70" t="str">
        <f aca="false">IF($A249="","",IF(AND(Aturan!$C$57="",Aturan!$D$57=""),"Tidak dinilai",IF(F249="","Belum ada data",IF(F249&lt;IF(Aturan!$C$57="",0,Aturan!$C$57),"Kurang",IF(F249&gt;=IF(Aturan!$D$57="",Aturan!$C$57,Aturan!$D$57),"Nyaman","Cukup")))))</f>
        <v>Cukup</v>
      </c>
      <c r="O249" s="70" t="str">
        <f aca="false">IF($A249="","",IF(AND(Aturan!$C$58="",Aturan!$D$58=""),"Tidak dinilai",IF(G249="","Belum ada data",IF(G249&lt;IF(Aturan!$C$58="",0,Aturan!$C$58),"Kurang",IF(G249&gt;=IF(Aturan!$D$58="",Aturan!$C$58,Aturan!$D$58),"Nyaman","Cukup")))))</f>
        <v>Tidak dinilai</v>
      </c>
      <c r="P249" s="70" t="str">
        <f aca="false">IF($A249="","",IF(AND(Aturan!$C$59="",Aturan!$D$59=""),"Tidak dinilai",IF(H249="","Belum ada data",IF(H249&lt;IF(Aturan!$C$59="",0,Aturan!$C$59),"Kurang",IF(H249&gt;=IF(Aturan!$D$59="",Aturan!$C$59,Aturan!$D$59),"Nyaman","Cukup")))))</f>
        <v>Cukup</v>
      </c>
      <c r="Q249" s="70" t="str">
        <f aca="false">IF($A249="","",IF(COUNTIF(K249:P249,"Tidak dinilai")=6,"Tidak dinilai",IF(COUNTIF(K249:P249,"Kurang")&gt;0,"Kurang cocok",IF(COUNTIF(K249:P249,"Belum ada data")&gt;0,"Data belum lengkap",IF(COUNTIF(K249:P249,"Cukup")&gt;0,"Bisa, dengan catatan","Cocok")))))</f>
        <v>Kurang cocok</v>
      </c>
      <c r="R249" s="33" t="str">
        <f aca="false">IF($A249="","",IF(K249="Kurang","prosesor tingkat "&amp;C249&amp;" dari 5, di bawah batas minimal (tingkat "&amp;Aturan!$C$54&amp;")",IF(K249="Cukup","prosesor tingkat "&amp;C249&amp;" dari 5 cukup, nyamannya mulai tingkat "&amp;Aturan!$D$54,IF(K249="Belum ada data","tingkat prosesor belum diisi",""))))</f>
        <v>prosesor tingkat 3 dari 5 cukup, nyamannya mulai tingkat 4</v>
      </c>
      <c r="S249" s="33" t="str">
        <f aca="false">IF($A249="","",IF(L249="Kurang","grafis tingkat "&amp;D249&amp;" dari 5, di bawah batas minimal (tingkat "&amp;Aturan!$C$55&amp;")",IF(L249="Cukup","grafis tingkat "&amp;D249&amp;" dari 5 cukup, nyamannya mulai tingkat "&amp;Aturan!$D$55,IF(L249="Belum ada data","tingkat grafis belum diisi",""))))</f>
        <v>grafis tingkat 2 dari 5, di bawah batas minimal (tingkat 3)</v>
      </c>
      <c r="T249" s="33" t="str">
        <f aca="false">IF($A249="","",IF(M249="Kurang","RAM "&amp;E249&amp;" GB, di bawah batas minimal "&amp;Aturan!$C$56&amp;" GB ("&amp;I249&amp;")",IF(M249="Cukup","RAM "&amp;E249&amp;" GB cukup, nyamannya "&amp;Aturan!$D$56&amp;" GB atau lebih ("&amp;I249&amp;")",IF(M249="Belum ada data","ukuran RAM belum diisi",""))))</f>
        <v>RAM 8 GB cukup, nyamannya 16 GB atau lebih (bisa dinaikkan lewat slot sampai 64 GB)</v>
      </c>
      <c r="U249" s="33" t="str">
        <f aca="false">IF($A249="","",IF(N249="Kurang","penyimpanan "&amp;F249&amp;" GB, di bawah batas minimal "&amp;Aturan!$C$57&amp;" GB ("&amp;J249&amp;")",IF(N249="Cukup","penyimpanan "&amp;F249&amp;" GB cukup, nyamannya "&amp;Aturan!$D$57&amp;" GB atau lebih ("&amp;J249&amp;")",IF(N249="Belum ada data","ukuran penyimpanan belum diisi",""))))</f>
        <v>penyimpanan 512 GB cukup, nyamannya 1000 GB atau lebih (bisa diganti dengan yang lebih besar)</v>
      </c>
      <c r="V249" s="33" t="str">
        <f aca="false">IF($A249="","",IF(O249="Kurang","layar "&amp;Varian!$AG53&amp;", di bawah batas minimal ("&amp;IFERROR(INDEX(Aturan!$A$63:$A$66,MATCH(Aturan!$C$58,Aturan!$B$63:$B$66,0)),"peringkat "&amp;Aturan!$C$58)&amp;")",IF(O249="Cukup","layar "&amp;Varian!$AG53&amp;" cukup, nyamannya "&amp;IFERROR(INDEX(Aturan!$A$63:$A$66,MATCH(Aturan!$D$58,Aturan!$B$63:$B$66,0)),"peringkat "&amp;Aturan!$D$58),IF(O249="Belum ada data","jenis layar belum diketahui",""))))</f>
        <v/>
      </c>
      <c r="W249" s="33" t="str">
        <f aca="false">IF($A249="","",IF(P249="Kurang","layar "&amp;H249&amp;" Hz, di bawah batas minimal "&amp;Aturan!$C$59&amp;" Hz",IF(P249="Cukup","layar "&amp;H249&amp;" Hz cukup, nyamannya "&amp;Aturan!$D$59&amp;" Hz atau lebih",IF(P249="Belum ada data","refresh rate belum diketahui",""))))</f>
        <v>layar 60 Hz cukup, nyamannya 120 Hz atau lebih</v>
      </c>
      <c r="X249" s="33" t="str">
        <f aca="false">IF($A249="","",IF(K249="Kurang",R249&amp;"; ","")&amp;IF(L249="Kurang",S249&amp;"; ","")&amp;IF(M249="Kurang",T249&amp;"; ","")&amp;IF(N249="Kurang",U249&amp;"; ","")&amp;IF(O249="Kurang",V249&amp;"; ","")&amp;IF(P249="Kurang",W249&amp;"; ","")&amp;IF(K249="Belum ada data",R249&amp;"; ","")&amp;IF(L249="Belum ada data",S249&amp;"; ","")&amp;IF(M249="Belum ada data",T249&amp;"; ","")&amp;IF(N249="Belum ada data",U249&amp;"; ","")&amp;IF(O249="Belum ada data",V249&amp;"; ","")&amp;IF(P249="Belum ada data",W249&amp;"; ","")&amp;IF(K249="Cukup",R249&amp;"; ","")&amp;IF(L249="Cukup",S249&amp;"; ","")&amp;IF(M249="Cukup",T249&amp;"; ","")&amp;IF(N249="Cukup",U249&amp;"; ","")&amp;IF(O249="Cukup",V249&amp;"; ","")&amp;IF(P249="Cukup",W249&amp;"; ",""))</f>
        <v>grafis tingkat 2 dari 5, di bawah batas minimal (tingkat 3); prosesor tingkat 3 dari 5 cukup, nyamannya mulai tingkat 4; RAM 8 GB cukup, nyamannya 16 GB atau lebih (bisa dinaikkan lewat slot sampai 64 GB); penyimpanan 512 GB cukup, nyamannya 1000 GB atau lebih (bisa diganti dengan yang lebih besar); layar 60 Hz cukup, nyamannya 120 Hz atau lebih; </v>
      </c>
      <c r="Y249" s="33" t="str">
        <f aca="false">IF($A249="","",IF(K249="Nyaman","prosesor, ","")&amp;IF(L249="Nyaman","grafis, ","")&amp;IF(M249="Nyaman","RAM, ","")&amp;IF(N249="Nyaman","penyimpanan, ","")&amp;IF(O249="Nyaman","layar, ","")&amp;IF(P249="Nyaman","refresh rate, ",""))</f>
        <v/>
      </c>
      <c r="Z249" s="33" t="str">
        <f aca="false">IF($A249="","",IF(Q249="Tidak dinilai","Belum ada kriteria yang dinilai untuk kebutuhan ini.",IF(Q249="Cocok","Semua kriteria yang dinilai sudah nyaman: "&amp;LEFT(Y249,LEN(Y249)-2)&amp;".",UPPER(LEFT(X249,1))&amp;MID(X249,2,LEN(X249)-3)&amp;"."&amp;IF(Y249="",""," Sudah nyaman: "&amp;LEFT(Y249,LEN(Y249)-2)&amp;"."))))</f>
        <v>Grafis tingkat 2 dari 5, di bawah batas minimal (tingkat 3); prosesor tingkat 3 dari 5 cukup, nyamannya mulai tingkat 4; RAM 8 GB cukup, nyamannya 16 GB atau lebih (bisa dinaikkan lewat slot sampai 64 GB); penyimpanan 512 GB cukup, nyamannya 1000 GB atau lebih (bisa diganti dengan yang lebih besar); layar 60 Hz cukup, nyamannya 120 Hz atau lebih.</v>
      </c>
      <c r="AA249" s="33"/>
      <c r="AB249" s="33"/>
      <c r="AC249" s="69"/>
    </row>
    <row r="250" customFormat="false" ht="15" hidden="false" customHeight="true" outlineLevel="0" collapsed="false">
      <c r="A250" s="66" t="str">
        <f aca="false">IF(Varian!$A54="","",Varian!$A54)</f>
        <v>asus-vivobook-pro-15-oled-n6506-u9-285h-rtx4050-24-1tb</v>
      </c>
      <c r="B250" s="66" t="str">
        <f aca="false">IF($A250="","",Aturan!$A$21)</f>
        <v>Kuliah dan kantor</v>
      </c>
      <c r="C250" s="67" t="n">
        <f aca="false">IF($A250="","",IFERROR(IF(ISNUMBER(INDEX(CPU!$J$4:$J$64,MATCH(Varian!$J54,CPU!$A$4:$A$64,0))),INDEX(CPU!$J$4:$J$64,MATCH(Varian!$J54,CPU!$A$4:$A$64,0)),""),""))</f>
        <v>4</v>
      </c>
      <c r="D250" s="67" t="n">
        <f aca="false">IF($A250="","",IFERROR(IF(ISNUMBER(INDEX(GPU!$G$4:$G$64,MATCH(Varian!$K54,GPU!$A$4:$A$64,0))),INDEX(GPU!$G$4:$G$64,MATCH(Varian!$K54,GPU!$A$4:$A$64,0)),""),""))</f>
        <v>3</v>
      </c>
      <c r="E250" s="67" t="n">
        <f aca="false">IF($A250="","",IF(ISNUMBER(Varian!$M54),Varian!$M54,""))</f>
        <v>24</v>
      </c>
      <c r="F250" s="67" t="n">
        <f aca="false">IF($A250="","",IF(ISNUMBER(Varian!$V54),Varian!$V54,""))</f>
        <v>1024</v>
      </c>
      <c r="G250" s="67" t="n">
        <f aca="false">IF($A250="","",IFERROR(INDEX(Aturan!$B$63:$B$66,MATCH(Varian!$AG54,Aturan!$A$63:$A$66,0)),""))</f>
        <v>4</v>
      </c>
      <c r="H250" s="67" t="n">
        <f aca="false">IF($A250="","",IF(ISNUMBER(Varian!$AI54),Varian!$AI54,""))</f>
        <v>120</v>
      </c>
      <c r="I250" s="66" t="str">
        <f aca="false">IF($A250="","",IF(Varian!$Q54="disolder","menempel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sebagian menempel, sudah di batas maksimal 24 GB</v>
      </c>
      <c r="J250" s="66" t="str">
        <f aca="false">IF($A250="","",IF(Varian!$Z54="ya","bisa diganti dengan yang lebih besar",IF(Varian!$Z54="tidak","menempel, tidak bisa diganti","belum diketahui apakah bisa diganti")))</f>
        <v>bisa diganti dengan yang lebih besar</v>
      </c>
      <c r="K250" s="68" t="str">
        <f aca="false">IF($A250="","",IF(AND(Aturan!$C$30="",Aturan!$D$30=""),"Tidak dinilai",IF(C250="","Belum ada data",IF(C250&lt;IF(Aturan!$C$30="",0,Aturan!$C$30),"Kurang",IF(C250&gt;=IF(Aturan!$D$30="",Aturan!$C$30,Aturan!$D$30),"Nyaman","Cukup")))))</f>
        <v>Nyaman</v>
      </c>
      <c r="L250" s="68" t="str">
        <f aca="false">IF($A250="","",IF(AND(Aturan!$C$31="",Aturan!$D$31=""),"Tidak dinilai",IF(D250="","Belum ada data",IF(D250&lt;IF(Aturan!$C$31="",0,Aturan!$C$31),"Kurang",IF(D250&gt;=IF(Aturan!$D$31="",Aturan!$C$31,Aturan!$D$31),"Nyaman","Cukup")))))</f>
        <v>Tidak dinilai</v>
      </c>
      <c r="M250" s="68" t="str">
        <f aca="false">IF($A250="","",IF(AND(Aturan!$C$32="",Aturan!$D$32=""),"Tidak dinilai",IF(E250="","Belum ada data",IF(E250&lt;IF(Aturan!$C$32="",0,Aturan!$C$32),"Kurang",IF(E250&gt;=IF(Aturan!$D$32="",Aturan!$C$32,Aturan!$D$32),"Nyaman","Cukup")))))</f>
        <v>Nyaman</v>
      </c>
      <c r="N250" s="68" t="str">
        <f aca="false">IF($A250="","",IF(AND(Aturan!$C$33="",Aturan!$D$33=""),"Tidak dinilai",IF(F250="","Belum ada data",IF(F250&lt;IF(Aturan!$C$33="",0,Aturan!$C$33),"Kurang",IF(F250&gt;=IF(Aturan!$D$33="",Aturan!$C$33,Aturan!$D$33),"Nyaman","Cukup")))))</f>
        <v>Nyaman</v>
      </c>
      <c r="O250" s="68" t="str">
        <f aca="false">IF($A250="","",IF(AND(Aturan!$C$34="",Aturan!$D$34=""),"Tidak dinilai",IF(G250="","Belum ada data",IF(G250&lt;IF(Aturan!$C$34="",0,Aturan!$C$34),"Kurang",IF(G250&gt;=IF(Aturan!$D$34="",Aturan!$C$34,Aturan!$D$34),"Nyaman","Cukup")))))</f>
        <v>Tidak dinilai</v>
      </c>
      <c r="P250" s="68" t="str">
        <f aca="false">IF($A250="","",IF(AND(Aturan!$C$35="",Aturan!$D$35=""),"Tidak dinilai",IF(H250="","Belum ada data",IF(H250&lt;IF(Aturan!$C$35="",0,Aturan!$C$35),"Kurang",IF(H250&gt;=IF(Aturan!$D$35="",Aturan!$C$35,Aturan!$D$35),"Nyaman","Cukup")))))</f>
        <v>Tidak dinilai</v>
      </c>
      <c r="Q250" s="68" t="str">
        <f aca="false">IF($A250="","",IF(COUNTIF(K250:P250,"Tidak dinilai")=6,"Tidak dinilai",IF(COUNTIF(K250:P250,"Kurang")&gt;0,"Kurang cocok",IF(COUNTIF(K250:P250,"Belum ada data")&gt;0,"Data belum lengkap",IF(COUNTIF(K250:P250,"Cukup")&gt;0,"Bisa, dengan catatan","Cocok")))))</f>
        <v>Cocok</v>
      </c>
      <c r="R250" s="66" t="str">
        <f aca="false">IF($A250="","",IF(K250="Kurang","prosesor tingkat "&amp;C250&amp;" dari 5, di bawah batas minimal (tingkat "&amp;Aturan!$C$30&amp;")",IF(K250="Cukup","prosesor tingkat "&amp;C250&amp;" dari 5 cukup, nyamannya mulai tingkat "&amp;Aturan!$D$30,IF(K250="Belum ada data","tingkat prosesor belum diisi",""))))</f>
        <v/>
      </c>
      <c r="S250" s="66" t="str">
        <f aca="false">IF($A250="","",IF(L250="Kurang","grafis tingkat "&amp;D250&amp;" dari 5, di bawah batas minimal (tingkat "&amp;Aturan!$C$31&amp;")",IF(L250="Cukup","grafis tingkat "&amp;D250&amp;" dari 5 cukup, nyamannya mulai tingkat "&amp;Aturan!$D$31,IF(L250="Belum ada data","tingkat grafis belum diisi",""))))</f>
        <v/>
      </c>
      <c r="T250" s="66" t="str">
        <f aca="false">IF($A250="","",IF(M250="Kurang","RAM "&amp;E250&amp;" GB, di bawah batas minimal "&amp;Aturan!$C$32&amp;" GB ("&amp;I250&amp;")",IF(M250="Cukup","RAM "&amp;E250&amp;" GB cukup, nyamannya "&amp;Aturan!$D$32&amp;" GB atau lebih ("&amp;I250&amp;")",IF(M250="Belum ada data","ukuran RAM belum diisi",""))))</f>
        <v/>
      </c>
      <c r="U250" s="66" t="str">
        <f aca="false">IF($A250="","",IF(N250="Kurang","penyimpanan "&amp;F250&amp;" GB, di bawah batas minimal "&amp;Aturan!$C$33&amp;" GB ("&amp;J250&amp;")",IF(N250="Cukup","penyimpanan "&amp;F250&amp;" GB cukup, nyamannya "&amp;Aturan!$D$33&amp;" GB atau lebih ("&amp;J250&amp;")",IF(N250="Belum ada data","ukuran penyimpanan belum diisi",""))))</f>
        <v/>
      </c>
      <c r="V250" s="66" t="str">
        <f aca="false">IF($A250="","",IF(O250="Kurang","layar "&amp;Varian!$AG54&amp;", di bawah batas minimal ("&amp;IFERROR(INDEX(Aturan!$A$63:$A$66,MATCH(Aturan!$C$34,Aturan!$B$63:$B$66,0)),"peringkat "&amp;Aturan!$C$34)&amp;")",IF(O250="Cukup","layar "&amp;Varian!$AG54&amp;" cukup, nyamannya "&amp;IFERROR(INDEX(Aturan!$A$63:$A$66,MATCH(Aturan!$D$34,Aturan!$B$63:$B$66,0)),"peringkat "&amp;Aturan!$D$34),IF(O250="Belum ada data","jenis layar belum diketahui",""))))</f>
        <v/>
      </c>
      <c r="W250" s="66" t="str">
        <f aca="false">IF($A250="","",IF(P250="Kurang","layar "&amp;H250&amp;" Hz, di bawah batas minimal "&amp;Aturan!$C$35&amp;" Hz",IF(P250="Cukup","layar "&amp;H250&amp;" Hz cukup, nyamannya "&amp;Aturan!$D$35&amp;" Hz atau lebih",IF(P250="Belum ada data","refresh rate belum diketahui",""))))</f>
        <v/>
      </c>
      <c r="X250" s="66" t="str">
        <f aca="false">IF($A250="","",IF(K250="Kurang",R250&amp;"; ","")&amp;IF(L250="Kurang",S250&amp;"; ","")&amp;IF(M250="Kurang",T250&amp;"; ","")&amp;IF(N250="Kurang",U250&amp;"; ","")&amp;IF(O250="Kurang",V250&amp;"; ","")&amp;IF(P250="Kurang",W250&amp;"; ","")&amp;IF(K250="Belum ada data",R250&amp;"; ","")&amp;IF(L250="Belum ada data",S250&amp;"; ","")&amp;IF(M250="Belum ada data",T250&amp;"; ","")&amp;IF(N250="Belum ada data",U250&amp;"; ","")&amp;IF(O250="Belum ada data",V250&amp;"; ","")&amp;IF(P250="Belum ada data",W250&amp;"; ","")&amp;IF(K250="Cukup",R250&amp;"; ","")&amp;IF(L250="Cukup",S250&amp;"; ","")&amp;IF(M250="Cukup",T250&amp;"; ","")&amp;IF(N250="Cukup",U250&amp;"; ","")&amp;IF(O250="Cukup",V250&amp;"; ","")&amp;IF(P250="Cukup",W250&amp;"; ",""))</f>
        <v/>
      </c>
      <c r="Y250" s="66" t="str">
        <f aca="false">IF($A250="","",IF(K250="Nyaman","prosesor, ","")&amp;IF(L250="Nyaman","grafis, ","")&amp;IF(M250="Nyaman","RAM, ","")&amp;IF(N250="Nyaman","penyimpanan, ","")&amp;IF(O250="Nyaman","layar, ","")&amp;IF(P250="Nyaman","refresh rate, ",""))</f>
        <v>prosesor, RAM, penyimpanan, </v>
      </c>
      <c r="Z250" s="66" t="str">
        <f aca="false">IF($A250="","",IF(Q250="Tidak dinilai","Belum ada kriteria yang dinilai untuk kebutuhan ini.",IF(Q250="Cocok","Semua kriteria yang dinilai sudah nyaman: "&amp;LEFT(Y250,LEN(Y250)-2)&amp;".",UPPER(LEFT(X250,1))&amp;MID(X250,2,LEN(X250)-3)&amp;"."&amp;IF(Y250="",""," Sudah nyaman: "&amp;LEFT(Y250,LEN(Y250)-2)&amp;"."))))</f>
        <v>Semua kriteria yang dinilai sudah nyaman: prosesor, RAM, penyimpanan.</v>
      </c>
      <c r="AA250" s="66" t="str">
        <f aca="false">IF($A250="","",IF(Varian!$AR54="Windows 10","• "&amp;Aturan!$E$71&amp;CHAR(10),"")&amp;IF(Varian!$BB54="tidak","• "&amp;Aturan!$E$72&amp;CHAR(10),"")&amp;IF(OR(Varian!$AD54="belum terverifikasi",Varian!$AD54="tidak diketahui"),"• "&amp;Aturan!$E$73&amp;CHAR(10),"")&amp;IF(Varian!$AH54="1366x768","• "&amp;Aturan!$E$74&amp;CHAR(10),"")&amp;IF(Varian!$AG54="TN","• "&amp;Aturan!$E$75&amp;CHAR(10),"")&amp;IF(AND(Varian!$Q54="disolder",ISNUMBER(Varian!$M54),Varian!$M54&lt;=8),"• "&amp;Aturan!$E$76&amp;CHAR(10),""))</f>
        <v/>
      </c>
      <c r="AB250" s="66" t="str">
        <f aca="false">IF($A250="","",IF(AA250="","",LEFT(AA250,LEN(AA250)-1)))</f>
        <v/>
      </c>
      <c r="AC250" s="67" t="n">
        <f aca="false">IF($A250="","",IF(AA250="",0,LEN(AA250)-LEN(SUBSTITUTE(AA250,CHAR(10),""))))</f>
        <v>0</v>
      </c>
    </row>
    <row r="251" customFormat="false" ht="15" hidden="false" customHeight="true" outlineLevel="0" collapsed="false">
      <c r="A251" s="33" t="str">
        <f aca="false">IF(Varian!$A54="","",Varian!$A54)</f>
        <v>asus-vivobook-pro-15-oled-n6506-u9-285h-rtx4050-24-1tb</v>
      </c>
      <c r="B251" s="33" t="str">
        <f aca="false">IF($A251="","",Aturan!$A$22)</f>
        <v>Desain grafis</v>
      </c>
      <c r="C251" s="69" t="n">
        <f aca="false">IF($A251="","",IFERROR(IF(ISNUMBER(INDEX(CPU!$J$4:$J$64,MATCH(Varian!$J54,CPU!$A$4:$A$64,0))),INDEX(CPU!$J$4:$J$64,MATCH(Varian!$J54,CPU!$A$4:$A$64,0)),""),""))</f>
        <v>4</v>
      </c>
      <c r="D251" s="69" t="n">
        <f aca="false">IF($A251="","",IFERROR(IF(ISNUMBER(INDEX(GPU!$G$4:$G$64,MATCH(Varian!$K54,GPU!$A$4:$A$64,0))),INDEX(GPU!$G$4:$G$64,MATCH(Varian!$K54,GPU!$A$4:$A$64,0)),""),""))</f>
        <v>3</v>
      </c>
      <c r="E251" s="69" t="n">
        <f aca="false">IF($A251="","",IF(ISNUMBER(Varian!$M54),Varian!$M54,""))</f>
        <v>24</v>
      </c>
      <c r="F251" s="69" t="n">
        <f aca="false">IF($A251="","",IF(ISNUMBER(Varian!$V54),Varian!$V54,""))</f>
        <v>1024</v>
      </c>
      <c r="G251" s="69" t="n">
        <f aca="false">IF($A251="","",IFERROR(INDEX(Aturan!$B$63:$B$66,MATCH(Varian!$AG54,Aturan!$A$63:$A$66,0)),""))</f>
        <v>4</v>
      </c>
      <c r="H251" s="69" t="n">
        <f aca="false">IF($A251="","",IF(ISNUMBER(Varian!$AI54),Varian!$AI54,""))</f>
        <v>120</v>
      </c>
      <c r="I251" s="33" t="str">
        <f aca="false">IF($A251="","",IF(Varian!$Q54="disolder","menempel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sebagian menempel, sudah di batas maksimal 24 GB</v>
      </c>
      <c r="J251" s="33" t="str">
        <f aca="false">IF($A251="","",IF(Varian!$Z54="ya","bisa diganti dengan yang lebih besar",IF(Varian!$Z54="tidak","menempel, tidak bisa diganti","belum diketahui apakah bisa diganti")))</f>
        <v>bisa diganti dengan yang lebih besar</v>
      </c>
      <c r="K251" s="70" t="str">
        <f aca="false">IF($A251="","",IF(AND(Aturan!$C$36="",Aturan!$D$36=""),"Tidak dinilai",IF(C251="","Belum ada data",IF(C251&lt;IF(Aturan!$C$36="",0,Aturan!$C$36),"Kurang",IF(C251&gt;=IF(Aturan!$D$36="",Aturan!$C$36,Aturan!$D$36),"Nyaman","Cukup")))))</f>
        <v>Nyaman</v>
      </c>
      <c r="L251" s="70" t="str">
        <f aca="false">IF($A251="","",IF(AND(Aturan!$C$37="",Aturan!$D$37=""),"Tidak dinilai",IF(D251="","Belum ada data",IF(D251&lt;IF(Aturan!$C$37="",0,Aturan!$C$37),"Kurang",IF(D251&gt;=IF(Aturan!$D$37="",Aturan!$C$37,Aturan!$D$37),"Nyaman","Cukup")))))</f>
        <v>Nyaman</v>
      </c>
      <c r="M251" s="70" t="str">
        <f aca="false">IF($A251="","",IF(AND(Aturan!$C$38="",Aturan!$D$38=""),"Tidak dinilai",IF(E251="","Belum ada data",IF(E251&lt;IF(Aturan!$C$38="",0,Aturan!$C$38),"Kurang",IF(E251&gt;=IF(Aturan!$D$38="",Aturan!$C$38,Aturan!$D$38),"Nyaman","Cukup")))))</f>
        <v>Nyaman</v>
      </c>
      <c r="N251" s="70" t="str">
        <f aca="false">IF($A251="","",IF(AND(Aturan!$C$39="",Aturan!$D$39=""),"Tidak dinilai",IF(F251="","Belum ada data",IF(F251&lt;IF(Aturan!$C$39="",0,Aturan!$C$39),"Kurang",IF(F251&gt;=IF(Aturan!$D$39="",Aturan!$C$39,Aturan!$D$39),"Nyaman","Cukup")))))</f>
        <v>Nyaman</v>
      </c>
      <c r="O251" s="70" t="str">
        <f aca="false">IF($A251="","",IF(AND(Aturan!$C$40="",Aturan!$D$40=""),"Tidak dinilai",IF(G251="","Belum ada data",IF(G251&lt;IF(Aturan!$C$40="",0,Aturan!$C$40),"Kurang",IF(G251&gt;=IF(Aturan!$D$40="",Aturan!$C$40,Aturan!$D$40),"Nyaman","Cukup")))))</f>
        <v>Nyaman</v>
      </c>
      <c r="P251" s="70" t="str">
        <f aca="false">IF($A251="","",IF(AND(Aturan!$C$41="",Aturan!$D$41=""),"Tidak dinilai",IF(H251="","Belum ada data",IF(H251&lt;IF(Aturan!$C$41="",0,Aturan!$C$41),"Kurang",IF(H251&gt;=IF(Aturan!$D$41="",Aturan!$C$41,Aturan!$D$41),"Nyaman","Cukup")))))</f>
        <v>Tidak dinilai</v>
      </c>
      <c r="Q251" s="70" t="str">
        <f aca="false">IF($A251="","",IF(COUNTIF(K251:P251,"Tidak dinilai")=6,"Tidak dinilai",IF(COUNTIF(K251:P251,"Kurang")&gt;0,"Kurang cocok",IF(COUNTIF(K251:P251,"Belum ada data")&gt;0,"Data belum lengkap",IF(COUNTIF(K251:P251,"Cukup")&gt;0,"Bisa, dengan catatan","Cocok")))))</f>
        <v>Cocok</v>
      </c>
      <c r="R251" s="33" t="str">
        <f aca="false">IF($A251="","",IF(K251="Kurang","prosesor tingkat "&amp;C251&amp;" dari 5, di bawah batas minimal (tingkat "&amp;Aturan!$C$36&amp;")",IF(K251="Cukup","prosesor tingkat "&amp;C251&amp;" dari 5 cukup, nyamannya mulai tingkat "&amp;Aturan!$D$36,IF(K251="Belum ada data","tingkat prosesor belum diisi",""))))</f>
        <v/>
      </c>
      <c r="S251" s="33" t="str">
        <f aca="false">IF($A251="","",IF(L251="Kurang","grafis tingkat "&amp;D251&amp;" dari 5, di bawah batas minimal (tingkat "&amp;Aturan!$C$37&amp;")",IF(L251="Cukup","grafis tingkat "&amp;D251&amp;" dari 5 cukup, nyamannya mulai tingkat "&amp;Aturan!$D$37,IF(L251="Belum ada data","tingkat grafis belum diisi",""))))</f>
        <v/>
      </c>
      <c r="T251" s="33" t="str">
        <f aca="false">IF($A251="","",IF(M251="Kurang","RAM "&amp;E251&amp;" GB, di bawah batas minimal "&amp;Aturan!$C$38&amp;" GB ("&amp;I251&amp;")",IF(M251="Cukup","RAM "&amp;E251&amp;" GB cukup, nyamannya "&amp;Aturan!$D$38&amp;" GB atau lebih ("&amp;I251&amp;")",IF(M251="Belum ada data","ukuran RAM belum diisi",""))))</f>
        <v/>
      </c>
      <c r="U251" s="33" t="str">
        <f aca="false">IF($A251="","",IF(N251="Kurang","penyimpanan "&amp;F251&amp;" GB, di bawah batas minimal "&amp;Aturan!$C$39&amp;" GB ("&amp;J251&amp;")",IF(N251="Cukup","penyimpanan "&amp;F251&amp;" GB cukup, nyamannya "&amp;Aturan!$D$39&amp;" GB atau lebih ("&amp;J251&amp;")",IF(N251="Belum ada data","ukuran penyimpanan belum diisi",""))))</f>
        <v/>
      </c>
      <c r="V251" s="33" t="str">
        <f aca="false">IF($A251="","",IF(O251="Kurang","layar "&amp;Varian!$AG54&amp;", di bawah batas minimal ("&amp;IFERROR(INDEX(Aturan!$A$63:$A$66,MATCH(Aturan!$C$40,Aturan!$B$63:$B$66,0)),"peringkat "&amp;Aturan!$C$40)&amp;")",IF(O251="Cukup","layar "&amp;Varian!$AG54&amp;" cukup, nyamannya "&amp;IFERROR(INDEX(Aturan!$A$63:$A$66,MATCH(Aturan!$D$40,Aturan!$B$63:$B$66,0)),"peringkat "&amp;Aturan!$D$40),IF(O251="Belum ada data","jenis layar belum diketahui",""))))</f>
        <v/>
      </c>
      <c r="W251" s="33" t="str">
        <f aca="false">IF($A251="","",IF(P251="Kurang","layar "&amp;H251&amp;" Hz, di bawah batas minimal "&amp;Aturan!$C$41&amp;" Hz",IF(P251="Cukup","layar "&amp;H251&amp;" Hz cukup, nyamannya "&amp;Aturan!$D$41&amp;" Hz atau lebih",IF(P251="Belum ada data","refresh rate belum diketahui",""))))</f>
        <v/>
      </c>
      <c r="X251" s="33" t="str">
        <f aca="false">IF($A251="","",IF(K251="Kurang",R251&amp;"; ","")&amp;IF(L251="Kurang",S251&amp;"; ","")&amp;IF(M251="Kurang",T251&amp;"; ","")&amp;IF(N251="Kurang",U251&amp;"; ","")&amp;IF(O251="Kurang",V251&amp;"; ","")&amp;IF(P251="Kurang",W251&amp;"; ","")&amp;IF(K251="Belum ada data",R251&amp;"; ","")&amp;IF(L251="Belum ada data",S251&amp;"; ","")&amp;IF(M251="Belum ada data",T251&amp;"; ","")&amp;IF(N251="Belum ada data",U251&amp;"; ","")&amp;IF(O251="Belum ada data",V251&amp;"; ","")&amp;IF(P251="Belum ada data",W251&amp;"; ","")&amp;IF(K251="Cukup",R251&amp;"; ","")&amp;IF(L251="Cukup",S251&amp;"; ","")&amp;IF(M251="Cukup",T251&amp;"; ","")&amp;IF(N251="Cukup",U251&amp;"; ","")&amp;IF(O251="Cukup",V251&amp;"; ","")&amp;IF(P251="Cukup",W251&amp;"; ",""))</f>
        <v/>
      </c>
      <c r="Y251" s="33" t="str">
        <f aca="false">IF($A251="","",IF(K251="Nyaman","prosesor, ","")&amp;IF(L251="Nyaman","grafis, ","")&amp;IF(M251="Nyaman","RAM, ","")&amp;IF(N251="Nyaman","penyimpanan, ","")&amp;IF(O251="Nyaman","layar, ","")&amp;IF(P251="Nyaman","refresh rate, ",""))</f>
        <v>prosesor, grafis, RAM, penyimpanan, layar, </v>
      </c>
      <c r="Z251" s="33" t="str">
        <f aca="false">IF($A251="","",IF(Q251="Tidak dinilai","Belum ada kriteria yang dinilai untuk kebutuhan ini.",IF(Q251="Cocok","Semua kriteria yang dinilai sudah nyaman: "&amp;LEFT(Y251,LEN(Y251)-2)&amp;".",UPPER(LEFT(X251,1))&amp;MID(X251,2,LEN(X251)-3)&amp;"."&amp;IF(Y251="",""," Sudah nyaman: "&amp;LEFT(Y251,LEN(Y251)-2)&amp;"."))))</f>
        <v>Semua kriteria yang dinilai sudah nyaman: prosesor, grafis, RAM, penyimpanan, layar.</v>
      </c>
      <c r="AA251" s="33"/>
      <c r="AB251" s="33"/>
      <c r="AC251" s="69"/>
    </row>
    <row r="252" customFormat="false" ht="15" hidden="false" customHeight="true" outlineLevel="0" collapsed="false">
      <c r="A252" s="33" t="str">
        <f aca="false">IF(Varian!$A54="","",Varian!$A54)</f>
        <v>asus-vivobook-pro-15-oled-n6506-u9-285h-rtx4050-24-1tb</v>
      </c>
      <c r="B252" s="33" t="str">
        <f aca="false">IF($A252="","",Aturan!$A$23)</f>
        <v>Pemrograman</v>
      </c>
      <c r="C252" s="69" t="n">
        <f aca="false">IF($A252="","",IFERROR(IF(ISNUMBER(INDEX(CPU!$J$4:$J$64,MATCH(Varian!$J54,CPU!$A$4:$A$64,0))),INDEX(CPU!$J$4:$J$64,MATCH(Varian!$J54,CPU!$A$4:$A$64,0)),""),""))</f>
        <v>4</v>
      </c>
      <c r="D252" s="69" t="n">
        <f aca="false">IF($A252="","",IFERROR(IF(ISNUMBER(INDEX(GPU!$G$4:$G$64,MATCH(Varian!$K54,GPU!$A$4:$A$64,0))),INDEX(GPU!$G$4:$G$64,MATCH(Varian!$K54,GPU!$A$4:$A$64,0)),""),""))</f>
        <v>3</v>
      </c>
      <c r="E252" s="69" t="n">
        <f aca="false">IF($A252="","",IF(ISNUMBER(Varian!$M54),Varian!$M54,""))</f>
        <v>24</v>
      </c>
      <c r="F252" s="69" t="n">
        <f aca="false">IF($A252="","",IF(ISNUMBER(Varian!$V54),Varian!$V54,""))</f>
        <v>1024</v>
      </c>
      <c r="G252" s="69" t="n">
        <f aca="false">IF($A252="","",IFERROR(INDEX(Aturan!$B$63:$B$66,MATCH(Varian!$AG54,Aturan!$A$63:$A$66,0)),""))</f>
        <v>4</v>
      </c>
      <c r="H252" s="69" t="n">
        <f aca="false">IF($A252="","",IF(ISNUMBER(Varian!$AI54),Varian!$AI54,""))</f>
        <v>120</v>
      </c>
      <c r="I252" s="33" t="str">
        <f aca="false">IF($A252="","",IF(Varian!$Q54="disolder","menempel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sebagian menempel, sudah di batas maksimal 24 GB</v>
      </c>
      <c r="J252" s="33" t="str">
        <f aca="false">IF($A252="","",IF(Varian!$Z54="ya","bisa diganti dengan yang lebih besar",IF(Varian!$Z54="tidak","menempel, tidak bisa diganti","belum diketahui apakah bisa diganti")))</f>
        <v>bisa diganti dengan yang lebih besar</v>
      </c>
      <c r="K252" s="70" t="str">
        <f aca="false">IF($A252="","",IF(AND(Aturan!$C$42="",Aturan!$D$42=""),"Tidak dinilai",IF(C252="","Belum ada data",IF(C252&lt;IF(Aturan!$C$42="",0,Aturan!$C$42),"Kurang",IF(C252&gt;=IF(Aturan!$D$42="",Aturan!$C$42,Aturan!$D$42),"Nyaman","Cukup")))))</f>
        <v>Nyaman</v>
      </c>
      <c r="L252" s="70" t="str">
        <f aca="false">IF($A252="","",IF(AND(Aturan!$C$43="",Aturan!$D$43=""),"Tidak dinilai",IF(D252="","Belum ada data",IF(D252&lt;IF(Aturan!$C$43="",0,Aturan!$C$43),"Kurang",IF(D252&gt;=IF(Aturan!$D$43="",Aturan!$C$43,Aturan!$D$43),"Nyaman","Cukup")))))</f>
        <v>Tidak dinilai</v>
      </c>
      <c r="M252" s="70" t="str">
        <f aca="false">IF($A252="","",IF(AND(Aturan!$C$44="",Aturan!$D$44=""),"Tidak dinilai",IF(E252="","Belum ada data",IF(E252&lt;IF(Aturan!$C$44="",0,Aturan!$C$44),"Kurang",IF(E252&gt;=IF(Aturan!$D$44="",Aturan!$C$44,Aturan!$D$44),"Nyaman","Cukup")))))</f>
        <v>Nyaman</v>
      </c>
      <c r="N252" s="70" t="str">
        <f aca="false">IF($A252="","",IF(AND(Aturan!$C$45="",Aturan!$D$45=""),"Tidak dinilai",IF(F252="","Belum ada data",IF(F252&lt;IF(Aturan!$C$45="",0,Aturan!$C$45),"Kurang",IF(F252&gt;=IF(Aturan!$D$45="",Aturan!$C$45,Aturan!$D$45),"Nyaman","Cukup")))))</f>
        <v>Nyaman</v>
      </c>
      <c r="O252" s="70" t="str">
        <f aca="false">IF($A252="","",IF(AND(Aturan!$C$46="",Aturan!$D$46=""),"Tidak dinilai",IF(G252="","Belum ada data",IF(G252&lt;IF(Aturan!$C$46="",0,Aturan!$C$46),"Kurang",IF(G252&gt;=IF(Aturan!$D$46="",Aturan!$C$46,Aturan!$D$46),"Nyaman","Cukup")))))</f>
        <v>Tidak dinilai</v>
      </c>
      <c r="P252" s="70" t="str">
        <f aca="false">IF($A252="","",IF(AND(Aturan!$C$47="",Aturan!$D$47=""),"Tidak dinilai",IF(H252="","Belum ada data",IF(H252&lt;IF(Aturan!$C$47="",0,Aturan!$C$47),"Kurang",IF(H252&gt;=IF(Aturan!$D$47="",Aturan!$C$47,Aturan!$D$47),"Nyaman","Cukup")))))</f>
        <v>Tidak dinilai</v>
      </c>
      <c r="Q252" s="70" t="str">
        <f aca="false">IF($A252="","",IF(COUNTIF(K252:P252,"Tidak dinilai")=6,"Tidak dinilai",IF(COUNTIF(K252:P252,"Kurang")&gt;0,"Kurang cocok",IF(COUNTIF(K252:P252,"Belum ada data")&gt;0,"Data belum lengkap",IF(COUNTIF(K252:P252,"Cukup")&gt;0,"Bisa, dengan catatan","Cocok")))))</f>
        <v>Cocok</v>
      </c>
      <c r="R252" s="33" t="str">
        <f aca="false">IF($A252="","",IF(K252="Kurang","prosesor tingkat "&amp;C252&amp;" dari 5, di bawah batas minimal (tingkat "&amp;Aturan!$C$42&amp;")",IF(K252="Cukup","prosesor tingkat "&amp;C252&amp;" dari 5 cukup, nyamannya mulai tingkat "&amp;Aturan!$D$42,IF(K252="Belum ada data","tingkat prosesor belum diisi",""))))</f>
        <v/>
      </c>
      <c r="S252" s="33" t="str">
        <f aca="false">IF($A252="","",IF(L252="Kurang","grafis tingkat "&amp;D252&amp;" dari 5, di bawah batas minimal (tingkat "&amp;Aturan!$C$43&amp;")",IF(L252="Cukup","grafis tingkat "&amp;D252&amp;" dari 5 cukup, nyamannya mulai tingkat "&amp;Aturan!$D$43,IF(L252="Belum ada data","tingkat grafis belum diisi",""))))</f>
        <v/>
      </c>
      <c r="T252" s="33" t="str">
        <f aca="false">IF($A252="","",IF(M252="Kurang","RAM "&amp;E252&amp;" GB, di bawah batas minimal "&amp;Aturan!$C$44&amp;" GB ("&amp;I252&amp;")",IF(M252="Cukup","RAM "&amp;E252&amp;" GB cukup, nyamannya "&amp;Aturan!$D$44&amp;" GB atau lebih ("&amp;I252&amp;")",IF(M252="Belum ada data","ukuran RAM belum diisi",""))))</f>
        <v/>
      </c>
      <c r="U252" s="33" t="str">
        <f aca="false">IF($A252="","",IF(N252="Kurang","penyimpanan "&amp;F252&amp;" GB, di bawah batas minimal "&amp;Aturan!$C$45&amp;" GB ("&amp;J252&amp;")",IF(N252="Cukup","penyimpanan "&amp;F252&amp;" GB cukup, nyamannya "&amp;Aturan!$D$45&amp;" GB atau lebih ("&amp;J252&amp;")",IF(N252="Belum ada data","ukuran penyimpanan belum diisi",""))))</f>
        <v/>
      </c>
      <c r="V252" s="33" t="str">
        <f aca="false">IF($A252="","",IF(O252="Kurang","layar "&amp;Varian!$AG54&amp;", di bawah batas minimal ("&amp;IFERROR(INDEX(Aturan!$A$63:$A$66,MATCH(Aturan!$C$46,Aturan!$B$63:$B$66,0)),"peringkat "&amp;Aturan!$C$46)&amp;")",IF(O252="Cukup","layar "&amp;Varian!$AG54&amp;" cukup, nyamannya "&amp;IFERROR(INDEX(Aturan!$A$63:$A$66,MATCH(Aturan!$D$46,Aturan!$B$63:$B$66,0)),"peringkat "&amp;Aturan!$D$46),IF(O252="Belum ada data","jenis layar belum diketahui",""))))</f>
        <v/>
      </c>
      <c r="W252" s="33" t="str">
        <f aca="false">IF($A252="","",IF(P252="Kurang","layar "&amp;H252&amp;" Hz, di bawah batas minimal "&amp;Aturan!$C$47&amp;" Hz",IF(P252="Cukup","layar "&amp;H252&amp;" Hz cukup, nyamannya "&amp;Aturan!$D$47&amp;" Hz atau lebih",IF(P252="Belum ada data","refresh rate belum diketahui",""))))</f>
        <v/>
      </c>
      <c r="X252" s="33" t="str">
        <f aca="false">IF($A252="","",IF(K252="Kurang",R252&amp;"; ","")&amp;IF(L252="Kurang",S252&amp;"; ","")&amp;IF(M252="Kurang",T252&amp;"; ","")&amp;IF(N252="Kurang",U252&amp;"; ","")&amp;IF(O252="Kurang",V252&amp;"; ","")&amp;IF(P252="Kurang",W252&amp;"; ","")&amp;IF(K252="Belum ada data",R252&amp;"; ","")&amp;IF(L252="Belum ada data",S252&amp;"; ","")&amp;IF(M252="Belum ada data",T252&amp;"; ","")&amp;IF(N252="Belum ada data",U252&amp;"; ","")&amp;IF(O252="Belum ada data",V252&amp;"; ","")&amp;IF(P252="Belum ada data",W252&amp;"; ","")&amp;IF(K252="Cukup",R252&amp;"; ","")&amp;IF(L252="Cukup",S252&amp;"; ","")&amp;IF(M252="Cukup",T252&amp;"; ","")&amp;IF(N252="Cukup",U252&amp;"; ","")&amp;IF(O252="Cukup",V252&amp;"; ","")&amp;IF(P252="Cukup",W252&amp;"; ",""))</f>
        <v/>
      </c>
      <c r="Y252" s="33" t="str">
        <f aca="false">IF($A252="","",IF(K252="Nyaman","prosesor, ","")&amp;IF(L252="Nyaman","grafis, ","")&amp;IF(M252="Nyaman","RAM, ","")&amp;IF(N252="Nyaman","penyimpanan, ","")&amp;IF(O252="Nyaman","layar, ","")&amp;IF(P252="Nyaman","refresh rate, ",""))</f>
        <v>prosesor, RAM, penyimpanan, </v>
      </c>
      <c r="Z252" s="33" t="str">
        <f aca="false">IF($A252="","",IF(Q252="Tidak dinilai","Belum ada kriteria yang dinilai untuk kebutuhan ini.",IF(Q252="Cocok","Semua kriteria yang dinilai sudah nyaman: "&amp;LEFT(Y252,LEN(Y252)-2)&amp;".",UPPER(LEFT(X252,1))&amp;MID(X252,2,LEN(X252)-3)&amp;"."&amp;IF(Y252="",""," Sudah nyaman: "&amp;LEFT(Y252,LEN(Y252)-2)&amp;"."))))</f>
        <v>Semua kriteria yang dinilai sudah nyaman: prosesor, RAM, penyimpanan.</v>
      </c>
      <c r="AA252" s="33"/>
      <c r="AB252" s="33"/>
      <c r="AC252" s="69"/>
    </row>
    <row r="253" customFormat="false" ht="15" hidden="false" customHeight="true" outlineLevel="0" collapsed="false">
      <c r="A253" s="33" t="str">
        <f aca="false">IF(Varian!$A54="","",Varian!$A54)</f>
        <v>asus-vivobook-pro-15-oled-n6506-u9-285h-rtx4050-24-1tb</v>
      </c>
      <c r="B253" s="33" t="str">
        <f aca="false">IF($A253="","",Aturan!$A$24)</f>
        <v>Game ringan</v>
      </c>
      <c r="C253" s="69" t="n">
        <f aca="false">IF($A253="","",IFERROR(IF(ISNUMBER(INDEX(CPU!$J$4:$J$64,MATCH(Varian!$J54,CPU!$A$4:$A$64,0))),INDEX(CPU!$J$4:$J$64,MATCH(Varian!$J54,CPU!$A$4:$A$64,0)),""),""))</f>
        <v>4</v>
      </c>
      <c r="D253" s="69" t="n">
        <f aca="false">IF($A253="","",IFERROR(IF(ISNUMBER(INDEX(GPU!$G$4:$G$64,MATCH(Varian!$K54,GPU!$A$4:$A$64,0))),INDEX(GPU!$G$4:$G$64,MATCH(Varian!$K54,GPU!$A$4:$A$64,0)),""),""))</f>
        <v>3</v>
      </c>
      <c r="E253" s="69" t="n">
        <f aca="false">IF($A253="","",IF(ISNUMBER(Varian!$M54),Varian!$M54,""))</f>
        <v>24</v>
      </c>
      <c r="F253" s="69" t="n">
        <f aca="false">IF($A253="","",IF(ISNUMBER(Varian!$V54),Varian!$V54,""))</f>
        <v>1024</v>
      </c>
      <c r="G253" s="69" t="n">
        <f aca="false">IF($A253="","",IFERROR(INDEX(Aturan!$B$63:$B$66,MATCH(Varian!$AG54,Aturan!$A$63:$A$66,0)),""))</f>
        <v>4</v>
      </c>
      <c r="H253" s="69" t="n">
        <f aca="false">IF($A253="","",IF(ISNUMBER(Varian!$AI54),Varian!$AI54,""))</f>
        <v>120</v>
      </c>
      <c r="I253" s="33" t="str">
        <f aca="false">IF($A253="","",IF(Varian!$Q54="disolder","menempel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sebagian menempel, sudah di batas maksimal 24 GB</v>
      </c>
      <c r="J253" s="33" t="str">
        <f aca="false">IF($A253="","",IF(Varian!$Z54="ya","bisa diganti dengan yang lebih besar",IF(Varian!$Z54="tidak","menempel, tidak bisa diganti","belum diketahui apakah bisa diganti")))</f>
        <v>bisa diganti dengan yang lebih besar</v>
      </c>
      <c r="K253" s="70" t="str">
        <f aca="false">IF($A253="","",IF(AND(Aturan!$C$48="",Aturan!$D$48=""),"Tidak dinilai",IF(C253="","Belum ada data",IF(C253&lt;IF(Aturan!$C$48="",0,Aturan!$C$48),"Kurang",IF(C253&gt;=IF(Aturan!$D$48="",Aturan!$C$48,Aturan!$D$48),"Nyaman","Cukup")))))</f>
        <v>Nyaman</v>
      </c>
      <c r="L253" s="70" t="str">
        <f aca="false">IF($A253="","",IF(AND(Aturan!$C$49="",Aturan!$D$49=""),"Tidak dinilai",IF(D253="","Belum ada data",IF(D253&lt;IF(Aturan!$C$49="",0,Aturan!$C$49),"Kurang",IF(D253&gt;=IF(Aturan!$D$49="",Aturan!$C$49,Aturan!$D$49),"Nyaman","Cukup")))))</f>
        <v>Nyaman</v>
      </c>
      <c r="M253" s="70" t="str">
        <f aca="false">IF($A253="","",IF(AND(Aturan!$C$50="",Aturan!$D$50=""),"Tidak dinilai",IF(E253="","Belum ada data",IF(E253&lt;IF(Aturan!$C$50="",0,Aturan!$C$50),"Kurang",IF(E253&gt;=IF(Aturan!$D$50="",Aturan!$C$50,Aturan!$D$50),"Nyaman","Cukup")))))</f>
        <v>Nyaman</v>
      </c>
      <c r="N253" s="70" t="str">
        <f aca="false">IF($A253="","",IF(AND(Aturan!$C$51="",Aturan!$D$51=""),"Tidak dinilai",IF(F253="","Belum ada data",IF(F253&lt;IF(Aturan!$C$51="",0,Aturan!$C$51),"Kurang",IF(F253&gt;=IF(Aturan!$D$51="",Aturan!$C$51,Aturan!$D$51),"Nyaman","Cukup")))))</f>
        <v>Nyaman</v>
      </c>
      <c r="O253" s="70" t="str">
        <f aca="false">IF($A253="","",IF(AND(Aturan!$C$52="",Aturan!$D$52=""),"Tidak dinilai",IF(G253="","Belum ada data",IF(G253&lt;IF(Aturan!$C$52="",0,Aturan!$C$52),"Kurang",IF(G253&gt;=IF(Aturan!$D$52="",Aturan!$C$52,Aturan!$D$52),"Nyaman","Cukup")))))</f>
        <v>Tidak dinilai</v>
      </c>
      <c r="P253" s="70" t="str">
        <f aca="false">IF($A253="","",IF(AND(Aturan!$C$53="",Aturan!$D$53=""),"Tidak dinilai",IF(H253="","Belum ada data",IF(H253&lt;IF(Aturan!$C$53="",0,Aturan!$C$53),"Kurang",IF(H253&gt;=IF(Aturan!$D$53="",Aturan!$C$53,Aturan!$D$53),"Nyaman","Cukup")))))</f>
        <v>Tidak dinilai</v>
      </c>
      <c r="Q253" s="70" t="str">
        <f aca="false">IF($A253="","",IF(COUNTIF(K253:P253,"Tidak dinilai")=6,"Tidak dinilai",IF(COUNTIF(K253:P253,"Kurang")&gt;0,"Kurang cocok",IF(COUNTIF(K253:P253,"Belum ada data")&gt;0,"Data belum lengkap",IF(COUNTIF(K253:P253,"Cukup")&gt;0,"Bisa, dengan catatan","Cocok")))))</f>
        <v>Cocok</v>
      </c>
      <c r="R253" s="33" t="str">
        <f aca="false">IF($A253="","",IF(K253="Kurang","prosesor tingkat "&amp;C253&amp;" dari 5, di bawah batas minimal (tingkat "&amp;Aturan!$C$48&amp;")",IF(K253="Cukup","prosesor tingkat "&amp;C253&amp;" dari 5 cukup, nyamannya mulai tingkat "&amp;Aturan!$D$48,IF(K253="Belum ada data","tingkat prosesor belum diisi",""))))</f>
        <v/>
      </c>
      <c r="S253" s="33" t="str">
        <f aca="false">IF($A253="","",IF(L253="Kurang","grafis tingkat "&amp;D253&amp;" dari 5, di bawah batas minimal (tingkat "&amp;Aturan!$C$49&amp;")",IF(L253="Cukup","grafis tingkat "&amp;D253&amp;" dari 5 cukup, nyamannya mulai tingkat "&amp;Aturan!$D$49,IF(L253="Belum ada data","tingkat grafis belum diisi",""))))</f>
        <v/>
      </c>
      <c r="T253" s="33" t="str">
        <f aca="false">IF($A253="","",IF(M253="Kurang","RAM "&amp;E253&amp;" GB, di bawah batas minimal "&amp;Aturan!$C$50&amp;" GB ("&amp;I253&amp;")",IF(M253="Cukup","RAM "&amp;E253&amp;" GB cukup, nyamannya "&amp;Aturan!$D$50&amp;" GB atau lebih ("&amp;I253&amp;")",IF(M253="Belum ada data","ukuran RAM belum diisi",""))))</f>
        <v/>
      </c>
      <c r="U253" s="33" t="str">
        <f aca="false">IF($A253="","",IF(N253="Kurang","penyimpanan "&amp;F253&amp;" GB, di bawah batas minimal "&amp;Aturan!$C$51&amp;" GB ("&amp;J253&amp;")",IF(N253="Cukup","penyimpanan "&amp;F253&amp;" GB cukup, nyamannya "&amp;Aturan!$D$51&amp;" GB atau lebih ("&amp;J253&amp;")",IF(N253="Belum ada data","ukuran penyimpanan belum diisi",""))))</f>
        <v/>
      </c>
      <c r="V253" s="33" t="str">
        <f aca="false">IF($A253="","",IF(O253="Kurang","layar "&amp;Varian!$AG54&amp;", di bawah batas minimal ("&amp;IFERROR(INDEX(Aturan!$A$63:$A$66,MATCH(Aturan!$C$52,Aturan!$B$63:$B$66,0)),"peringkat "&amp;Aturan!$C$52)&amp;")",IF(O253="Cukup","layar "&amp;Varian!$AG54&amp;" cukup, nyamannya "&amp;IFERROR(INDEX(Aturan!$A$63:$A$66,MATCH(Aturan!$D$52,Aturan!$B$63:$B$66,0)),"peringkat "&amp;Aturan!$D$52),IF(O253="Belum ada data","jenis layar belum diketahui",""))))</f>
        <v/>
      </c>
      <c r="W253" s="33" t="str">
        <f aca="false">IF($A253="","",IF(P253="Kurang","layar "&amp;H253&amp;" Hz, di bawah batas minimal "&amp;Aturan!$C$53&amp;" Hz",IF(P253="Cukup","layar "&amp;H253&amp;" Hz cukup, nyamannya "&amp;Aturan!$D$53&amp;" Hz atau lebih",IF(P253="Belum ada data","refresh rate belum diketahui",""))))</f>
        <v/>
      </c>
      <c r="X253" s="33" t="str">
        <f aca="false">IF($A253="","",IF(K253="Kurang",R253&amp;"; ","")&amp;IF(L253="Kurang",S253&amp;"; ","")&amp;IF(M253="Kurang",T253&amp;"; ","")&amp;IF(N253="Kurang",U253&amp;"; ","")&amp;IF(O253="Kurang",V253&amp;"; ","")&amp;IF(P253="Kurang",W253&amp;"; ","")&amp;IF(K253="Belum ada data",R253&amp;"; ","")&amp;IF(L253="Belum ada data",S253&amp;"; ","")&amp;IF(M253="Belum ada data",T253&amp;"; ","")&amp;IF(N253="Belum ada data",U253&amp;"; ","")&amp;IF(O253="Belum ada data",V253&amp;"; ","")&amp;IF(P253="Belum ada data",W253&amp;"; ","")&amp;IF(K253="Cukup",R253&amp;"; ","")&amp;IF(L253="Cukup",S253&amp;"; ","")&amp;IF(M253="Cukup",T253&amp;"; ","")&amp;IF(N253="Cukup",U253&amp;"; ","")&amp;IF(O253="Cukup",V253&amp;"; ","")&amp;IF(P253="Cukup",W253&amp;"; ",""))</f>
        <v/>
      </c>
      <c r="Y253" s="33" t="str">
        <f aca="false">IF($A253="","",IF(K253="Nyaman","prosesor, ","")&amp;IF(L253="Nyaman","grafis, ","")&amp;IF(M253="Nyaman","RAM, ","")&amp;IF(N253="Nyaman","penyimpanan, ","")&amp;IF(O253="Nyaman","layar, ","")&amp;IF(P253="Nyaman","refresh rate, ",""))</f>
        <v>prosesor, grafis, RAM, penyimpanan, </v>
      </c>
      <c r="Z253" s="33" t="str">
        <f aca="false">IF($A253="","",IF(Q253="Tidak dinilai","Belum ada kriteria yang dinilai untuk kebutuhan ini.",IF(Q253="Cocok","Semua kriteria yang dinilai sudah nyaman: "&amp;LEFT(Y253,LEN(Y253)-2)&amp;".",UPPER(LEFT(X253,1))&amp;MID(X253,2,LEN(X253)-3)&amp;"."&amp;IF(Y253="",""," Sudah nyaman: "&amp;LEFT(Y253,LEN(Y253)-2)&amp;"."))))</f>
        <v>Semua kriteria yang dinilai sudah nyaman: prosesor, grafis, RAM, penyimpanan.</v>
      </c>
      <c r="AA253" s="33"/>
      <c r="AB253" s="33"/>
      <c r="AC253" s="69"/>
    </row>
    <row r="254" customFormat="false" ht="15" hidden="false" customHeight="true" outlineLevel="0" collapsed="false">
      <c r="A254" s="33" t="str">
        <f aca="false">IF(Varian!$A54="","",Varian!$A54)</f>
        <v>asus-vivobook-pro-15-oled-n6506-u9-285h-rtx4050-24-1tb</v>
      </c>
      <c r="B254" s="33" t="str">
        <f aca="false">IF($A254="","",Aturan!$A$25)</f>
        <v>Game berat</v>
      </c>
      <c r="C254" s="69" t="n">
        <f aca="false">IF($A254="","",IFERROR(IF(ISNUMBER(INDEX(CPU!$J$4:$J$64,MATCH(Varian!$J54,CPU!$A$4:$A$64,0))),INDEX(CPU!$J$4:$J$64,MATCH(Varian!$J54,CPU!$A$4:$A$64,0)),""),""))</f>
        <v>4</v>
      </c>
      <c r="D254" s="69" t="n">
        <f aca="false">IF($A254="","",IFERROR(IF(ISNUMBER(INDEX(GPU!$G$4:$G$64,MATCH(Varian!$K54,GPU!$A$4:$A$64,0))),INDEX(GPU!$G$4:$G$64,MATCH(Varian!$K54,GPU!$A$4:$A$64,0)),""),""))</f>
        <v>3</v>
      </c>
      <c r="E254" s="69" t="n">
        <f aca="false">IF($A254="","",IF(ISNUMBER(Varian!$M54),Varian!$M54,""))</f>
        <v>24</v>
      </c>
      <c r="F254" s="69" t="n">
        <f aca="false">IF($A254="","",IF(ISNUMBER(Varian!$V54),Varian!$V54,""))</f>
        <v>1024</v>
      </c>
      <c r="G254" s="69" t="n">
        <f aca="false">IF($A254="","",IFERROR(INDEX(Aturan!$B$63:$B$66,MATCH(Varian!$AG54,Aturan!$A$63:$A$66,0)),""))</f>
        <v>4</v>
      </c>
      <c r="H254" s="69" t="n">
        <f aca="false">IF($A254="","",IF(ISNUMBER(Varian!$AI54),Varian!$AI54,""))</f>
        <v>120</v>
      </c>
      <c r="I254" s="33" t="str">
        <f aca="false">IF($A254="","",IF(Varian!$Q54="disolder","menempel di papan utama, tidak bisa ditambah",IF(OR(Varian!$Q54="slot",Varian!$Q54="setengah_disolder"),IF(Varian!$Q54="setengah_disolder","sebagian menempel, ","")&amp;IF(ISNUMBER(Varian!$U54),IF(AND(ISNUMBER(Varian!$M54),Varian!$U54&gt;Varian!$M54),"bisa dinaikkan lewat slot sampai "&amp;Varian!$U54&amp;" GB","sudah di batas maksimal "&amp;Varian!$U54&amp;" GB"),"ada slot, batas maksimalnya belum diketahui"),"belum diketahui apakah bisa ditambah")))</f>
        <v>sebagian menempel, sudah di batas maksimal 24 GB</v>
      </c>
      <c r="J254" s="33" t="str">
        <f aca="false">IF($A254="","",IF(Varian!$Z54="ya","bisa diganti dengan yang lebih besar",IF(Varian!$Z54="tidak","menempel, tidak bisa diganti","belum diketahui apakah bisa diganti")))</f>
        <v>bisa diganti dengan yang lebih besar</v>
      </c>
      <c r="K254" s="70" t="str">
        <f aca="false">IF($A254="","",IF(AND(Aturan!$C$54="",Aturan!$D$54=""),"Tidak dinilai",IF(C254="","Belum ada data",IF(C254&lt;IF(Aturan!$C$54="",0,Aturan!$C$54),"Kurang",IF(C254&gt;=IF(Aturan!$D$54="",Aturan!$C$54,Aturan!$D$54),"Nyaman","Cukup")))))</f>
        <v>Nyaman</v>
      </c>
      <c r="L254" s="70" t="str">
        <f aca="false">IF($A254="","",IF(AND(Aturan!$C$55="",Aturan!$D$55=""),"Tidak dinilai",IF(D254="","Belum ada data",IF(D254&lt;IF(Aturan!$C$55="",0,Aturan!$C$55),"Kurang",IF(D254&gt;=IF(Aturan!$D$55="",Aturan!$C$55,Aturan!$D$55),"Nyaman","Cukup")))))</f>
        <v>Cukup</v>
      </c>
      <c r="M254" s="70" t="str">
        <f aca="false">IF($A254="","",IF(AND(Aturan!$C$56="",Aturan!$D$56=""),"Tidak dinilai",IF(E254="","Belum ada data",IF(E254&lt;IF(Aturan!$C$56="",0,Aturan!$C$56),"Kurang",IF(E254&gt;=IF(Aturan!$D$56="",Aturan!$C$56,Aturan!$D$56),"Nyaman","Cukup")))))</f>
        <v>Nyaman</v>
      </c>
      <c r="N254" s="70" t="str">
        <f aca="false">IF($A254="","",IF(AND(Aturan!$C$57="",Aturan!$D$57=""),"Tidak dinilai",IF(F254="","Belum ada data",IF(F254&lt;IF(Aturan!$C$57="",0,Aturan!$C$57),"Kurang",IF(F254&gt;=IF(Aturan!$D$57="",Aturan!$C$57,Aturan!$D$57),"Nyaman","Cukup")))))</f>
        <v>Nyaman</v>
      </c>
      <c r="O254" s="70" t="str">
        <f aca="false">IF($A254="","",IF(AND(Aturan!$C$58="",Aturan!$D$58=""),"Tidak dinilai",IF(G254="","Belum ada data",IF(G254&lt;IF(Aturan!$C$58="",0,Aturan!$C$58),"Kurang",IF(G254&gt;=IF(Aturan!$D$58="",Aturan!$C$58,Aturan!$D$58),"Nyaman","Cukup")))))</f>
        <v>Tidak dinilai</v>
      </c>
      <c r="P254" s="70" t="str">
        <f aca="false">IF($A254="","",IF(AND(Aturan!$C$59="",Aturan!$D$59=""),"Tidak dinilai",IF(H254="","Belum ada data",IF(H254&lt;IF(Aturan!$C$59="",0,Aturan!$C$59),"Kurang",IF(H254&gt;=IF(Aturan!$D$59="",Aturan!$C$59,Aturan!$D$59),"Nyaman","Cukup")))))</f>
        <v>Nyaman</v>
      </c>
      <c r="Q254" s="70" t="str">
        <f aca="false">IF($A254="","",IF(COUNTIF(K254:P254,"Tidak dinilai")=6,"Tidak dinilai",IF(COUNTIF(K254:P254,"Kurang")&gt;0,"Kurang cocok",IF(COUNTIF(K254:P254,"Belum ada data")&gt;0,"Data belum lengkap",IF(COUNTIF(K254:P254,"Cukup")&gt;0,"Bisa, dengan catatan","Cocok")))))</f>
        <v>Bisa, dengan catatan</v>
      </c>
      <c r="R254" s="33" t="str">
        <f aca="false">IF($A254="","",IF(K254="Kurang","prosesor tingkat "&amp;C254&amp;" dari 5, di bawah batas minimal (tingkat "&amp;Aturan!$C$54&amp;")",IF(K254="Cukup","prosesor tingkat "&amp;C254&amp;" dari 5 cukup, nyamannya mulai tingkat "&amp;Aturan!$D$54,IF(K254="Belum ada data","tingkat prosesor belum diisi",""))))</f>
        <v/>
      </c>
      <c r="S254" s="33" t="str">
        <f aca="false">IF($A254="","",IF(L254="Kurang","grafis tingkat "&amp;D254&amp;" dari 5, di bawah batas minimal (tingkat "&amp;Aturan!$C$55&amp;")",IF(L254="Cukup","grafis tingkat "&amp;D254&amp;" dari 5 cukup, nyamannya mulai tingkat "&amp;Aturan!$D$55,IF(L254="Belum ada data","tingkat grafis belum diisi",""))))</f>
        <v>grafis tingkat 3 dari 5 cukup, nyamannya mulai tingkat 4</v>
      </c>
      <c r="T254" s="33" t="str">
        <f aca="false">IF($A254="","",IF(M254="Kurang","RAM "&amp;E254&amp;" GB, di bawah batas minimal "&amp;Aturan!$C$56&amp;" GB ("&amp;I254&amp;")",IF(M254="Cukup","RAM "&amp;E254&amp;" GB cukup, nyamannya "&amp;Aturan!$D$56&amp;" GB atau lebih ("&amp;I254&amp;")",IF(M254="Belum ada data","ukuran RAM belum diisi",""))))</f>
        <v/>
      </c>
      <c r="U254" s="33" t="str">
        <f aca="false">IF($A254="","",IF(N254="Kurang","penyimpanan "&amp;F254&amp;" GB, di bawah batas minimal "&amp;Aturan!$C$57&amp;" GB ("&amp;J254&amp;")",IF(N254="Cukup","penyimpanan "&amp;F254&amp;" GB cukup, nyamannya "&amp;Aturan!$D$57&amp;" GB atau lebih ("&amp;J254&amp;")",IF(N254="Belum ada data","ukuran penyimpanan belum diisi",""))))</f>
        <v/>
      </c>
      <c r="V254" s="33" t="str">
        <f aca="false">IF($A254="","",IF(O254="Kurang","layar "&amp;Varian!$AG54&amp;", di bawah batas minimal ("&amp;IFERROR(INDEX(Aturan!$A$63:$A$66,MATCH(Aturan!$C$58,Aturan!$B$63:$B$66,0)),"peringkat "&amp;Aturan!$C$58)&amp;")",IF(O254="Cukup","layar "&amp;Varian!$AG54&amp;" cukup, nyamannya "&amp;IFERROR(INDEX(Aturan!$A$63:$A$66,MATCH(Aturan!$D$58,Aturan!$B$63:$B$66,0)),"peringkat "&amp;Aturan!$D$58),IF(O254="Belum ada data","jenis layar belum diketahui",""))))</f>
        <v/>
      </c>
      <c r="W254" s="33" t="str">
        <f aca="false">IF($A254="","",IF(P254="Kurang","layar "&amp;H254&amp;" Hz, di bawah batas minimal "&amp;Aturan!$C$59&amp;" Hz",IF(P254="Cukup","layar "&amp;H254&amp;" Hz cukup, nyamannya "&amp;Aturan!$D$59&amp;" Hz atau lebih",IF(P254="Belum ada data","refresh rate belum diketahui",""))))</f>
        <v/>
      </c>
      <c r="X254" s="33" t="str">
        <f aca="false">IF($A254="","",IF(K254="Kurang",R254&amp;"; ","")&amp;IF(L254="Kurang",S254&amp;"; ","")&amp;IF(M254="Kurang",T254&amp;"; ","")&amp;IF(N254="Kurang",U254&amp;"; ","")&amp;IF(O254="Kurang",V254&amp;"; ","")&amp;IF(P254="Kurang",W254&amp;"; ","")&amp;IF(K254="Belum ada data",R254&amp;"; ","")&amp;IF(L254="Belum ada data",S254&amp;"; ","")&amp;IF(M254="Belum ada data",T254&amp;"; ","")&amp;IF(N254="Belum ada data",U254&amp;"; ","")&amp;IF(O254="Belum ada data",V254&amp;"; ","")&amp;IF(P254="Belum ada data",W254&amp;"; ","")&amp;IF(K254="Cukup",R254&amp;"; ","")&amp;IF(L254="Cukup",S254&amp;"; ","")&amp;IF(M254="Cukup",T254&amp;"; ","")&amp;IF(N254="Cukup",U254&amp;"; ","")&amp;IF(O254="Cukup",V254&amp;"; ","")&amp;IF(P254="Cukup",W254&amp;"; ",""))</f>
        <v>grafis tingkat 3 dari 5 cukup, nyamannya mulai tingkat 4; </v>
      </c>
      <c r="Y254" s="33" t="str">
        <f aca="false">IF($A254="","",IF(K254="Nyaman","prosesor, ","")&amp;IF(L254="Nyaman","grafis, ","")&amp;IF(M254="Nyaman","RAM, ","")&amp;IF(N254="Nyaman","penyimpanan, ","")&amp;IF(O254="Nyaman","layar, ","")&amp;IF(P254="Nyaman","refresh rate, ",""))</f>
        <v>prosesor, RAM, penyimpanan, refresh rate, </v>
      </c>
      <c r="Z254" s="33" t="str">
        <f aca="false">IF($A254="","",IF(Q254="Tidak dinilai","Belum ada kriteria yang dinilai untuk kebutuhan ini.",IF(Q254="Cocok","Semua kriteria yang dinilai sudah nyaman: "&amp;LEFT(Y254,LEN(Y254)-2)&amp;".",UPPER(LEFT(X254,1))&amp;MID(X254,2,LEN(X254)-3)&amp;"."&amp;IF(Y254="",""," Sudah nyaman: "&amp;LEFT(Y254,LEN(Y254)-2)&amp;"."))))</f>
        <v>Grafis tingkat 3 dari 5 cukup, nyamannya mulai tingkat 4. Sudah nyaman: prosesor, RAM, penyimpanan, refresh rate.</v>
      </c>
      <c r="AA254" s="33"/>
      <c r="AB254" s="33"/>
      <c r="AC254" s="69"/>
    </row>
    <row r="255" customFormat="false" ht="15" hidden="false" customHeight="true" outlineLevel="0" collapsed="false">
      <c r="A255" s="66" t="str">
        <f aca="false">IF(Varian!$A55="","",Varian!$A55)</f>
        <v>asus-vivobook-s14-s3407qa-x1-26-100-16-512</v>
      </c>
      <c r="B255" s="66" t="str">
        <f aca="false">IF($A255="","",Aturan!$A$21)</f>
        <v>Kuliah dan kantor</v>
      </c>
      <c r="C255" s="67" t="n">
        <f aca="false">IF($A255="","",IFERROR(IF(ISNUMBER(INDEX(CPU!$J$4:$J$64,MATCH(Varian!$J55,CPU!$A$4:$A$64,0))),INDEX(CPU!$J$4:$J$64,MATCH(Varian!$J55,CPU!$A$4:$A$64,0)),""),""))</f>
        <v>3</v>
      </c>
      <c r="D255" s="67" t="n">
        <f aca="false">IF($A255="","",IFERROR(IF(ISNUMBER(INDEX(GPU!$G$4:$G$64,MATCH(Varian!$K55,GPU!$A$4:$A$64,0))),INDEX(GPU!$G$4:$G$64,MATCH(Varian!$K55,GPU!$A$4:$A$64,0)),""),""))</f>
        <v>2</v>
      </c>
      <c r="E255" s="67" t="n">
        <f aca="false">IF($A255="","",IF(ISNUMBER(Varian!$M55),Varian!$M55,""))</f>
        <v>16</v>
      </c>
      <c r="F255" s="67" t="n">
        <f aca="false">IF($A255="","",IF(ISNUMBER(Varian!$V55),Varian!$V55,""))</f>
        <v>512</v>
      </c>
      <c r="G255" s="67" t="n">
        <f aca="false">IF($A255="","",IFERROR(INDEX(Aturan!$B$63:$B$66,MATCH(Varian!$AG55,Aturan!$A$63:$A$66,0)),""))</f>
        <v>4</v>
      </c>
      <c r="H255" s="67" t="n">
        <f aca="false">IF($A255="","",IF(ISNUMBER(Varian!$AI55),Varian!$AI55,""))</f>
        <v>60</v>
      </c>
      <c r="I255" s="66" t="str">
        <f aca="false">IF($A255="","",IF(Varian!$Q55="disolder","menempel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menempel di papan utama, tidak bisa ditambah</v>
      </c>
      <c r="J255" s="66" t="str">
        <f aca="false">IF($A255="","",IF(Varian!$Z55="ya","bisa diganti dengan yang lebih besar",IF(Varian!$Z55="tidak","menempel, tidak bisa diganti","belum diketahui apakah bisa diganti")))</f>
        <v>bisa diganti dengan yang lebih besar</v>
      </c>
      <c r="K255" s="68" t="str">
        <f aca="false">IF($A255="","",IF(AND(Aturan!$C$30="",Aturan!$D$30=""),"Tidak dinilai",IF(C255="","Belum ada data",IF(C255&lt;IF(Aturan!$C$30="",0,Aturan!$C$30),"Kurang",IF(C255&gt;=IF(Aturan!$D$30="",Aturan!$C$30,Aturan!$D$30),"Nyaman","Cukup")))))</f>
        <v>Nyaman</v>
      </c>
      <c r="L255" s="68" t="str">
        <f aca="false">IF($A255="","",IF(AND(Aturan!$C$31="",Aturan!$D$31=""),"Tidak dinilai",IF(D255="","Belum ada data",IF(D255&lt;IF(Aturan!$C$31="",0,Aturan!$C$31),"Kurang",IF(D255&gt;=IF(Aturan!$D$31="",Aturan!$C$31,Aturan!$D$31),"Nyaman","Cukup")))))</f>
        <v>Tidak dinilai</v>
      </c>
      <c r="M255" s="68" t="str">
        <f aca="false">IF($A255="","",IF(AND(Aturan!$C$32="",Aturan!$D$32=""),"Tidak dinilai",IF(E255="","Belum ada data",IF(E255&lt;IF(Aturan!$C$32="",0,Aturan!$C$32),"Kurang",IF(E255&gt;=IF(Aturan!$D$32="",Aturan!$C$32,Aturan!$D$32),"Nyaman","Cukup")))))</f>
        <v>Nyaman</v>
      </c>
      <c r="N255" s="68" t="str">
        <f aca="false">IF($A255="","",IF(AND(Aturan!$C$33="",Aturan!$D$33=""),"Tidak dinilai",IF(F255="","Belum ada data",IF(F255&lt;IF(Aturan!$C$33="",0,Aturan!$C$33),"Kurang",IF(F255&gt;=IF(Aturan!$D$33="",Aturan!$C$33,Aturan!$D$33),"Nyaman","Cukup")))))</f>
        <v>Nyaman</v>
      </c>
      <c r="O255" s="68" t="str">
        <f aca="false">IF($A255="","",IF(AND(Aturan!$C$34="",Aturan!$D$34=""),"Tidak dinilai",IF(G255="","Belum ada data",IF(G255&lt;IF(Aturan!$C$34="",0,Aturan!$C$34),"Kurang",IF(G255&gt;=IF(Aturan!$D$34="",Aturan!$C$34,Aturan!$D$34),"Nyaman","Cukup")))))</f>
        <v>Tidak dinilai</v>
      </c>
      <c r="P255" s="68" t="str">
        <f aca="false">IF($A255="","",IF(AND(Aturan!$C$35="",Aturan!$D$35=""),"Tidak dinilai",IF(H255="","Belum ada data",IF(H255&lt;IF(Aturan!$C$35="",0,Aturan!$C$35),"Kurang",IF(H255&gt;=IF(Aturan!$D$35="",Aturan!$C$35,Aturan!$D$35),"Nyaman","Cukup")))))</f>
        <v>Tidak dinilai</v>
      </c>
      <c r="Q255" s="68" t="str">
        <f aca="false">IF($A255="","",IF(COUNTIF(K255:P255,"Tidak dinilai")=6,"Tidak dinilai",IF(COUNTIF(K255:P255,"Kurang")&gt;0,"Kurang cocok",IF(COUNTIF(K255:P255,"Belum ada data")&gt;0,"Data belum lengkap",IF(COUNTIF(K255:P255,"Cukup")&gt;0,"Bisa, dengan catatan","Cocok")))))</f>
        <v>Cocok</v>
      </c>
      <c r="R255" s="66" t="str">
        <f aca="false">IF($A255="","",IF(K255="Kurang","prosesor tingkat "&amp;C255&amp;" dari 5, di bawah batas minimal (tingkat "&amp;Aturan!$C$30&amp;")",IF(K255="Cukup","prosesor tingkat "&amp;C255&amp;" dari 5 cukup, nyamannya mulai tingkat "&amp;Aturan!$D$30,IF(K255="Belum ada data","tingkat prosesor belum diisi",""))))</f>
        <v/>
      </c>
      <c r="S255" s="66" t="str">
        <f aca="false">IF($A255="","",IF(L255="Kurang","grafis tingkat "&amp;D255&amp;" dari 5, di bawah batas minimal (tingkat "&amp;Aturan!$C$31&amp;")",IF(L255="Cukup","grafis tingkat "&amp;D255&amp;" dari 5 cukup, nyamannya mulai tingkat "&amp;Aturan!$D$31,IF(L255="Belum ada data","tingkat grafis belum diisi",""))))</f>
        <v/>
      </c>
      <c r="T255" s="66" t="str">
        <f aca="false">IF($A255="","",IF(M255="Kurang","RAM "&amp;E255&amp;" GB, di bawah batas minimal "&amp;Aturan!$C$32&amp;" GB ("&amp;I255&amp;")",IF(M255="Cukup","RAM "&amp;E255&amp;" GB cukup, nyamannya "&amp;Aturan!$D$32&amp;" GB atau lebih ("&amp;I255&amp;")",IF(M255="Belum ada data","ukuran RAM belum diisi",""))))</f>
        <v/>
      </c>
      <c r="U255" s="66" t="str">
        <f aca="false">IF($A255="","",IF(N255="Kurang","penyimpanan "&amp;F255&amp;" GB, di bawah batas minimal "&amp;Aturan!$C$33&amp;" GB ("&amp;J255&amp;")",IF(N255="Cukup","penyimpanan "&amp;F255&amp;" GB cukup, nyamannya "&amp;Aturan!$D$33&amp;" GB atau lebih ("&amp;J255&amp;")",IF(N255="Belum ada data","ukuran penyimpanan belum diisi",""))))</f>
        <v/>
      </c>
      <c r="V255" s="66" t="str">
        <f aca="false">IF($A255="","",IF(O255="Kurang","layar "&amp;Varian!$AG55&amp;", di bawah batas minimal ("&amp;IFERROR(INDEX(Aturan!$A$63:$A$66,MATCH(Aturan!$C$34,Aturan!$B$63:$B$66,0)),"peringkat "&amp;Aturan!$C$34)&amp;")",IF(O255="Cukup","layar "&amp;Varian!$AG55&amp;" cukup, nyamannya "&amp;IFERROR(INDEX(Aturan!$A$63:$A$66,MATCH(Aturan!$D$34,Aturan!$B$63:$B$66,0)),"peringkat "&amp;Aturan!$D$34),IF(O255="Belum ada data","jenis layar belum diketahui",""))))</f>
        <v/>
      </c>
      <c r="W255" s="66" t="str">
        <f aca="false">IF($A255="","",IF(P255="Kurang","layar "&amp;H255&amp;" Hz, di bawah batas minimal "&amp;Aturan!$C$35&amp;" Hz",IF(P255="Cukup","layar "&amp;H255&amp;" Hz cukup, nyamannya "&amp;Aturan!$D$35&amp;" Hz atau lebih",IF(P255="Belum ada data","refresh rate belum diketahui",""))))</f>
        <v/>
      </c>
      <c r="X255" s="66" t="str">
        <f aca="false">IF($A255="","",IF(K255="Kurang",R255&amp;"; ","")&amp;IF(L255="Kurang",S255&amp;"; ","")&amp;IF(M255="Kurang",T255&amp;"; ","")&amp;IF(N255="Kurang",U255&amp;"; ","")&amp;IF(O255="Kurang",V255&amp;"; ","")&amp;IF(P255="Kurang",W255&amp;"; ","")&amp;IF(K255="Belum ada data",R255&amp;"; ","")&amp;IF(L255="Belum ada data",S255&amp;"; ","")&amp;IF(M255="Belum ada data",T255&amp;"; ","")&amp;IF(N255="Belum ada data",U255&amp;"; ","")&amp;IF(O255="Belum ada data",V255&amp;"; ","")&amp;IF(P255="Belum ada data",W255&amp;"; ","")&amp;IF(K255="Cukup",R255&amp;"; ","")&amp;IF(L255="Cukup",S255&amp;"; ","")&amp;IF(M255="Cukup",T255&amp;"; ","")&amp;IF(N255="Cukup",U255&amp;"; ","")&amp;IF(O255="Cukup",V255&amp;"; ","")&amp;IF(P255="Cukup",W255&amp;"; ",""))</f>
        <v/>
      </c>
      <c r="Y255" s="66" t="str">
        <f aca="false">IF($A255="","",IF(K255="Nyaman","prosesor, ","")&amp;IF(L255="Nyaman","grafis, ","")&amp;IF(M255="Nyaman","RAM, ","")&amp;IF(N255="Nyaman","penyimpanan, ","")&amp;IF(O255="Nyaman","layar, ","")&amp;IF(P255="Nyaman","refresh rate, ",""))</f>
        <v>prosesor, RAM, penyimpanan, </v>
      </c>
      <c r="Z255" s="66" t="str">
        <f aca="false">IF($A255="","",IF(Q255="Tidak dinilai","Belum ada kriteria yang dinilai untuk kebutuhan ini.",IF(Q255="Cocok","Semua kriteria yang dinilai sudah nyaman: "&amp;LEFT(Y255,LEN(Y255)-2)&amp;".",UPPER(LEFT(X255,1))&amp;MID(X255,2,LEN(X255)-3)&amp;"."&amp;IF(Y255="",""," Sudah nyaman: "&amp;LEFT(Y255,LEN(Y255)-2)&amp;"."))))</f>
        <v>Semua kriteria yang dinilai sudah nyaman: prosesor, RAM, penyimpanan.</v>
      </c>
      <c r="AA255" s="66" t="str">
        <f aca="false">IF($A255="","",IF(Varian!$AR55="Windows 10","• "&amp;Aturan!$E$71&amp;CHAR(10),"")&amp;IF(Varian!$BB55="tidak","• "&amp;Aturan!$E$72&amp;CHAR(10),"")&amp;IF(OR(Varian!$AD55="belum terverifikasi",Varian!$AD55="tidak diketahui"),"• "&amp;Aturan!$E$73&amp;CHAR(10),"")&amp;IF(Varian!$AH55="1366x768","• "&amp;Aturan!$E$74&amp;CHAR(10),"")&amp;IF(Varian!$AG55="TN","• "&amp;Aturan!$E$75&amp;CHAR(10),"")&amp;IF(AND(Varian!$Q55="disolder",ISNUMBER(Varian!$M55),Varian!$M55&lt;=8),"• "&amp;Aturan!$E$76&amp;CHAR(10),""))</f>
        <v/>
      </c>
      <c r="AB255" s="66" t="str">
        <f aca="false">IF($A255="","",IF(AA255="","",LEFT(AA255,LEN(AA255)-1)))</f>
        <v/>
      </c>
      <c r="AC255" s="67" t="n">
        <f aca="false">IF($A255="","",IF(AA255="",0,LEN(AA255)-LEN(SUBSTITUTE(AA255,CHAR(10),""))))</f>
        <v>0</v>
      </c>
    </row>
    <row r="256" customFormat="false" ht="15" hidden="false" customHeight="true" outlineLevel="0" collapsed="false">
      <c r="A256" s="33" t="str">
        <f aca="false">IF(Varian!$A55="","",Varian!$A55)</f>
        <v>asus-vivobook-s14-s3407qa-x1-26-100-16-512</v>
      </c>
      <c r="B256" s="33" t="str">
        <f aca="false">IF($A256="","",Aturan!$A$22)</f>
        <v>Desain grafis</v>
      </c>
      <c r="C256" s="69" t="n">
        <f aca="false">IF($A256="","",IFERROR(IF(ISNUMBER(INDEX(CPU!$J$4:$J$64,MATCH(Varian!$J55,CPU!$A$4:$A$64,0))),INDEX(CPU!$J$4:$J$64,MATCH(Varian!$J55,CPU!$A$4:$A$64,0)),""),""))</f>
        <v>3</v>
      </c>
      <c r="D256" s="69" t="n">
        <f aca="false">IF($A256="","",IFERROR(IF(ISNUMBER(INDEX(GPU!$G$4:$G$64,MATCH(Varian!$K55,GPU!$A$4:$A$64,0))),INDEX(GPU!$G$4:$G$64,MATCH(Varian!$K55,GPU!$A$4:$A$64,0)),""),""))</f>
        <v>2</v>
      </c>
      <c r="E256" s="69" t="n">
        <f aca="false">IF($A256="","",IF(ISNUMBER(Varian!$M55),Varian!$M55,""))</f>
        <v>16</v>
      </c>
      <c r="F256" s="69" t="n">
        <f aca="false">IF($A256="","",IF(ISNUMBER(Varian!$V55),Varian!$V55,""))</f>
        <v>512</v>
      </c>
      <c r="G256" s="69" t="n">
        <f aca="false">IF($A256="","",IFERROR(INDEX(Aturan!$B$63:$B$66,MATCH(Varian!$AG55,Aturan!$A$63:$A$66,0)),""))</f>
        <v>4</v>
      </c>
      <c r="H256" s="69" t="n">
        <f aca="false">IF($A256="","",IF(ISNUMBER(Varian!$AI55),Varian!$AI55,""))</f>
        <v>60</v>
      </c>
      <c r="I256" s="33" t="str">
        <f aca="false">IF($A256="","",IF(Varian!$Q55="disolder","menempel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menempel di papan utama, tidak bisa ditambah</v>
      </c>
      <c r="J256" s="33" t="str">
        <f aca="false">IF($A256="","",IF(Varian!$Z55="ya","bisa diganti dengan yang lebih besar",IF(Varian!$Z55="tidak","menempel, tidak bisa diganti","belum diketahui apakah bisa diganti")))</f>
        <v>bisa diganti dengan yang lebih besar</v>
      </c>
      <c r="K256" s="70" t="str">
        <f aca="false">IF($A256="","",IF(AND(Aturan!$C$36="",Aturan!$D$36=""),"Tidak dinilai",IF(C256="","Belum ada data",IF(C256&lt;IF(Aturan!$C$36="",0,Aturan!$C$36),"Kurang",IF(C256&gt;=IF(Aturan!$D$36="",Aturan!$C$36,Aturan!$D$36),"Nyaman","Cukup")))))</f>
        <v>Nyaman</v>
      </c>
      <c r="L256" s="70" t="str">
        <f aca="false">IF($A256="","",IF(AND(Aturan!$C$37="",Aturan!$D$37=""),"Tidak dinilai",IF(D256="","Belum ada data",IF(D256&lt;IF(Aturan!$C$37="",0,Aturan!$C$37),"Kurang",IF(D256&gt;=IF(Aturan!$D$37="",Aturan!$C$37,Aturan!$D$37),"Nyaman","Cukup")))))</f>
        <v>Nyaman</v>
      </c>
      <c r="M256" s="70" t="str">
        <f aca="false">IF($A256="","",IF(AND(Aturan!$C$38="",Aturan!$D$38=""),"Tidak dinilai",IF(E256="","Belum ada data",IF(E256&lt;IF(Aturan!$C$38="",0,Aturan!$C$38),"Kurang",IF(E256&gt;=IF(Aturan!$D$38="",Aturan!$C$38,Aturan!$D$38),"Nyaman","Cukup")))))</f>
        <v>Nyaman</v>
      </c>
      <c r="N256" s="70" t="str">
        <f aca="false">IF($A256="","",IF(AND(Aturan!$C$39="",Aturan!$D$39=""),"Tidak dinilai",IF(F256="","Belum ada data",IF(F256&lt;IF(Aturan!$C$39="",0,Aturan!$C$39),"Kurang",IF(F256&gt;=IF(Aturan!$D$39="",Aturan!$C$39,Aturan!$D$39),"Nyaman","Cukup")))))</f>
        <v>Nyaman</v>
      </c>
      <c r="O256" s="70" t="str">
        <f aca="false">IF($A256="","",IF(AND(Aturan!$C$40="",Aturan!$D$40=""),"Tidak dinilai",IF(G256="","Belum ada data",IF(G256&lt;IF(Aturan!$C$40="",0,Aturan!$C$40),"Kurang",IF(G256&gt;=IF(Aturan!$D$40="",Aturan!$C$40,Aturan!$D$40),"Nyaman","Cukup")))))</f>
        <v>Nyaman</v>
      </c>
      <c r="P256" s="70" t="str">
        <f aca="false">IF($A256="","",IF(AND(Aturan!$C$41="",Aturan!$D$41=""),"Tidak dinilai",IF(H256="","Belum ada data",IF(H256&lt;IF(Aturan!$C$41="",0,Aturan!$C$41),"Kurang",IF(H256&gt;=IF(Aturan!$D$41="",Aturan!$C$41,Aturan!$D$41),"Nyaman","Cukup")))))</f>
        <v>Tidak dinilai</v>
      </c>
      <c r="Q256" s="70" t="str">
        <f aca="false">IF($A256="","",IF(COUNTIF(K256:P256,"Tidak dinilai")=6,"Tidak dinilai",IF(COUNTIF(K256:P256,"Kurang")&gt;0,"Kurang cocok",IF(COUNTIF(K256:P256,"Belum ada data")&gt;0,"Data belum lengkap",IF(COUNTIF(K256:P256,"Cukup")&gt;0,"Bisa, dengan catatan","Cocok")))))</f>
        <v>Cocok</v>
      </c>
      <c r="R256" s="33" t="str">
        <f aca="false">IF($A256="","",IF(K256="Kurang","prosesor tingkat "&amp;C256&amp;" dari 5, di bawah batas minimal (tingkat "&amp;Aturan!$C$36&amp;")",IF(K256="Cukup","prosesor tingkat "&amp;C256&amp;" dari 5 cukup, nyamannya mulai tingkat "&amp;Aturan!$D$36,IF(K256="Belum ada data","tingkat prosesor belum diisi",""))))</f>
        <v/>
      </c>
      <c r="S256" s="33" t="str">
        <f aca="false">IF($A256="","",IF(L256="Kurang","grafis tingkat "&amp;D256&amp;" dari 5, di bawah batas minimal (tingkat "&amp;Aturan!$C$37&amp;")",IF(L256="Cukup","grafis tingkat "&amp;D256&amp;" dari 5 cukup, nyamannya mulai tingkat "&amp;Aturan!$D$37,IF(L256="Belum ada data","tingkat grafis belum diisi",""))))</f>
        <v/>
      </c>
      <c r="T256" s="33" t="str">
        <f aca="false">IF($A256="","",IF(M256="Kurang","RAM "&amp;E256&amp;" GB, di bawah batas minimal "&amp;Aturan!$C$38&amp;" GB ("&amp;I256&amp;")",IF(M256="Cukup","RAM "&amp;E256&amp;" GB cukup, nyamannya "&amp;Aturan!$D$38&amp;" GB atau lebih ("&amp;I256&amp;")",IF(M256="Belum ada data","ukuran RAM belum diisi",""))))</f>
        <v/>
      </c>
      <c r="U256" s="33" t="str">
        <f aca="false">IF($A256="","",IF(N256="Kurang","penyimpanan "&amp;F256&amp;" GB, di bawah batas minimal "&amp;Aturan!$C$39&amp;" GB ("&amp;J256&amp;")",IF(N256="Cukup","penyimpanan "&amp;F256&amp;" GB cukup, nyamannya "&amp;Aturan!$D$39&amp;" GB atau lebih ("&amp;J256&amp;")",IF(N256="Belum ada data","ukuran penyimpanan belum diisi",""))))</f>
        <v/>
      </c>
      <c r="V256" s="33" t="str">
        <f aca="false">IF($A256="","",IF(O256="Kurang","layar "&amp;Varian!$AG55&amp;", di bawah batas minimal ("&amp;IFERROR(INDEX(Aturan!$A$63:$A$66,MATCH(Aturan!$C$40,Aturan!$B$63:$B$66,0)),"peringkat "&amp;Aturan!$C$40)&amp;")",IF(O256="Cukup","layar "&amp;Varian!$AG55&amp;" cukup, nyamannya "&amp;IFERROR(INDEX(Aturan!$A$63:$A$66,MATCH(Aturan!$D$40,Aturan!$B$63:$B$66,0)),"peringkat "&amp;Aturan!$D$40),IF(O256="Belum ada data","jenis layar belum diketahui",""))))</f>
        <v/>
      </c>
      <c r="W256" s="33" t="str">
        <f aca="false">IF($A256="","",IF(P256="Kurang","layar "&amp;H256&amp;" Hz, di bawah batas minimal "&amp;Aturan!$C$41&amp;" Hz",IF(P256="Cukup","layar "&amp;H256&amp;" Hz cukup, nyamannya "&amp;Aturan!$D$41&amp;" Hz atau lebih",IF(P256="Belum ada data","refresh rate belum diketahui",""))))</f>
        <v/>
      </c>
      <c r="X256" s="33" t="str">
        <f aca="false">IF($A256="","",IF(K256="Kurang",R256&amp;"; ","")&amp;IF(L256="Kurang",S256&amp;"; ","")&amp;IF(M256="Kurang",T256&amp;"; ","")&amp;IF(N256="Kurang",U256&amp;"; ","")&amp;IF(O256="Kurang",V256&amp;"; ","")&amp;IF(P256="Kurang",W256&amp;"; ","")&amp;IF(K256="Belum ada data",R256&amp;"; ","")&amp;IF(L256="Belum ada data",S256&amp;"; ","")&amp;IF(M256="Belum ada data",T256&amp;"; ","")&amp;IF(N256="Belum ada data",U256&amp;"; ","")&amp;IF(O256="Belum ada data",V256&amp;"; ","")&amp;IF(P256="Belum ada data",W256&amp;"; ","")&amp;IF(K256="Cukup",R256&amp;"; ","")&amp;IF(L256="Cukup",S256&amp;"; ","")&amp;IF(M256="Cukup",T256&amp;"; ","")&amp;IF(N256="Cukup",U256&amp;"; ","")&amp;IF(O256="Cukup",V256&amp;"; ","")&amp;IF(P256="Cukup",W256&amp;"; ",""))</f>
        <v/>
      </c>
      <c r="Y256" s="33" t="str">
        <f aca="false">IF($A256="","",IF(K256="Nyaman","prosesor, ","")&amp;IF(L256="Nyaman","grafis, ","")&amp;IF(M256="Nyaman","RAM, ","")&amp;IF(N256="Nyaman","penyimpanan, ","")&amp;IF(O256="Nyaman","layar, ","")&amp;IF(P256="Nyaman","refresh rate, ",""))</f>
        <v>prosesor, grafis, RAM, penyimpanan, layar, </v>
      </c>
      <c r="Z256" s="33" t="str">
        <f aca="false">IF($A256="","",IF(Q256="Tidak dinilai","Belum ada kriteria yang dinilai untuk kebutuhan ini.",IF(Q256="Cocok","Semua kriteria yang dinilai sudah nyaman: "&amp;LEFT(Y256,LEN(Y256)-2)&amp;".",UPPER(LEFT(X256,1))&amp;MID(X256,2,LEN(X256)-3)&amp;"."&amp;IF(Y256="",""," Sudah nyaman: "&amp;LEFT(Y256,LEN(Y256)-2)&amp;"."))))</f>
        <v>Semua kriteria yang dinilai sudah nyaman: prosesor, grafis, RAM, penyimpanan, layar.</v>
      </c>
      <c r="AA256" s="33"/>
      <c r="AB256" s="33"/>
      <c r="AC256" s="69"/>
    </row>
    <row r="257" customFormat="false" ht="15" hidden="false" customHeight="true" outlineLevel="0" collapsed="false">
      <c r="A257" s="33" t="str">
        <f aca="false">IF(Varian!$A55="","",Varian!$A55)</f>
        <v>asus-vivobook-s14-s3407qa-x1-26-100-16-512</v>
      </c>
      <c r="B257" s="33" t="str">
        <f aca="false">IF($A257="","",Aturan!$A$23)</f>
        <v>Pemrograman</v>
      </c>
      <c r="C257" s="69" t="n">
        <f aca="false">IF($A257="","",IFERROR(IF(ISNUMBER(INDEX(CPU!$J$4:$J$64,MATCH(Varian!$J55,CPU!$A$4:$A$64,0))),INDEX(CPU!$J$4:$J$64,MATCH(Varian!$J55,CPU!$A$4:$A$64,0)),""),""))</f>
        <v>3</v>
      </c>
      <c r="D257" s="69" t="n">
        <f aca="false">IF($A257="","",IFERROR(IF(ISNUMBER(INDEX(GPU!$G$4:$G$64,MATCH(Varian!$K55,GPU!$A$4:$A$64,0))),INDEX(GPU!$G$4:$G$64,MATCH(Varian!$K55,GPU!$A$4:$A$64,0)),""),""))</f>
        <v>2</v>
      </c>
      <c r="E257" s="69" t="n">
        <f aca="false">IF($A257="","",IF(ISNUMBER(Varian!$M55),Varian!$M55,""))</f>
        <v>16</v>
      </c>
      <c r="F257" s="69" t="n">
        <f aca="false">IF($A257="","",IF(ISNUMBER(Varian!$V55),Varian!$V55,""))</f>
        <v>512</v>
      </c>
      <c r="G257" s="69" t="n">
        <f aca="false">IF($A257="","",IFERROR(INDEX(Aturan!$B$63:$B$66,MATCH(Varian!$AG55,Aturan!$A$63:$A$66,0)),""))</f>
        <v>4</v>
      </c>
      <c r="H257" s="69" t="n">
        <f aca="false">IF($A257="","",IF(ISNUMBER(Varian!$AI55),Varian!$AI55,""))</f>
        <v>60</v>
      </c>
      <c r="I257" s="33" t="str">
        <f aca="false">IF($A257="","",IF(Varian!$Q55="disolder","menempel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menempel di papan utama, tidak bisa ditambah</v>
      </c>
      <c r="J257" s="33" t="str">
        <f aca="false">IF($A257="","",IF(Varian!$Z55="ya","bisa diganti dengan yang lebih besar",IF(Varian!$Z55="tidak","menempel, tidak bisa diganti","belum diketahui apakah bisa diganti")))</f>
        <v>bisa diganti dengan yang lebih besar</v>
      </c>
      <c r="K257" s="70" t="str">
        <f aca="false">IF($A257="","",IF(AND(Aturan!$C$42="",Aturan!$D$42=""),"Tidak dinilai",IF(C257="","Belum ada data",IF(C257&lt;IF(Aturan!$C$42="",0,Aturan!$C$42),"Kurang",IF(C257&gt;=IF(Aturan!$D$42="",Aturan!$C$42,Aturan!$D$42),"Nyaman","Cukup")))))</f>
        <v>Nyaman</v>
      </c>
      <c r="L257" s="70" t="str">
        <f aca="false">IF($A257="","",IF(AND(Aturan!$C$43="",Aturan!$D$43=""),"Tidak dinilai",IF(D257="","Belum ada data",IF(D257&lt;IF(Aturan!$C$43="",0,Aturan!$C$43),"Kurang",IF(D257&gt;=IF(Aturan!$D$43="",Aturan!$C$43,Aturan!$D$43),"Nyaman","Cukup")))))</f>
        <v>Tidak dinilai</v>
      </c>
      <c r="M257" s="70" t="str">
        <f aca="false">IF($A257="","",IF(AND(Aturan!$C$44="",Aturan!$D$44=""),"Tidak dinilai",IF(E257="","Belum ada data",IF(E257&lt;IF(Aturan!$C$44="",0,Aturan!$C$44),"Kurang",IF(E257&gt;=IF(Aturan!$D$44="",Aturan!$C$44,Aturan!$D$44),"Nyaman","Cukup")))))</f>
        <v>Nyaman</v>
      </c>
      <c r="N257" s="70" t="str">
        <f aca="false">IF($A257="","",IF(AND(Aturan!$C$45="",Aturan!$D$45=""),"Tidak dinilai",IF(F257="","Belum ada data",IF(F257&lt;IF(Aturan!$C$45="",0,Aturan!$C$45),"Kurang",IF(F257&gt;=IF(Aturan!$D$45="",Aturan!$C$45,Aturan!$D$45),"Nyaman","Cukup")))))</f>
        <v>Nyaman</v>
      </c>
      <c r="O257" s="70" t="str">
        <f aca="false">IF($A257="","",IF(AND(Aturan!$C$46="",Aturan!$D$46=""),"Tidak dinilai",IF(G257="","Belum ada data",IF(G257&lt;IF(Aturan!$C$46="",0,Aturan!$C$46),"Kurang",IF(G257&gt;=IF(Aturan!$D$46="",Aturan!$C$46,Aturan!$D$46),"Nyaman","Cukup")))))</f>
        <v>Tidak dinilai</v>
      </c>
      <c r="P257" s="70" t="str">
        <f aca="false">IF($A257="","",IF(AND(Aturan!$C$47="",Aturan!$D$47=""),"Tidak dinilai",IF(H257="","Belum ada data",IF(H257&lt;IF(Aturan!$C$47="",0,Aturan!$C$47),"Kurang",IF(H257&gt;=IF(Aturan!$D$47="",Aturan!$C$47,Aturan!$D$47),"Nyaman","Cukup")))))</f>
        <v>Tidak dinilai</v>
      </c>
      <c r="Q257" s="70" t="str">
        <f aca="false">IF($A257="","",IF(COUNTIF(K257:P257,"Tidak dinilai")=6,"Tidak dinilai",IF(COUNTIF(K257:P257,"Kurang")&gt;0,"Kurang cocok",IF(COUNTIF(K257:P257,"Belum ada data")&gt;0,"Data belum lengkap",IF(COUNTIF(K257:P257,"Cukup")&gt;0,"Bisa, dengan catatan","Cocok")))))</f>
        <v>Cocok</v>
      </c>
      <c r="R257" s="33" t="str">
        <f aca="false">IF($A257="","",IF(K257="Kurang","prosesor tingkat "&amp;C257&amp;" dari 5, di bawah batas minimal (tingkat "&amp;Aturan!$C$42&amp;")",IF(K257="Cukup","prosesor tingkat "&amp;C257&amp;" dari 5 cukup, nyamannya mulai tingkat "&amp;Aturan!$D$42,IF(K257="Belum ada data","tingkat prosesor belum diisi",""))))</f>
        <v/>
      </c>
      <c r="S257" s="33" t="str">
        <f aca="false">IF($A257="","",IF(L257="Kurang","grafis tingkat "&amp;D257&amp;" dari 5, di bawah batas minimal (tingkat "&amp;Aturan!$C$43&amp;")",IF(L257="Cukup","grafis tingkat "&amp;D257&amp;" dari 5 cukup, nyamannya mulai tingkat "&amp;Aturan!$D$43,IF(L257="Belum ada data","tingkat grafis belum diisi",""))))</f>
        <v/>
      </c>
      <c r="T257" s="33" t="str">
        <f aca="false">IF($A257="","",IF(M257="Kurang","RAM "&amp;E257&amp;" GB, di bawah batas minimal "&amp;Aturan!$C$44&amp;" GB ("&amp;I257&amp;")",IF(M257="Cukup","RAM "&amp;E257&amp;" GB cukup, nyamannya "&amp;Aturan!$D$44&amp;" GB atau lebih ("&amp;I257&amp;")",IF(M257="Belum ada data","ukuran RAM belum diisi",""))))</f>
        <v/>
      </c>
      <c r="U257" s="33" t="str">
        <f aca="false">IF($A257="","",IF(N257="Kurang","penyimpanan "&amp;F257&amp;" GB, di bawah batas minimal "&amp;Aturan!$C$45&amp;" GB ("&amp;J257&amp;")",IF(N257="Cukup","penyimpanan "&amp;F257&amp;" GB cukup, nyamannya "&amp;Aturan!$D$45&amp;" GB atau lebih ("&amp;J257&amp;")",IF(N257="Belum ada data","ukuran penyimpanan belum diisi",""))))</f>
        <v/>
      </c>
      <c r="V257" s="33" t="str">
        <f aca="false">IF($A257="","",IF(O257="Kurang","layar "&amp;Varian!$AG55&amp;", di bawah batas minimal ("&amp;IFERROR(INDEX(Aturan!$A$63:$A$66,MATCH(Aturan!$C$46,Aturan!$B$63:$B$66,0)),"peringkat "&amp;Aturan!$C$46)&amp;")",IF(O257="Cukup","layar "&amp;Varian!$AG55&amp;" cukup, nyamannya "&amp;IFERROR(INDEX(Aturan!$A$63:$A$66,MATCH(Aturan!$D$46,Aturan!$B$63:$B$66,0)),"peringkat "&amp;Aturan!$D$46),IF(O257="Belum ada data","jenis layar belum diketahui",""))))</f>
        <v/>
      </c>
      <c r="W257" s="33" t="str">
        <f aca="false">IF($A257="","",IF(P257="Kurang","layar "&amp;H257&amp;" Hz, di bawah batas minimal "&amp;Aturan!$C$47&amp;" Hz",IF(P257="Cukup","layar "&amp;H257&amp;" Hz cukup, nyamannya "&amp;Aturan!$D$47&amp;" Hz atau lebih",IF(P257="Belum ada data","refresh rate belum diketahui",""))))</f>
        <v/>
      </c>
      <c r="X257" s="33" t="str">
        <f aca="false">IF($A257="","",IF(K257="Kurang",R257&amp;"; ","")&amp;IF(L257="Kurang",S257&amp;"; ","")&amp;IF(M257="Kurang",T257&amp;"; ","")&amp;IF(N257="Kurang",U257&amp;"; ","")&amp;IF(O257="Kurang",V257&amp;"; ","")&amp;IF(P257="Kurang",W257&amp;"; ","")&amp;IF(K257="Belum ada data",R257&amp;"; ","")&amp;IF(L257="Belum ada data",S257&amp;"; ","")&amp;IF(M257="Belum ada data",T257&amp;"; ","")&amp;IF(N257="Belum ada data",U257&amp;"; ","")&amp;IF(O257="Belum ada data",V257&amp;"; ","")&amp;IF(P257="Belum ada data",W257&amp;"; ","")&amp;IF(K257="Cukup",R257&amp;"; ","")&amp;IF(L257="Cukup",S257&amp;"; ","")&amp;IF(M257="Cukup",T257&amp;"; ","")&amp;IF(N257="Cukup",U257&amp;"; ","")&amp;IF(O257="Cukup",V257&amp;"; ","")&amp;IF(P257="Cukup",W257&amp;"; ",""))</f>
        <v/>
      </c>
      <c r="Y257" s="33" t="str">
        <f aca="false">IF($A257="","",IF(K257="Nyaman","prosesor, ","")&amp;IF(L257="Nyaman","grafis, ","")&amp;IF(M257="Nyaman","RAM, ","")&amp;IF(N257="Nyaman","penyimpanan, ","")&amp;IF(O257="Nyaman","layar, ","")&amp;IF(P257="Nyaman","refresh rate, ",""))</f>
        <v>prosesor, RAM, penyimpanan, </v>
      </c>
      <c r="Z257" s="33" t="str">
        <f aca="false">IF($A257="","",IF(Q257="Tidak dinilai","Belum ada kriteria yang dinilai untuk kebutuhan ini.",IF(Q257="Cocok","Semua kriteria yang dinilai sudah nyaman: "&amp;LEFT(Y257,LEN(Y257)-2)&amp;".",UPPER(LEFT(X257,1))&amp;MID(X257,2,LEN(X257)-3)&amp;"."&amp;IF(Y257="",""," Sudah nyaman: "&amp;LEFT(Y257,LEN(Y257)-2)&amp;"."))))</f>
        <v>Semua kriteria yang dinilai sudah nyaman: prosesor, RAM, penyimpanan.</v>
      </c>
      <c r="AA257" s="33"/>
      <c r="AB257" s="33"/>
      <c r="AC257" s="69"/>
    </row>
    <row r="258" customFormat="false" ht="15" hidden="false" customHeight="true" outlineLevel="0" collapsed="false">
      <c r="A258" s="33" t="str">
        <f aca="false">IF(Varian!$A55="","",Varian!$A55)</f>
        <v>asus-vivobook-s14-s3407qa-x1-26-100-16-512</v>
      </c>
      <c r="B258" s="33" t="str">
        <f aca="false">IF($A258="","",Aturan!$A$24)</f>
        <v>Game ringan</v>
      </c>
      <c r="C258" s="69" t="n">
        <f aca="false">IF($A258="","",IFERROR(IF(ISNUMBER(INDEX(CPU!$J$4:$J$64,MATCH(Varian!$J55,CPU!$A$4:$A$64,0))),INDEX(CPU!$J$4:$J$64,MATCH(Varian!$J55,CPU!$A$4:$A$64,0)),""),""))</f>
        <v>3</v>
      </c>
      <c r="D258" s="69" t="n">
        <f aca="false">IF($A258="","",IFERROR(IF(ISNUMBER(INDEX(GPU!$G$4:$G$64,MATCH(Varian!$K55,GPU!$A$4:$A$64,0))),INDEX(GPU!$G$4:$G$64,MATCH(Varian!$K55,GPU!$A$4:$A$64,0)),""),""))</f>
        <v>2</v>
      </c>
      <c r="E258" s="69" t="n">
        <f aca="false">IF($A258="","",IF(ISNUMBER(Varian!$M55),Varian!$M55,""))</f>
        <v>16</v>
      </c>
      <c r="F258" s="69" t="n">
        <f aca="false">IF($A258="","",IF(ISNUMBER(Varian!$V55),Varian!$V55,""))</f>
        <v>512</v>
      </c>
      <c r="G258" s="69" t="n">
        <f aca="false">IF($A258="","",IFERROR(INDEX(Aturan!$B$63:$B$66,MATCH(Varian!$AG55,Aturan!$A$63:$A$66,0)),""))</f>
        <v>4</v>
      </c>
      <c r="H258" s="69" t="n">
        <f aca="false">IF($A258="","",IF(ISNUMBER(Varian!$AI55),Varian!$AI55,""))</f>
        <v>60</v>
      </c>
      <c r="I258" s="33" t="str">
        <f aca="false">IF($A258="","",IF(Varian!$Q55="disolder","menempel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menempel di papan utama, tidak bisa ditambah</v>
      </c>
      <c r="J258" s="33" t="str">
        <f aca="false">IF($A258="","",IF(Varian!$Z55="ya","bisa diganti dengan yang lebih besar",IF(Varian!$Z55="tidak","menempel, tidak bisa diganti","belum diketahui apakah bisa diganti")))</f>
        <v>bisa diganti dengan yang lebih besar</v>
      </c>
      <c r="K258" s="70" t="str">
        <f aca="false">IF($A258="","",IF(AND(Aturan!$C$48="",Aturan!$D$48=""),"Tidak dinilai",IF(C258="","Belum ada data",IF(C258&lt;IF(Aturan!$C$48="",0,Aturan!$C$48),"Kurang",IF(C258&gt;=IF(Aturan!$D$48="",Aturan!$C$48,Aturan!$D$48),"Nyaman","Cukup")))))</f>
        <v>Nyaman</v>
      </c>
      <c r="L258" s="70" t="str">
        <f aca="false">IF($A258="","",IF(AND(Aturan!$C$49="",Aturan!$D$49=""),"Tidak dinilai",IF(D258="","Belum ada data",IF(D258&lt;IF(Aturan!$C$49="",0,Aturan!$C$49),"Kurang",IF(D258&gt;=IF(Aturan!$D$49="",Aturan!$C$49,Aturan!$D$49),"Nyaman","Cukup")))))</f>
        <v>Nyaman</v>
      </c>
      <c r="M258" s="70" t="str">
        <f aca="false">IF($A258="","",IF(AND(Aturan!$C$50="",Aturan!$D$50=""),"Tidak dinilai",IF(E258="","Belum ada data",IF(E258&lt;IF(Aturan!$C$50="",0,Aturan!$C$50),"Kurang",IF(E258&gt;=IF(Aturan!$D$50="",Aturan!$C$50,Aturan!$D$50),"Nyaman","Cukup")))))</f>
        <v>Nyaman</v>
      </c>
      <c r="N258" s="70" t="str">
        <f aca="false">IF($A258="","",IF(AND(Aturan!$C$51="",Aturan!$D$51=""),"Tidak dinilai",IF(F258="","Belum ada data",IF(F258&lt;IF(Aturan!$C$51="",0,Aturan!$C$51),"Kurang",IF(F258&gt;=IF(Aturan!$D$51="",Aturan!$C$51,Aturan!$D$51),"Nyaman","Cukup")))))</f>
        <v>Nyaman</v>
      </c>
      <c r="O258" s="70" t="str">
        <f aca="false">IF($A258="","",IF(AND(Aturan!$C$52="",Aturan!$D$52=""),"Tidak dinilai",IF(G258="","Belum ada data",IF(G258&lt;IF(Aturan!$C$52="",0,Aturan!$C$52),"Kurang",IF(G258&gt;=IF(Aturan!$D$52="",Aturan!$C$52,Aturan!$D$52),"Nyaman","Cukup")))))</f>
        <v>Tidak dinilai</v>
      </c>
      <c r="P258" s="70" t="str">
        <f aca="false">IF($A258="","",IF(AND(Aturan!$C$53="",Aturan!$D$53=""),"Tidak dinilai",IF(H258="","Belum ada data",IF(H258&lt;IF(Aturan!$C$53="",0,Aturan!$C$53),"Kurang",IF(H258&gt;=IF(Aturan!$D$53="",Aturan!$C$53,Aturan!$D$53),"Nyaman","Cukup")))))</f>
        <v>Tidak dinilai</v>
      </c>
      <c r="Q258" s="70" t="str">
        <f aca="false">IF($A258="","",IF(COUNTIF(K258:P258,"Tidak dinilai")=6,"Tidak dinilai",IF(COUNTIF(K258:P258,"Kurang")&gt;0,"Kurang cocok",IF(COUNTIF(K258:P258,"Belum ada data")&gt;0,"Data belum lengkap",IF(COUNTIF(K258:P258,"Cukup")&gt;0,"Bisa, dengan catatan","Cocok")))))</f>
        <v>Cocok</v>
      </c>
      <c r="R258" s="33" t="str">
        <f aca="false">IF($A258="","",IF(K258="Kurang","prosesor tingkat "&amp;C258&amp;" dari 5, di bawah batas minimal (tingkat "&amp;Aturan!$C$48&amp;")",IF(K258="Cukup","prosesor tingkat "&amp;C258&amp;" dari 5 cukup, nyamannya mulai tingkat "&amp;Aturan!$D$48,IF(K258="Belum ada data","tingkat prosesor belum diisi",""))))</f>
        <v/>
      </c>
      <c r="S258" s="33" t="str">
        <f aca="false">IF($A258="","",IF(L258="Kurang","grafis tingkat "&amp;D258&amp;" dari 5, di bawah batas minimal (tingkat "&amp;Aturan!$C$49&amp;")",IF(L258="Cukup","grafis tingkat "&amp;D258&amp;" dari 5 cukup, nyamannya mulai tingkat "&amp;Aturan!$D$49,IF(L258="Belum ada data","tingkat grafis belum diisi",""))))</f>
        <v/>
      </c>
      <c r="T258" s="33" t="str">
        <f aca="false">IF($A258="","",IF(M258="Kurang","RAM "&amp;E258&amp;" GB, di bawah batas minimal "&amp;Aturan!$C$50&amp;" GB ("&amp;I258&amp;")",IF(M258="Cukup","RAM "&amp;E258&amp;" GB cukup, nyamannya "&amp;Aturan!$D$50&amp;" GB atau lebih ("&amp;I258&amp;")",IF(M258="Belum ada data","ukuran RAM belum diisi",""))))</f>
        <v/>
      </c>
      <c r="U258" s="33" t="str">
        <f aca="false">IF($A258="","",IF(N258="Kurang","penyimpanan "&amp;F258&amp;" GB, di bawah batas minimal "&amp;Aturan!$C$51&amp;" GB ("&amp;J258&amp;")",IF(N258="Cukup","penyimpanan "&amp;F258&amp;" GB cukup, nyamannya "&amp;Aturan!$D$51&amp;" GB atau lebih ("&amp;J258&amp;")",IF(N258="Belum ada data","ukuran penyimpanan belum diisi",""))))</f>
        <v/>
      </c>
      <c r="V258" s="33" t="str">
        <f aca="false">IF($A258="","",IF(O258="Kurang","layar "&amp;Varian!$AG55&amp;", di bawah batas minimal ("&amp;IFERROR(INDEX(Aturan!$A$63:$A$66,MATCH(Aturan!$C$52,Aturan!$B$63:$B$66,0)),"peringkat "&amp;Aturan!$C$52)&amp;")",IF(O258="Cukup","layar "&amp;Varian!$AG55&amp;" cukup, nyamannya "&amp;IFERROR(INDEX(Aturan!$A$63:$A$66,MATCH(Aturan!$D$52,Aturan!$B$63:$B$66,0)),"peringkat "&amp;Aturan!$D$52),IF(O258="Belum ada data","jenis layar belum diketahui",""))))</f>
        <v/>
      </c>
      <c r="W258" s="33" t="str">
        <f aca="false">IF($A258="","",IF(P258="Kurang","layar "&amp;H258&amp;" Hz, di bawah batas minimal "&amp;Aturan!$C$53&amp;" Hz",IF(P258="Cukup","layar "&amp;H258&amp;" Hz cukup, nyamannya "&amp;Aturan!$D$53&amp;" Hz atau lebih",IF(P258="Belum ada data","refresh rate belum diketahui",""))))</f>
        <v/>
      </c>
      <c r="X258" s="33" t="str">
        <f aca="false">IF($A258="","",IF(K258="Kurang",R258&amp;"; ","")&amp;IF(L258="Kurang",S258&amp;"; ","")&amp;IF(M258="Kurang",T258&amp;"; ","")&amp;IF(N258="Kurang",U258&amp;"; ","")&amp;IF(O258="Kurang",V258&amp;"; ","")&amp;IF(P258="Kurang",W258&amp;"; ","")&amp;IF(K258="Belum ada data",R258&amp;"; ","")&amp;IF(L258="Belum ada data",S258&amp;"; ","")&amp;IF(M258="Belum ada data",T258&amp;"; ","")&amp;IF(N258="Belum ada data",U258&amp;"; ","")&amp;IF(O258="Belum ada data",V258&amp;"; ","")&amp;IF(P258="Belum ada data",W258&amp;"; ","")&amp;IF(K258="Cukup",R258&amp;"; ","")&amp;IF(L258="Cukup",S258&amp;"; ","")&amp;IF(M258="Cukup",T258&amp;"; ","")&amp;IF(N258="Cukup",U258&amp;"; ","")&amp;IF(O258="Cukup",V258&amp;"; ","")&amp;IF(P258="Cukup",W258&amp;"; ",""))</f>
        <v/>
      </c>
      <c r="Y258" s="33" t="str">
        <f aca="false">IF($A258="","",IF(K258="Nyaman","prosesor, ","")&amp;IF(L258="Nyaman","grafis, ","")&amp;IF(M258="Nyaman","RAM, ","")&amp;IF(N258="Nyaman","penyimpanan, ","")&amp;IF(O258="Nyaman","layar, ","")&amp;IF(P258="Nyaman","refresh rate, ",""))</f>
        <v>prosesor, grafis, RAM, penyimpanan, </v>
      </c>
      <c r="Z258" s="33" t="str">
        <f aca="false">IF($A258="","",IF(Q258="Tidak dinilai","Belum ada kriteria yang dinilai untuk kebutuhan ini.",IF(Q258="Cocok","Semua kriteria yang dinilai sudah nyaman: "&amp;LEFT(Y258,LEN(Y258)-2)&amp;".",UPPER(LEFT(X258,1))&amp;MID(X258,2,LEN(X258)-3)&amp;"."&amp;IF(Y258="",""," Sudah nyaman: "&amp;LEFT(Y258,LEN(Y258)-2)&amp;"."))))</f>
        <v>Semua kriteria yang dinilai sudah nyaman: prosesor, grafis, RAM, penyimpanan.</v>
      </c>
      <c r="AA258" s="33"/>
      <c r="AB258" s="33"/>
      <c r="AC258" s="69"/>
    </row>
    <row r="259" customFormat="false" ht="15" hidden="false" customHeight="true" outlineLevel="0" collapsed="false">
      <c r="A259" s="33" t="str">
        <f aca="false">IF(Varian!$A55="","",Varian!$A55)</f>
        <v>asus-vivobook-s14-s3407qa-x1-26-100-16-512</v>
      </c>
      <c r="B259" s="33" t="str">
        <f aca="false">IF($A259="","",Aturan!$A$25)</f>
        <v>Game berat</v>
      </c>
      <c r="C259" s="69" t="n">
        <f aca="false">IF($A259="","",IFERROR(IF(ISNUMBER(INDEX(CPU!$J$4:$J$64,MATCH(Varian!$J55,CPU!$A$4:$A$64,0))),INDEX(CPU!$J$4:$J$64,MATCH(Varian!$J55,CPU!$A$4:$A$64,0)),""),""))</f>
        <v>3</v>
      </c>
      <c r="D259" s="69" t="n">
        <f aca="false">IF($A259="","",IFERROR(IF(ISNUMBER(INDEX(GPU!$G$4:$G$64,MATCH(Varian!$K55,GPU!$A$4:$A$64,0))),INDEX(GPU!$G$4:$G$64,MATCH(Varian!$K55,GPU!$A$4:$A$64,0)),""),""))</f>
        <v>2</v>
      </c>
      <c r="E259" s="69" t="n">
        <f aca="false">IF($A259="","",IF(ISNUMBER(Varian!$M55),Varian!$M55,""))</f>
        <v>16</v>
      </c>
      <c r="F259" s="69" t="n">
        <f aca="false">IF($A259="","",IF(ISNUMBER(Varian!$V55),Varian!$V55,""))</f>
        <v>512</v>
      </c>
      <c r="G259" s="69" t="n">
        <f aca="false">IF($A259="","",IFERROR(INDEX(Aturan!$B$63:$B$66,MATCH(Varian!$AG55,Aturan!$A$63:$A$66,0)),""))</f>
        <v>4</v>
      </c>
      <c r="H259" s="69" t="n">
        <f aca="false">IF($A259="","",IF(ISNUMBER(Varian!$AI55),Varian!$AI55,""))</f>
        <v>60</v>
      </c>
      <c r="I259" s="33" t="str">
        <f aca="false">IF($A259="","",IF(Varian!$Q55="disolder","menempel di papan utama, tidak bisa ditambah",IF(OR(Varian!$Q55="slot",Varian!$Q55="setengah_disolder"),IF(Varian!$Q55="setengah_disolder","sebagian menempel, ","")&amp;IF(ISNUMBER(Varian!$U55),IF(AND(ISNUMBER(Varian!$M55),Varian!$U55&gt;Varian!$M55),"bisa dinaikkan lewat slot sampai "&amp;Varian!$U55&amp;" GB","sudah di batas maksimal "&amp;Varian!$U55&amp;" GB"),"ada slot, batas maksimalnya belum diketahui"),"belum diketahui apakah bisa ditambah")))</f>
        <v>menempel di papan utama, tidak bisa ditambah</v>
      </c>
      <c r="J259" s="33" t="str">
        <f aca="false">IF($A259="","",IF(Varian!$Z55="ya","bisa diganti dengan yang lebih besar",IF(Varian!$Z55="tidak","menempel, tidak bisa diganti","belum diketahui apakah bisa diganti")))</f>
        <v>bisa diganti dengan yang lebih besar</v>
      </c>
      <c r="K259" s="70" t="str">
        <f aca="false">IF($A259="","",IF(AND(Aturan!$C$54="",Aturan!$D$54=""),"Tidak dinilai",IF(C259="","Belum ada data",IF(C259&lt;IF(Aturan!$C$54="",0,Aturan!$C$54),"Kurang",IF(C259&gt;=IF(Aturan!$D$54="",Aturan!$C$54,Aturan!$D$54),"Nyaman","Cukup")))))</f>
        <v>Cukup</v>
      </c>
      <c r="L259" s="70" t="str">
        <f aca="false">IF($A259="","",IF(AND(Aturan!$C$55="",Aturan!$D$55=""),"Tidak dinilai",IF(D259="","Belum ada data",IF(D259&lt;IF(Aturan!$C$55="",0,Aturan!$C$55),"Kurang",IF(D259&gt;=IF(Aturan!$D$55="",Aturan!$C$55,Aturan!$D$55),"Nyaman","Cukup")))))</f>
        <v>Kurang</v>
      </c>
      <c r="M259" s="70" t="str">
        <f aca="false">IF($A259="","",IF(AND(Aturan!$C$56="",Aturan!$D$56=""),"Tidak dinilai",IF(E259="","Belum ada data",IF(E259&lt;IF(Aturan!$C$56="",0,Aturan!$C$56),"Kurang",IF(E259&gt;=IF(Aturan!$D$56="",Aturan!$C$56,Aturan!$D$56),"Nyaman","Cukup")))))</f>
        <v>Nyaman</v>
      </c>
      <c r="N259" s="70" t="str">
        <f aca="false">IF($A259="","",IF(AND(Aturan!$C$57="",Aturan!$D$57=""),"Tidak dinilai",IF(F259="","Belum ada data",IF(F259&lt;IF(Aturan!$C$57="",0,Aturan!$C$57),"Kurang",IF(F259&gt;=IF(Aturan!$D$57="",Aturan!$C$57,Aturan!$D$57),"Nyaman","Cukup")))))</f>
        <v>Cukup</v>
      </c>
      <c r="O259" s="70" t="str">
        <f aca="false">IF($A259="","",IF(AND(Aturan!$C$58="",Aturan!$D$58=""),"Tidak dinilai",IF(G259="","Belum ada data",IF(G259&lt;IF(Aturan!$C$58="",0,Aturan!$C$58),"Kurang",IF(G259&gt;=IF(Aturan!$D$58="",Aturan!$C$58,Aturan!$D$58),"Nyaman","Cukup")))))</f>
        <v>Tidak dinilai</v>
      </c>
      <c r="P259" s="70" t="str">
        <f aca="false">IF($A259="","",IF(AND(Aturan!$C$59="",Aturan!$D$59=""),"Tidak dinilai",IF(H259="","Belum ada data",IF(H259&lt;IF(Aturan!$C$59="",0,Aturan!$C$59),"Kurang",IF(H259&gt;=IF(Aturan!$D$59="",Aturan!$C$59,Aturan!$D$59),"Nyaman","Cukup")))))</f>
        <v>Cukup</v>
      </c>
      <c r="Q259" s="70" t="str">
        <f aca="false">IF($A259="","",IF(COUNTIF(K259:P259,"Tidak dinilai")=6,"Tidak dinilai",IF(COUNTIF(K259:P259,"Kurang")&gt;0,"Kurang cocok",IF(COUNTIF(K259:P259,"Belum ada data")&gt;0,"Data belum lengkap",IF(COUNTIF(K259:P259,"Cukup")&gt;0,"Bisa, dengan catatan","Cocok")))))</f>
        <v>Kurang cocok</v>
      </c>
      <c r="R259" s="33" t="str">
        <f aca="false">IF($A259="","",IF(K259="Kurang","prosesor tingkat "&amp;C259&amp;" dari 5, di bawah batas minimal (tingkat "&amp;Aturan!$C$54&amp;")",IF(K259="Cukup","prosesor tingkat "&amp;C259&amp;" dari 5 cukup, nyamannya mulai tingkat "&amp;Aturan!$D$54,IF(K259="Belum ada data","tingkat prosesor belum diisi",""))))</f>
        <v>prosesor tingkat 3 dari 5 cukup, nyamannya mulai tingkat 4</v>
      </c>
      <c r="S259" s="33" t="str">
        <f aca="false">IF($A259="","",IF(L259="Kurang","grafis tingkat "&amp;D259&amp;" dari 5, di bawah batas minimal (tingkat "&amp;Aturan!$C$55&amp;")",IF(L259="Cukup","grafis tingkat "&amp;D259&amp;" dari 5 cukup, nyamannya mulai tingkat "&amp;Aturan!$D$55,IF(L259="Belum ada data","tingkat grafis belum diisi",""))))</f>
        <v>grafis tingkat 2 dari 5, di bawah batas minimal (tingkat 3)</v>
      </c>
      <c r="T259" s="33" t="str">
        <f aca="false">IF($A259="","",IF(M259="Kurang","RAM "&amp;E259&amp;" GB, di bawah batas minimal "&amp;Aturan!$C$56&amp;" GB ("&amp;I259&amp;")",IF(M259="Cukup","RAM "&amp;E259&amp;" GB cukup, nyamannya "&amp;Aturan!$D$56&amp;" GB atau lebih ("&amp;I259&amp;")",IF(M259="Belum ada data","ukuran RAM belum diisi",""))))</f>
        <v/>
      </c>
      <c r="U259" s="33" t="str">
        <f aca="false">IF($A259="","",IF(N259="Kurang","penyimpanan "&amp;F259&amp;" GB, di bawah batas minimal "&amp;Aturan!$C$57&amp;" GB ("&amp;J259&amp;")",IF(N259="Cukup","penyimpanan "&amp;F259&amp;" GB cukup, nyamannya "&amp;Aturan!$D$57&amp;" GB atau lebih ("&amp;J259&amp;")",IF(N259="Belum ada data","ukuran penyimpanan belum diisi",""))))</f>
        <v>penyimpanan 512 GB cukup, nyamannya 1000 GB atau lebih (bisa diganti dengan yang lebih besar)</v>
      </c>
      <c r="V259" s="33" t="str">
        <f aca="false">IF($A259="","",IF(O259="Kurang","layar "&amp;Varian!$AG55&amp;", di bawah batas minimal ("&amp;IFERROR(INDEX(Aturan!$A$63:$A$66,MATCH(Aturan!$C$58,Aturan!$B$63:$B$66,0)),"peringkat "&amp;Aturan!$C$58)&amp;")",IF(O259="Cukup","layar "&amp;Varian!$AG55&amp;" cukup, nyamannya "&amp;IFERROR(INDEX(Aturan!$A$63:$A$66,MATCH(Aturan!$D$58,Aturan!$B$63:$B$66,0)),"peringkat "&amp;Aturan!$D$58),IF(O259="Belum ada data","jenis layar belum diketahui",""))))</f>
        <v/>
      </c>
      <c r="W259" s="33" t="str">
        <f aca="false">IF($A259="","",IF(P259="Kurang","layar "&amp;H259&amp;" Hz, di bawah batas minimal "&amp;Aturan!$C$59&amp;" Hz",IF(P259="Cukup","layar "&amp;H259&amp;" Hz cukup, nyamannya "&amp;Aturan!$D$59&amp;" Hz atau lebih",IF(P259="Belum ada data","refresh rate belum diketahui",""))))</f>
        <v>layar 60 Hz cukup, nyamannya 120 Hz atau lebih</v>
      </c>
      <c r="X259" s="33" t="str">
        <f aca="false">IF($A259="","",IF(K259="Kurang",R259&amp;"; ","")&amp;IF(L259="Kurang",S259&amp;"; ","")&amp;IF(M259="Kurang",T259&amp;"; ","")&amp;IF(N259="Kurang",U259&amp;"; ","")&amp;IF(O259="Kurang",V259&amp;"; ","")&amp;IF(P259="Kurang",W259&amp;"; ","")&amp;IF(K259="Belum ada data",R259&amp;"; ","")&amp;IF(L259="Belum ada data",S259&amp;"; ","")&amp;IF(M259="Belum ada data",T259&amp;"; ","")&amp;IF(N259="Belum ada data",U259&amp;"; ","")&amp;IF(O259="Belum ada data",V259&amp;"; ","")&amp;IF(P259="Belum ada data",W259&amp;"; ","")&amp;IF(K259="Cukup",R259&amp;"; ","")&amp;IF(L259="Cukup",S259&amp;"; ","")&amp;IF(M259="Cukup",T259&amp;"; ","")&amp;IF(N259="Cukup",U259&amp;"; ","")&amp;IF(O259="Cukup",V259&amp;"; ","")&amp;IF(P259="Cukup",W259&amp;"; ",""))</f>
        <v>grafis tingkat 2 dari 5, di bawah batas minimal (tingkat 3); prosesor tingkat 3 dari 5 cukup, nyamannya mulai tingkat 4; penyimpanan 512 GB cukup, nyamannya 1000 GB atau lebih (bisa diganti dengan yang lebih besar); layar 60 Hz cukup, nyamannya 120 Hz atau lebih; </v>
      </c>
      <c r="Y259" s="33" t="str">
        <f aca="false">IF($A259="","",IF(K259="Nyaman","prosesor, ","")&amp;IF(L259="Nyaman","grafis, ","")&amp;IF(M259="Nyaman","RAM, ","")&amp;IF(N259="Nyaman","penyimpanan, ","")&amp;IF(O259="Nyaman","layar, ","")&amp;IF(P259="Nyaman","refresh rate, ",""))</f>
        <v>RAM, </v>
      </c>
      <c r="Z259" s="33" t="str">
        <f aca="false">IF($A259="","",IF(Q259="Tidak dinilai","Belum ada kriteria yang dinilai untuk kebutuhan ini.",IF(Q259="Cocok","Semua kriteria yang dinilai sudah nyaman: "&amp;LEFT(Y259,LEN(Y259)-2)&amp;".",UPPER(LEFT(X259,1))&amp;MID(X259,2,LEN(X259)-3)&amp;"."&amp;IF(Y259="",""," Sudah nyaman: "&amp;LEFT(Y259,LEN(Y259)-2)&amp;"."))))</f>
        <v>Grafis tingkat 2 dari 5, di bawah batas minimal (tingkat 3); prosesor tingkat 3 dari 5 cukup, nyamannya mulai tingkat 4; penyimpanan 512 GB cukup, nyamannya 1000 GB atau lebih (bisa diganti dengan yang lebih besar); layar 60 Hz cukup, nyamannya 120 Hz atau lebih. Sudah nyaman: RAM.</v>
      </c>
      <c r="AA259" s="33"/>
      <c r="AB259" s="33"/>
      <c r="AC259" s="69"/>
    </row>
    <row r="260" customFormat="false" ht="15" hidden="false" customHeight="true" outlineLevel="0" collapsed="false">
      <c r="A260" s="66" t="str">
        <f aca="false">IF(Varian!$A56="","",Varian!$A56)</f>
        <v>lenovo-yoga-7-2-in-1-14ill10-u7-258v-32-1tb</v>
      </c>
      <c r="B260" s="66" t="str">
        <f aca="false">IF($A260="","",Aturan!$A$21)</f>
        <v>Kuliah dan kantor</v>
      </c>
      <c r="C260" s="67" t="n">
        <f aca="false">IF($A260="","",IFERROR(IF(ISNUMBER(INDEX(CPU!$J$4:$J$64,MATCH(Varian!$J56,CPU!$A$4:$A$64,0))),INDEX(CPU!$J$4:$J$64,MATCH(Varian!$J56,CPU!$A$4:$A$64,0)),""),""))</f>
        <v>3</v>
      </c>
      <c r="D260" s="67" t="n">
        <f aca="false">IF($A260="","",IFERROR(IF(ISNUMBER(INDEX(GPU!$G$4:$G$64,MATCH(Varian!$K56,GPU!$A$4:$A$64,0))),INDEX(GPU!$G$4:$G$64,MATCH(Varian!$K56,GPU!$A$4:$A$64,0)),""),""))</f>
        <v>2</v>
      </c>
      <c r="E260" s="67" t="n">
        <f aca="false">IF($A260="","",IF(ISNUMBER(Varian!$M56),Varian!$M56,""))</f>
        <v>32</v>
      </c>
      <c r="F260" s="67" t="n">
        <f aca="false">IF($A260="","",IF(ISNUMBER(Varian!$V56),Varian!$V56,""))</f>
        <v>1024</v>
      </c>
      <c r="G260" s="67" t="n">
        <f aca="false">IF($A260="","",IFERROR(INDEX(Aturan!$B$63:$B$66,MATCH(Varian!$AG56,Aturan!$A$63:$A$66,0)),""))</f>
        <v>4</v>
      </c>
      <c r="H260" s="67" t="n">
        <f aca="false">IF($A260="","",IF(ISNUMBER(Varian!$AI56),Varian!$AI56,""))</f>
        <v>120</v>
      </c>
      <c r="I260" s="66" t="str">
        <f aca="false">IF($A260="","",IF(Varian!$Q56="disolder","menempel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menempel di papan utama, tidak bisa ditambah</v>
      </c>
      <c r="J260" s="66" t="str">
        <f aca="false">IF($A260="","",IF(Varian!$Z56="ya","bisa diganti dengan yang lebih besar",IF(Varian!$Z56="tidak","menempel, tidak bisa diganti","belum diketahui apakah bisa diganti")))</f>
        <v>bisa diganti dengan yang lebih besar</v>
      </c>
      <c r="K260" s="68" t="str">
        <f aca="false">IF($A260="","",IF(AND(Aturan!$C$30="",Aturan!$D$30=""),"Tidak dinilai",IF(C260="","Belum ada data",IF(C260&lt;IF(Aturan!$C$30="",0,Aturan!$C$30),"Kurang",IF(C260&gt;=IF(Aturan!$D$30="",Aturan!$C$30,Aturan!$D$30),"Nyaman","Cukup")))))</f>
        <v>Nyaman</v>
      </c>
      <c r="L260" s="68" t="str">
        <f aca="false">IF($A260="","",IF(AND(Aturan!$C$31="",Aturan!$D$31=""),"Tidak dinilai",IF(D260="","Belum ada data",IF(D260&lt;IF(Aturan!$C$31="",0,Aturan!$C$31),"Kurang",IF(D260&gt;=IF(Aturan!$D$31="",Aturan!$C$31,Aturan!$D$31),"Nyaman","Cukup")))))</f>
        <v>Tidak dinilai</v>
      </c>
      <c r="M260" s="68" t="str">
        <f aca="false">IF($A260="","",IF(AND(Aturan!$C$32="",Aturan!$D$32=""),"Tidak dinilai",IF(E260="","Belum ada data",IF(E260&lt;IF(Aturan!$C$32="",0,Aturan!$C$32),"Kurang",IF(E260&gt;=IF(Aturan!$D$32="",Aturan!$C$32,Aturan!$D$32),"Nyaman","Cukup")))))</f>
        <v>Nyaman</v>
      </c>
      <c r="N260" s="68" t="str">
        <f aca="false">IF($A260="","",IF(AND(Aturan!$C$33="",Aturan!$D$33=""),"Tidak dinilai",IF(F260="","Belum ada data",IF(F260&lt;IF(Aturan!$C$33="",0,Aturan!$C$33),"Kurang",IF(F260&gt;=IF(Aturan!$D$33="",Aturan!$C$33,Aturan!$D$33),"Nyaman","Cukup")))))</f>
        <v>Nyaman</v>
      </c>
      <c r="O260" s="68" t="str">
        <f aca="false">IF($A260="","",IF(AND(Aturan!$C$34="",Aturan!$D$34=""),"Tidak dinilai",IF(G260="","Belum ada data",IF(G260&lt;IF(Aturan!$C$34="",0,Aturan!$C$34),"Kurang",IF(G260&gt;=IF(Aturan!$D$34="",Aturan!$C$34,Aturan!$D$34),"Nyaman","Cukup")))))</f>
        <v>Tidak dinilai</v>
      </c>
      <c r="P260" s="68" t="str">
        <f aca="false">IF($A260="","",IF(AND(Aturan!$C$35="",Aturan!$D$35=""),"Tidak dinilai",IF(H260="","Belum ada data",IF(H260&lt;IF(Aturan!$C$35="",0,Aturan!$C$35),"Kurang",IF(H260&gt;=IF(Aturan!$D$35="",Aturan!$C$35,Aturan!$D$35),"Nyaman","Cukup")))))</f>
        <v>Tidak dinilai</v>
      </c>
      <c r="Q260" s="68" t="str">
        <f aca="false">IF($A260="","",IF(COUNTIF(K260:P260,"Tidak dinilai")=6,"Tidak dinilai",IF(COUNTIF(K260:P260,"Kurang")&gt;0,"Kurang cocok",IF(COUNTIF(K260:P260,"Belum ada data")&gt;0,"Data belum lengkap",IF(COUNTIF(K260:P260,"Cukup")&gt;0,"Bisa, dengan catatan","Cocok")))))</f>
        <v>Cocok</v>
      </c>
      <c r="R260" s="66" t="str">
        <f aca="false">IF($A260="","",IF(K260="Kurang","prosesor tingkat "&amp;C260&amp;" dari 5, di bawah batas minimal (tingkat "&amp;Aturan!$C$30&amp;")",IF(K260="Cukup","prosesor tingkat "&amp;C260&amp;" dari 5 cukup, nyamannya mulai tingkat "&amp;Aturan!$D$30,IF(K260="Belum ada data","tingkat prosesor belum diisi",""))))</f>
        <v/>
      </c>
      <c r="S260" s="66" t="str">
        <f aca="false">IF($A260="","",IF(L260="Kurang","grafis tingkat "&amp;D260&amp;" dari 5, di bawah batas minimal (tingkat "&amp;Aturan!$C$31&amp;")",IF(L260="Cukup","grafis tingkat "&amp;D260&amp;" dari 5 cukup, nyamannya mulai tingkat "&amp;Aturan!$D$31,IF(L260="Belum ada data","tingkat grafis belum diisi",""))))</f>
        <v/>
      </c>
      <c r="T260" s="66" t="str">
        <f aca="false">IF($A260="","",IF(M260="Kurang","RAM "&amp;E260&amp;" GB, di bawah batas minimal "&amp;Aturan!$C$32&amp;" GB ("&amp;I260&amp;")",IF(M260="Cukup","RAM "&amp;E260&amp;" GB cukup, nyamannya "&amp;Aturan!$D$32&amp;" GB atau lebih ("&amp;I260&amp;")",IF(M260="Belum ada data","ukuran RAM belum diisi",""))))</f>
        <v/>
      </c>
      <c r="U260" s="66" t="str">
        <f aca="false">IF($A260="","",IF(N260="Kurang","penyimpanan "&amp;F260&amp;" GB, di bawah batas minimal "&amp;Aturan!$C$33&amp;" GB ("&amp;J260&amp;")",IF(N260="Cukup","penyimpanan "&amp;F260&amp;" GB cukup, nyamannya "&amp;Aturan!$D$33&amp;" GB atau lebih ("&amp;J260&amp;")",IF(N260="Belum ada data","ukuran penyimpanan belum diisi",""))))</f>
        <v/>
      </c>
      <c r="V260" s="66" t="str">
        <f aca="false">IF($A260="","",IF(O260="Kurang","layar "&amp;Varian!$AG56&amp;", di bawah batas minimal ("&amp;IFERROR(INDEX(Aturan!$A$63:$A$66,MATCH(Aturan!$C$34,Aturan!$B$63:$B$66,0)),"peringkat "&amp;Aturan!$C$34)&amp;")",IF(O260="Cukup","layar "&amp;Varian!$AG56&amp;" cukup, nyamannya "&amp;IFERROR(INDEX(Aturan!$A$63:$A$66,MATCH(Aturan!$D$34,Aturan!$B$63:$B$66,0)),"peringkat "&amp;Aturan!$D$34),IF(O260="Belum ada data","jenis layar belum diketahui",""))))</f>
        <v/>
      </c>
      <c r="W260" s="66" t="str">
        <f aca="false">IF($A260="","",IF(P260="Kurang","layar "&amp;H260&amp;" Hz, di bawah batas minimal "&amp;Aturan!$C$35&amp;" Hz",IF(P260="Cukup","layar "&amp;H260&amp;" Hz cukup, nyamannya "&amp;Aturan!$D$35&amp;" Hz atau lebih",IF(P260="Belum ada data","refresh rate belum diketahui",""))))</f>
        <v/>
      </c>
      <c r="X260" s="66" t="str">
        <f aca="false">IF($A260="","",IF(K260="Kurang",R260&amp;"; ","")&amp;IF(L260="Kurang",S260&amp;"; ","")&amp;IF(M260="Kurang",T260&amp;"; ","")&amp;IF(N260="Kurang",U260&amp;"; ","")&amp;IF(O260="Kurang",V260&amp;"; ","")&amp;IF(P260="Kurang",W260&amp;"; ","")&amp;IF(K260="Belum ada data",R260&amp;"; ","")&amp;IF(L260="Belum ada data",S260&amp;"; ","")&amp;IF(M260="Belum ada data",T260&amp;"; ","")&amp;IF(N260="Belum ada data",U260&amp;"; ","")&amp;IF(O260="Belum ada data",V260&amp;"; ","")&amp;IF(P260="Belum ada data",W260&amp;"; ","")&amp;IF(K260="Cukup",R260&amp;"; ","")&amp;IF(L260="Cukup",S260&amp;"; ","")&amp;IF(M260="Cukup",T260&amp;"; ","")&amp;IF(N260="Cukup",U260&amp;"; ","")&amp;IF(O260="Cukup",V260&amp;"; ","")&amp;IF(P260="Cukup",W260&amp;"; ",""))</f>
        <v/>
      </c>
      <c r="Y260" s="66" t="str">
        <f aca="false">IF($A260="","",IF(K260="Nyaman","prosesor, ","")&amp;IF(L260="Nyaman","grafis, ","")&amp;IF(M260="Nyaman","RAM, ","")&amp;IF(N260="Nyaman","penyimpanan, ","")&amp;IF(O260="Nyaman","layar, ","")&amp;IF(P260="Nyaman","refresh rate, ",""))</f>
        <v>prosesor, RAM, penyimpanan, </v>
      </c>
      <c r="Z260" s="66" t="str">
        <f aca="false">IF($A260="","",IF(Q260="Tidak dinilai","Belum ada kriteria yang dinilai untuk kebutuhan ini.",IF(Q260="Cocok","Semua kriteria yang dinilai sudah nyaman: "&amp;LEFT(Y260,LEN(Y260)-2)&amp;".",UPPER(LEFT(X260,1))&amp;MID(X260,2,LEN(X260)-3)&amp;"."&amp;IF(Y260="",""," Sudah nyaman: "&amp;LEFT(Y260,LEN(Y260)-2)&amp;"."))))</f>
        <v>Semua kriteria yang dinilai sudah nyaman: prosesor, RAM, penyimpanan.</v>
      </c>
      <c r="AA260" s="66" t="str">
        <f aca="false">IF($A260="","",IF(Varian!$AR56="Windows 10","• "&amp;Aturan!$E$71&amp;CHAR(10),"")&amp;IF(Varian!$BB56="tidak","• "&amp;Aturan!$E$72&amp;CHAR(10),"")&amp;IF(OR(Varian!$AD56="belum terverifikasi",Varian!$AD56="tidak diketahui"),"• "&amp;Aturan!$E$73&amp;CHAR(10),"")&amp;IF(Varian!$AH56="1366x768","• "&amp;Aturan!$E$74&amp;CHAR(10),"")&amp;IF(Varian!$AG56="TN","• "&amp;Aturan!$E$75&amp;CHAR(10),"")&amp;IF(AND(Varian!$Q56="disolder",ISNUMBER(Varian!$M56),Varian!$M56&lt;=8),"• "&amp;Aturan!$E$76&amp;CHAR(10),""))</f>
        <v/>
      </c>
      <c r="AB260" s="66" t="str">
        <f aca="false">IF($A260="","",IF(AA260="","",LEFT(AA260,LEN(AA260)-1)))</f>
        <v/>
      </c>
      <c r="AC260" s="67" t="n">
        <f aca="false">IF($A260="","",IF(AA260="",0,LEN(AA260)-LEN(SUBSTITUTE(AA260,CHAR(10),""))))</f>
        <v>0</v>
      </c>
    </row>
    <row r="261" customFormat="false" ht="15" hidden="false" customHeight="true" outlineLevel="0" collapsed="false">
      <c r="A261" s="33" t="str">
        <f aca="false">IF(Varian!$A56="","",Varian!$A56)</f>
        <v>lenovo-yoga-7-2-in-1-14ill10-u7-258v-32-1tb</v>
      </c>
      <c r="B261" s="33" t="str">
        <f aca="false">IF($A261="","",Aturan!$A$22)</f>
        <v>Desain grafis</v>
      </c>
      <c r="C261" s="69" t="n">
        <f aca="false">IF($A261="","",IFERROR(IF(ISNUMBER(INDEX(CPU!$J$4:$J$64,MATCH(Varian!$J56,CPU!$A$4:$A$64,0))),INDEX(CPU!$J$4:$J$64,MATCH(Varian!$J56,CPU!$A$4:$A$64,0)),""),""))</f>
        <v>3</v>
      </c>
      <c r="D261" s="69" t="n">
        <f aca="false">IF($A261="","",IFERROR(IF(ISNUMBER(INDEX(GPU!$G$4:$G$64,MATCH(Varian!$K56,GPU!$A$4:$A$64,0))),INDEX(GPU!$G$4:$G$64,MATCH(Varian!$K56,GPU!$A$4:$A$64,0)),""),""))</f>
        <v>2</v>
      </c>
      <c r="E261" s="69" t="n">
        <f aca="false">IF($A261="","",IF(ISNUMBER(Varian!$M56),Varian!$M56,""))</f>
        <v>32</v>
      </c>
      <c r="F261" s="69" t="n">
        <f aca="false">IF($A261="","",IF(ISNUMBER(Varian!$V56),Varian!$V56,""))</f>
        <v>1024</v>
      </c>
      <c r="G261" s="69" t="n">
        <f aca="false">IF($A261="","",IFERROR(INDEX(Aturan!$B$63:$B$66,MATCH(Varian!$AG56,Aturan!$A$63:$A$66,0)),""))</f>
        <v>4</v>
      </c>
      <c r="H261" s="69" t="n">
        <f aca="false">IF($A261="","",IF(ISNUMBER(Varian!$AI56),Varian!$AI56,""))</f>
        <v>120</v>
      </c>
      <c r="I261" s="33" t="str">
        <f aca="false">IF($A261="","",IF(Varian!$Q56="disolder","menempel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menempel di papan utama, tidak bisa ditambah</v>
      </c>
      <c r="J261" s="33" t="str">
        <f aca="false">IF($A261="","",IF(Varian!$Z56="ya","bisa diganti dengan yang lebih besar",IF(Varian!$Z56="tidak","menempel, tidak bisa diganti","belum diketahui apakah bisa diganti")))</f>
        <v>bisa diganti dengan yang lebih besar</v>
      </c>
      <c r="K261" s="70" t="str">
        <f aca="false">IF($A261="","",IF(AND(Aturan!$C$36="",Aturan!$D$36=""),"Tidak dinilai",IF(C261="","Belum ada data",IF(C261&lt;IF(Aturan!$C$36="",0,Aturan!$C$36),"Kurang",IF(C261&gt;=IF(Aturan!$D$36="",Aturan!$C$36,Aturan!$D$36),"Nyaman","Cukup")))))</f>
        <v>Nyaman</v>
      </c>
      <c r="L261" s="70" t="str">
        <f aca="false">IF($A261="","",IF(AND(Aturan!$C$37="",Aturan!$D$37=""),"Tidak dinilai",IF(D261="","Belum ada data",IF(D261&lt;IF(Aturan!$C$37="",0,Aturan!$C$37),"Kurang",IF(D261&gt;=IF(Aturan!$D$37="",Aturan!$C$37,Aturan!$D$37),"Nyaman","Cukup")))))</f>
        <v>Nyaman</v>
      </c>
      <c r="M261" s="70" t="str">
        <f aca="false">IF($A261="","",IF(AND(Aturan!$C$38="",Aturan!$D$38=""),"Tidak dinilai",IF(E261="","Belum ada data",IF(E261&lt;IF(Aturan!$C$38="",0,Aturan!$C$38),"Kurang",IF(E261&gt;=IF(Aturan!$D$38="",Aturan!$C$38,Aturan!$D$38),"Nyaman","Cukup")))))</f>
        <v>Nyaman</v>
      </c>
      <c r="N261" s="70" t="str">
        <f aca="false">IF($A261="","",IF(AND(Aturan!$C$39="",Aturan!$D$39=""),"Tidak dinilai",IF(F261="","Belum ada data",IF(F261&lt;IF(Aturan!$C$39="",0,Aturan!$C$39),"Kurang",IF(F261&gt;=IF(Aturan!$D$39="",Aturan!$C$39,Aturan!$D$39),"Nyaman","Cukup")))))</f>
        <v>Nyaman</v>
      </c>
      <c r="O261" s="70" t="str">
        <f aca="false">IF($A261="","",IF(AND(Aturan!$C$40="",Aturan!$D$40=""),"Tidak dinilai",IF(G261="","Belum ada data",IF(G261&lt;IF(Aturan!$C$40="",0,Aturan!$C$40),"Kurang",IF(G261&gt;=IF(Aturan!$D$40="",Aturan!$C$40,Aturan!$D$40),"Nyaman","Cukup")))))</f>
        <v>Nyaman</v>
      </c>
      <c r="P261" s="70" t="str">
        <f aca="false">IF($A261="","",IF(AND(Aturan!$C$41="",Aturan!$D$41=""),"Tidak dinilai",IF(H261="","Belum ada data",IF(H261&lt;IF(Aturan!$C$41="",0,Aturan!$C$41),"Kurang",IF(H261&gt;=IF(Aturan!$D$41="",Aturan!$C$41,Aturan!$D$41),"Nyaman","Cukup")))))</f>
        <v>Tidak dinilai</v>
      </c>
      <c r="Q261" s="70" t="str">
        <f aca="false">IF($A261="","",IF(COUNTIF(K261:P261,"Tidak dinilai")=6,"Tidak dinilai",IF(COUNTIF(K261:P261,"Kurang")&gt;0,"Kurang cocok",IF(COUNTIF(K261:P261,"Belum ada data")&gt;0,"Data belum lengkap",IF(COUNTIF(K261:P261,"Cukup")&gt;0,"Bisa, dengan catatan","Cocok")))))</f>
        <v>Cocok</v>
      </c>
      <c r="R261" s="33" t="str">
        <f aca="false">IF($A261="","",IF(K261="Kurang","prosesor tingkat "&amp;C261&amp;" dari 5, di bawah batas minimal (tingkat "&amp;Aturan!$C$36&amp;")",IF(K261="Cukup","prosesor tingkat "&amp;C261&amp;" dari 5 cukup, nyamannya mulai tingkat "&amp;Aturan!$D$36,IF(K261="Belum ada data","tingkat prosesor belum diisi",""))))</f>
        <v/>
      </c>
      <c r="S261" s="33" t="str">
        <f aca="false">IF($A261="","",IF(L261="Kurang","grafis tingkat "&amp;D261&amp;" dari 5, di bawah batas minimal (tingkat "&amp;Aturan!$C$37&amp;")",IF(L261="Cukup","grafis tingkat "&amp;D261&amp;" dari 5 cukup, nyamannya mulai tingkat "&amp;Aturan!$D$37,IF(L261="Belum ada data","tingkat grafis belum diisi",""))))</f>
        <v/>
      </c>
      <c r="T261" s="33" t="str">
        <f aca="false">IF($A261="","",IF(M261="Kurang","RAM "&amp;E261&amp;" GB, di bawah batas minimal "&amp;Aturan!$C$38&amp;" GB ("&amp;I261&amp;")",IF(M261="Cukup","RAM "&amp;E261&amp;" GB cukup, nyamannya "&amp;Aturan!$D$38&amp;" GB atau lebih ("&amp;I261&amp;")",IF(M261="Belum ada data","ukuran RAM belum diisi",""))))</f>
        <v/>
      </c>
      <c r="U261" s="33" t="str">
        <f aca="false">IF($A261="","",IF(N261="Kurang","penyimpanan "&amp;F261&amp;" GB, di bawah batas minimal "&amp;Aturan!$C$39&amp;" GB ("&amp;J261&amp;")",IF(N261="Cukup","penyimpanan "&amp;F261&amp;" GB cukup, nyamannya "&amp;Aturan!$D$39&amp;" GB atau lebih ("&amp;J261&amp;")",IF(N261="Belum ada data","ukuran penyimpanan belum diisi",""))))</f>
        <v/>
      </c>
      <c r="V261" s="33" t="str">
        <f aca="false">IF($A261="","",IF(O261="Kurang","layar "&amp;Varian!$AG56&amp;", di bawah batas minimal ("&amp;IFERROR(INDEX(Aturan!$A$63:$A$66,MATCH(Aturan!$C$40,Aturan!$B$63:$B$66,0)),"peringkat "&amp;Aturan!$C$40)&amp;")",IF(O261="Cukup","layar "&amp;Varian!$AG56&amp;" cukup, nyamannya "&amp;IFERROR(INDEX(Aturan!$A$63:$A$66,MATCH(Aturan!$D$40,Aturan!$B$63:$B$66,0)),"peringkat "&amp;Aturan!$D$40),IF(O261="Belum ada data","jenis layar belum diketahui",""))))</f>
        <v/>
      </c>
      <c r="W261" s="33" t="str">
        <f aca="false">IF($A261="","",IF(P261="Kurang","layar "&amp;H261&amp;" Hz, di bawah batas minimal "&amp;Aturan!$C$41&amp;" Hz",IF(P261="Cukup","layar "&amp;H261&amp;" Hz cukup, nyamannya "&amp;Aturan!$D$41&amp;" Hz atau lebih",IF(P261="Belum ada data","refresh rate belum diketahui",""))))</f>
        <v/>
      </c>
      <c r="X261" s="33" t="str">
        <f aca="false">IF($A261="","",IF(K261="Kurang",R261&amp;"; ","")&amp;IF(L261="Kurang",S261&amp;"; ","")&amp;IF(M261="Kurang",T261&amp;"; ","")&amp;IF(N261="Kurang",U261&amp;"; ","")&amp;IF(O261="Kurang",V261&amp;"; ","")&amp;IF(P261="Kurang",W261&amp;"; ","")&amp;IF(K261="Belum ada data",R261&amp;"; ","")&amp;IF(L261="Belum ada data",S261&amp;"; ","")&amp;IF(M261="Belum ada data",T261&amp;"; ","")&amp;IF(N261="Belum ada data",U261&amp;"; ","")&amp;IF(O261="Belum ada data",V261&amp;"; ","")&amp;IF(P261="Belum ada data",W261&amp;"; ","")&amp;IF(K261="Cukup",R261&amp;"; ","")&amp;IF(L261="Cukup",S261&amp;"; ","")&amp;IF(M261="Cukup",T261&amp;"; ","")&amp;IF(N261="Cukup",U261&amp;"; ","")&amp;IF(O261="Cukup",V261&amp;"; ","")&amp;IF(P261="Cukup",W261&amp;"; ",""))</f>
        <v/>
      </c>
      <c r="Y261" s="33" t="str">
        <f aca="false">IF($A261="","",IF(K261="Nyaman","prosesor, ","")&amp;IF(L261="Nyaman","grafis, ","")&amp;IF(M261="Nyaman","RAM, ","")&amp;IF(N261="Nyaman","penyimpanan, ","")&amp;IF(O261="Nyaman","layar, ","")&amp;IF(P261="Nyaman","refresh rate, ",""))</f>
        <v>prosesor, grafis, RAM, penyimpanan, layar, </v>
      </c>
      <c r="Z261" s="33" t="str">
        <f aca="false">IF($A261="","",IF(Q261="Tidak dinilai","Belum ada kriteria yang dinilai untuk kebutuhan ini.",IF(Q261="Cocok","Semua kriteria yang dinilai sudah nyaman: "&amp;LEFT(Y261,LEN(Y261)-2)&amp;".",UPPER(LEFT(X261,1))&amp;MID(X261,2,LEN(X261)-3)&amp;"."&amp;IF(Y261="",""," Sudah nyaman: "&amp;LEFT(Y261,LEN(Y261)-2)&amp;"."))))</f>
        <v>Semua kriteria yang dinilai sudah nyaman: prosesor, grafis, RAM, penyimpanan, layar.</v>
      </c>
      <c r="AA261" s="33"/>
      <c r="AB261" s="33"/>
      <c r="AC261" s="69"/>
    </row>
    <row r="262" customFormat="false" ht="15" hidden="false" customHeight="true" outlineLevel="0" collapsed="false">
      <c r="A262" s="33" t="str">
        <f aca="false">IF(Varian!$A56="","",Varian!$A56)</f>
        <v>lenovo-yoga-7-2-in-1-14ill10-u7-258v-32-1tb</v>
      </c>
      <c r="B262" s="33" t="str">
        <f aca="false">IF($A262="","",Aturan!$A$23)</f>
        <v>Pemrograman</v>
      </c>
      <c r="C262" s="69" t="n">
        <f aca="false">IF($A262="","",IFERROR(IF(ISNUMBER(INDEX(CPU!$J$4:$J$64,MATCH(Varian!$J56,CPU!$A$4:$A$64,0))),INDEX(CPU!$J$4:$J$64,MATCH(Varian!$J56,CPU!$A$4:$A$64,0)),""),""))</f>
        <v>3</v>
      </c>
      <c r="D262" s="69" t="n">
        <f aca="false">IF($A262="","",IFERROR(IF(ISNUMBER(INDEX(GPU!$G$4:$G$64,MATCH(Varian!$K56,GPU!$A$4:$A$64,0))),INDEX(GPU!$G$4:$G$64,MATCH(Varian!$K56,GPU!$A$4:$A$64,0)),""),""))</f>
        <v>2</v>
      </c>
      <c r="E262" s="69" t="n">
        <f aca="false">IF($A262="","",IF(ISNUMBER(Varian!$M56),Varian!$M56,""))</f>
        <v>32</v>
      </c>
      <c r="F262" s="69" t="n">
        <f aca="false">IF($A262="","",IF(ISNUMBER(Varian!$V56),Varian!$V56,""))</f>
        <v>1024</v>
      </c>
      <c r="G262" s="69" t="n">
        <f aca="false">IF($A262="","",IFERROR(INDEX(Aturan!$B$63:$B$66,MATCH(Varian!$AG56,Aturan!$A$63:$A$66,0)),""))</f>
        <v>4</v>
      </c>
      <c r="H262" s="69" t="n">
        <f aca="false">IF($A262="","",IF(ISNUMBER(Varian!$AI56),Varian!$AI56,""))</f>
        <v>120</v>
      </c>
      <c r="I262" s="33" t="str">
        <f aca="false">IF($A262="","",IF(Varian!$Q56="disolder","menempel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menempel di papan utama, tidak bisa ditambah</v>
      </c>
      <c r="J262" s="33" t="str">
        <f aca="false">IF($A262="","",IF(Varian!$Z56="ya","bisa diganti dengan yang lebih besar",IF(Varian!$Z56="tidak","menempel, tidak bisa diganti","belum diketahui apakah bisa diganti")))</f>
        <v>bisa diganti dengan yang lebih besar</v>
      </c>
      <c r="K262" s="70" t="str">
        <f aca="false">IF($A262="","",IF(AND(Aturan!$C$42="",Aturan!$D$42=""),"Tidak dinilai",IF(C262="","Belum ada data",IF(C262&lt;IF(Aturan!$C$42="",0,Aturan!$C$42),"Kurang",IF(C262&gt;=IF(Aturan!$D$42="",Aturan!$C$42,Aturan!$D$42),"Nyaman","Cukup")))))</f>
        <v>Nyaman</v>
      </c>
      <c r="L262" s="70" t="str">
        <f aca="false">IF($A262="","",IF(AND(Aturan!$C$43="",Aturan!$D$43=""),"Tidak dinilai",IF(D262="","Belum ada data",IF(D262&lt;IF(Aturan!$C$43="",0,Aturan!$C$43),"Kurang",IF(D262&gt;=IF(Aturan!$D$43="",Aturan!$C$43,Aturan!$D$43),"Nyaman","Cukup")))))</f>
        <v>Tidak dinilai</v>
      </c>
      <c r="M262" s="70" t="str">
        <f aca="false">IF($A262="","",IF(AND(Aturan!$C$44="",Aturan!$D$44=""),"Tidak dinilai",IF(E262="","Belum ada data",IF(E262&lt;IF(Aturan!$C$44="",0,Aturan!$C$44),"Kurang",IF(E262&gt;=IF(Aturan!$D$44="",Aturan!$C$44,Aturan!$D$44),"Nyaman","Cukup")))))</f>
        <v>Nyaman</v>
      </c>
      <c r="N262" s="70" t="str">
        <f aca="false">IF($A262="","",IF(AND(Aturan!$C$45="",Aturan!$D$45=""),"Tidak dinilai",IF(F262="","Belum ada data",IF(F262&lt;IF(Aturan!$C$45="",0,Aturan!$C$45),"Kurang",IF(F262&gt;=IF(Aturan!$D$45="",Aturan!$C$45,Aturan!$D$45),"Nyaman","Cukup")))))</f>
        <v>Nyaman</v>
      </c>
      <c r="O262" s="70" t="str">
        <f aca="false">IF($A262="","",IF(AND(Aturan!$C$46="",Aturan!$D$46=""),"Tidak dinilai",IF(G262="","Belum ada data",IF(G262&lt;IF(Aturan!$C$46="",0,Aturan!$C$46),"Kurang",IF(G262&gt;=IF(Aturan!$D$46="",Aturan!$C$46,Aturan!$D$46),"Nyaman","Cukup")))))</f>
        <v>Tidak dinilai</v>
      </c>
      <c r="P262" s="70" t="str">
        <f aca="false">IF($A262="","",IF(AND(Aturan!$C$47="",Aturan!$D$47=""),"Tidak dinilai",IF(H262="","Belum ada data",IF(H262&lt;IF(Aturan!$C$47="",0,Aturan!$C$47),"Kurang",IF(H262&gt;=IF(Aturan!$D$47="",Aturan!$C$47,Aturan!$D$47),"Nyaman","Cukup")))))</f>
        <v>Tidak dinilai</v>
      </c>
      <c r="Q262" s="70" t="str">
        <f aca="false">IF($A262="","",IF(COUNTIF(K262:P262,"Tidak dinilai")=6,"Tidak dinilai",IF(COUNTIF(K262:P262,"Kurang")&gt;0,"Kurang cocok",IF(COUNTIF(K262:P262,"Belum ada data")&gt;0,"Data belum lengkap",IF(COUNTIF(K262:P262,"Cukup")&gt;0,"Bisa, dengan catatan","Cocok")))))</f>
        <v>Cocok</v>
      </c>
      <c r="R262" s="33" t="str">
        <f aca="false">IF($A262="","",IF(K262="Kurang","prosesor tingkat "&amp;C262&amp;" dari 5, di bawah batas minimal (tingkat "&amp;Aturan!$C$42&amp;")",IF(K262="Cukup","prosesor tingkat "&amp;C262&amp;" dari 5 cukup, nyamannya mulai tingkat "&amp;Aturan!$D$42,IF(K262="Belum ada data","tingkat prosesor belum diisi",""))))</f>
        <v/>
      </c>
      <c r="S262" s="33" t="str">
        <f aca="false">IF($A262="","",IF(L262="Kurang","grafis tingkat "&amp;D262&amp;" dari 5, di bawah batas minimal (tingkat "&amp;Aturan!$C$43&amp;")",IF(L262="Cukup","grafis tingkat "&amp;D262&amp;" dari 5 cukup, nyamannya mulai tingkat "&amp;Aturan!$D$43,IF(L262="Belum ada data","tingkat grafis belum diisi",""))))</f>
        <v/>
      </c>
      <c r="T262" s="33" t="str">
        <f aca="false">IF($A262="","",IF(M262="Kurang","RAM "&amp;E262&amp;" GB, di bawah batas minimal "&amp;Aturan!$C$44&amp;" GB ("&amp;I262&amp;")",IF(M262="Cukup","RAM "&amp;E262&amp;" GB cukup, nyamannya "&amp;Aturan!$D$44&amp;" GB atau lebih ("&amp;I262&amp;")",IF(M262="Belum ada data","ukuran RAM belum diisi",""))))</f>
        <v/>
      </c>
      <c r="U262" s="33" t="str">
        <f aca="false">IF($A262="","",IF(N262="Kurang","penyimpanan "&amp;F262&amp;" GB, di bawah batas minimal "&amp;Aturan!$C$45&amp;" GB ("&amp;J262&amp;")",IF(N262="Cukup","penyimpanan "&amp;F262&amp;" GB cukup, nyamannya "&amp;Aturan!$D$45&amp;" GB atau lebih ("&amp;J262&amp;")",IF(N262="Belum ada data","ukuran penyimpanan belum diisi",""))))</f>
        <v/>
      </c>
      <c r="V262" s="33" t="str">
        <f aca="false">IF($A262="","",IF(O262="Kurang","layar "&amp;Varian!$AG56&amp;", di bawah batas minimal ("&amp;IFERROR(INDEX(Aturan!$A$63:$A$66,MATCH(Aturan!$C$46,Aturan!$B$63:$B$66,0)),"peringkat "&amp;Aturan!$C$46)&amp;")",IF(O262="Cukup","layar "&amp;Varian!$AG56&amp;" cukup, nyamannya "&amp;IFERROR(INDEX(Aturan!$A$63:$A$66,MATCH(Aturan!$D$46,Aturan!$B$63:$B$66,0)),"peringkat "&amp;Aturan!$D$46),IF(O262="Belum ada data","jenis layar belum diketahui",""))))</f>
        <v/>
      </c>
      <c r="W262" s="33" t="str">
        <f aca="false">IF($A262="","",IF(P262="Kurang","layar "&amp;H262&amp;" Hz, di bawah batas minimal "&amp;Aturan!$C$47&amp;" Hz",IF(P262="Cukup","layar "&amp;H262&amp;" Hz cukup, nyamannya "&amp;Aturan!$D$47&amp;" Hz atau lebih",IF(P262="Belum ada data","refresh rate belum diketahui",""))))</f>
        <v/>
      </c>
      <c r="X262" s="33" t="str">
        <f aca="false">IF($A262="","",IF(K262="Kurang",R262&amp;"; ","")&amp;IF(L262="Kurang",S262&amp;"; ","")&amp;IF(M262="Kurang",T262&amp;"; ","")&amp;IF(N262="Kurang",U262&amp;"; ","")&amp;IF(O262="Kurang",V262&amp;"; ","")&amp;IF(P262="Kurang",W262&amp;"; ","")&amp;IF(K262="Belum ada data",R262&amp;"; ","")&amp;IF(L262="Belum ada data",S262&amp;"; ","")&amp;IF(M262="Belum ada data",T262&amp;"; ","")&amp;IF(N262="Belum ada data",U262&amp;"; ","")&amp;IF(O262="Belum ada data",V262&amp;"; ","")&amp;IF(P262="Belum ada data",W262&amp;"; ","")&amp;IF(K262="Cukup",R262&amp;"; ","")&amp;IF(L262="Cukup",S262&amp;"; ","")&amp;IF(M262="Cukup",T262&amp;"; ","")&amp;IF(N262="Cukup",U262&amp;"; ","")&amp;IF(O262="Cukup",V262&amp;"; ","")&amp;IF(P262="Cukup",W262&amp;"; ",""))</f>
        <v/>
      </c>
      <c r="Y262" s="33" t="str">
        <f aca="false">IF($A262="","",IF(K262="Nyaman","prosesor, ","")&amp;IF(L262="Nyaman","grafis, ","")&amp;IF(M262="Nyaman","RAM, ","")&amp;IF(N262="Nyaman","penyimpanan, ","")&amp;IF(O262="Nyaman","layar, ","")&amp;IF(P262="Nyaman","refresh rate, ",""))</f>
        <v>prosesor, RAM, penyimpanan, </v>
      </c>
      <c r="Z262" s="33" t="str">
        <f aca="false">IF($A262="","",IF(Q262="Tidak dinilai","Belum ada kriteria yang dinilai untuk kebutuhan ini.",IF(Q262="Cocok","Semua kriteria yang dinilai sudah nyaman: "&amp;LEFT(Y262,LEN(Y262)-2)&amp;".",UPPER(LEFT(X262,1))&amp;MID(X262,2,LEN(X262)-3)&amp;"."&amp;IF(Y262="",""," Sudah nyaman: "&amp;LEFT(Y262,LEN(Y262)-2)&amp;"."))))</f>
        <v>Semua kriteria yang dinilai sudah nyaman: prosesor, RAM, penyimpanan.</v>
      </c>
      <c r="AA262" s="33"/>
      <c r="AB262" s="33"/>
      <c r="AC262" s="69"/>
    </row>
    <row r="263" customFormat="false" ht="15" hidden="false" customHeight="true" outlineLevel="0" collapsed="false">
      <c r="A263" s="33" t="str">
        <f aca="false">IF(Varian!$A56="","",Varian!$A56)</f>
        <v>lenovo-yoga-7-2-in-1-14ill10-u7-258v-32-1tb</v>
      </c>
      <c r="B263" s="33" t="str">
        <f aca="false">IF($A263="","",Aturan!$A$24)</f>
        <v>Game ringan</v>
      </c>
      <c r="C263" s="69" t="n">
        <f aca="false">IF($A263="","",IFERROR(IF(ISNUMBER(INDEX(CPU!$J$4:$J$64,MATCH(Varian!$J56,CPU!$A$4:$A$64,0))),INDEX(CPU!$J$4:$J$64,MATCH(Varian!$J56,CPU!$A$4:$A$64,0)),""),""))</f>
        <v>3</v>
      </c>
      <c r="D263" s="69" t="n">
        <f aca="false">IF($A263="","",IFERROR(IF(ISNUMBER(INDEX(GPU!$G$4:$G$64,MATCH(Varian!$K56,GPU!$A$4:$A$64,0))),INDEX(GPU!$G$4:$G$64,MATCH(Varian!$K56,GPU!$A$4:$A$64,0)),""),""))</f>
        <v>2</v>
      </c>
      <c r="E263" s="69" t="n">
        <f aca="false">IF($A263="","",IF(ISNUMBER(Varian!$M56),Varian!$M56,""))</f>
        <v>32</v>
      </c>
      <c r="F263" s="69" t="n">
        <f aca="false">IF($A263="","",IF(ISNUMBER(Varian!$V56),Varian!$V56,""))</f>
        <v>1024</v>
      </c>
      <c r="G263" s="69" t="n">
        <f aca="false">IF($A263="","",IFERROR(INDEX(Aturan!$B$63:$B$66,MATCH(Varian!$AG56,Aturan!$A$63:$A$66,0)),""))</f>
        <v>4</v>
      </c>
      <c r="H263" s="69" t="n">
        <f aca="false">IF($A263="","",IF(ISNUMBER(Varian!$AI56),Varian!$AI56,""))</f>
        <v>120</v>
      </c>
      <c r="I263" s="33" t="str">
        <f aca="false">IF($A263="","",IF(Varian!$Q56="disolder","menempel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menempel di papan utama, tidak bisa ditambah</v>
      </c>
      <c r="J263" s="33" t="str">
        <f aca="false">IF($A263="","",IF(Varian!$Z56="ya","bisa diganti dengan yang lebih besar",IF(Varian!$Z56="tidak","menempel, tidak bisa diganti","belum diketahui apakah bisa diganti")))</f>
        <v>bisa diganti dengan yang lebih besar</v>
      </c>
      <c r="K263" s="70" t="str">
        <f aca="false">IF($A263="","",IF(AND(Aturan!$C$48="",Aturan!$D$48=""),"Tidak dinilai",IF(C263="","Belum ada data",IF(C263&lt;IF(Aturan!$C$48="",0,Aturan!$C$48),"Kurang",IF(C263&gt;=IF(Aturan!$D$48="",Aturan!$C$48,Aturan!$D$48),"Nyaman","Cukup")))))</f>
        <v>Nyaman</v>
      </c>
      <c r="L263" s="70" t="str">
        <f aca="false">IF($A263="","",IF(AND(Aturan!$C$49="",Aturan!$D$49=""),"Tidak dinilai",IF(D263="","Belum ada data",IF(D263&lt;IF(Aturan!$C$49="",0,Aturan!$C$49),"Kurang",IF(D263&gt;=IF(Aturan!$D$49="",Aturan!$C$49,Aturan!$D$49),"Nyaman","Cukup")))))</f>
        <v>Nyaman</v>
      </c>
      <c r="M263" s="70" t="str">
        <f aca="false">IF($A263="","",IF(AND(Aturan!$C$50="",Aturan!$D$50=""),"Tidak dinilai",IF(E263="","Belum ada data",IF(E263&lt;IF(Aturan!$C$50="",0,Aturan!$C$50),"Kurang",IF(E263&gt;=IF(Aturan!$D$50="",Aturan!$C$50,Aturan!$D$50),"Nyaman","Cukup")))))</f>
        <v>Nyaman</v>
      </c>
      <c r="N263" s="70" t="str">
        <f aca="false">IF($A263="","",IF(AND(Aturan!$C$51="",Aturan!$D$51=""),"Tidak dinilai",IF(F263="","Belum ada data",IF(F263&lt;IF(Aturan!$C$51="",0,Aturan!$C$51),"Kurang",IF(F263&gt;=IF(Aturan!$D$51="",Aturan!$C$51,Aturan!$D$51),"Nyaman","Cukup")))))</f>
        <v>Nyaman</v>
      </c>
      <c r="O263" s="70" t="str">
        <f aca="false">IF($A263="","",IF(AND(Aturan!$C$52="",Aturan!$D$52=""),"Tidak dinilai",IF(G263="","Belum ada data",IF(G263&lt;IF(Aturan!$C$52="",0,Aturan!$C$52),"Kurang",IF(G263&gt;=IF(Aturan!$D$52="",Aturan!$C$52,Aturan!$D$52),"Nyaman","Cukup")))))</f>
        <v>Tidak dinilai</v>
      </c>
      <c r="P263" s="70" t="str">
        <f aca="false">IF($A263="","",IF(AND(Aturan!$C$53="",Aturan!$D$53=""),"Tidak dinilai",IF(H263="","Belum ada data",IF(H263&lt;IF(Aturan!$C$53="",0,Aturan!$C$53),"Kurang",IF(H263&gt;=IF(Aturan!$D$53="",Aturan!$C$53,Aturan!$D$53),"Nyaman","Cukup")))))</f>
        <v>Tidak dinilai</v>
      </c>
      <c r="Q263" s="70" t="str">
        <f aca="false">IF($A263="","",IF(COUNTIF(K263:P263,"Tidak dinilai")=6,"Tidak dinilai",IF(COUNTIF(K263:P263,"Kurang")&gt;0,"Kurang cocok",IF(COUNTIF(K263:P263,"Belum ada data")&gt;0,"Data belum lengkap",IF(COUNTIF(K263:P263,"Cukup")&gt;0,"Bisa, dengan catatan","Cocok")))))</f>
        <v>Cocok</v>
      </c>
      <c r="R263" s="33" t="str">
        <f aca="false">IF($A263="","",IF(K263="Kurang","prosesor tingkat "&amp;C263&amp;" dari 5, di bawah batas minimal (tingkat "&amp;Aturan!$C$48&amp;")",IF(K263="Cukup","prosesor tingkat "&amp;C263&amp;" dari 5 cukup, nyamannya mulai tingkat "&amp;Aturan!$D$48,IF(K263="Belum ada data","tingkat prosesor belum diisi",""))))</f>
        <v/>
      </c>
      <c r="S263" s="33" t="str">
        <f aca="false">IF($A263="","",IF(L263="Kurang","grafis tingkat "&amp;D263&amp;" dari 5, di bawah batas minimal (tingkat "&amp;Aturan!$C$49&amp;")",IF(L263="Cukup","grafis tingkat "&amp;D263&amp;" dari 5 cukup, nyamannya mulai tingkat "&amp;Aturan!$D$49,IF(L263="Belum ada data","tingkat grafis belum diisi",""))))</f>
        <v/>
      </c>
      <c r="T263" s="33" t="str">
        <f aca="false">IF($A263="","",IF(M263="Kurang","RAM "&amp;E263&amp;" GB, di bawah batas minimal "&amp;Aturan!$C$50&amp;" GB ("&amp;I263&amp;")",IF(M263="Cukup","RAM "&amp;E263&amp;" GB cukup, nyamannya "&amp;Aturan!$D$50&amp;" GB atau lebih ("&amp;I263&amp;")",IF(M263="Belum ada data","ukuran RAM belum diisi",""))))</f>
        <v/>
      </c>
      <c r="U263" s="33" t="str">
        <f aca="false">IF($A263="","",IF(N263="Kurang","penyimpanan "&amp;F263&amp;" GB, di bawah batas minimal "&amp;Aturan!$C$51&amp;" GB ("&amp;J263&amp;")",IF(N263="Cukup","penyimpanan "&amp;F263&amp;" GB cukup, nyamannya "&amp;Aturan!$D$51&amp;" GB atau lebih ("&amp;J263&amp;")",IF(N263="Belum ada data","ukuran penyimpanan belum diisi",""))))</f>
        <v/>
      </c>
      <c r="V263" s="33" t="str">
        <f aca="false">IF($A263="","",IF(O263="Kurang","layar "&amp;Varian!$AG56&amp;", di bawah batas minimal ("&amp;IFERROR(INDEX(Aturan!$A$63:$A$66,MATCH(Aturan!$C$52,Aturan!$B$63:$B$66,0)),"peringkat "&amp;Aturan!$C$52)&amp;")",IF(O263="Cukup","layar "&amp;Varian!$AG56&amp;" cukup, nyamannya "&amp;IFERROR(INDEX(Aturan!$A$63:$A$66,MATCH(Aturan!$D$52,Aturan!$B$63:$B$66,0)),"peringkat "&amp;Aturan!$D$52),IF(O263="Belum ada data","jenis layar belum diketahui",""))))</f>
        <v/>
      </c>
      <c r="W263" s="33" t="str">
        <f aca="false">IF($A263="","",IF(P263="Kurang","layar "&amp;H263&amp;" Hz, di bawah batas minimal "&amp;Aturan!$C$53&amp;" Hz",IF(P263="Cukup","layar "&amp;H263&amp;" Hz cukup, nyamannya "&amp;Aturan!$D$53&amp;" Hz atau lebih",IF(P263="Belum ada data","refresh rate belum diketahui",""))))</f>
        <v/>
      </c>
      <c r="X263" s="33" t="str">
        <f aca="false">IF($A263="","",IF(K263="Kurang",R263&amp;"; ","")&amp;IF(L263="Kurang",S263&amp;"; ","")&amp;IF(M263="Kurang",T263&amp;"; ","")&amp;IF(N263="Kurang",U263&amp;"; ","")&amp;IF(O263="Kurang",V263&amp;"; ","")&amp;IF(P263="Kurang",W263&amp;"; ","")&amp;IF(K263="Belum ada data",R263&amp;"; ","")&amp;IF(L263="Belum ada data",S263&amp;"; ","")&amp;IF(M263="Belum ada data",T263&amp;"; ","")&amp;IF(N263="Belum ada data",U263&amp;"; ","")&amp;IF(O263="Belum ada data",V263&amp;"; ","")&amp;IF(P263="Belum ada data",W263&amp;"; ","")&amp;IF(K263="Cukup",R263&amp;"; ","")&amp;IF(L263="Cukup",S263&amp;"; ","")&amp;IF(M263="Cukup",T263&amp;"; ","")&amp;IF(N263="Cukup",U263&amp;"; ","")&amp;IF(O263="Cukup",V263&amp;"; ","")&amp;IF(P263="Cukup",W263&amp;"; ",""))</f>
        <v/>
      </c>
      <c r="Y263" s="33" t="str">
        <f aca="false">IF($A263="","",IF(K263="Nyaman","prosesor, ","")&amp;IF(L263="Nyaman","grafis, ","")&amp;IF(M263="Nyaman","RAM, ","")&amp;IF(N263="Nyaman","penyimpanan, ","")&amp;IF(O263="Nyaman","layar, ","")&amp;IF(P263="Nyaman","refresh rate, ",""))</f>
        <v>prosesor, grafis, RAM, penyimpanan, </v>
      </c>
      <c r="Z263" s="33" t="str">
        <f aca="false">IF($A263="","",IF(Q263="Tidak dinilai","Belum ada kriteria yang dinilai untuk kebutuhan ini.",IF(Q263="Cocok","Semua kriteria yang dinilai sudah nyaman: "&amp;LEFT(Y263,LEN(Y263)-2)&amp;".",UPPER(LEFT(X263,1))&amp;MID(X263,2,LEN(X263)-3)&amp;"."&amp;IF(Y263="",""," Sudah nyaman: "&amp;LEFT(Y263,LEN(Y263)-2)&amp;"."))))</f>
        <v>Semua kriteria yang dinilai sudah nyaman: prosesor, grafis, RAM, penyimpanan.</v>
      </c>
      <c r="AA263" s="33"/>
      <c r="AB263" s="33"/>
      <c r="AC263" s="69"/>
    </row>
    <row r="264" customFormat="false" ht="15" hidden="false" customHeight="true" outlineLevel="0" collapsed="false">
      <c r="A264" s="33" t="str">
        <f aca="false">IF(Varian!$A56="","",Varian!$A56)</f>
        <v>lenovo-yoga-7-2-in-1-14ill10-u7-258v-32-1tb</v>
      </c>
      <c r="B264" s="33" t="str">
        <f aca="false">IF($A264="","",Aturan!$A$25)</f>
        <v>Game berat</v>
      </c>
      <c r="C264" s="69" t="n">
        <f aca="false">IF($A264="","",IFERROR(IF(ISNUMBER(INDEX(CPU!$J$4:$J$64,MATCH(Varian!$J56,CPU!$A$4:$A$64,0))),INDEX(CPU!$J$4:$J$64,MATCH(Varian!$J56,CPU!$A$4:$A$64,0)),""),""))</f>
        <v>3</v>
      </c>
      <c r="D264" s="69" t="n">
        <f aca="false">IF($A264="","",IFERROR(IF(ISNUMBER(INDEX(GPU!$G$4:$G$64,MATCH(Varian!$K56,GPU!$A$4:$A$64,0))),INDEX(GPU!$G$4:$G$64,MATCH(Varian!$K56,GPU!$A$4:$A$64,0)),""),""))</f>
        <v>2</v>
      </c>
      <c r="E264" s="69" t="n">
        <f aca="false">IF($A264="","",IF(ISNUMBER(Varian!$M56),Varian!$M56,""))</f>
        <v>32</v>
      </c>
      <c r="F264" s="69" t="n">
        <f aca="false">IF($A264="","",IF(ISNUMBER(Varian!$V56),Varian!$V56,""))</f>
        <v>1024</v>
      </c>
      <c r="G264" s="69" t="n">
        <f aca="false">IF($A264="","",IFERROR(INDEX(Aturan!$B$63:$B$66,MATCH(Varian!$AG56,Aturan!$A$63:$A$66,0)),""))</f>
        <v>4</v>
      </c>
      <c r="H264" s="69" t="n">
        <f aca="false">IF($A264="","",IF(ISNUMBER(Varian!$AI56),Varian!$AI56,""))</f>
        <v>120</v>
      </c>
      <c r="I264" s="33" t="str">
        <f aca="false">IF($A264="","",IF(Varian!$Q56="disolder","menempel di papan utama, tidak bisa ditambah",IF(OR(Varian!$Q56="slot",Varian!$Q56="setengah_disolder"),IF(Varian!$Q56="setengah_disolder","sebagian menempel, ","")&amp;IF(ISNUMBER(Varian!$U56),IF(AND(ISNUMBER(Varian!$M56),Varian!$U56&gt;Varian!$M56),"bisa dinaikkan lewat slot sampai "&amp;Varian!$U56&amp;" GB","sudah di batas maksimal "&amp;Varian!$U56&amp;" GB"),"ada slot, batas maksimalnya belum diketahui"),"belum diketahui apakah bisa ditambah")))</f>
        <v>menempel di papan utama, tidak bisa ditambah</v>
      </c>
      <c r="J264" s="33" t="str">
        <f aca="false">IF($A264="","",IF(Varian!$Z56="ya","bisa diganti dengan yang lebih besar",IF(Varian!$Z56="tidak","menempel, tidak bisa diganti","belum diketahui apakah bisa diganti")))</f>
        <v>bisa diganti dengan yang lebih besar</v>
      </c>
      <c r="K264" s="70" t="str">
        <f aca="false">IF($A264="","",IF(AND(Aturan!$C$54="",Aturan!$D$54=""),"Tidak dinilai",IF(C264="","Belum ada data",IF(C264&lt;IF(Aturan!$C$54="",0,Aturan!$C$54),"Kurang",IF(C264&gt;=IF(Aturan!$D$54="",Aturan!$C$54,Aturan!$D$54),"Nyaman","Cukup")))))</f>
        <v>Cukup</v>
      </c>
      <c r="L264" s="70" t="str">
        <f aca="false">IF($A264="","",IF(AND(Aturan!$C$55="",Aturan!$D$55=""),"Tidak dinilai",IF(D264="","Belum ada data",IF(D264&lt;IF(Aturan!$C$55="",0,Aturan!$C$55),"Kurang",IF(D264&gt;=IF(Aturan!$D$55="",Aturan!$C$55,Aturan!$D$55),"Nyaman","Cukup")))))</f>
        <v>Kurang</v>
      </c>
      <c r="M264" s="70" t="str">
        <f aca="false">IF($A264="","",IF(AND(Aturan!$C$56="",Aturan!$D$56=""),"Tidak dinilai",IF(E264="","Belum ada data",IF(E264&lt;IF(Aturan!$C$56="",0,Aturan!$C$56),"Kurang",IF(E264&gt;=IF(Aturan!$D$56="",Aturan!$C$56,Aturan!$D$56),"Nyaman","Cukup")))))</f>
        <v>Nyaman</v>
      </c>
      <c r="N264" s="70" t="str">
        <f aca="false">IF($A264="","",IF(AND(Aturan!$C$57="",Aturan!$D$57=""),"Tidak dinilai",IF(F264="","Belum ada data",IF(F264&lt;IF(Aturan!$C$57="",0,Aturan!$C$57),"Kurang",IF(F264&gt;=IF(Aturan!$D$57="",Aturan!$C$57,Aturan!$D$57),"Nyaman","Cukup")))))</f>
        <v>Nyaman</v>
      </c>
      <c r="O264" s="70" t="str">
        <f aca="false">IF($A264="","",IF(AND(Aturan!$C$58="",Aturan!$D$58=""),"Tidak dinilai",IF(G264="","Belum ada data",IF(G264&lt;IF(Aturan!$C$58="",0,Aturan!$C$58),"Kurang",IF(G264&gt;=IF(Aturan!$D$58="",Aturan!$C$58,Aturan!$D$58),"Nyaman","Cukup")))))</f>
        <v>Tidak dinilai</v>
      </c>
      <c r="P264" s="70" t="str">
        <f aca="false">IF($A264="","",IF(AND(Aturan!$C$59="",Aturan!$D$59=""),"Tidak dinilai",IF(H264="","Belum ada data",IF(H264&lt;IF(Aturan!$C$59="",0,Aturan!$C$59),"Kurang",IF(H264&gt;=IF(Aturan!$D$59="",Aturan!$C$59,Aturan!$D$59),"Nyaman","Cukup")))))</f>
        <v>Nyaman</v>
      </c>
      <c r="Q264" s="70" t="str">
        <f aca="false">IF($A264="","",IF(COUNTIF(K264:P264,"Tidak dinilai")=6,"Tidak dinilai",IF(COUNTIF(K264:P264,"Kurang")&gt;0,"Kurang cocok",IF(COUNTIF(K264:P264,"Belum ada data")&gt;0,"Data belum lengkap",IF(COUNTIF(K264:P264,"Cukup")&gt;0,"Bisa, dengan catatan","Cocok")))))</f>
        <v>Kurang cocok</v>
      </c>
      <c r="R264" s="33" t="str">
        <f aca="false">IF($A264="","",IF(K264="Kurang","prosesor tingkat "&amp;C264&amp;" dari 5, di bawah batas minimal (tingkat "&amp;Aturan!$C$54&amp;")",IF(K264="Cukup","prosesor tingkat "&amp;C264&amp;" dari 5 cukup, nyamannya mulai tingkat "&amp;Aturan!$D$54,IF(K264="Belum ada data","tingkat prosesor belum diisi",""))))</f>
        <v>prosesor tingkat 3 dari 5 cukup, nyamannya mulai tingkat 4</v>
      </c>
      <c r="S264" s="33" t="str">
        <f aca="false">IF($A264="","",IF(L264="Kurang","grafis tingkat "&amp;D264&amp;" dari 5, di bawah batas minimal (tingkat "&amp;Aturan!$C$55&amp;")",IF(L264="Cukup","grafis tingkat "&amp;D264&amp;" dari 5 cukup, nyamannya mulai tingkat "&amp;Aturan!$D$55,IF(L264="Belum ada data","tingkat grafis belum diisi",""))))</f>
        <v>grafis tingkat 2 dari 5, di bawah batas minimal (tingkat 3)</v>
      </c>
      <c r="T264" s="33" t="str">
        <f aca="false">IF($A264="","",IF(M264="Kurang","RAM "&amp;E264&amp;" GB, di bawah batas minimal "&amp;Aturan!$C$56&amp;" GB ("&amp;I264&amp;")",IF(M264="Cukup","RAM "&amp;E264&amp;" GB cukup, nyamannya "&amp;Aturan!$D$56&amp;" GB atau lebih ("&amp;I264&amp;")",IF(M264="Belum ada data","ukuran RAM belum diisi",""))))</f>
        <v/>
      </c>
      <c r="U264" s="33" t="str">
        <f aca="false">IF($A264="","",IF(N264="Kurang","penyimpanan "&amp;F264&amp;" GB, di bawah batas minimal "&amp;Aturan!$C$57&amp;" GB ("&amp;J264&amp;")",IF(N264="Cukup","penyimpanan "&amp;F264&amp;" GB cukup, nyamannya "&amp;Aturan!$D$57&amp;" GB atau lebih ("&amp;J264&amp;")",IF(N264="Belum ada data","ukuran penyimpanan belum diisi",""))))</f>
        <v/>
      </c>
      <c r="V264" s="33" t="str">
        <f aca="false">IF($A264="","",IF(O264="Kurang","layar "&amp;Varian!$AG56&amp;", di bawah batas minimal ("&amp;IFERROR(INDEX(Aturan!$A$63:$A$66,MATCH(Aturan!$C$58,Aturan!$B$63:$B$66,0)),"peringkat "&amp;Aturan!$C$58)&amp;")",IF(O264="Cukup","layar "&amp;Varian!$AG56&amp;" cukup, nyamannya "&amp;IFERROR(INDEX(Aturan!$A$63:$A$66,MATCH(Aturan!$D$58,Aturan!$B$63:$B$66,0)),"peringkat "&amp;Aturan!$D$58),IF(O264="Belum ada data","jenis layar belum diketahui",""))))</f>
        <v/>
      </c>
      <c r="W264" s="33" t="str">
        <f aca="false">IF($A264="","",IF(P264="Kurang","layar "&amp;H264&amp;" Hz, di bawah batas minimal "&amp;Aturan!$C$59&amp;" Hz",IF(P264="Cukup","layar "&amp;H264&amp;" Hz cukup, nyamannya "&amp;Aturan!$D$59&amp;" Hz atau lebih",IF(P264="Belum ada data","refresh rate belum diketahui",""))))</f>
        <v/>
      </c>
      <c r="X264" s="33" t="str">
        <f aca="false">IF($A264="","",IF(K264="Kurang",R264&amp;"; ","")&amp;IF(L264="Kurang",S264&amp;"; ","")&amp;IF(M264="Kurang",T264&amp;"; ","")&amp;IF(N264="Kurang",U264&amp;"; ","")&amp;IF(O264="Kurang",V264&amp;"; ","")&amp;IF(P264="Kurang",W264&amp;"; ","")&amp;IF(K264="Belum ada data",R264&amp;"; ","")&amp;IF(L264="Belum ada data",S264&amp;"; ","")&amp;IF(M264="Belum ada data",T264&amp;"; ","")&amp;IF(N264="Belum ada data",U264&amp;"; ","")&amp;IF(O264="Belum ada data",V264&amp;"; ","")&amp;IF(P264="Belum ada data",W264&amp;"; ","")&amp;IF(K264="Cukup",R264&amp;"; ","")&amp;IF(L264="Cukup",S264&amp;"; ","")&amp;IF(M264="Cukup",T264&amp;"; ","")&amp;IF(N264="Cukup",U264&amp;"; ","")&amp;IF(O264="Cukup",V264&amp;"; ","")&amp;IF(P264="Cukup",W264&amp;"; ",""))</f>
        <v>grafis tingkat 2 dari 5, di bawah batas minimal (tingkat 3); prosesor tingkat 3 dari 5 cukup, nyamannya mulai tingkat 4; </v>
      </c>
      <c r="Y264" s="33" t="str">
        <f aca="false">IF($A264="","",IF(K264="Nyaman","prosesor, ","")&amp;IF(L264="Nyaman","grafis, ","")&amp;IF(M264="Nyaman","RAM, ","")&amp;IF(N264="Nyaman","penyimpanan, ","")&amp;IF(O264="Nyaman","layar, ","")&amp;IF(P264="Nyaman","refresh rate, ",""))</f>
        <v>RAM, penyimpanan, refresh rate, </v>
      </c>
      <c r="Z264" s="33" t="str">
        <f aca="false">IF($A264="","",IF(Q264="Tidak dinilai","Belum ada kriteria yang dinilai untuk kebutuhan ini.",IF(Q264="Cocok","Semua kriteria yang dinilai sudah nyaman: "&amp;LEFT(Y264,LEN(Y264)-2)&amp;".",UPPER(LEFT(X264,1))&amp;MID(X264,2,LEN(X264)-3)&amp;"."&amp;IF(Y264="",""," Sudah nyaman: "&amp;LEFT(Y264,LEN(Y264)-2)&amp;"."))))</f>
        <v>Grafis tingkat 2 dari 5, di bawah batas minimal (tingkat 3); prosesor tingkat 3 dari 5 cukup, nyamannya mulai tingkat 4. Sudah nyaman: RAM, penyimpanan, refresh rate.</v>
      </c>
      <c r="AA264" s="33"/>
      <c r="AB264" s="33"/>
      <c r="AC264" s="69"/>
    </row>
    <row r="265" customFormat="false" ht="15" hidden="false" customHeight="true" outlineLevel="0" collapsed="false">
      <c r="A265" s="66" t="str">
        <f aca="false">IF(Varian!$A57="","",Varian!$A57)</f>
        <v/>
      </c>
      <c r="B265" s="66" t="str">
        <f aca="false">IF($A265="","",Aturan!$A$21)</f>
        <v/>
      </c>
      <c r="C265" s="67" t="str">
        <f aca="false">IF($A265="","",IFERROR(IF(ISNUMBER(INDEX(CPU!$J$4:$J$64,MATCH(Varian!$J57,CPU!$A$4:$A$64,0))),INDEX(CPU!$J$4:$J$64,MATCH(Varian!$J57,CPU!$A$4:$A$64,0)),""),""))</f>
        <v/>
      </c>
      <c r="D265" s="67" t="str">
        <f aca="false">IF($A265="","",IFERROR(IF(ISNUMBER(INDEX(GPU!$G$4:$G$64,MATCH(Varian!$K57,GPU!$A$4:$A$64,0))),INDEX(GPU!$G$4:$G$64,MATCH(Varian!$K57,GPU!$A$4:$A$64,0)),""),""))</f>
        <v/>
      </c>
      <c r="E265" s="67" t="str">
        <f aca="false">IF($A265="","",IF(ISNUMBER(Varian!$M57),Varian!$M57,""))</f>
        <v/>
      </c>
      <c r="F265" s="67" t="str">
        <f aca="false">IF($A265="","",IF(ISNUMBER(Varian!$V57),Varian!$V57,""))</f>
        <v/>
      </c>
      <c r="G265" s="67" t="str">
        <f aca="false">IF($A265="","",IFERROR(INDEX(Aturan!$B$63:$B$66,MATCH(Varian!$AG57,Aturan!$A$63:$A$66,0)),""))</f>
        <v/>
      </c>
      <c r="H265" s="67" t="str">
        <f aca="false">IF($A265="","",IF(ISNUMBER(Varian!$AI57),Varian!$AI57,""))</f>
        <v/>
      </c>
      <c r="I265" s="66" t="str">
        <f aca="false">IF($A265="","",IF(Varian!$Q57="disolder","menempel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5" s="66" t="str">
        <f aca="false">IF($A265="","",IF(Varian!$Z57="ya","bisa diganti dengan yang lebih besar",IF(Varian!$Z57="tidak","menempel, tidak bisa diganti","belum diketahui apakah bisa diganti")))</f>
        <v/>
      </c>
      <c r="K265" s="68" t="str">
        <f aca="false">IF($A265="","",IF(AND(Aturan!$C$30="",Aturan!$D$30=""),"Tidak dinilai",IF(C265="","Belum ada data",IF(C265&lt;IF(Aturan!$C$30="",0,Aturan!$C$30),"Kurang",IF(C265&gt;=IF(Aturan!$D$30="",Aturan!$C$30,Aturan!$D$30),"Nyaman","Cukup")))))</f>
        <v/>
      </c>
      <c r="L265" s="68" t="str">
        <f aca="false">IF($A265="","",IF(AND(Aturan!$C$31="",Aturan!$D$31=""),"Tidak dinilai",IF(D265="","Belum ada data",IF(D265&lt;IF(Aturan!$C$31="",0,Aturan!$C$31),"Kurang",IF(D265&gt;=IF(Aturan!$D$31="",Aturan!$C$31,Aturan!$D$31),"Nyaman","Cukup")))))</f>
        <v/>
      </c>
      <c r="M265" s="68" t="str">
        <f aca="false">IF($A265="","",IF(AND(Aturan!$C$32="",Aturan!$D$32=""),"Tidak dinilai",IF(E265="","Belum ada data",IF(E265&lt;IF(Aturan!$C$32="",0,Aturan!$C$32),"Kurang",IF(E265&gt;=IF(Aturan!$D$32="",Aturan!$C$32,Aturan!$D$32),"Nyaman","Cukup")))))</f>
        <v/>
      </c>
      <c r="N265" s="68" t="str">
        <f aca="false">IF($A265="","",IF(AND(Aturan!$C$33="",Aturan!$D$33=""),"Tidak dinilai",IF(F265="","Belum ada data",IF(F265&lt;IF(Aturan!$C$33="",0,Aturan!$C$33),"Kurang",IF(F265&gt;=IF(Aturan!$D$33="",Aturan!$C$33,Aturan!$D$33),"Nyaman","Cukup")))))</f>
        <v/>
      </c>
      <c r="O265" s="68" t="str">
        <f aca="false">IF($A265="","",IF(AND(Aturan!$C$34="",Aturan!$D$34=""),"Tidak dinilai",IF(G265="","Belum ada data",IF(G265&lt;IF(Aturan!$C$34="",0,Aturan!$C$34),"Kurang",IF(G265&gt;=IF(Aturan!$D$34="",Aturan!$C$34,Aturan!$D$34),"Nyaman","Cukup")))))</f>
        <v/>
      </c>
      <c r="P265" s="68" t="str">
        <f aca="false">IF($A265="","",IF(AND(Aturan!$C$35="",Aturan!$D$35=""),"Tidak dinilai",IF(H265="","Belum ada data",IF(H265&lt;IF(Aturan!$C$35="",0,Aturan!$C$35),"Kurang",IF(H265&gt;=IF(Aturan!$D$35="",Aturan!$C$35,Aturan!$D$35),"Nyaman","Cukup")))))</f>
        <v/>
      </c>
      <c r="Q265" s="68" t="str">
        <f aca="false">IF($A265="","",IF(COUNTIF(K265:P265,"Tidak dinilai")=6,"Tidak dinilai",IF(COUNTIF(K265:P265,"Kurang")&gt;0,"Kurang cocok",IF(COUNTIF(K265:P265,"Belum ada data")&gt;0,"Data belum lengkap",IF(COUNTIF(K265:P265,"Cukup")&gt;0,"Bisa, dengan catatan","Cocok")))))</f>
        <v/>
      </c>
      <c r="R265" s="66" t="str">
        <f aca="false">IF($A265="","",IF(K265="Kurang","prosesor tingkat "&amp;C265&amp;" dari 5, di bawah batas minimal (tingkat "&amp;Aturan!$C$30&amp;")",IF(K265="Cukup","prosesor tingkat "&amp;C265&amp;" dari 5 cukup, nyamannya mulai tingkat "&amp;Aturan!$D$30,IF(K265="Belum ada data","tingkat prosesor belum diisi",""))))</f>
        <v/>
      </c>
      <c r="S265" s="66" t="str">
        <f aca="false">IF($A265="","",IF(L265="Kurang","grafis tingkat "&amp;D265&amp;" dari 5, di bawah batas minimal (tingkat "&amp;Aturan!$C$31&amp;")",IF(L265="Cukup","grafis tingkat "&amp;D265&amp;" dari 5 cukup, nyamannya mulai tingkat "&amp;Aturan!$D$31,IF(L265="Belum ada data","tingkat grafis belum diisi",""))))</f>
        <v/>
      </c>
      <c r="T265" s="66" t="str">
        <f aca="false">IF($A265="","",IF(M265="Kurang","RAM "&amp;E265&amp;" GB, di bawah batas minimal "&amp;Aturan!$C$32&amp;" GB ("&amp;I265&amp;")",IF(M265="Cukup","RAM "&amp;E265&amp;" GB cukup, nyamannya "&amp;Aturan!$D$32&amp;" GB atau lebih ("&amp;I265&amp;")",IF(M265="Belum ada data","ukuran RAM belum diisi",""))))</f>
        <v/>
      </c>
      <c r="U265" s="66" t="str">
        <f aca="false">IF($A265="","",IF(N265="Kurang","penyimpanan "&amp;F265&amp;" GB, di bawah batas minimal "&amp;Aturan!$C$33&amp;" GB ("&amp;J265&amp;")",IF(N265="Cukup","penyimpanan "&amp;F265&amp;" GB cukup, nyamannya "&amp;Aturan!$D$33&amp;" GB atau lebih ("&amp;J265&amp;")",IF(N265="Belum ada data","ukuran penyimpanan belum diisi",""))))</f>
        <v/>
      </c>
      <c r="V265" s="66" t="str">
        <f aca="false">IF($A265="","",IF(O265="Kurang","layar "&amp;Varian!$AG57&amp;", di bawah batas minimal ("&amp;IFERROR(INDEX(Aturan!$A$63:$A$66,MATCH(Aturan!$C$34,Aturan!$B$63:$B$66,0)),"peringkat "&amp;Aturan!$C$34)&amp;")",IF(O265="Cukup","layar "&amp;Varian!$AG57&amp;" cukup, nyamannya "&amp;IFERROR(INDEX(Aturan!$A$63:$A$66,MATCH(Aturan!$D$34,Aturan!$B$63:$B$66,0)),"peringkat "&amp;Aturan!$D$34),IF(O265="Belum ada data","jenis layar belum diketahui",""))))</f>
        <v/>
      </c>
      <c r="W265" s="66" t="str">
        <f aca="false">IF($A265="","",IF(P265="Kurang","layar "&amp;H265&amp;" Hz, di bawah batas minimal "&amp;Aturan!$C$35&amp;" Hz",IF(P265="Cukup","layar "&amp;H265&amp;" Hz cukup, nyamannya "&amp;Aturan!$D$35&amp;" Hz atau lebih",IF(P265="Belum ada data","refresh rate belum diketahui",""))))</f>
        <v/>
      </c>
      <c r="X265" s="66" t="str">
        <f aca="false">IF($A265="","",IF(K265="Kurang",R265&amp;"; ","")&amp;IF(L265="Kurang",S265&amp;"; ","")&amp;IF(M265="Kurang",T265&amp;"; ","")&amp;IF(N265="Kurang",U265&amp;"; ","")&amp;IF(O265="Kurang",V265&amp;"; ","")&amp;IF(P265="Kurang",W265&amp;"; ","")&amp;IF(K265="Belum ada data",R265&amp;"; ","")&amp;IF(L265="Belum ada data",S265&amp;"; ","")&amp;IF(M265="Belum ada data",T265&amp;"; ","")&amp;IF(N265="Belum ada data",U265&amp;"; ","")&amp;IF(O265="Belum ada data",V265&amp;"; ","")&amp;IF(P265="Belum ada data",W265&amp;"; ","")&amp;IF(K265="Cukup",R265&amp;"; ","")&amp;IF(L265="Cukup",S265&amp;"; ","")&amp;IF(M265="Cukup",T265&amp;"; ","")&amp;IF(N265="Cukup",U265&amp;"; ","")&amp;IF(O265="Cukup",V265&amp;"; ","")&amp;IF(P265="Cukup",W265&amp;"; ",""))</f>
        <v/>
      </c>
      <c r="Y265" s="66" t="str">
        <f aca="false">IF($A265="","",IF(K265="Nyaman","prosesor, ","")&amp;IF(L265="Nyaman","grafis, ","")&amp;IF(M265="Nyaman","RAM, ","")&amp;IF(N265="Nyaman","penyimpanan, ","")&amp;IF(O265="Nyaman","layar, ","")&amp;IF(P265="Nyaman","refresh rate, ",""))</f>
        <v/>
      </c>
      <c r="Z265" s="66" t="str">
        <f aca="false">IF($A265="","",IF(Q265="Tidak dinilai","Belum ada kriteria yang dinilai untuk kebutuhan ini.",IF(Q265="Cocok","Semua kriteria yang dinilai sudah nyaman: "&amp;LEFT(Y265,LEN(Y265)-2)&amp;".",UPPER(LEFT(X265,1))&amp;MID(X265,2,LEN(X265)-3)&amp;"."&amp;IF(Y265="",""," Sudah nyaman: "&amp;LEFT(Y265,LEN(Y265)-2)&amp;"."))))</f>
        <v/>
      </c>
      <c r="AA265" s="66" t="str">
        <f aca="false">IF($A265="","",IF(Varian!$AR57="Windows 10","• "&amp;Aturan!$E$71&amp;CHAR(10),"")&amp;IF(Varian!$BB57="tidak","• "&amp;Aturan!$E$72&amp;CHAR(10),"")&amp;IF(OR(Varian!$AD57="belum terverifikasi",Varian!$AD57="tidak diketahui"),"• "&amp;Aturan!$E$73&amp;CHAR(10),"")&amp;IF(Varian!$AH57="1366x768","• "&amp;Aturan!$E$74&amp;CHAR(10),"")&amp;IF(Varian!$AG57="TN","• "&amp;Aturan!$E$75&amp;CHAR(10),"")&amp;IF(AND(Varian!$Q57="disolder",ISNUMBER(Varian!$M57),Varian!$M57&lt;=8),"• "&amp;Aturan!$E$76&amp;CHAR(10),""))</f>
        <v/>
      </c>
      <c r="AB265" s="66" t="str">
        <f aca="false">IF($A265="","",IF(AA265="","",LEFT(AA265,LEN(AA265)-1)))</f>
        <v/>
      </c>
      <c r="AC265" s="67" t="str">
        <f aca="false">IF($A265="","",IF(AA265="",0,LEN(AA265)-LEN(SUBSTITUTE(AA265,CHAR(10),""))))</f>
        <v/>
      </c>
    </row>
    <row r="266" customFormat="false" ht="15" hidden="false" customHeight="true" outlineLevel="0" collapsed="false">
      <c r="A266" s="33" t="str">
        <f aca="false">IF(Varian!$A57="","",Varian!$A57)</f>
        <v/>
      </c>
      <c r="B266" s="33" t="str">
        <f aca="false">IF($A266="","",Aturan!$A$22)</f>
        <v/>
      </c>
      <c r="C266" s="69" t="str">
        <f aca="false">IF($A266="","",IFERROR(IF(ISNUMBER(INDEX(CPU!$J$4:$J$64,MATCH(Varian!$J57,CPU!$A$4:$A$64,0))),INDEX(CPU!$J$4:$J$64,MATCH(Varian!$J57,CPU!$A$4:$A$64,0)),""),""))</f>
        <v/>
      </c>
      <c r="D266" s="69" t="str">
        <f aca="false">IF($A266="","",IFERROR(IF(ISNUMBER(INDEX(GPU!$G$4:$G$64,MATCH(Varian!$K57,GPU!$A$4:$A$64,0))),INDEX(GPU!$G$4:$G$64,MATCH(Varian!$K57,GPU!$A$4:$A$64,0)),""),""))</f>
        <v/>
      </c>
      <c r="E266" s="69" t="str">
        <f aca="false">IF($A266="","",IF(ISNUMBER(Varian!$M57),Varian!$M57,""))</f>
        <v/>
      </c>
      <c r="F266" s="69" t="str">
        <f aca="false">IF($A266="","",IF(ISNUMBER(Varian!$V57),Varian!$V57,""))</f>
        <v/>
      </c>
      <c r="G266" s="69" t="str">
        <f aca="false">IF($A266="","",IFERROR(INDEX(Aturan!$B$63:$B$66,MATCH(Varian!$AG57,Aturan!$A$63:$A$66,0)),""))</f>
        <v/>
      </c>
      <c r="H266" s="69" t="str">
        <f aca="false">IF($A266="","",IF(ISNUMBER(Varian!$AI57),Varian!$AI57,""))</f>
        <v/>
      </c>
      <c r="I266" s="33" t="str">
        <f aca="false">IF($A266="","",IF(Varian!$Q57="disolder","menempel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6" s="33" t="str">
        <f aca="false">IF($A266="","",IF(Varian!$Z57="ya","bisa diganti dengan yang lebih besar",IF(Varian!$Z57="tidak","menempel, tidak bisa diganti","belum diketahui apakah bisa diganti")))</f>
        <v/>
      </c>
      <c r="K266" s="70" t="str">
        <f aca="false">IF($A266="","",IF(AND(Aturan!$C$36="",Aturan!$D$36=""),"Tidak dinilai",IF(C266="","Belum ada data",IF(C266&lt;IF(Aturan!$C$36="",0,Aturan!$C$36),"Kurang",IF(C266&gt;=IF(Aturan!$D$36="",Aturan!$C$36,Aturan!$D$36),"Nyaman","Cukup")))))</f>
        <v/>
      </c>
      <c r="L266" s="70" t="str">
        <f aca="false">IF($A266="","",IF(AND(Aturan!$C$37="",Aturan!$D$37=""),"Tidak dinilai",IF(D266="","Belum ada data",IF(D266&lt;IF(Aturan!$C$37="",0,Aturan!$C$37),"Kurang",IF(D266&gt;=IF(Aturan!$D$37="",Aturan!$C$37,Aturan!$D$37),"Nyaman","Cukup")))))</f>
        <v/>
      </c>
      <c r="M266" s="70" t="str">
        <f aca="false">IF($A266="","",IF(AND(Aturan!$C$38="",Aturan!$D$38=""),"Tidak dinilai",IF(E266="","Belum ada data",IF(E266&lt;IF(Aturan!$C$38="",0,Aturan!$C$38),"Kurang",IF(E266&gt;=IF(Aturan!$D$38="",Aturan!$C$38,Aturan!$D$38),"Nyaman","Cukup")))))</f>
        <v/>
      </c>
      <c r="N266" s="70" t="str">
        <f aca="false">IF($A266="","",IF(AND(Aturan!$C$39="",Aturan!$D$39=""),"Tidak dinilai",IF(F266="","Belum ada data",IF(F266&lt;IF(Aturan!$C$39="",0,Aturan!$C$39),"Kurang",IF(F266&gt;=IF(Aturan!$D$39="",Aturan!$C$39,Aturan!$D$39),"Nyaman","Cukup")))))</f>
        <v/>
      </c>
      <c r="O266" s="70" t="str">
        <f aca="false">IF($A266="","",IF(AND(Aturan!$C$40="",Aturan!$D$40=""),"Tidak dinilai",IF(G266="","Belum ada data",IF(G266&lt;IF(Aturan!$C$40="",0,Aturan!$C$40),"Kurang",IF(G266&gt;=IF(Aturan!$D$40="",Aturan!$C$40,Aturan!$D$40),"Nyaman","Cukup")))))</f>
        <v/>
      </c>
      <c r="P266" s="70" t="str">
        <f aca="false">IF($A266="","",IF(AND(Aturan!$C$41="",Aturan!$D$41=""),"Tidak dinilai",IF(H266="","Belum ada data",IF(H266&lt;IF(Aturan!$C$41="",0,Aturan!$C$41),"Kurang",IF(H266&gt;=IF(Aturan!$D$41="",Aturan!$C$41,Aturan!$D$41),"Nyaman","Cukup")))))</f>
        <v/>
      </c>
      <c r="Q266" s="70" t="str">
        <f aca="false">IF($A266="","",IF(COUNTIF(K266:P266,"Tidak dinilai")=6,"Tidak dinilai",IF(COUNTIF(K266:P266,"Kurang")&gt;0,"Kurang cocok",IF(COUNTIF(K266:P266,"Belum ada data")&gt;0,"Data belum lengkap",IF(COUNTIF(K266:P266,"Cukup")&gt;0,"Bisa, dengan catatan","Cocok")))))</f>
        <v/>
      </c>
      <c r="R266" s="33" t="str">
        <f aca="false">IF($A266="","",IF(K266="Kurang","prosesor tingkat "&amp;C266&amp;" dari 5, di bawah batas minimal (tingkat "&amp;Aturan!$C$36&amp;")",IF(K266="Cukup","prosesor tingkat "&amp;C266&amp;" dari 5 cukup, nyamannya mulai tingkat "&amp;Aturan!$D$36,IF(K266="Belum ada data","tingkat prosesor belum diisi",""))))</f>
        <v/>
      </c>
      <c r="S266" s="33" t="str">
        <f aca="false">IF($A266="","",IF(L266="Kurang","grafis tingkat "&amp;D266&amp;" dari 5, di bawah batas minimal (tingkat "&amp;Aturan!$C$37&amp;")",IF(L266="Cukup","grafis tingkat "&amp;D266&amp;" dari 5 cukup, nyamannya mulai tingkat "&amp;Aturan!$D$37,IF(L266="Belum ada data","tingkat grafis belum diisi",""))))</f>
        <v/>
      </c>
      <c r="T266" s="33" t="str">
        <f aca="false">IF($A266="","",IF(M266="Kurang","RAM "&amp;E266&amp;" GB, di bawah batas minimal "&amp;Aturan!$C$38&amp;" GB ("&amp;I266&amp;")",IF(M266="Cukup","RAM "&amp;E266&amp;" GB cukup, nyamannya "&amp;Aturan!$D$38&amp;" GB atau lebih ("&amp;I266&amp;")",IF(M266="Belum ada data","ukuran RAM belum diisi",""))))</f>
        <v/>
      </c>
      <c r="U266" s="33" t="str">
        <f aca="false">IF($A266="","",IF(N266="Kurang","penyimpanan "&amp;F266&amp;" GB, di bawah batas minimal "&amp;Aturan!$C$39&amp;" GB ("&amp;J266&amp;")",IF(N266="Cukup","penyimpanan "&amp;F266&amp;" GB cukup, nyamannya "&amp;Aturan!$D$39&amp;" GB atau lebih ("&amp;J266&amp;")",IF(N266="Belum ada data","ukuran penyimpanan belum diisi",""))))</f>
        <v/>
      </c>
      <c r="V266" s="33" t="str">
        <f aca="false">IF($A266="","",IF(O266="Kurang","layar "&amp;Varian!$AG57&amp;", di bawah batas minimal ("&amp;IFERROR(INDEX(Aturan!$A$63:$A$66,MATCH(Aturan!$C$40,Aturan!$B$63:$B$66,0)),"peringkat "&amp;Aturan!$C$40)&amp;")",IF(O266="Cukup","layar "&amp;Varian!$AG57&amp;" cukup, nyamannya "&amp;IFERROR(INDEX(Aturan!$A$63:$A$66,MATCH(Aturan!$D$40,Aturan!$B$63:$B$66,0)),"peringkat "&amp;Aturan!$D$40),IF(O266="Belum ada data","jenis layar belum diketahui",""))))</f>
        <v/>
      </c>
      <c r="W266" s="33" t="str">
        <f aca="false">IF($A266="","",IF(P266="Kurang","layar "&amp;H266&amp;" Hz, di bawah batas minimal "&amp;Aturan!$C$41&amp;" Hz",IF(P266="Cukup","layar "&amp;H266&amp;" Hz cukup, nyamannya "&amp;Aturan!$D$41&amp;" Hz atau lebih",IF(P266="Belum ada data","refresh rate belum diketahui",""))))</f>
        <v/>
      </c>
      <c r="X266" s="33" t="str">
        <f aca="false">IF($A266="","",IF(K266="Kurang",R266&amp;"; ","")&amp;IF(L266="Kurang",S266&amp;"; ","")&amp;IF(M266="Kurang",T266&amp;"; ","")&amp;IF(N266="Kurang",U266&amp;"; ","")&amp;IF(O266="Kurang",V266&amp;"; ","")&amp;IF(P266="Kurang",W266&amp;"; ","")&amp;IF(K266="Belum ada data",R266&amp;"; ","")&amp;IF(L266="Belum ada data",S266&amp;"; ","")&amp;IF(M266="Belum ada data",T266&amp;"; ","")&amp;IF(N266="Belum ada data",U266&amp;"; ","")&amp;IF(O266="Belum ada data",V266&amp;"; ","")&amp;IF(P266="Belum ada data",W266&amp;"; ","")&amp;IF(K266="Cukup",R266&amp;"; ","")&amp;IF(L266="Cukup",S266&amp;"; ","")&amp;IF(M266="Cukup",T266&amp;"; ","")&amp;IF(N266="Cukup",U266&amp;"; ","")&amp;IF(O266="Cukup",V266&amp;"; ","")&amp;IF(P266="Cukup",W266&amp;"; ",""))</f>
        <v/>
      </c>
      <c r="Y266" s="33" t="str">
        <f aca="false">IF($A266="","",IF(K266="Nyaman","prosesor, ","")&amp;IF(L266="Nyaman","grafis, ","")&amp;IF(M266="Nyaman","RAM, ","")&amp;IF(N266="Nyaman","penyimpanan, ","")&amp;IF(O266="Nyaman","layar, ","")&amp;IF(P266="Nyaman","refresh rate, ",""))</f>
        <v/>
      </c>
      <c r="Z266" s="33" t="str">
        <f aca="false">IF($A266="","",IF(Q266="Tidak dinilai","Belum ada kriteria yang dinilai untuk kebutuhan ini.",IF(Q266="Cocok","Semua kriteria yang dinilai sudah nyaman: "&amp;LEFT(Y266,LEN(Y266)-2)&amp;".",UPPER(LEFT(X266,1))&amp;MID(X266,2,LEN(X266)-3)&amp;"."&amp;IF(Y266="",""," Sudah nyaman: "&amp;LEFT(Y266,LEN(Y266)-2)&amp;"."))))</f>
        <v/>
      </c>
      <c r="AA266" s="33"/>
      <c r="AB266" s="33"/>
      <c r="AC266" s="69"/>
    </row>
    <row r="267" customFormat="false" ht="15" hidden="false" customHeight="true" outlineLevel="0" collapsed="false">
      <c r="A267" s="33" t="str">
        <f aca="false">IF(Varian!$A57="","",Varian!$A57)</f>
        <v/>
      </c>
      <c r="B267" s="33" t="str">
        <f aca="false">IF($A267="","",Aturan!$A$23)</f>
        <v/>
      </c>
      <c r="C267" s="69" t="str">
        <f aca="false">IF($A267="","",IFERROR(IF(ISNUMBER(INDEX(CPU!$J$4:$J$64,MATCH(Varian!$J57,CPU!$A$4:$A$64,0))),INDEX(CPU!$J$4:$J$64,MATCH(Varian!$J57,CPU!$A$4:$A$64,0)),""),""))</f>
        <v/>
      </c>
      <c r="D267" s="69" t="str">
        <f aca="false">IF($A267="","",IFERROR(IF(ISNUMBER(INDEX(GPU!$G$4:$G$64,MATCH(Varian!$K57,GPU!$A$4:$A$64,0))),INDEX(GPU!$G$4:$G$64,MATCH(Varian!$K57,GPU!$A$4:$A$64,0)),""),""))</f>
        <v/>
      </c>
      <c r="E267" s="69" t="str">
        <f aca="false">IF($A267="","",IF(ISNUMBER(Varian!$M57),Varian!$M57,""))</f>
        <v/>
      </c>
      <c r="F267" s="69" t="str">
        <f aca="false">IF($A267="","",IF(ISNUMBER(Varian!$V57),Varian!$V57,""))</f>
        <v/>
      </c>
      <c r="G267" s="69" t="str">
        <f aca="false">IF($A267="","",IFERROR(INDEX(Aturan!$B$63:$B$66,MATCH(Varian!$AG57,Aturan!$A$63:$A$66,0)),""))</f>
        <v/>
      </c>
      <c r="H267" s="69" t="str">
        <f aca="false">IF($A267="","",IF(ISNUMBER(Varian!$AI57),Varian!$AI57,""))</f>
        <v/>
      </c>
      <c r="I267" s="33" t="str">
        <f aca="false">IF($A267="","",IF(Varian!$Q57="disolder","menempel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7" s="33" t="str">
        <f aca="false">IF($A267="","",IF(Varian!$Z57="ya","bisa diganti dengan yang lebih besar",IF(Varian!$Z57="tidak","menempel, tidak bisa diganti","belum diketahui apakah bisa diganti")))</f>
        <v/>
      </c>
      <c r="K267" s="70" t="str">
        <f aca="false">IF($A267="","",IF(AND(Aturan!$C$42="",Aturan!$D$42=""),"Tidak dinilai",IF(C267="","Belum ada data",IF(C267&lt;IF(Aturan!$C$42="",0,Aturan!$C$42),"Kurang",IF(C267&gt;=IF(Aturan!$D$42="",Aturan!$C$42,Aturan!$D$42),"Nyaman","Cukup")))))</f>
        <v/>
      </c>
      <c r="L267" s="70" t="str">
        <f aca="false">IF($A267="","",IF(AND(Aturan!$C$43="",Aturan!$D$43=""),"Tidak dinilai",IF(D267="","Belum ada data",IF(D267&lt;IF(Aturan!$C$43="",0,Aturan!$C$43),"Kurang",IF(D267&gt;=IF(Aturan!$D$43="",Aturan!$C$43,Aturan!$D$43),"Nyaman","Cukup")))))</f>
        <v/>
      </c>
      <c r="M267" s="70" t="str">
        <f aca="false">IF($A267="","",IF(AND(Aturan!$C$44="",Aturan!$D$44=""),"Tidak dinilai",IF(E267="","Belum ada data",IF(E267&lt;IF(Aturan!$C$44="",0,Aturan!$C$44),"Kurang",IF(E267&gt;=IF(Aturan!$D$44="",Aturan!$C$44,Aturan!$D$44),"Nyaman","Cukup")))))</f>
        <v/>
      </c>
      <c r="N267" s="70" t="str">
        <f aca="false">IF($A267="","",IF(AND(Aturan!$C$45="",Aturan!$D$45=""),"Tidak dinilai",IF(F267="","Belum ada data",IF(F267&lt;IF(Aturan!$C$45="",0,Aturan!$C$45),"Kurang",IF(F267&gt;=IF(Aturan!$D$45="",Aturan!$C$45,Aturan!$D$45),"Nyaman","Cukup")))))</f>
        <v/>
      </c>
      <c r="O267" s="70" t="str">
        <f aca="false">IF($A267="","",IF(AND(Aturan!$C$46="",Aturan!$D$46=""),"Tidak dinilai",IF(G267="","Belum ada data",IF(G267&lt;IF(Aturan!$C$46="",0,Aturan!$C$46),"Kurang",IF(G267&gt;=IF(Aturan!$D$46="",Aturan!$C$46,Aturan!$D$46),"Nyaman","Cukup")))))</f>
        <v/>
      </c>
      <c r="P267" s="70" t="str">
        <f aca="false">IF($A267="","",IF(AND(Aturan!$C$47="",Aturan!$D$47=""),"Tidak dinilai",IF(H267="","Belum ada data",IF(H267&lt;IF(Aturan!$C$47="",0,Aturan!$C$47),"Kurang",IF(H267&gt;=IF(Aturan!$D$47="",Aturan!$C$47,Aturan!$D$47),"Nyaman","Cukup")))))</f>
        <v/>
      </c>
      <c r="Q267" s="70" t="str">
        <f aca="false">IF($A267="","",IF(COUNTIF(K267:P267,"Tidak dinilai")=6,"Tidak dinilai",IF(COUNTIF(K267:P267,"Kurang")&gt;0,"Kurang cocok",IF(COUNTIF(K267:P267,"Belum ada data")&gt;0,"Data belum lengkap",IF(COUNTIF(K267:P267,"Cukup")&gt;0,"Bisa, dengan catatan","Cocok")))))</f>
        <v/>
      </c>
      <c r="R267" s="33" t="str">
        <f aca="false">IF($A267="","",IF(K267="Kurang","prosesor tingkat "&amp;C267&amp;" dari 5, di bawah batas minimal (tingkat "&amp;Aturan!$C$42&amp;")",IF(K267="Cukup","prosesor tingkat "&amp;C267&amp;" dari 5 cukup, nyamannya mulai tingkat "&amp;Aturan!$D$42,IF(K267="Belum ada data","tingkat prosesor belum diisi",""))))</f>
        <v/>
      </c>
      <c r="S267" s="33" t="str">
        <f aca="false">IF($A267="","",IF(L267="Kurang","grafis tingkat "&amp;D267&amp;" dari 5, di bawah batas minimal (tingkat "&amp;Aturan!$C$43&amp;")",IF(L267="Cukup","grafis tingkat "&amp;D267&amp;" dari 5 cukup, nyamannya mulai tingkat "&amp;Aturan!$D$43,IF(L267="Belum ada data","tingkat grafis belum diisi",""))))</f>
        <v/>
      </c>
      <c r="T267" s="33" t="str">
        <f aca="false">IF($A267="","",IF(M267="Kurang","RAM "&amp;E267&amp;" GB, di bawah batas minimal "&amp;Aturan!$C$44&amp;" GB ("&amp;I267&amp;")",IF(M267="Cukup","RAM "&amp;E267&amp;" GB cukup, nyamannya "&amp;Aturan!$D$44&amp;" GB atau lebih ("&amp;I267&amp;")",IF(M267="Belum ada data","ukuran RAM belum diisi",""))))</f>
        <v/>
      </c>
      <c r="U267" s="33" t="str">
        <f aca="false">IF($A267="","",IF(N267="Kurang","penyimpanan "&amp;F267&amp;" GB, di bawah batas minimal "&amp;Aturan!$C$45&amp;" GB ("&amp;J267&amp;")",IF(N267="Cukup","penyimpanan "&amp;F267&amp;" GB cukup, nyamannya "&amp;Aturan!$D$45&amp;" GB atau lebih ("&amp;J267&amp;")",IF(N267="Belum ada data","ukuran penyimpanan belum diisi",""))))</f>
        <v/>
      </c>
      <c r="V267" s="33" t="str">
        <f aca="false">IF($A267="","",IF(O267="Kurang","layar "&amp;Varian!$AG57&amp;", di bawah batas minimal ("&amp;IFERROR(INDEX(Aturan!$A$63:$A$66,MATCH(Aturan!$C$46,Aturan!$B$63:$B$66,0)),"peringkat "&amp;Aturan!$C$46)&amp;")",IF(O267="Cukup","layar "&amp;Varian!$AG57&amp;" cukup, nyamannya "&amp;IFERROR(INDEX(Aturan!$A$63:$A$66,MATCH(Aturan!$D$46,Aturan!$B$63:$B$66,0)),"peringkat "&amp;Aturan!$D$46),IF(O267="Belum ada data","jenis layar belum diketahui",""))))</f>
        <v/>
      </c>
      <c r="W267" s="33" t="str">
        <f aca="false">IF($A267="","",IF(P267="Kurang","layar "&amp;H267&amp;" Hz, di bawah batas minimal "&amp;Aturan!$C$47&amp;" Hz",IF(P267="Cukup","layar "&amp;H267&amp;" Hz cukup, nyamannya "&amp;Aturan!$D$47&amp;" Hz atau lebih",IF(P267="Belum ada data","refresh rate belum diketahui",""))))</f>
        <v/>
      </c>
      <c r="X267" s="33" t="str">
        <f aca="false">IF($A267="","",IF(K267="Kurang",R267&amp;"; ","")&amp;IF(L267="Kurang",S267&amp;"; ","")&amp;IF(M267="Kurang",T267&amp;"; ","")&amp;IF(N267="Kurang",U267&amp;"; ","")&amp;IF(O267="Kurang",V267&amp;"; ","")&amp;IF(P267="Kurang",W267&amp;"; ","")&amp;IF(K267="Belum ada data",R267&amp;"; ","")&amp;IF(L267="Belum ada data",S267&amp;"; ","")&amp;IF(M267="Belum ada data",T267&amp;"; ","")&amp;IF(N267="Belum ada data",U267&amp;"; ","")&amp;IF(O267="Belum ada data",V267&amp;"; ","")&amp;IF(P267="Belum ada data",W267&amp;"; ","")&amp;IF(K267="Cukup",R267&amp;"; ","")&amp;IF(L267="Cukup",S267&amp;"; ","")&amp;IF(M267="Cukup",T267&amp;"; ","")&amp;IF(N267="Cukup",U267&amp;"; ","")&amp;IF(O267="Cukup",V267&amp;"; ","")&amp;IF(P267="Cukup",W267&amp;"; ",""))</f>
        <v/>
      </c>
      <c r="Y267" s="33" t="str">
        <f aca="false">IF($A267="","",IF(K267="Nyaman","prosesor, ","")&amp;IF(L267="Nyaman","grafis, ","")&amp;IF(M267="Nyaman","RAM, ","")&amp;IF(N267="Nyaman","penyimpanan, ","")&amp;IF(O267="Nyaman","layar, ","")&amp;IF(P267="Nyaman","refresh rate, ",""))</f>
        <v/>
      </c>
      <c r="Z267" s="33" t="str">
        <f aca="false">IF($A267="","",IF(Q267="Tidak dinilai","Belum ada kriteria yang dinilai untuk kebutuhan ini.",IF(Q267="Cocok","Semua kriteria yang dinilai sudah nyaman: "&amp;LEFT(Y267,LEN(Y267)-2)&amp;".",UPPER(LEFT(X267,1))&amp;MID(X267,2,LEN(X267)-3)&amp;"."&amp;IF(Y267="",""," Sudah nyaman: "&amp;LEFT(Y267,LEN(Y267)-2)&amp;"."))))</f>
        <v/>
      </c>
      <c r="AA267" s="33"/>
      <c r="AB267" s="33"/>
      <c r="AC267" s="69"/>
    </row>
    <row r="268" customFormat="false" ht="15" hidden="false" customHeight="true" outlineLevel="0" collapsed="false">
      <c r="A268" s="33" t="str">
        <f aca="false">IF(Varian!$A57="","",Varian!$A57)</f>
        <v/>
      </c>
      <c r="B268" s="33" t="str">
        <f aca="false">IF($A268="","",Aturan!$A$24)</f>
        <v/>
      </c>
      <c r="C268" s="69" t="str">
        <f aca="false">IF($A268="","",IFERROR(IF(ISNUMBER(INDEX(CPU!$J$4:$J$64,MATCH(Varian!$J57,CPU!$A$4:$A$64,0))),INDEX(CPU!$J$4:$J$64,MATCH(Varian!$J57,CPU!$A$4:$A$64,0)),""),""))</f>
        <v/>
      </c>
      <c r="D268" s="69" t="str">
        <f aca="false">IF($A268="","",IFERROR(IF(ISNUMBER(INDEX(GPU!$G$4:$G$64,MATCH(Varian!$K57,GPU!$A$4:$A$64,0))),INDEX(GPU!$G$4:$G$64,MATCH(Varian!$K57,GPU!$A$4:$A$64,0)),""),""))</f>
        <v/>
      </c>
      <c r="E268" s="69" t="str">
        <f aca="false">IF($A268="","",IF(ISNUMBER(Varian!$M57),Varian!$M57,""))</f>
        <v/>
      </c>
      <c r="F268" s="69" t="str">
        <f aca="false">IF($A268="","",IF(ISNUMBER(Varian!$V57),Varian!$V57,""))</f>
        <v/>
      </c>
      <c r="G268" s="69" t="str">
        <f aca="false">IF($A268="","",IFERROR(INDEX(Aturan!$B$63:$B$66,MATCH(Varian!$AG57,Aturan!$A$63:$A$66,0)),""))</f>
        <v/>
      </c>
      <c r="H268" s="69" t="str">
        <f aca="false">IF($A268="","",IF(ISNUMBER(Varian!$AI57),Varian!$AI57,""))</f>
        <v/>
      </c>
      <c r="I268" s="33" t="str">
        <f aca="false">IF($A268="","",IF(Varian!$Q57="disolder","menempel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8" s="33" t="str">
        <f aca="false">IF($A268="","",IF(Varian!$Z57="ya","bisa diganti dengan yang lebih besar",IF(Varian!$Z57="tidak","menempel, tidak bisa diganti","belum diketahui apakah bisa diganti")))</f>
        <v/>
      </c>
      <c r="K268" s="70" t="str">
        <f aca="false">IF($A268="","",IF(AND(Aturan!$C$48="",Aturan!$D$48=""),"Tidak dinilai",IF(C268="","Belum ada data",IF(C268&lt;IF(Aturan!$C$48="",0,Aturan!$C$48),"Kurang",IF(C268&gt;=IF(Aturan!$D$48="",Aturan!$C$48,Aturan!$D$48),"Nyaman","Cukup")))))</f>
        <v/>
      </c>
      <c r="L268" s="70" t="str">
        <f aca="false">IF($A268="","",IF(AND(Aturan!$C$49="",Aturan!$D$49=""),"Tidak dinilai",IF(D268="","Belum ada data",IF(D268&lt;IF(Aturan!$C$49="",0,Aturan!$C$49),"Kurang",IF(D268&gt;=IF(Aturan!$D$49="",Aturan!$C$49,Aturan!$D$49),"Nyaman","Cukup")))))</f>
        <v/>
      </c>
      <c r="M268" s="70" t="str">
        <f aca="false">IF($A268="","",IF(AND(Aturan!$C$50="",Aturan!$D$50=""),"Tidak dinilai",IF(E268="","Belum ada data",IF(E268&lt;IF(Aturan!$C$50="",0,Aturan!$C$50),"Kurang",IF(E268&gt;=IF(Aturan!$D$50="",Aturan!$C$50,Aturan!$D$50),"Nyaman","Cukup")))))</f>
        <v/>
      </c>
      <c r="N268" s="70" t="str">
        <f aca="false">IF($A268="","",IF(AND(Aturan!$C$51="",Aturan!$D$51=""),"Tidak dinilai",IF(F268="","Belum ada data",IF(F268&lt;IF(Aturan!$C$51="",0,Aturan!$C$51),"Kurang",IF(F268&gt;=IF(Aturan!$D$51="",Aturan!$C$51,Aturan!$D$51),"Nyaman","Cukup")))))</f>
        <v/>
      </c>
      <c r="O268" s="70" t="str">
        <f aca="false">IF($A268="","",IF(AND(Aturan!$C$52="",Aturan!$D$52=""),"Tidak dinilai",IF(G268="","Belum ada data",IF(G268&lt;IF(Aturan!$C$52="",0,Aturan!$C$52),"Kurang",IF(G268&gt;=IF(Aturan!$D$52="",Aturan!$C$52,Aturan!$D$52),"Nyaman","Cukup")))))</f>
        <v/>
      </c>
      <c r="P268" s="70" t="str">
        <f aca="false">IF($A268="","",IF(AND(Aturan!$C$53="",Aturan!$D$53=""),"Tidak dinilai",IF(H268="","Belum ada data",IF(H268&lt;IF(Aturan!$C$53="",0,Aturan!$C$53),"Kurang",IF(H268&gt;=IF(Aturan!$D$53="",Aturan!$C$53,Aturan!$D$53),"Nyaman","Cukup")))))</f>
        <v/>
      </c>
      <c r="Q268" s="70" t="str">
        <f aca="false">IF($A268="","",IF(COUNTIF(K268:P268,"Tidak dinilai")=6,"Tidak dinilai",IF(COUNTIF(K268:P268,"Kurang")&gt;0,"Kurang cocok",IF(COUNTIF(K268:P268,"Belum ada data")&gt;0,"Data belum lengkap",IF(COUNTIF(K268:P268,"Cukup")&gt;0,"Bisa, dengan catatan","Cocok")))))</f>
        <v/>
      </c>
      <c r="R268" s="33" t="str">
        <f aca="false">IF($A268="","",IF(K268="Kurang","prosesor tingkat "&amp;C268&amp;" dari 5, di bawah batas minimal (tingkat "&amp;Aturan!$C$48&amp;")",IF(K268="Cukup","prosesor tingkat "&amp;C268&amp;" dari 5 cukup, nyamannya mulai tingkat "&amp;Aturan!$D$48,IF(K268="Belum ada data","tingkat prosesor belum diisi",""))))</f>
        <v/>
      </c>
      <c r="S268" s="33" t="str">
        <f aca="false">IF($A268="","",IF(L268="Kurang","grafis tingkat "&amp;D268&amp;" dari 5, di bawah batas minimal (tingkat "&amp;Aturan!$C$49&amp;")",IF(L268="Cukup","grafis tingkat "&amp;D268&amp;" dari 5 cukup, nyamannya mulai tingkat "&amp;Aturan!$D$49,IF(L268="Belum ada data","tingkat grafis belum diisi",""))))</f>
        <v/>
      </c>
      <c r="T268" s="33" t="str">
        <f aca="false">IF($A268="","",IF(M268="Kurang","RAM "&amp;E268&amp;" GB, di bawah batas minimal "&amp;Aturan!$C$50&amp;" GB ("&amp;I268&amp;")",IF(M268="Cukup","RAM "&amp;E268&amp;" GB cukup, nyamannya "&amp;Aturan!$D$50&amp;" GB atau lebih ("&amp;I268&amp;")",IF(M268="Belum ada data","ukuran RAM belum diisi",""))))</f>
        <v/>
      </c>
      <c r="U268" s="33" t="str">
        <f aca="false">IF($A268="","",IF(N268="Kurang","penyimpanan "&amp;F268&amp;" GB, di bawah batas minimal "&amp;Aturan!$C$51&amp;" GB ("&amp;J268&amp;")",IF(N268="Cukup","penyimpanan "&amp;F268&amp;" GB cukup, nyamannya "&amp;Aturan!$D$51&amp;" GB atau lebih ("&amp;J268&amp;")",IF(N268="Belum ada data","ukuran penyimpanan belum diisi",""))))</f>
        <v/>
      </c>
      <c r="V268" s="33" t="str">
        <f aca="false">IF($A268="","",IF(O268="Kurang","layar "&amp;Varian!$AG57&amp;", di bawah batas minimal ("&amp;IFERROR(INDEX(Aturan!$A$63:$A$66,MATCH(Aturan!$C$52,Aturan!$B$63:$B$66,0)),"peringkat "&amp;Aturan!$C$52)&amp;")",IF(O268="Cukup","layar "&amp;Varian!$AG57&amp;" cukup, nyamannya "&amp;IFERROR(INDEX(Aturan!$A$63:$A$66,MATCH(Aturan!$D$52,Aturan!$B$63:$B$66,0)),"peringkat "&amp;Aturan!$D$52),IF(O268="Belum ada data","jenis layar belum diketahui",""))))</f>
        <v/>
      </c>
      <c r="W268" s="33" t="str">
        <f aca="false">IF($A268="","",IF(P268="Kurang","layar "&amp;H268&amp;" Hz, di bawah batas minimal "&amp;Aturan!$C$53&amp;" Hz",IF(P268="Cukup","layar "&amp;H268&amp;" Hz cukup, nyamannya "&amp;Aturan!$D$53&amp;" Hz atau lebih",IF(P268="Belum ada data","refresh rate belum diketahui",""))))</f>
        <v/>
      </c>
      <c r="X268" s="33" t="str">
        <f aca="false">IF($A268="","",IF(K268="Kurang",R268&amp;"; ","")&amp;IF(L268="Kurang",S268&amp;"; ","")&amp;IF(M268="Kurang",T268&amp;"; ","")&amp;IF(N268="Kurang",U268&amp;"; ","")&amp;IF(O268="Kurang",V268&amp;"; ","")&amp;IF(P268="Kurang",W268&amp;"; ","")&amp;IF(K268="Belum ada data",R268&amp;"; ","")&amp;IF(L268="Belum ada data",S268&amp;"; ","")&amp;IF(M268="Belum ada data",T268&amp;"; ","")&amp;IF(N268="Belum ada data",U268&amp;"; ","")&amp;IF(O268="Belum ada data",V268&amp;"; ","")&amp;IF(P268="Belum ada data",W268&amp;"; ","")&amp;IF(K268="Cukup",R268&amp;"; ","")&amp;IF(L268="Cukup",S268&amp;"; ","")&amp;IF(M268="Cukup",T268&amp;"; ","")&amp;IF(N268="Cukup",U268&amp;"; ","")&amp;IF(O268="Cukup",V268&amp;"; ","")&amp;IF(P268="Cukup",W268&amp;"; ",""))</f>
        <v/>
      </c>
      <c r="Y268" s="33" t="str">
        <f aca="false">IF($A268="","",IF(K268="Nyaman","prosesor, ","")&amp;IF(L268="Nyaman","grafis, ","")&amp;IF(M268="Nyaman","RAM, ","")&amp;IF(N268="Nyaman","penyimpanan, ","")&amp;IF(O268="Nyaman","layar, ","")&amp;IF(P268="Nyaman","refresh rate, ",""))</f>
        <v/>
      </c>
      <c r="Z268" s="33" t="str">
        <f aca="false">IF($A268="","",IF(Q268="Tidak dinilai","Belum ada kriteria yang dinilai untuk kebutuhan ini.",IF(Q268="Cocok","Semua kriteria yang dinilai sudah nyaman: "&amp;LEFT(Y268,LEN(Y268)-2)&amp;".",UPPER(LEFT(X268,1))&amp;MID(X268,2,LEN(X268)-3)&amp;"."&amp;IF(Y268="",""," Sudah nyaman: "&amp;LEFT(Y268,LEN(Y268)-2)&amp;"."))))</f>
        <v/>
      </c>
      <c r="AA268" s="33"/>
      <c r="AB268" s="33"/>
      <c r="AC268" s="69"/>
    </row>
    <row r="269" customFormat="false" ht="15" hidden="false" customHeight="true" outlineLevel="0" collapsed="false">
      <c r="A269" s="33" t="str">
        <f aca="false">IF(Varian!$A57="","",Varian!$A57)</f>
        <v/>
      </c>
      <c r="B269" s="33" t="str">
        <f aca="false">IF($A269="","",Aturan!$A$25)</f>
        <v/>
      </c>
      <c r="C269" s="69" t="str">
        <f aca="false">IF($A269="","",IFERROR(IF(ISNUMBER(INDEX(CPU!$J$4:$J$64,MATCH(Varian!$J57,CPU!$A$4:$A$64,0))),INDEX(CPU!$J$4:$J$64,MATCH(Varian!$J57,CPU!$A$4:$A$64,0)),""),""))</f>
        <v/>
      </c>
      <c r="D269" s="69" t="str">
        <f aca="false">IF($A269="","",IFERROR(IF(ISNUMBER(INDEX(GPU!$G$4:$G$64,MATCH(Varian!$K57,GPU!$A$4:$A$64,0))),INDEX(GPU!$G$4:$G$64,MATCH(Varian!$K57,GPU!$A$4:$A$64,0)),""),""))</f>
        <v/>
      </c>
      <c r="E269" s="69" t="str">
        <f aca="false">IF($A269="","",IF(ISNUMBER(Varian!$M57),Varian!$M57,""))</f>
        <v/>
      </c>
      <c r="F269" s="69" t="str">
        <f aca="false">IF($A269="","",IF(ISNUMBER(Varian!$V57),Varian!$V57,""))</f>
        <v/>
      </c>
      <c r="G269" s="69" t="str">
        <f aca="false">IF($A269="","",IFERROR(INDEX(Aturan!$B$63:$B$66,MATCH(Varian!$AG57,Aturan!$A$63:$A$66,0)),""))</f>
        <v/>
      </c>
      <c r="H269" s="69" t="str">
        <f aca="false">IF($A269="","",IF(ISNUMBER(Varian!$AI57),Varian!$AI57,""))</f>
        <v/>
      </c>
      <c r="I269" s="33" t="str">
        <f aca="false">IF($A269="","",IF(Varian!$Q57="disolder","menempel di papan utama, tidak bisa ditambah",IF(OR(Varian!$Q57="slot",Varian!$Q57="setengah_disolder"),IF(Varian!$Q57="setengah_disolder","sebagian menempel, ","")&amp;IF(ISNUMBER(Varian!$U57),IF(AND(ISNUMBER(Varian!$M57),Varian!$U57&gt;Varian!$M57),"bisa dinaikkan lewat slot sampai "&amp;Varian!$U57&amp;" GB","sudah di batas maksimal "&amp;Varian!$U57&amp;" GB"),"ada slot, batas maksimalnya belum diketahui"),"belum diketahui apakah bisa ditambah")))</f>
        <v/>
      </c>
      <c r="J269" s="33" t="str">
        <f aca="false">IF($A269="","",IF(Varian!$Z57="ya","bisa diganti dengan yang lebih besar",IF(Varian!$Z57="tidak","menempel, tidak bisa diganti","belum diketahui apakah bisa diganti")))</f>
        <v/>
      </c>
      <c r="K269" s="70" t="str">
        <f aca="false">IF($A269="","",IF(AND(Aturan!$C$54="",Aturan!$D$54=""),"Tidak dinilai",IF(C269="","Belum ada data",IF(C269&lt;IF(Aturan!$C$54="",0,Aturan!$C$54),"Kurang",IF(C269&gt;=IF(Aturan!$D$54="",Aturan!$C$54,Aturan!$D$54),"Nyaman","Cukup")))))</f>
        <v/>
      </c>
      <c r="L269" s="70" t="str">
        <f aca="false">IF($A269="","",IF(AND(Aturan!$C$55="",Aturan!$D$55=""),"Tidak dinilai",IF(D269="","Belum ada data",IF(D269&lt;IF(Aturan!$C$55="",0,Aturan!$C$55),"Kurang",IF(D269&gt;=IF(Aturan!$D$55="",Aturan!$C$55,Aturan!$D$55),"Nyaman","Cukup")))))</f>
        <v/>
      </c>
      <c r="M269" s="70" t="str">
        <f aca="false">IF($A269="","",IF(AND(Aturan!$C$56="",Aturan!$D$56=""),"Tidak dinilai",IF(E269="","Belum ada data",IF(E269&lt;IF(Aturan!$C$56="",0,Aturan!$C$56),"Kurang",IF(E269&gt;=IF(Aturan!$D$56="",Aturan!$C$56,Aturan!$D$56),"Nyaman","Cukup")))))</f>
        <v/>
      </c>
      <c r="N269" s="70" t="str">
        <f aca="false">IF($A269="","",IF(AND(Aturan!$C$57="",Aturan!$D$57=""),"Tidak dinilai",IF(F269="","Belum ada data",IF(F269&lt;IF(Aturan!$C$57="",0,Aturan!$C$57),"Kurang",IF(F269&gt;=IF(Aturan!$D$57="",Aturan!$C$57,Aturan!$D$57),"Nyaman","Cukup")))))</f>
        <v/>
      </c>
      <c r="O269" s="70" t="str">
        <f aca="false">IF($A269="","",IF(AND(Aturan!$C$58="",Aturan!$D$58=""),"Tidak dinilai",IF(G269="","Belum ada data",IF(G269&lt;IF(Aturan!$C$58="",0,Aturan!$C$58),"Kurang",IF(G269&gt;=IF(Aturan!$D$58="",Aturan!$C$58,Aturan!$D$58),"Nyaman","Cukup")))))</f>
        <v/>
      </c>
      <c r="P269" s="70" t="str">
        <f aca="false">IF($A269="","",IF(AND(Aturan!$C$59="",Aturan!$D$59=""),"Tidak dinilai",IF(H269="","Belum ada data",IF(H269&lt;IF(Aturan!$C$59="",0,Aturan!$C$59),"Kurang",IF(H269&gt;=IF(Aturan!$D$59="",Aturan!$C$59,Aturan!$D$59),"Nyaman","Cukup")))))</f>
        <v/>
      </c>
      <c r="Q269" s="70" t="str">
        <f aca="false">IF($A269="","",IF(COUNTIF(K269:P269,"Tidak dinilai")=6,"Tidak dinilai",IF(COUNTIF(K269:P269,"Kurang")&gt;0,"Kurang cocok",IF(COUNTIF(K269:P269,"Belum ada data")&gt;0,"Data belum lengkap",IF(COUNTIF(K269:P269,"Cukup")&gt;0,"Bisa, dengan catatan","Cocok")))))</f>
        <v/>
      </c>
      <c r="R269" s="33" t="str">
        <f aca="false">IF($A269="","",IF(K269="Kurang","prosesor tingkat "&amp;C269&amp;" dari 5, di bawah batas minimal (tingkat "&amp;Aturan!$C$54&amp;")",IF(K269="Cukup","prosesor tingkat "&amp;C269&amp;" dari 5 cukup, nyamannya mulai tingkat "&amp;Aturan!$D$54,IF(K269="Belum ada data","tingkat prosesor belum diisi",""))))</f>
        <v/>
      </c>
      <c r="S269" s="33" t="str">
        <f aca="false">IF($A269="","",IF(L269="Kurang","grafis tingkat "&amp;D269&amp;" dari 5, di bawah batas minimal (tingkat "&amp;Aturan!$C$55&amp;")",IF(L269="Cukup","grafis tingkat "&amp;D269&amp;" dari 5 cukup, nyamannya mulai tingkat "&amp;Aturan!$D$55,IF(L269="Belum ada data","tingkat grafis belum diisi",""))))</f>
        <v/>
      </c>
      <c r="T269" s="33" t="str">
        <f aca="false">IF($A269="","",IF(M269="Kurang","RAM "&amp;E269&amp;" GB, di bawah batas minimal "&amp;Aturan!$C$56&amp;" GB ("&amp;I269&amp;")",IF(M269="Cukup","RAM "&amp;E269&amp;" GB cukup, nyamannya "&amp;Aturan!$D$56&amp;" GB atau lebih ("&amp;I269&amp;")",IF(M269="Belum ada data","ukuran RAM belum diisi",""))))</f>
        <v/>
      </c>
      <c r="U269" s="33" t="str">
        <f aca="false">IF($A269="","",IF(N269="Kurang","penyimpanan "&amp;F269&amp;" GB, di bawah batas minimal "&amp;Aturan!$C$57&amp;" GB ("&amp;J269&amp;")",IF(N269="Cukup","penyimpanan "&amp;F269&amp;" GB cukup, nyamannya "&amp;Aturan!$D$57&amp;" GB atau lebih ("&amp;J269&amp;")",IF(N269="Belum ada data","ukuran penyimpanan belum diisi",""))))</f>
        <v/>
      </c>
      <c r="V269" s="33" t="str">
        <f aca="false">IF($A269="","",IF(O269="Kurang","layar "&amp;Varian!$AG57&amp;", di bawah batas minimal ("&amp;IFERROR(INDEX(Aturan!$A$63:$A$66,MATCH(Aturan!$C$58,Aturan!$B$63:$B$66,0)),"peringkat "&amp;Aturan!$C$58)&amp;")",IF(O269="Cukup","layar "&amp;Varian!$AG57&amp;" cukup, nyamannya "&amp;IFERROR(INDEX(Aturan!$A$63:$A$66,MATCH(Aturan!$D$58,Aturan!$B$63:$B$66,0)),"peringkat "&amp;Aturan!$D$58),IF(O269="Belum ada data","jenis layar belum diketahui",""))))</f>
        <v/>
      </c>
      <c r="W269" s="33" t="str">
        <f aca="false">IF($A269="","",IF(P269="Kurang","layar "&amp;H269&amp;" Hz, di bawah batas minimal "&amp;Aturan!$C$59&amp;" Hz",IF(P269="Cukup","layar "&amp;H269&amp;" Hz cukup, nyamannya "&amp;Aturan!$D$59&amp;" Hz atau lebih",IF(P269="Belum ada data","refresh rate belum diketahui",""))))</f>
        <v/>
      </c>
      <c r="X269" s="33" t="str">
        <f aca="false">IF($A269="","",IF(K269="Kurang",R269&amp;"; ","")&amp;IF(L269="Kurang",S269&amp;"; ","")&amp;IF(M269="Kurang",T269&amp;"; ","")&amp;IF(N269="Kurang",U269&amp;"; ","")&amp;IF(O269="Kurang",V269&amp;"; ","")&amp;IF(P269="Kurang",W269&amp;"; ","")&amp;IF(K269="Belum ada data",R269&amp;"; ","")&amp;IF(L269="Belum ada data",S269&amp;"; ","")&amp;IF(M269="Belum ada data",T269&amp;"; ","")&amp;IF(N269="Belum ada data",U269&amp;"; ","")&amp;IF(O269="Belum ada data",V269&amp;"; ","")&amp;IF(P269="Belum ada data",W269&amp;"; ","")&amp;IF(K269="Cukup",R269&amp;"; ","")&amp;IF(L269="Cukup",S269&amp;"; ","")&amp;IF(M269="Cukup",T269&amp;"; ","")&amp;IF(N269="Cukup",U269&amp;"; ","")&amp;IF(O269="Cukup",V269&amp;"; ","")&amp;IF(P269="Cukup",W269&amp;"; ",""))</f>
        <v/>
      </c>
      <c r="Y269" s="33" t="str">
        <f aca="false">IF($A269="","",IF(K269="Nyaman","prosesor, ","")&amp;IF(L269="Nyaman","grafis, ","")&amp;IF(M269="Nyaman","RAM, ","")&amp;IF(N269="Nyaman","penyimpanan, ","")&amp;IF(O269="Nyaman","layar, ","")&amp;IF(P269="Nyaman","refresh rate, ",""))</f>
        <v/>
      </c>
      <c r="Z269" s="33" t="str">
        <f aca="false">IF($A269="","",IF(Q269="Tidak dinilai","Belum ada kriteria yang dinilai untuk kebutuhan ini.",IF(Q269="Cocok","Semua kriteria yang dinilai sudah nyaman: "&amp;LEFT(Y269,LEN(Y269)-2)&amp;".",UPPER(LEFT(X269,1))&amp;MID(X269,2,LEN(X269)-3)&amp;"."&amp;IF(Y269="",""," Sudah nyaman: "&amp;LEFT(Y269,LEN(Y269)-2)&amp;"."))))</f>
        <v/>
      </c>
      <c r="AA269" s="33"/>
      <c r="AB269" s="33"/>
      <c r="AC269" s="69"/>
    </row>
    <row r="270" customFormat="false" ht="15" hidden="false" customHeight="true" outlineLevel="0" collapsed="false">
      <c r="A270" s="66" t="str">
        <f aca="false">IF(Varian!$A58="","",Varian!$A58)</f>
        <v/>
      </c>
      <c r="B270" s="66" t="str">
        <f aca="false">IF($A270="","",Aturan!$A$21)</f>
        <v/>
      </c>
      <c r="C270" s="67" t="str">
        <f aca="false">IF($A270="","",IFERROR(IF(ISNUMBER(INDEX(CPU!$J$4:$J$64,MATCH(Varian!$J58,CPU!$A$4:$A$64,0))),INDEX(CPU!$J$4:$J$64,MATCH(Varian!$J58,CPU!$A$4:$A$64,0)),""),""))</f>
        <v/>
      </c>
      <c r="D270" s="67" t="str">
        <f aca="false">IF($A270="","",IFERROR(IF(ISNUMBER(INDEX(GPU!$G$4:$G$64,MATCH(Varian!$K58,GPU!$A$4:$A$64,0))),INDEX(GPU!$G$4:$G$64,MATCH(Varian!$K58,GPU!$A$4:$A$64,0)),""),""))</f>
        <v/>
      </c>
      <c r="E270" s="67" t="str">
        <f aca="false">IF($A270="","",IF(ISNUMBER(Varian!$M58),Varian!$M58,""))</f>
        <v/>
      </c>
      <c r="F270" s="67" t="str">
        <f aca="false">IF($A270="","",IF(ISNUMBER(Varian!$V58),Varian!$V58,""))</f>
        <v/>
      </c>
      <c r="G270" s="67" t="str">
        <f aca="false">IF($A270="","",IFERROR(INDEX(Aturan!$B$63:$B$66,MATCH(Varian!$AG58,Aturan!$A$63:$A$66,0)),""))</f>
        <v/>
      </c>
      <c r="H270" s="67" t="str">
        <f aca="false">IF($A270="","",IF(ISNUMBER(Varian!$AI58),Varian!$AI58,""))</f>
        <v/>
      </c>
      <c r="I270" s="66" t="str">
        <f aca="false">IF($A270="","",IF(Varian!$Q58="disolder","menempel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0" s="66" t="str">
        <f aca="false">IF($A270="","",IF(Varian!$Z58="ya","bisa diganti dengan yang lebih besar",IF(Varian!$Z58="tidak","menempel, tidak bisa diganti","belum diketahui apakah bisa diganti")))</f>
        <v/>
      </c>
      <c r="K270" s="68" t="str">
        <f aca="false">IF($A270="","",IF(AND(Aturan!$C$30="",Aturan!$D$30=""),"Tidak dinilai",IF(C270="","Belum ada data",IF(C270&lt;IF(Aturan!$C$30="",0,Aturan!$C$30),"Kurang",IF(C270&gt;=IF(Aturan!$D$30="",Aturan!$C$30,Aturan!$D$30),"Nyaman","Cukup")))))</f>
        <v/>
      </c>
      <c r="L270" s="68" t="str">
        <f aca="false">IF($A270="","",IF(AND(Aturan!$C$31="",Aturan!$D$31=""),"Tidak dinilai",IF(D270="","Belum ada data",IF(D270&lt;IF(Aturan!$C$31="",0,Aturan!$C$31),"Kurang",IF(D270&gt;=IF(Aturan!$D$31="",Aturan!$C$31,Aturan!$D$31),"Nyaman","Cukup")))))</f>
        <v/>
      </c>
      <c r="M270" s="68" t="str">
        <f aca="false">IF($A270="","",IF(AND(Aturan!$C$32="",Aturan!$D$32=""),"Tidak dinilai",IF(E270="","Belum ada data",IF(E270&lt;IF(Aturan!$C$32="",0,Aturan!$C$32),"Kurang",IF(E270&gt;=IF(Aturan!$D$32="",Aturan!$C$32,Aturan!$D$32),"Nyaman","Cukup")))))</f>
        <v/>
      </c>
      <c r="N270" s="68" t="str">
        <f aca="false">IF($A270="","",IF(AND(Aturan!$C$33="",Aturan!$D$33=""),"Tidak dinilai",IF(F270="","Belum ada data",IF(F270&lt;IF(Aturan!$C$33="",0,Aturan!$C$33),"Kurang",IF(F270&gt;=IF(Aturan!$D$33="",Aturan!$C$33,Aturan!$D$33),"Nyaman","Cukup")))))</f>
        <v/>
      </c>
      <c r="O270" s="68" t="str">
        <f aca="false">IF($A270="","",IF(AND(Aturan!$C$34="",Aturan!$D$34=""),"Tidak dinilai",IF(G270="","Belum ada data",IF(G270&lt;IF(Aturan!$C$34="",0,Aturan!$C$34),"Kurang",IF(G270&gt;=IF(Aturan!$D$34="",Aturan!$C$34,Aturan!$D$34),"Nyaman","Cukup")))))</f>
        <v/>
      </c>
      <c r="P270" s="68" t="str">
        <f aca="false">IF($A270="","",IF(AND(Aturan!$C$35="",Aturan!$D$35=""),"Tidak dinilai",IF(H270="","Belum ada data",IF(H270&lt;IF(Aturan!$C$35="",0,Aturan!$C$35),"Kurang",IF(H270&gt;=IF(Aturan!$D$35="",Aturan!$C$35,Aturan!$D$35),"Nyaman","Cukup")))))</f>
        <v/>
      </c>
      <c r="Q270" s="68" t="str">
        <f aca="false">IF($A270="","",IF(COUNTIF(K270:P270,"Tidak dinilai")=6,"Tidak dinilai",IF(COUNTIF(K270:P270,"Kurang")&gt;0,"Kurang cocok",IF(COUNTIF(K270:P270,"Belum ada data")&gt;0,"Data belum lengkap",IF(COUNTIF(K270:P270,"Cukup")&gt;0,"Bisa, dengan catatan","Cocok")))))</f>
        <v/>
      </c>
      <c r="R270" s="66" t="str">
        <f aca="false">IF($A270="","",IF(K270="Kurang","prosesor tingkat "&amp;C270&amp;" dari 5, di bawah batas minimal (tingkat "&amp;Aturan!$C$30&amp;")",IF(K270="Cukup","prosesor tingkat "&amp;C270&amp;" dari 5 cukup, nyamannya mulai tingkat "&amp;Aturan!$D$30,IF(K270="Belum ada data","tingkat prosesor belum diisi",""))))</f>
        <v/>
      </c>
      <c r="S270" s="66" t="str">
        <f aca="false">IF($A270="","",IF(L270="Kurang","grafis tingkat "&amp;D270&amp;" dari 5, di bawah batas minimal (tingkat "&amp;Aturan!$C$31&amp;")",IF(L270="Cukup","grafis tingkat "&amp;D270&amp;" dari 5 cukup, nyamannya mulai tingkat "&amp;Aturan!$D$31,IF(L270="Belum ada data","tingkat grafis belum diisi",""))))</f>
        <v/>
      </c>
      <c r="T270" s="66" t="str">
        <f aca="false">IF($A270="","",IF(M270="Kurang","RAM "&amp;E270&amp;" GB, di bawah batas minimal "&amp;Aturan!$C$32&amp;" GB ("&amp;I270&amp;")",IF(M270="Cukup","RAM "&amp;E270&amp;" GB cukup, nyamannya "&amp;Aturan!$D$32&amp;" GB atau lebih ("&amp;I270&amp;")",IF(M270="Belum ada data","ukuran RAM belum diisi",""))))</f>
        <v/>
      </c>
      <c r="U270" s="66" t="str">
        <f aca="false">IF($A270="","",IF(N270="Kurang","penyimpanan "&amp;F270&amp;" GB, di bawah batas minimal "&amp;Aturan!$C$33&amp;" GB ("&amp;J270&amp;")",IF(N270="Cukup","penyimpanan "&amp;F270&amp;" GB cukup, nyamannya "&amp;Aturan!$D$33&amp;" GB atau lebih ("&amp;J270&amp;")",IF(N270="Belum ada data","ukuran penyimpanan belum diisi",""))))</f>
        <v/>
      </c>
      <c r="V270" s="66" t="str">
        <f aca="false">IF($A270="","",IF(O270="Kurang","layar "&amp;Varian!$AG58&amp;", di bawah batas minimal ("&amp;IFERROR(INDEX(Aturan!$A$63:$A$66,MATCH(Aturan!$C$34,Aturan!$B$63:$B$66,0)),"peringkat "&amp;Aturan!$C$34)&amp;")",IF(O270="Cukup","layar "&amp;Varian!$AG58&amp;" cukup, nyamannya "&amp;IFERROR(INDEX(Aturan!$A$63:$A$66,MATCH(Aturan!$D$34,Aturan!$B$63:$B$66,0)),"peringkat "&amp;Aturan!$D$34),IF(O270="Belum ada data","jenis layar belum diketahui",""))))</f>
        <v/>
      </c>
      <c r="W270" s="66" t="str">
        <f aca="false">IF($A270="","",IF(P270="Kurang","layar "&amp;H270&amp;" Hz, di bawah batas minimal "&amp;Aturan!$C$35&amp;" Hz",IF(P270="Cukup","layar "&amp;H270&amp;" Hz cukup, nyamannya "&amp;Aturan!$D$35&amp;" Hz atau lebih",IF(P270="Belum ada data","refresh rate belum diketahui",""))))</f>
        <v/>
      </c>
      <c r="X270" s="66" t="str">
        <f aca="false">IF($A270="","",IF(K270="Kurang",R270&amp;"; ","")&amp;IF(L270="Kurang",S270&amp;"; ","")&amp;IF(M270="Kurang",T270&amp;"; ","")&amp;IF(N270="Kurang",U270&amp;"; ","")&amp;IF(O270="Kurang",V270&amp;"; ","")&amp;IF(P270="Kurang",W270&amp;"; ","")&amp;IF(K270="Belum ada data",R270&amp;"; ","")&amp;IF(L270="Belum ada data",S270&amp;"; ","")&amp;IF(M270="Belum ada data",T270&amp;"; ","")&amp;IF(N270="Belum ada data",U270&amp;"; ","")&amp;IF(O270="Belum ada data",V270&amp;"; ","")&amp;IF(P270="Belum ada data",W270&amp;"; ","")&amp;IF(K270="Cukup",R270&amp;"; ","")&amp;IF(L270="Cukup",S270&amp;"; ","")&amp;IF(M270="Cukup",T270&amp;"; ","")&amp;IF(N270="Cukup",U270&amp;"; ","")&amp;IF(O270="Cukup",V270&amp;"; ","")&amp;IF(P270="Cukup",W270&amp;"; ",""))</f>
        <v/>
      </c>
      <c r="Y270" s="66" t="str">
        <f aca="false">IF($A270="","",IF(K270="Nyaman","prosesor, ","")&amp;IF(L270="Nyaman","grafis, ","")&amp;IF(M270="Nyaman","RAM, ","")&amp;IF(N270="Nyaman","penyimpanan, ","")&amp;IF(O270="Nyaman","layar, ","")&amp;IF(P270="Nyaman","refresh rate, ",""))</f>
        <v/>
      </c>
      <c r="Z270" s="66" t="str">
        <f aca="false">IF($A270="","",IF(Q270="Tidak dinilai","Belum ada kriteria yang dinilai untuk kebutuhan ini.",IF(Q270="Cocok","Semua kriteria yang dinilai sudah nyaman: "&amp;LEFT(Y270,LEN(Y270)-2)&amp;".",UPPER(LEFT(X270,1))&amp;MID(X270,2,LEN(X270)-3)&amp;"."&amp;IF(Y270="",""," Sudah nyaman: "&amp;LEFT(Y270,LEN(Y270)-2)&amp;"."))))</f>
        <v/>
      </c>
      <c r="AA270" s="66" t="str">
        <f aca="false">IF($A270="","",IF(Varian!$AR58="Windows 10","• "&amp;Aturan!$E$71&amp;CHAR(10),"")&amp;IF(Varian!$BB58="tidak","• "&amp;Aturan!$E$72&amp;CHAR(10),"")&amp;IF(OR(Varian!$AD58="belum terverifikasi",Varian!$AD58="tidak diketahui"),"• "&amp;Aturan!$E$73&amp;CHAR(10),"")&amp;IF(Varian!$AH58="1366x768","• "&amp;Aturan!$E$74&amp;CHAR(10),"")&amp;IF(Varian!$AG58="TN","• "&amp;Aturan!$E$75&amp;CHAR(10),"")&amp;IF(AND(Varian!$Q58="disolder",ISNUMBER(Varian!$M58),Varian!$M58&lt;=8),"• "&amp;Aturan!$E$76&amp;CHAR(10),""))</f>
        <v/>
      </c>
      <c r="AB270" s="66" t="str">
        <f aca="false">IF($A270="","",IF(AA270="","",LEFT(AA270,LEN(AA270)-1)))</f>
        <v/>
      </c>
      <c r="AC270" s="67" t="str">
        <f aca="false">IF($A270="","",IF(AA270="",0,LEN(AA270)-LEN(SUBSTITUTE(AA270,CHAR(10),""))))</f>
        <v/>
      </c>
    </row>
    <row r="271" customFormat="false" ht="15" hidden="false" customHeight="true" outlineLevel="0" collapsed="false">
      <c r="A271" s="33" t="str">
        <f aca="false">IF(Varian!$A58="","",Varian!$A58)</f>
        <v/>
      </c>
      <c r="B271" s="33" t="str">
        <f aca="false">IF($A271="","",Aturan!$A$22)</f>
        <v/>
      </c>
      <c r="C271" s="69" t="str">
        <f aca="false">IF($A271="","",IFERROR(IF(ISNUMBER(INDEX(CPU!$J$4:$J$64,MATCH(Varian!$J58,CPU!$A$4:$A$64,0))),INDEX(CPU!$J$4:$J$64,MATCH(Varian!$J58,CPU!$A$4:$A$64,0)),""),""))</f>
        <v/>
      </c>
      <c r="D271" s="69" t="str">
        <f aca="false">IF($A271="","",IFERROR(IF(ISNUMBER(INDEX(GPU!$G$4:$G$64,MATCH(Varian!$K58,GPU!$A$4:$A$64,0))),INDEX(GPU!$G$4:$G$64,MATCH(Varian!$K58,GPU!$A$4:$A$64,0)),""),""))</f>
        <v/>
      </c>
      <c r="E271" s="69" t="str">
        <f aca="false">IF($A271="","",IF(ISNUMBER(Varian!$M58),Varian!$M58,""))</f>
        <v/>
      </c>
      <c r="F271" s="69" t="str">
        <f aca="false">IF($A271="","",IF(ISNUMBER(Varian!$V58),Varian!$V58,""))</f>
        <v/>
      </c>
      <c r="G271" s="69" t="str">
        <f aca="false">IF($A271="","",IFERROR(INDEX(Aturan!$B$63:$B$66,MATCH(Varian!$AG58,Aturan!$A$63:$A$66,0)),""))</f>
        <v/>
      </c>
      <c r="H271" s="69" t="str">
        <f aca="false">IF($A271="","",IF(ISNUMBER(Varian!$AI58),Varian!$AI58,""))</f>
        <v/>
      </c>
      <c r="I271" s="33" t="str">
        <f aca="false">IF($A271="","",IF(Varian!$Q58="disolder","menempel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1" s="33" t="str">
        <f aca="false">IF($A271="","",IF(Varian!$Z58="ya","bisa diganti dengan yang lebih besar",IF(Varian!$Z58="tidak","menempel, tidak bisa diganti","belum diketahui apakah bisa diganti")))</f>
        <v/>
      </c>
      <c r="K271" s="70" t="str">
        <f aca="false">IF($A271="","",IF(AND(Aturan!$C$36="",Aturan!$D$36=""),"Tidak dinilai",IF(C271="","Belum ada data",IF(C271&lt;IF(Aturan!$C$36="",0,Aturan!$C$36),"Kurang",IF(C271&gt;=IF(Aturan!$D$36="",Aturan!$C$36,Aturan!$D$36),"Nyaman","Cukup")))))</f>
        <v/>
      </c>
      <c r="L271" s="70" t="str">
        <f aca="false">IF($A271="","",IF(AND(Aturan!$C$37="",Aturan!$D$37=""),"Tidak dinilai",IF(D271="","Belum ada data",IF(D271&lt;IF(Aturan!$C$37="",0,Aturan!$C$37),"Kurang",IF(D271&gt;=IF(Aturan!$D$37="",Aturan!$C$37,Aturan!$D$37),"Nyaman","Cukup")))))</f>
        <v/>
      </c>
      <c r="M271" s="70" t="str">
        <f aca="false">IF($A271="","",IF(AND(Aturan!$C$38="",Aturan!$D$38=""),"Tidak dinilai",IF(E271="","Belum ada data",IF(E271&lt;IF(Aturan!$C$38="",0,Aturan!$C$38),"Kurang",IF(E271&gt;=IF(Aturan!$D$38="",Aturan!$C$38,Aturan!$D$38),"Nyaman","Cukup")))))</f>
        <v/>
      </c>
      <c r="N271" s="70" t="str">
        <f aca="false">IF($A271="","",IF(AND(Aturan!$C$39="",Aturan!$D$39=""),"Tidak dinilai",IF(F271="","Belum ada data",IF(F271&lt;IF(Aturan!$C$39="",0,Aturan!$C$39),"Kurang",IF(F271&gt;=IF(Aturan!$D$39="",Aturan!$C$39,Aturan!$D$39),"Nyaman","Cukup")))))</f>
        <v/>
      </c>
      <c r="O271" s="70" t="str">
        <f aca="false">IF($A271="","",IF(AND(Aturan!$C$40="",Aturan!$D$40=""),"Tidak dinilai",IF(G271="","Belum ada data",IF(G271&lt;IF(Aturan!$C$40="",0,Aturan!$C$40),"Kurang",IF(G271&gt;=IF(Aturan!$D$40="",Aturan!$C$40,Aturan!$D$40),"Nyaman","Cukup")))))</f>
        <v/>
      </c>
      <c r="P271" s="70" t="str">
        <f aca="false">IF($A271="","",IF(AND(Aturan!$C$41="",Aturan!$D$41=""),"Tidak dinilai",IF(H271="","Belum ada data",IF(H271&lt;IF(Aturan!$C$41="",0,Aturan!$C$41),"Kurang",IF(H271&gt;=IF(Aturan!$D$41="",Aturan!$C$41,Aturan!$D$41),"Nyaman","Cukup")))))</f>
        <v/>
      </c>
      <c r="Q271" s="70" t="str">
        <f aca="false">IF($A271="","",IF(COUNTIF(K271:P271,"Tidak dinilai")=6,"Tidak dinilai",IF(COUNTIF(K271:P271,"Kurang")&gt;0,"Kurang cocok",IF(COUNTIF(K271:P271,"Belum ada data")&gt;0,"Data belum lengkap",IF(COUNTIF(K271:P271,"Cukup")&gt;0,"Bisa, dengan catatan","Cocok")))))</f>
        <v/>
      </c>
      <c r="R271" s="33" t="str">
        <f aca="false">IF($A271="","",IF(K271="Kurang","prosesor tingkat "&amp;C271&amp;" dari 5, di bawah batas minimal (tingkat "&amp;Aturan!$C$36&amp;")",IF(K271="Cukup","prosesor tingkat "&amp;C271&amp;" dari 5 cukup, nyamannya mulai tingkat "&amp;Aturan!$D$36,IF(K271="Belum ada data","tingkat prosesor belum diisi",""))))</f>
        <v/>
      </c>
      <c r="S271" s="33" t="str">
        <f aca="false">IF($A271="","",IF(L271="Kurang","grafis tingkat "&amp;D271&amp;" dari 5, di bawah batas minimal (tingkat "&amp;Aturan!$C$37&amp;")",IF(L271="Cukup","grafis tingkat "&amp;D271&amp;" dari 5 cukup, nyamannya mulai tingkat "&amp;Aturan!$D$37,IF(L271="Belum ada data","tingkat grafis belum diisi",""))))</f>
        <v/>
      </c>
      <c r="T271" s="33" t="str">
        <f aca="false">IF($A271="","",IF(M271="Kurang","RAM "&amp;E271&amp;" GB, di bawah batas minimal "&amp;Aturan!$C$38&amp;" GB ("&amp;I271&amp;")",IF(M271="Cukup","RAM "&amp;E271&amp;" GB cukup, nyamannya "&amp;Aturan!$D$38&amp;" GB atau lebih ("&amp;I271&amp;")",IF(M271="Belum ada data","ukuran RAM belum diisi",""))))</f>
        <v/>
      </c>
      <c r="U271" s="33" t="str">
        <f aca="false">IF($A271="","",IF(N271="Kurang","penyimpanan "&amp;F271&amp;" GB, di bawah batas minimal "&amp;Aturan!$C$39&amp;" GB ("&amp;J271&amp;")",IF(N271="Cukup","penyimpanan "&amp;F271&amp;" GB cukup, nyamannya "&amp;Aturan!$D$39&amp;" GB atau lebih ("&amp;J271&amp;")",IF(N271="Belum ada data","ukuran penyimpanan belum diisi",""))))</f>
        <v/>
      </c>
      <c r="V271" s="33" t="str">
        <f aca="false">IF($A271="","",IF(O271="Kurang","layar "&amp;Varian!$AG58&amp;", di bawah batas minimal ("&amp;IFERROR(INDEX(Aturan!$A$63:$A$66,MATCH(Aturan!$C$40,Aturan!$B$63:$B$66,0)),"peringkat "&amp;Aturan!$C$40)&amp;")",IF(O271="Cukup","layar "&amp;Varian!$AG58&amp;" cukup, nyamannya "&amp;IFERROR(INDEX(Aturan!$A$63:$A$66,MATCH(Aturan!$D$40,Aturan!$B$63:$B$66,0)),"peringkat "&amp;Aturan!$D$40),IF(O271="Belum ada data","jenis layar belum diketahui",""))))</f>
        <v/>
      </c>
      <c r="W271" s="33" t="str">
        <f aca="false">IF($A271="","",IF(P271="Kurang","layar "&amp;H271&amp;" Hz, di bawah batas minimal "&amp;Aturan!$C$41&amp;" Hz",IF(P271="Cukup","layar "&amp;H271&amp;" Hz cukup, nyamannya "&amp;Aturan!$D$41&amp;" Hz atau lebih",IF(P271="Belum ada data","refresh rate belum diketahui",""))))</f>
        <v/>
      </c>
      <c r="X271" s="33" t="str">
        <f aca="false">IF($A271="","",IF(K271="Kurang",R271&amp;"; ","")&amp;IF(L271="Kurang",S271&amp;"; ","")&amp;IF(M271="Kurang",T271&amp;"; ","")&amp;IF(N271="Kurang",U271&amp;"; ","")&amp;IF(O271="Kurang",V271&amp;"; ","")&amp;IF(P271="Kurang",W271&amp;"; ","")&amp;IF(K271="Belum ada data",R271&amp;"; ","")&amp;IF(L271="Belum ada data",S271&amp;"; ","")&amp;IF(M271="Belum ada data",T271&amp;"; ","")&amp;IF(N271="Belum ada data",U271&amp;"; ","")&amp;IF(O271="Belum ada data",V271&amp;"; ","")&amp;IF(P271="Belum ada data",W271&amp;"; ","")&amp;IF(K271="Cukup",R271&amp;"; ","")&amp;IF(L271="Cukup",S271&amp;"; ","")&amp;IF(M271="Cukup",T271&amp;"; ","")&amp;IF(N271="Cukup",U271&amp;"; ","")&amp;IF(O271="Cukup",V271&amp;"; ","")&amp;IF(P271="Cukup",W271&amp;"; ",""))</f>
        <v/>
      </c>
      <c r="Y271" s="33" t="str">
        <f aca="false">IF($A271="","",IF(K271="Nyaman","prosesor, ","")&amp;IF(L271="Nyaman","grafis, ","")&amp;IF(M271="Nyaman","RAM, ","")&amp;IF(N271="Nyaman","penyimpanan, ","")&amp;IF(O271="Nyaman","layar, ","")&amp;IF(P271="Nyaman","refresh rate, ",""))</f>
        <v/>
      </c>
      <c r="Z271" s="33" t="str">
        <f aca="false">IF($A271="","",IF(Q271="Tidak dinilai","Belum ada kriteria yang dinilai untuk kebutuhan ini.",IF(Q271="Cocok","Semua kriteria yang dinilai sudah nyaman: "&amp;LEFT(Y271,LEN(Y271)-2)&amp;".",UPPER(LEFT(X271,1))&amp;MID(X271,2,LEN(X271)-3)&amp;"."&amp;IF(Y271="",""," Sudah nyaman: "&amp;LEFT(Y271,LEN(Y271)-2)&amp;"."))))</f>
        <v/>
      </c>
      <c r="AA271" s="33"/>
      <c r="AB271" s="33"/>
      <c r="AC271" s="69"/>
    </row>
    <row r="272" customFormat="false" ht="15" hidden="false" customHeight="true" outlineLevel="0" collapsed="false">
      <c r="A272" s="33" t="str">
        <f aca="false">IF(Varian!$A58="","",Varian!$A58)</f>
        <v/>
      </c>
      <c r="B272" s="33" t="str">
        <f aca="false">IF($A272="","",Aturan!$A$23)</f>
        <v/>
      </c>
      <c r="C272" s="69" t="str">
        <f aca="false">IF($A272="","",IFERROR(IF(ISNUMBER(INDEX(CPU!$J$4:$J$64,MATCH(Varian!$J58,CPU!$A$4:$A$64,0))),INDEX(CPU!$J$4:$J$64,MATCH(Varian!$J58,CPU!$A$4:$A$64,0)),""),""))</f>
        <v/>
      </c>
      <c r="D272" s="69" t="str">
        <f aca="false">IF($A272="","",IFERROR(IF(ISNUMBER(INDEX(GPU!$G$4:$G$64,MATCH(Varian!$K58,GPU!$A$4:$A$64,0))),INDEX(GPU!$G$4:$G$64,MATCH(Varian!$K58,GPU!$A$4:$A$64,0)),""),""))</f>
        <v/>
      </c>
      <c r="E272" s="69" t="str">
        <f aca="false">IF($A272="","",IF(ISNUMBER(Varian!$M58),Varian!$M58,""))</f>
        <v/>
      </c>
      <c r="F272" s="69" t="str">
        <f aca="false">IF($A272="","",IF(ISNUMBER(Varian!$V58),Varian!$V58,""))</f>
        <v/>
      </c>
      <c r="G272" s="69" t="str">
        <f aca="false">IF($A272="","",IFERROR(INDEX(Aturan!$B$63:$B$66,MATCH(Varian!$AG58,Aturan!$A$63:$A$66,0)),""))</f>
        <v/>
      </c>
      <c r="H272" s="69" t="str">
        <f aca="false">IF($A272="","",IF(ISNUMBER(Varian!$AI58),Varian!$AI58,""))</f>
        <v/>
      </c>
      <c r="I272" s="33" t="str">
        <f aca="false">IF($A272="","",IF(Varian!$Q58="disolder","menempel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2" s="33" t="str">
        <f aca="false">IF($A272="","",IF(Varian!$Z58="ya","bisa diganti dengan yang lebih besar",IF(Varian!$Z58="tidak","menempel, tidak bisa diganti","belum diketahui apakah bisa diganti")))</f>
        <v/>
      </c>
      <c r="K272" s="70" t="str">
        <f aca="false">IF($A272="","",IF(AND(Aturan!$C$42="",Aturan!$D$42=""),"Tidak dinilai",IF(C272="","Belum ada data",IF(C272&lt;IF(Aturan!$C$42="",0,Aturan!$C$42),"Kurang",IF(C272&gt;=IF(Aturan!$D$42="",Aturan!$C$42,Aturan!$D$42),"Nyaman","Cukup")))))</f>
        <v/>
      </c>
      <c r="L272" s="70" t="str">
        <f aca="false">IF($A272="","",IF(AND(Aturan!$C$43="",Aturan!$D$43=""),"Tidak dinilai",IF(D272="","Belum ada data",IF(D272&lt;IF(Aturan!$C$43="",0,Aturan!$C$43),"Kurang",IF(D272&gt;=IF(Aturan!$D$43="",Aturan!$C$43,Aturan!$D$43),"Nyaman","Cukup")))))</f>
        <v/>
      </c>
      <c r="M272" s="70" t="str">
        <f aca="false">IF($A272="","",IF(AND(Aturan!$C$44="",Aturan!$D$44=""),"Tidak dinilai",IF(E272="","Belum ada data",IF(E272&lt;IF(Aturan!$C$44="",0,Aturan!$C$44),"Kurang",IF(E272&gt;=IF(Aturan!$D$44="",Aturan!$C$44,Aturan!$D$44),"Nyaman","Cukup")))))</f>
        <v/>
      </c>
      <c r="N272" s="70" t="str">
        <f aca="false">IF($A272="","",IF(AND(Aturan!$C$45="",Aturan!$D$45=""),"Tidak dinilai",IF(F272="","Belum ada data",IF(F272&lt;IF(Aturan!$C$45="",0,Aturan!$C$45),"Kurang",IF(F272&gt;=IF(Aturan!$D$45="",Aturan!$C$45,Aturan!$D$45),"Nyaman","Cukup")))))</f>
        <v/>
      </c>
      <c r="O272" s="70" t="str">
        <f aca="false">IF($A272="","",IF(AND(Aturan!$C$46="",Aturan!$D$46=""),"Tidak dinilai",IF(G272="","Belum ada data",IF(G272&lt;IF(Aturan!$C$46="",0,Aturan!$C$46),"Kurang",IF(G272&gt;=IF(Aturan!$D$46="",Aturan!$C$46,Aturan!$D$46),"Nyaman","Cukup")))))</f>
        <v/>
      </c>
      <c r="P272" s="70" t="str">
        <f aca="false">IF($A272="","",IF(AND(Aturan!$C$47="",Aturan!$D$47=""),"Tidak dinilai",IF(H272="","Belum ada data",IF(H272&lt;IF(Aturan!$C$47="",0,Aturan!$C$47),"Kurang",IF(H272&gt;=IF(Aturan!$D$47="",Aturan!$C$47,Aturan!$D$47),"Nyaman","Cukup")))))</f>
        <v/>
      </c>
      <c r="Q272" s="70" t="str">
        <f aca="false">IF($A272="","",IF(COUNTIF(K272:P272,"Tidak dinilai")=6,"Tidak dinilai",IF(COUNTIF(K272:P272,"Kurang")&gt;0,"Kurang cocok",IF(COUNTIF(K272:P272,"Belum ada data")&gt;0,"Data belum lengkap",IF(COUNTIF(K272:P272,"Cukup")&gt;0,"Bisa, dengan catatan","Cocok")))))</f>
        <v/>
      </c>
      <c r="R272" s="33" t="str">
        <f aca="false">IF($A272="","",IF(K272="Kurang","prosesor tingkat "&amp;C272&amp;" dari 5, di bawah batas minimal (tingkat "&amp;Aturan!$C$42&amp;")",IF(K272="Cukup","prosesor tingkat "&amp;C272&amp;" dari 5 cukup, nyamannya mulai tingkat "&amp;Aturan!$D$42,IF(K272="Belum ada data","tingkat prosesor belum diisi",""))))</f>
        <v/>
      </c>
      <c r="S272" s="33" t="str">
        <f aca="false">IF($A272="","",IF(L272="Kurang","grafis tingkat "&amp;D272&amp;" dari 5, di bawah batas minimal (tingkat "&amp;Aturan!$C$43&amp;")",IF(L272="Cukup","grafis tingkat "&amp;D272&amp;" dari 5 cukup, nyamannya mulai tingkat "&amp;Aturan!$D$43,IF(L272="Belum ada data","tingkat grafis belum diisi",""))))</f>
        <v/>
      </c>
      <c r="T272" s="33" t="str">
        <f aca="false">IF($A272="","",IF(M272="Kurang","RAM "&amp;E272&amp;" GB, di bawah batas minimal "&amp;Aturan!$C$44&amp;" GB ("&amp;I272&amp;")",IF(M272="Cukup","RAM "&amp;E272&amp;" GB cukup, nyamannya "&amp;Aturan!$D$44&amp;" GB atau lebih ("&amp;I272&amp;")",IF(M272="Belum ada data","ukuran RAM belum diisi",""))))</f>
        <v/>
      </c>
      <c r="U272" s="33" t="str">
        <f aca="false">IF($A272="","",IF(N272="Kurang","penyimpanan "&amp;F272&amp;" GB, di bawah batas minimal "&amp;Aturan!$C$45&amp;" GB ("&amp;J272&amp;")",IF(N272="Cukup","penyimpanan "&amp;F272&amp;" GB cukup, nyamannya "&amp;Aturan!$D$45&amp;" GB atau lebih ("&amp;J272&amp;")",IF(N272="Belum ada data","ukuran penyimpanan belum diisi",""))))</f>
        <v/>
      </c>
      <c r="V272" s="33" t="str">
        <f aca="false">IF($A272="","",IF(O272="Kurang","layar "&amp;Varian!$AG58&amp;", di bawah batas minimal ("&amp;IFERROR(INDEX(Aturan!$A$63:$A$66,MATCH(Aturan!$C$46,Aturan!$B$63:$B$66,0)),"peringkat "&amp;Aturan!$C$46)&amp;")",IF(O272="Cukup","layar "&amp;Varian!$AG58&amp;" cukup, nyamannya "&amp;IFERROR(INDEX(Aturan!$A$63:$A$66,MATCH(Aturan!$D$46,Aturan!$B$63:$B$66,0)),"peringkat "&amp;Aturan!$D$46),IF(O272="Belum ada data","jenis layar belum diketahui",""))))</f>
        <v/>
      </c>
      <c r="W272" s="33" t="str">
        <f aca="false">IF($A272="","",IF(P272="Kurang","layar "&amp;H272&amp;" Hz, di bawah batas minimal "&amp;Aturan!$C$47&amp;" Hz",IF(P272="Cukup","layar "&amp;H272&amp;" Hz cukup, nyamannya "&amp;Aturan!$D$47&amp;" Hz atau lebih",IF(P272="Belum ada data","refresh rate belum diketahui",""))))</f>
        <v/>
      </c>
      <c r="X272" s="33" t="str">
        <f aca="false">IF($A272="","",IF(K272="Kurang",R272&amp;"; ","")&amp;IF(L272="Kurang",S272&amp;"; ","")&amp;IF(M272="Kurang",T272&amp;"; ","")&amp;IF(N272="Kurang",U272&amp;"; ","")&amp;IF(O272="Kurang",V272&amp;"; ","")&amp;IF(P272="Kurang",W272&amp;"; ","")&amp;IF(K272="Belum ada data",R272&amp;"; ","")&amp;IF(L272="Belum ada data",S272&amp;"; ","")&amp;IF(M272="Belum ada data",T272&amp;"; ","")&amp;IF(N272="Belum ada data",U272&amp;"; ","")&amp;IF(O272="Belum ada data",V272&amp;"; ","")&amp;IF(P272="Belum ada data",W272&amp;"; ","")&amp;IF(K272="Cukup",R272&amp;"; ","")&amp;IF(L272="Cukup",S272&amp;"; ","")&amp;IF(M272="Cukup",T272&amp;"; ","")&amp;IF(N272="Cukup",U272&amp;"; ","")&amp;IF(O272="Cukup",V272&amp;"; ","")&amp;IF(P272="Cukup",W272&amp;"; ",""))</f>
        <v/>
      </c>
      <c r="Y272" s="33" t="str">
        <f aca="false">IF($A272="","",IF(K272="Nyaman","prosesor, ","")&amp;IF(L272="Nyaman","grafis, ","")&amp;IF(M272="Nyaman","RAM, ","")&amp;IF(N272="Nyaman","penyimpanan, ","")&amp;IF(O272="Nyaman","layar, ","")&amp;IF(P272="Nyaman","refresh rate, ",""))</f>
        <v/>
      </c>
      <c r="Z272" s="33" t="str">
        <f aca="false">IF($A272="","",IF(Q272="Tidak dinilai","Belum ada kriteria yang dinilai untuk kebutuhan ini.",IF(Q272="Cocok","Semua kriteria yang dinilai sudah nyaman: "&amp;LEFT(Y272,LEN(Y272)-2)&amp;".",UPPER(LEFT(X272,1))&amp;MID(X272,2,LEN(X272)-3)&amp;"."&amp;IF(Y272="",""," Sudah nyaman: "&amp;LEFT(Y272,LEN(Y272)-2)&amp;"."))))</f>
        <v/>
      </c>
      <c r="AA272" s="33"/>
      <c r="AB272" s="33"/>
      <c r="AC272" s="69"/>
    </row>
    <row r="273" customFormat="false" ht="15" hidden="false" customHeight="true" outlineLevel="0" collapsed="false">
      <c r="A273" s="33" t="str">
        <f aca="false">IF(Varian!$A58="","",Varian!$A58)</f>
        <v/>
      </c>
      <c r="B273" s="33" t="str">
        <f aca="false">IF($A273="","",Aturan!$A$24)</f>
        <v/>
      </c>
      <c r="C273" s="69" t="str">
        <f aca="false">IF($A273="","",IFERROR(IF(ISNUMBER(INDEX(CPU!$J$4:$J$64,MATCH(Varian!$J58,CPU!$A$4:$A$64,0))),INDEX(CPU!$J$4:$J$64,MATCH(Varian!$J58,CPU!$A$4:$A$64,0)),""),""))</f>
        <v/>
      </c>
      <c r="D273" s="69" t="str">
        <f aca="false">IF($A273="","",IFERROR(IF(ISNUMBER(INDEX(GPU!$G$4:$G$64,MATCH(Varian!$K58,GPU!$A$4:$A$64,0))),INDEX(GPU!$G$4:$G$64,MATCH(Varian!$K58,GPU!$A$4:$A$64,0)),""),""))</f>
        <v/>
      </c>
      <c r="E273" s="69" t="str">
        <f aca="false">IF($A273="","",IF(ISNUMBER(Varian!$M58),Varian!$M58,""))</f>
        <v/>
      </c>
      <c r="F273" s="69" t="str">
        <f aca="false">IF($A273="","",IF(ISNUMBER(Varian!$V58),Varian!$V58,""))</f>
        <v/>
      </c>
      <c r="G273" s="69" t="str">
        <f aca="false">IF($A273="","",IFERROR(INDEX(Aturan!$B$63:$B$66,MATCH(Varian!$AG58,Aturan!$A$63:$A$66,0)),""))</f>
        <v/>
      </c>
      <c r="H273" s="69" t="str">
        <f aca="false">IF($A273="","",IF(ISNUMBER(Varian!$AI58),Varian!$AI58,""))</f>
        <v/>
      </c>
      <c r="I273" s="33" t="str">
        <f aca="false">IF($A273="","",IF(Varian!$Q58="disolder","menempel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3" s="33" t="str">
        <f aca="false">IF($A273="","",IF(Varian!$Z58="ya","bisa diganti dengan yang lebih besar",IF(Varian!$Z58="tidak","menempel, tidak bisa diganti","belum diketahui apakah bisa diganti")))</f>
        <v/>
      </c>
      <c r="K273" s="70" t="str">
        <f aca="false">IF($A273="","",IF(AND(Aturan!$C$48="",Aturan!$D$48=""),"Tidak dinilai",IF(C273="","Belum ada data",IF(C273&lt;IF(Aturan!$C$48="",0,Aturan!$C$48),"Kurang",IF(C273&gt;=IF(Aturan!$D$48="",Aturan!$C$48,Aturan!$D$48),"Nyaman","Cukup")))))</f>
        <v/>
      </c>
      <c r="L273" s="70" t="str">
        <f aca="false">IF($A273="","",IF(AND(Aturan!$C$49="",Aturan!$D$49=""),"Tidak dinilai",IF(D273="","Belum ada data",IF(D273&lt;IF(Aturan!$C$49="",0,Aturan!$C$49),"Kurang",IF(D273&gt;=IF(Aturan!$D$49="",Aturan!$C$49,Aturan!$D$49),"Nyaman","Cukup")))))</f>
        <v/>
      </c>
      <c r="M273" s="70" t="str">
        <f aca="false">IF($A273="","",IF(AND(Aturan!$C$50="",Aturan!$D$50=""),"Tidak dinilai",IF(E273="","Belum ada data",IF(E273&lt;IF(Aturan!$C$50="",0,Aturan!$C$50),"Kurang",IF(E273&gt;=IF(Aturan!$D$50="",Aturan!$C$50,Aturan!$D$50),"Nyaman","Cukup")))))</f>
        <v/>
      </c>
      <c r="N273" s="70" t="str">
        <f aca="false">IF($A273="","",IF(AND(Aturan!$C$51="",Aturan!$D$51=""),"Tidak dinilai",IF(F273="","Belum ada data",IF(F273&lt;IF(Aturan!$C$51="",0,Aturan!$C$51),"Kurang",IF(F273&gt;=IF(Aturan!$D$51="",Aturan!$C$51,Aturan!$D$51),"Nyaman","Cukup")))))</f>
        <v/>
      </c>
      <c r="O273" s="70" t="str">
        <f aca="false">IF($A273="","",IF(AND(Aturan!$C$52="",Aturan!$D$52=""),"Tidak dinilai",IF(G273="","Belum ada data",IF(G273&lt;IF(Aturan!$C$52="",0,Aturan!$C$52),"Kurang",IF(G273&gt;=IF(Aturan!$D$52="",Aturan!$C$52,Aturan!$D$52),"Nyaman","Cukup")))))</f>
        <v/>
      </c>
      <c r="P273" s="70" t="str">
        <f aca="false">IF($A273="","",IF(AND(Aturan!$C$53="",Aturan!$D$53=""),"Tidak dinilai",IF(H273="","Belum ada data",IF(H273&lt;IF(Aturan!$C$53="",0,Aturan!$C$53),"Kurang",IF(H273&gt;=IF(Aturan!$D$53="",Aturan!$C$53,Aturan!$D$53),"Nyaman","Cukup")))))</f>
        <v/>
      </c>
      <c r="Q273" s="70" t="str">
        <f aca="false">IF($A273="","",IF(COUNTIF(K273:P273,"Tidak dinilai")=6,"Tidak dinilai",IF(COUNTIF(K273:P273,"Kurang")&gt;0,"Kurang cocok",IF(COUNTIF(K273:P273,"Belum ada data")&gt;0,"Data belum lengkap",IF(COUNTIF(K273:P273,"Cukup")&gt;0,"Bisa, dengan catatan","Cocok")))))</f>
        <v/>
      </c>
      <c r="R273" s="33" t="str">
        <f aca="false">IF($A273="","",IF(K273="Kurang","prosesor tingkat "&amp;C273&amp;" dari 5, di bawah batas minimal (tingkat "&amp;Aturan!$C$48&amp;")",IF(K273="Cukup","prosesor tingkat "&amp;C273&amp;" dari 5 cukup, nyamannya mulai tingkat "&amp;Aturan!$D$48,IF(K273="Belum ada data","tingkat prosesor belum diisi",""))))</f>
        <v/>
      </c>
      <c r="S273" s="33" t="str">
        <f aca="false">IF($A273="","",IF(L273="Kurang","grafis tingkat "&amp;D273&amp;" dari 5, di bawah batas minimal (tingkat "&amp;Aturan!$C$49&amp;")",IF(L273="Cukup","grafis tingkat "&amp;D273&amp;" dari 5 cukup, nyamannya mulai tingkat "&amp;Aturan!$D$49,IF(L273="Belum ada data","tingkat grafis belum diisi",""))))</f>
        <v/>
      </c>
      <c r="T273" s="33" t="str">
        <f aca="false">IF($A273="","",IF(M273="Kurang","RAM "&amp;E273&amp;" GB, di bawah batas minimal "&amp;Aturan!$C$50&amp;" GB ("&amp;I273&amp;")",IF(M273="Cukup","RAM "&amp;E273&amp;" GB cukup, nyamannya "&amp;Aturan!$D$50&amp;" GB atau lebih ("&amp;I273&amp;")",IF(M273="Belum ada data","ukuran RAM belum diisi",""))))</f>
        <v/>
      </c>
      <c r="U273" s="33" t="str">
        <f aca="false">IF($A273="","",IF(N273="Kurang","penyimpanan "&amp;F273&amp;" GB, di bawah batas minimal "&amp;Aturan!$C$51&amp;" GB ("&amp;J273&amp;")",IF(N273="Cukup","penyimpanan "&amp;F273&amp;" GB cukup, nyamannya "&amp;Aturan!$D$51&amp;" GB atau lebih ("&amp;J273&amp;")",IF(N273="Belum ada data","ukuran penyimpanan belum diisi",""))))</f>
        <v/>
      </c>
      <c r="V273" s="33" t="str">
        <f aca="false">IF($A273="","",IF(O273="Kurang","layar "&amp;Varian!$AG58&amp;", di bawah batas minimal ("&amp;IFERROR(INDEX(Aturan!$A$63:$A$66,MATCH(Aturan!$C$52,Aturan!$B$63:$B$66,0)),"peringkat "&amp;Aturan!$C$52)&amp;")",IF(O273="Cukup","layar "&amp;Varian!$AG58&amp;" cukup, nyamannya "&amp;IFERROR(INDEX(Aturan!$A$63:$A$66,MATCH(Aturan!$D$52,Aturan!$B$63:$B$66,0)),"peringkat "&amp;Aturan!$D$52),IF(O273="Belum ada data","jenis layar belum diketahui",""))))</f>
        <v/>
      </c>
      <c r="W273" s="33" t="str">
        <f aca="false">IF($A273="","",IF(P273="Kurang","layar "&amp;H273&amp;" Hz, di bawah batas minimal "&amp;Aturan!$C$53&amp;" Hz",IF(P273="Cukup","layar "&amp;H273&amp;" Hz cukup, nyamannya "&amp;Aturan!$D$53&amp;" Hz atau lebih",IF(P273="Belum ada data","refresh rate belum diketahui",""))))</f>
        <v/>
      </c>
      <c r="X273" s="33" t="str">
        <f aca="false">IF($A273="","",IF(K273="Kurang",R273&amp;"; ","")&amp;IF(L273="Kurang",S273&amp;"; ","")&amp;IF(M273="Kurang",T273&amp;"; ","")&amp;IF(N273="Kurang",U273&amp;"; ","")&amp;IF(O273="Kurang",V273&amp;"; ","")&amp;IF(P273="Kurang",W273&amp;"; ","")&amp;IF(K273="Belum ada data",R273&amp;"; ","")&amp;IF(L273="Belum ada data",S273&amp;"; ","")&amp;IF(M273="Belum ada data",T273&amp;"; ","")&amp;IF(N273="Belum ada data",U273&amp;"; ","")&amp;IF(O273="Belum ada data",V273&amp;"; ","")&amp;IF(P273="Belum ada data",W273&amp;"; ","")&amp;IF(K273="Cukup",R273&amp;"; ","")&amp;IF(L273="Cukup",S273&amp;"; ","")&amp;IF(M273="Cukup",T273&amp;"; ","")&amp;IF(N273="Cukup",U273&amp;"; ","")&amp;IF(O273="Cukup",V273&amp;"; ","")&amp;IF(P273="Cukup",W273&amp;"; ",""))</f>
        <v/>
      </c>
      <c r="Y273" s="33" t="str">
        <f aca="false">IF($A273="","",IF(K273="Nyaman","prosesor, ","")&amp;IF(L273="Nyaman","grafis, ","")&amp;IF(M273="Nyaman","RAM, ","")&amp;IF(N273="Nyaman","penyimpanan, ","")&amp;IF(O273="Nyaman","layar, ","")&amp;IF(P273="Nyaman","refresh rate, ",""))</f>
        <v/>
      </c>
      <c r="Z273" s="33" t="str">
        <f aca="false">IF($A273="","",IF(Q273="Tidak dinilai","Belum ada kriteria yang dinilai untuk kebutuhan ini.",IF(Q273="Cocok","Semua kriteria yang dinilai sudah nyaman: "&amp;LEFT(Y273,LEN(Y273)-2)&amp;".",UPPER(LEFT(X273,1))&amp;MID(X273,2,LEN(X273)-3)&amp;"."&amp;IF(Y273="",""," Sudah nyaman: "&amp;LEFT(Y273,LEN(Y273)-2)&amp;"."))))</f>
        <v/>
      </c>
      <c r="AA273" s="33"/>
      <c r="AB273" s="33"/>
      <c r="AC273" s="69"/>
    </row>
    <row r="274" customFormat="false" ht="15" hidden="false" customHeight="true" outlineLevel="0" collapsed="false">
      <c r="A274" s="33" t="str">
        <f aca="false">IF(Varian!$A58="","",Varian!$A58)</f>
        <v/>
      </c>
      <c r="B274" s="33" t="str">
        <f aca="false">IF($A274="","",Aturan!$A$25)</f>
        <v/>
      </c>
      <c r="C274" s="69" t="str">
        <f aca="false">IF($A274="","",IFERROR(IF(ISNUMBER(INDEX(CPU!$J$4:$J$64,MATCH(Varian!$J58,CPU!$A$4:$A$64,0))),INDEX(CPU!$J$4:$J$64,MATCH(Varian!$J58,CPU!$A$4:$A$64,0)),""),""))</f>
        <v/>
      </c>
      <c r="D274" s="69" t="str">
        <f aca="false">IF($A274="","",IFERROR(IF(ISNUMBER(INDEX(GPU!$G$4:$G$64,MATCH(Varian!$K58,GPU!$A$4:$A$64,0))),INDEX(GPU!$G$4:$G$64,MATCH(Varian!$K58,GPU!$A$4:$A$64,0)),""),""))</f>
        <v/>
      </c>
      <c r="E274" s="69" t="str">
        <f aca="false">IF($A274="","",IF(ISNUMBER(Varian!$M58),Varian!$M58,""))</f>
        <v/>
      </c>
      <c r="F274" s="69" t="str">
        <f aca="false">IF($A274="","",IF(ISNUMBER(Varian!$V58),Varian!$V58,""))</f>
        <v/>
      </c>
      <c r="G274" s="69" t="str">
        <f aca="false">IF($A274="","",IFERROR(INDEX(Aturan!$B$63:$B$66,MATCH(Varian!$AG58,Aturan!$A$63:$A$66,0)),""))</f>
        <v/>
      </c>
      <c r="H274" s="69" t="str">
        <f aca="false">IF($A274="","",IF(ISNUMBER(Varian!$AI58),Varian!$AI58,""))</f>
        <v/>
      </c>
      <c r="I274" s="33" t="str">
        <f aca="false">IF($A274="","",IF(Varian!$Q58="disolder","menempel di papan utama, tidak bisa ditambah",IF(OR(Varian!$Q58="slot",Varian!$Q58="setengah_disolder"),IF(Varian!$Q58="setengah_disolder","sebagian menempel, ","")&amp;IF(ISNUMBER(Varian!$U58),IF(AND(ISNUMBER(Varian!$M58),Varian!$U58&gt;Varian!$M58),"bisa dinaikkan lewat slot sampai "&amp;Varian!$U58&amp;" GB","sudah di batas maksimal "&amp;Varian!$U58&amp;" GB"),"ada slot, batas maksimalnya belum diketahui"),"belum diketahui apakah bisa ditambah")))</f>
        <v/>
      </c>
      <c r="J274" s="33" t="str">
        <f aca="false">IF($A274="","",IF(Varian!$Z58="ya","bisa diganti dengan yang lebih besar",IF(Varian!$Z58="tidak","menempel, tidak bisa diganti","belum diketahui apakah bisa diganti")))</f>
        <v/>
      </c>
      <c r="K274" s="70" t="str">
        <f aca="false">IF($A274="","",IF(AND(Aturan!$C$54="",Aturan!$D$54=""),"Tidak dinilai",IF(C274="","Belum ada data",IF(C274&lt;IF(Aturan!$C$54="",0,Aturan!$C$54),"Kurang",IF(C274&gt;=IF(Aturan!$D$54="",Aturan!$C$54,Aturan!$D$54),"Nyaman","Cukup")))))</f>
        <v/>
      </c>
      <c r="L274" s="70" t="str">
        <f aca="false">IF($A274="","",IF(AND(Aturan!$C$55="",Aturan!$D$55=""),"Tidak dinilai",IF(D274="","Belum ada data",IF(D274&lt;IF(Aturan!$C$55="",0,Aturan!$C$55),"Kurang",IF(D274&gt;=IF(Aturan!$D$55="",Aturan!$C$55,Aturan!$D$55),"Nyaman","Cukup")))))</f>
        <v/>
      </c>
      <c r="M274" s="70" t="str">
        <f aca="false">IF($A274="","",IF(AND(Aturan!$C$56="",Aturan!$D$56=""),"Tidak dinilai",IF(E274="","Belum ada data",IF(E274&lt;IF(Aturan!$C$56="",0,Aturan!$C$56),"Kurang",IF(E274&gt;=IF(Aturan!$D$56="",Aturan!$C$56,Aturan!$D$56),"Nyaman","Cukup")))))</f>
        <v/>
      </c>
      <c r="N274" s="70" t="str">
        <f aca="false">IF($A274="","",IF(AND(Aturan!$C$57="",Aturan!$D$57=""),"Tidak dinilai",IF(F274="","Belum ada data",IF(F274&lt;IF(Aturan!$C$57="",0,Aturan!$C$57),"Kurang",IF(F274&gt;=IF(Aturan!$D$57="",Aturan!$C$57,Aturan!$D$57),"Nyaman","Cukup")))))</f>
        <v/>
      </c>
      <c r="O274" s="70" t="str">
        <f aca="false">IF($A274="","",IF(AND(Aturan!$C$58="",Aturan!$D$58=""),"Tidak dinilai",IF(G274="","Belum ada data",IF(G274&lt;IF(Aturan!$C$58="",0,Aturan!$C$58),"Kurang",IF(G274&gt;=IF(Aturan!$D$58="",Aturan!$C$58,Aturan!$D$58),"Nyaman","Cukup")))))</f>
        <v/>
      </c>
      <c r="P274" s="70" t="str">
        <f aca="false">IF($A274="","",IF(AND(Aturan!$C$59="",Aturan!$D$59=""),"Tidak dinilai",IF(H274="","Belum ada data",IF(H274&lt;IF(Aturan!$C$59="",0,Aturan!$C$59),"Kurang",IF(H274&gt;=IF(Aturan!$D$59="",Aturan!$C$59,Aturan!$D$59),"Nyaman","Cukup")))))</f>
        <v/>
      </c>
      <c r="Q274" s="70" t="str">
        <f aca="false">IF($A274="","",IF(COUNTIF(K274:P274,"Tidak dinilai")=6,"Tidak dinilai",IF(COUNTIF(K274:P274,"Kurang")&gt;0,"Kurang cocok",IF(COUNTIF(K274:P274,"Belum ada data")&gt;0,"Data belum lengkap",IF(COUNTIF(K274:P274,"Cukup")&gt;0,"Bisa, dengan catatan","Cocok")))))</f>
        <v/>
      </c>
      <c r="R274" s="33" t="str">
        <f aca="false">IF($A274="","",IF(K274="Kurang","prosesor tingkat "&amp;C274&amp;" dari 5, di bawah batas minimal (tingkat "&amp;Aturan!$C$54&amp;")",IF(K274="Cukup","prosesor tingkat "&amp;C274&amp;" dari 5 cukup, nyamannya mulai tingkat "&amp;Aturan!$D$54,IF(K274="Belum ada data","tingkat prosesor belum diisi",""))))</f>
        <v/>
      </c>
      <c r="S274" s="33" t="str">
        <f aca="false">IF($A274="","",IF(L274="Kurang","grafis tingkat "&amp;D274&amp;" dari 5, di bawah batas minimal (tingkat "&amp;Aturan!$C$55&amp;")",IF(L274="Cukup","grafis tingkat "&amp;D274&amp;" dari 5 cukup, nyamannya mulai tingkat "&amp;Aturan!$D$55,IF(L274="Belum ada data","tingkat grafis belum diisi",""))))</f>
        <v/>
      </c>
      <c r="T274" s="33" t="str">
        <f aca="false">IF($A274="","",IF(M274="Kurang","RAM "&amp;E274&amp;" GB, di bawah batas minimal "&amp;Aturan!$C$56&amp;" GB ("&amp;I274&amp;")",IF(M274="Cukup","RAM "&amp;E274&amp;" GB cukup, nyamannya "&amp;Aturan!$D$56&amp;" GB atau lebih ("&amp;I274&amp;")",IF(M274="Belum ada data","ukuran RAM belum diisi",""))))</f>
        <v/>
      </c>
      <c r="U274" s="33" t="str">
        <f aca="false">IF($A274="","",IF(N274="Kurang","penyimpanan "&amp;F274&amp;" GB, di bawah batas minimal "&amp;Aturan!$C$57&amp;" GB ("&amp;J274&amp;")",IF(N274="Cukup","penyimpanan "&amp;F274&amp;" GB cukup, nyamannya "&amp;Aturan!$D$57&amp;" GB atau lebih ("&amp;J274&amp;")",IF(N274="Belum ada data","ukuran penyimpanan belum diisi",""))))</f>
        <v/>
      </c>
      <c r="V274" s="33" t="str">
        <f aca="false">IF($A274="","",IF(O274="Kurang","layar "&amp;Varian!$AG58&amp;", di bawah batas minimal ("&amp;IFERROR(INDEX(Aturan!$A$63:$A$66,MATCH(Aturan!$C$58,Aturan!$B$63:$B$66,0)),"peringkat "&amp;Aturan!$C$58)&amp;")",IF(O274="Cukup","layar "&amp;Varian!$AG58&amp;" cukup, nyamannya "&amp;IFERROR(INDEX(Aturan!$A$63:$A$66,MATCH(Aturan!$D$58,Aturan!$B$63:$B$66,0)),"peringkat "&amp;Aturan!$D$58),IF(O274="Belum ada data","jenis layar belum diketahui",""))))</f>
        <v/>
      </c>
      <c r="W274" s="33" t="str">
        <f aca="false">IF($A274="","",IF(P274="Kurang","layar "&amp;H274&amp;" Hz, di bawah batas minimal "&amp;Aturan!$C$59&amp;" Hz",IF(P274="Cukup","layar "&amp;H274&amp;" Hz cukup, nyamannya "&amp;Aturan!$D$59&amp;" Hz atau lebih",IF(P274="Belum ada data","refresh rate belum diketahui",""))))</f>
        <v/>
      </c>
      <c r="X274" s="33" t="str">
        <f aca="false">IF($A274="","",IF(K274="Kurang",R274&amp;"; ","")&amp;IF(L274="Kurang",S274&amp;"; ","")&amp;IF(M274="Kurang",T274&amp;"; ","")&amp;IF(N274="Kurang",U274&amp;"; ","")&amp;IF(O274="Kurang",V274&amp;"; ","")&amp;IF(P274="Kurang",W274&amp;"; ","")&amp;IF(K274="Belum ada data",R274&amp;"; ","")&amp;IF(L274="Belum ada data",S274&amp;"; ","")&amp;IF(M274="Belum ada data",T274&amp;"; ","")&amp;IF(N274="Belum ada data",U274&amp;"; ","")&amp;IF(O274="Belum ada data",V274&amp;"; ","")&amp;IF(P274="Belum ada data",W274&amp;"; ","")&amp;IF(K274="Cukup",R274&amp;"; ","")&amp;IF(L274="Cukup",S274&amp;"; ","")&amp;IF(M274="Cukup",T274&amp;"; ","")&amp;IF(N274="Cukup",U274&amp;"; ","")&amp;IF(O274="Cukup",V274&amp;"; ","")&amp;IF(P274="Cukup",W274&amp;"; ",""))</f>
        <v/>
      </c>
      <c r="Y274" s="33" t="str">
        <f aca="false">IF($A274="","",IF(K274="Nyaman","prosesor, ","")&amp;IF(L274="Nyaman","grafis, ","")&amp;IF(M274="Nyaman","RAM, ","")&amp;IF(N274="Nyaman","penyimpanan, ","")&amp;IF(O274="Nyaman","layar, ","")&amp;IF(P274="Nyaman","refresh rate, ",""))</f>
        <v/>
      </c>
      <c r="Z274" s="33" t="str">
        <f aca="false">IF($A274="","",IF(Q274="Tidak dinilai","Belum ada kriteria yang dinilai untuk kebutuhan ini.",IF(Q274="Cocok","Semua kriteria yang dinilai sudah nyaman: "&amp;LEFT(Y274,LEN(Y274)-2)&amp;".",UPPER(LEFT(X274,1))&amp;MID(X274,2,LEN(X274)-3)&amp;"."&amp;IF(Y274="",""," Sudah nyaman: "&amp;LEFT(Y274,LEN(Y274)-2)&amp;"."))))</f>
        <v/>
      </c>
      <c r="AA274" s="33"/>
      <c r="AB274" s="33"/>
      <c r="AC274" s="69"/>
    </row>
    <row r="275" customFormat="false" ht="15" hidden="false" customHeight="true" outlineLevel="0" collapsed="false">
      <c r="A275" s="66" t="str">
        <f aca="false">IF(Varian!$A59="","",Varian!$A59)</f>
        <v/>
      </c>
      <c r="B275" s="66" t="str">
        <f aca="false">IF($A275="","",Aturan!$A$21)</f>
        <v/>
      </c>
      <c r="C275" s="67" t="str">
        <f aca="false">IF($A275="","",IFERROR(IF(ISNUMBER(INDEX(CPU!$J$4:$J$64,MATCH(Varian!$J59,CPU!$A$4:$A$64,0))),INDEX(CPU!$J$4:$J$64,MATCH(Varian!$J59,CPU!$A$4:$A$64,0)),""),""))</f>
        <v/>
      </c>
      <c r="D275" s="67" t="str">
        <f aca="false">IF($A275="","",IFERROR(IF(ISNUMBER(INDEX(GPU!$G$4:$G$64,MATCH(Varian!$K59,GPU!$A$4:$A$64,0))),INDEX(GPU!$G$4:$G$64,MATCH(Varian!$K59,GPU!$A$4:$A$64,0)),""),""))</f>
        <v/>
      </c>
      <c r="E275" s="67" t="str">
        <f aca="false">IF($A275="","",IF(ISNUMBER(Varian!$M59),Varian!$M59,""))</f>
        <v/>
      </c>
      <c r="F275" s="67" t="str">
        <f aca="false">IF($A275="","",IF(ISNUMBER(Varian!$V59),Varian!$V59,""))</f>
        <v/>
      </c>
      <c r="G275" s="67" t="str">
        <f aca="false">IF($A275="","",IFERROR(INDEX(Aturan!$B$63:$B$66,MATCH(Varian!$AG59,Aturan!$A$63:$A$66,0)),""))</f>
        <v/>
      </c>
      <c r="H275" s="67" t="str">
        <f aca="false">IF($A275="","",IF(ISNUMBER(Varian!$AI59),Varian!$AI59,""))</f>
        <v/>
      </c>
      <c r="I275" s="66" t="str">
        <f aca="false">IF($A275="","",IF(Varian!$Q59="disolder","menempel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5" s="66" t="str">
        <f aca="false">IF($A275="","",IF(Varian!$Z59="ya","bisa diganti dengan yang lebih besar",IF(Varian!$Z59="tidak","menempel, tidak bisa diganti","belum diketahui apakah bisa diganti")))</f>
        <v/>
      </c>
      <c r="K275" s="68" t="str">
        <f aca="false">IF($A275="","",IF(AND(Aturan!$C$30="",Aturan!$D$30=""),"Tidak dinilai",IF(C275="","Belum ada data",IF(C275&lt;IF(Aturan!$C$30="",0,Aturan!$C$30),"Kurang",IF(C275&gt;=IF(Aturan!$D$30="",Aturan!$C$30,Aturan!$D$30),"Nyaman","Cukup")))))</f>
        <v/>
      </c>
      <c r="L275" s="68" t="str">
        <f aca="false">IF($A275="","",IF(AND(Aturan!$C$31="",Aturan!$D$31=""),"Tidak dinilai",IF(D275="","Belum ada data",IF(D275&lt;IF(Aturan!$C$31="",0,Aturan!$C$31),"Kurang",IF(D275&gt;=IF(Aturan!$D$31="",Aturan!$C$31,Aturan!$D$31),"Nyaman","Cukup")))))</f>
        <v/>
      </c>
      <c r="M275" s="68" t="str">
        <f aca="false">IF($A275="","",IF(AND(Aturan!$C$32="",Aturan!$D$32=""),"Tidak dinilai",IF(E275="","Belum ada data",IF(E275&lt;IF(Aturan!$C$32="",0,Aturan!$C$32),"Kurang",IF(E275&gt;=IF(Aturan!$D$32="",Aturan!$C$32,Aturan!$D$32),"Nyaman","Cukup")))))</f>
        <v/>
      </c>
      <c r="N275" s="68" t="str">
        <f aca="false">IF($A275="","",IF(AND(Aturan!$C$33="",Aturan!$D$33=""),"Tidak dinilai",IF(F275="","Belum ada data",IF(F275&lt;IF(Aturan!$C$33="",0,Aturan!$C$33),"Kurang",IF(F275&gt;=IF(Aturan!$D$33="",Aturan!$C$33,Aturan!$D$33),"Nyaman","Cukup")))))</f>
        <v/>
      </c>
      <c r="O275" s="68" t="str">
        <f aca="false">IF($A275="","",IF(AND(Aturan!$C$34="",Aturan!$D$34=""),"Tidak dinilai",IF(G275="","Belum ada data",IF(G275&lt;IF(Aturan!$C$34="",0,Aturan!$C$34),"Kurang",IF(G275&gt;=IF(Aturan!$D$34="",Aturan!$C$34,Aturan!$D$34),"Nyaman","Cukup")))))</f>
        <v/>
      </c>
      <c r="P275" s="68" t="str">
        <f aca="false">IF($A275="","",IF(AND(Aturan!$C$35="",Aturan!$D$35=""),"Tidak dinilai",IF(H275="","Belum ada data",IF(H275&lt;IF(Aturan!$C$35="",0,Aturan!$C$35),"Kurang",IF(H275&gt;=IF(Aturan!$D$35="",Aturan!$C$35,Aturan!$D$35),"Nyaman","Cukup")))))</f>
        <v/>
      </c>
      <c r="Q275" s="68" t="str">
        <f aca="false">IF($A275="","",IF(COUNTIF(K275:P275,"Tidak dinilai")=6,"Tidak dinilai",IF(COUNTIF(K275:P275,"Kurang")&gt;0,"Kurang cocok",IF(COUNTIF(K275:P275,"Belum ada data")&gt;0,"Data belum lengkap",IF(COUNTIF(K275:P275,"Cukup")&gt;0,"Bisa, dengan catatan","Cocok")))))</f>
        <v/>
      </c>
      <c r="R275" s="66" t="str">
        <f aca="false">IF($A275="","",IF(K275="Kurang","prosesor tingkat "&amp;C275&amp;" dari 5, di bawah batas minimal (tingkat "&amp;Aturan!$C$30&amp;")",IF(K275="Cukup","prosesor tingkat "&amp;C275&amp;" dari 5 cukup, nyamannya mulai tingkat "&amp;Aturan!$D$30,IF(K275="Belum ada data","tingkat prosesor belum diisi",""))))</f>
        <v/>
      </c>
      <c r="S275" s="66" t="str">
        <f aca="false">IF($A275="","",IF(L275="Kurang","grafis tingkat "&amp;D275&amp;" dari 5, di bawah batas minimal (tingkat "&amp;Aturan!$C$31&amp;")",IF(L275="Cukup","grafis tingkat "&amp;D275&amp;" dari 5 cukup, nyamannya mulai tingkat "&amp;Aturan!$D$31,IF(L275="Belum ada data","tingkat grafis belum diisi",""))))</f>
        <v/>
      </c>
      <c r="T275" s="66" t="str">
        <f aca="false">IF($A275="","",IF(M275="Kurang","RAM "&amp;E275&amp;" GB, di bawah batas minimal "&amp;Aturan!$C$32&amp;" GB ("&amp;I275&amp;")",IF(M275="Cukup","RAM "&amp;E275&amp;" GB cukup, nyamannya "&amp;Aturan!$D$32&amp;" GB atau lebih ("&amp;I275&amp;")",IF(M275="Belum ada data","ukuran RAM belum diisi",""))))</f>
        <v/>
      </c>
      <c r="U275" s="66" t="str">
        <f aca="false">IF($A275="","",IF(N275="Kurang","penyimpanan "&amp;F275&amp;" GB, di bawah batas minimal "&amp;Aturan!$C$33&amp;" GB ("&amp;J275&amp;")",IF(N275="Cukup","penyimpanan "&amp;F275&amp;" GB cukup, nyamannya "&amp;Aturan!$D$33&amp;" GB atau lebih ("&amp;J275&amp;")",IF(N275="Belum ada data","ukuran penyimpanan belum diisi",""))))</f>
        <v/>
      </c>
      <c r="V275" s="66" t="str">
        <f aca="false">IF($A275="","",IF(O275="Kurang","layar "&amp;Varian!$AG59&amp;", di bawah batas minimal ("&amp;IFERROR(INDEX(Aturan!$A$63:$A$66,MATCH(Aturan!$C$34,Aturan!$B$63:$B$66,0)),"peringkat "&amp;Aturan!$C$34)&amp;")",IF(O275="Cukup","layar "&amp;Varian!$AG59&amp;" cukup, nyamannya "&amp;IFERROR(INDEX(Aturan!$A$63:$A$66,MATCH(Aturan!$D$34,Aturan!$B$63:$B$66,0)),"peringkat "&amp;Aturan!$D$34),IF(O275="Belum ada data","jenis layar belum diketahui",""))))</f>
        <v/>
      </c>
      <c r="W275" s="66" t="str">
        <f aca="false">IF($A275="","",IF(P275="Kurang","layar "&amp;H275&amp;" Hz, di bawah batas minimal "&amp;Aturan!$C$35&amp;" Hz",IF(P275="Cukup","layar "&amp;H275&amp;" Hz cukup, nyamannya "&amp;Aturan!$D$35&amp;" Hz atau lebih",IF(P275="Belum ada data","refresh rate belum diketahui",""))))</f>
        <v/>
      </c>
      <c r="X275" s="66" t="str">
        <f aca="false">IF($A275="","",IF(K275="Kurang",R275&amp;"; ","")&amp;IF(L275="Kurang",S275&amp;"; ","")&amp;IF(M275="Kurang",T275&amp;"; ","")&amp;IF(N275="Kurang",U275&amp;"; ","")&amp;IF(O275="Kurang",V275&amp;"; ","")&amp;IF(P275="Kurang",W275&amp;"; ","")&amp;IF(K275="Belum ada data",R275&amp;"; ","")&amp;IF(L275="Belum ada data",S275&amp;"; ","")&amp;IF(M275="Belum ada data",T275&amp;"; ","")&amp;IF(N275="Belum ada data",U275&amp;"; ","")&amp;IF(O275="Belum ada data",V275&amp;"; ","")&amp;IF(P275="Belum ada data",W275&amp;"; ","")&amp;IF(K275="Cukup",R275&amp;"; ","")&amp;IF(L275="Cukup",S275&amp;"; ","")&amp;IF(M275="Cukup",T275&amp;"; ","")&amp;IF(N275="Cukup",U275&amp;"; ","")&amp;IF(O275="Cukup",V275&amp;"; ","")&amp;IF(P275="Cukup",W275&amp;"; ",""))</f>
        <v/>
      </c>
      <c r="Y275" s="66" t="str">
        <f aca="false">IF($A275="","",IF(K275="Nyaman","prosesor, ","")&amp;IF(L275="Nyaman","grafis, ","")&amp;IF(M275="Nyaman","RAM, ","")&amp;IF(N275="Nyaman","penyimpanan, ","")&amp;IF(O275="Nyaman","layar, ","")&amp;IF(P275="Nyaman","refresh rate, ",""))</f>
        <v/>
      </c>
      <c r="Z275" s="66" t="str">
        <f aca="false">IF($A275="","",IF(Q275="Tidak dinilai","Belum ada kriteria yang dinilai untuk kebutuhan ini.",IF(Q275="Cocok","Semua kriteria yang dinilai sudah nyaman: "&amp;LEFT(Y275,LEN(Y275)-2)&amp;".",UPPER(LEFT(X275,1))&amp;MID(X275,2,LEN(X275)-3)&amp;"."&amp;IF(Y275="",""," Sudah nyaman: "&amp;LEFT(Y275,LEN(Y275)-2)&amp;"."))))</f>
        <v/>
      </c>
      <c r="AA275" s="66" t="str">
        <f aca="false">IF($A275="","",IF(Varian!$AR59="Windows 10","• "&amp;Aturan!$E$71&amp;CHAR(10),"")&amp;IF(Varian!$BB59="tidak","• "&amp;Aturan!$E$72&amp;CHAR(10),"")&amp;IF(OR(Varian!$AD59="belum terverifikasi",Varian!$AD59="tidak diketahui"),"• "&amp;Aturan!$E$73&amp;CHAR(10),"")&amp;IF(Varian!$AH59="1366x768","• "&amp;Aturan!$E$74&amp;CHAR(10),"")&amp;IF(Varian!$AG59="TN","• "&amp;Aturan!$E$75&amp;CHAR(10),"")&amp;IF(AND(Varian!$Q59="disolder",ISNUMBER(Varian!$M59),Varian!$M59&lt;=8),"• "&amp;Aturan!$E$76&amp;CHAR(10),""))</f>
        <v/>
      </c>
      <c r="AB275" s="66" t="str">
        <f aca="false">IF($A275="","",IF(AA275="","",LEFT(AA275,LEN(AA275)-1)))</f>
        <v/>
      </c>
      <c r="AC275" s="67" t="str">
        <f aca="false">IF($A275="","",IF(AA275="",0,LEN(AA275)-LEN(SUBSTITUTE(AA275,CHAR(10),""))))</f>
        <v/>
      </c>
    </row>
    <row r="276" customFormat="false" ht="15" hidden="false" customHeight="true" outlineLevel="0" collapsed="false">
      <c r="A276" s="33" t="str">
        <f aca="false">IF(Varian!$A59="","",Varian!$A59)</f>
        <v/>
      </c>
      <c r="B276" s="33" t="str">
        <f aca="false">IF($A276="","",Aturan!$A$22)</f>
        <v/>
      </c>
      <c r="C276" s="69" t="str">
        <f aca="false">IF($A276="","",IFERROR(IF(ISNUMBER(INDEX(CPU!$J$4:$J$64,MATCH(Varian!$J59,CPU!$A$4:$A$64,0))),INDEX(CPU!$J$4:$J$64,MATCH(Varian!$J59,CPU!$A$4:$A$64,0)),""),""))</f>
        <v/>
      </c>
      <c r="D276" s="69" t="str">
        <f aca="false">IF($A276="","",IFERROR(IF(ISNUMBER(INDEX(GPU!$G$4:$G$64,MATCH(Varian!$K59,GPU!$A$4:$A$64,0))),INDEX(GPU!$G$4:$G$64,MATCH(Varian!$K59,GPU!$A$4:$A$64,0)),""),""))</f>
        <v/>
      </c>
      <c r="E276" s="69" t="str">
        <f aca="false">IF($A276="","",IF(ISNUMBER(Varian!$M59),Varian!$M59,""))</f>
        <v/>
      </c>
      <c r="F276" s="69" t="str">
        <f aca="false">IF($A276="","",IF(ISNUMBER(Varian!$V59),Varian!$V59,""))</f>
        <v/>
      </c>
      <c r="G276" s="69" t="str">
        <f aca="false">IF($A276="","",IFERROR(INDEX(Aturan!$B$63:$B$66,MATCH(Varian!$AG59,Aturan!$A$63:$A$66,0)),""))</f>
        <v/>
      </c>
      <c r="H276" s="69" t="str">
        <f aca="false">IF($A276="","",IF(ISNUMBER(Varian!$AI59),Varian!$AI59,""))</f>
        <v/>
      </c>
      <c r="I276" s="33" t="str">
        <f aca="false">IF($A276="","",IF(Varian!$Q59="disolder","menempel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6" s="33" t="str">
        <f aca="false">IF($A276="","",IF(Varian!$Z59="ya","bisa diganti dengan yang lebih besar",IF(Varian!$Z59="tidak","menempel, tidak bisa diganti","belum diketahui apakah bisa diganti")))</f>
        <v/>
      </c>
      <c r="K276" s="70" t="str">
        <f aca="false">IF($A276="","",IF(AND(Aturan!$C$36="",Aturan!$D$36=""),"Tidak dinilai",IF(C276="","Belum ada data",IF(C276&lt;IF(Aturan!$C$36="",0,Aturan!$C$36),"Kurang",IF(C276&gt;=IF(Aturan!$D$36="",Aturan!$C$36,Aturan!$D$36),"Nyaman","Cukup")))))</f>
        <v/>
      </c>
      <c r="L276" s="70" t="str">
        <f aca="false">IF($A276="","",IF(AND(Aturan!$C$37="",Aturan!$D$37=""),"Tidak dinilai",IF(D276="","Belum ada data",IF(D276&lt;IF(Aturan!$C$37="",0,Aturan!$C$37),"Kurang",IF(D276&gt;=IF(Aturan!$D$37="",Aturan!$C$37,Aturan!$D$37),"Nyaman","Cukup")))))</f>
        <v/>
      </c>
      <c r="M276" s="70" t="str">
        <f aca="false">IF($A276="","",IF(AND(Aturan!$C$38="",Aturan!$D$38=""),"Tidak dinilai",IF(E276="","Belum ada data",IF(E276&lt;IF(Aturan!$C$38="",0,Aturan!$C$38),"Kurang",IF(E276&gt;=IF(Aturan!$D$38="",Aturan!$C$38,Aturan!$D$38),"Nyaman","Cukup")))))</f>
        <v/>
      </c>
      <c r="N276" s="70" t="str">
        <f aca="false">IF($A276="","",IF(AND(Aturan!$C$39="",Aturan!$D$39=""),"Tidak dinilai",IF(F276="","Belum ada data",IF(F276&lt;IF(Aturan!$C$39="",0,Aturan!$C$39),"Kurang",IF(F276&gt;=IF(Aturan!$D$39="",Aturan!$C$39,Aturan!$D$39),"Nyaman","Cukup")))))</f>
        <v/>
      </c>
      <c r="O276" s="70" t="str">
        <f aca="false">IF($A276="","",IF(AND(Aturan!$C$40="",Aturan!$D$40=""),"Tidak dinilai",IF(G276="","Belum ada data",IF(G276&lt;IF(Aturan!$C$40="",0,Aturan!$C$40),"Kurang",IF(G276&gt;=IF(Aturan!$D$40="",Aturan!$C$40,Aturan!$D$40),"Nyaman","Cukup")))))</f>
        <v/>
      </c>
      <c r="P276" s="70" t="str">
        <f aca="false">IF($A276="","",IF(AND(Aturan!$C$41="",Aturan!$D$41=""),"Tidak dinilai",IF(H276="","Belum ada data",IF(H276&lt;IF(Aturan!$C$41="",0,Aturan!$C$41),"Kurang",IF(H276&gt;=IF(Aturan!$D$41="",Aturan!$C$41,Aturan!$D$41),"Nyaman","Cukup")))))</f>
        <v/>
      </c>
      <c r="Q276" s="70" t="str">
        <f aca="false">IF($A276="","",IF(COUNTIF(K276:P276,"Tidak dinilai")=6,"Tidak dinilai",IF(COUNTIF(K276:P276,"Kurang")&gt;0,"Kurang cocok",IF(COUNTIF(K276:P276,"Belum ada data")&gt;0,"Data belum lengkap",IF(COUNTIF(K276:P276,"Cukup")&gt;0,"Bisa, dengan catatan","Cocok")))))</f>
        <v/>
      </c>
      <c r="R276" s="33" t="str">
        <f aca="false">IF($A276="","",IF(K276="Kurang","prosesor tingkat "&amp;C276&amp;" dari 5, di bawah batas minimal (tingkat "&amp;Aturan!$C$36&amp;")",IF(K276="Cukup","prosesor tingkat "&amp;C276&amp;" dari 5 cukup, nyamannya mulai tingkat "&amp;Aturan!$D$36,IF(K276="Belum ada data","tingkat prosesor belum diisi",""))))</f>
        <v/>
      </c>
      <c r="S276" s="33" t="str">
        <f aca="false">IF($A276="","",IF(L276="Kurang","grafis tingkat "&amp;D276&amp;" dari 5, di bawah batas minimal (tingkat "&amp;Aturan!$C$37&amp;")",IF(L276="Cukup","grafis tingkat "&amp;D276&amp;" dari 5 cukup, nyamannya mulai tingkat "&amp;Aturan!$D$37,IF(L276="Belum ada data","tingkat grafis belum diisi",""))))</f>
        <v/>
      </c>
      <c r="T276" s="33" t="str">
        <f aca="false">IF($A276="","",IF(M276="Kurang","RAM "&amp;E276&amp;" GB, di bawah batas minimal "&amp;Aturan!$C$38&amp;" GB ("&amp;I276&amp;")",IF(M276="Cukup","RAM "&amp;E276&amp;" GB cukup, nyamannya "&amp;Aturan!$D$38&amp;" GB atau lebih ("&amp;I276&amp;")",IF(M276="Belum ada data","ukuran RAM belum diisi",""))))</f>
        <v/>
      </c>
      <c r="U276" s="33" t="str">
        <f aca="false">IF($A276="","",IF(N276="Kurang","penyimpanan "&amp;F276&amp;" GB, di bawah batas minimal "&amp;Aturan!$C$39&amp;" GB ("&amp;J276&amp;")",IF(N276="Cukup","penyimpanan "&amp;F276&amp;" GB cukup, nyamannya "&amp;Aturan!$D$39&amp;" GB atau lebih ("&amp;J276&amp;")",IF(N276="Belum ada data","ukuran penyimpanan belum diisi",""))))</f>
        <v/>
      </c>
      <c r="V276" s="33" t="str">
        <f aca="false">IF($A276="","",IF(O276="Kurang","layar "&amp;Varian!$AG59&amp;", di bawah batas minimal ("&amp;IFERROR(INDEX(Aturan!$A$63:$A$66,MATCH(Aturan!$C$40,Aturan!$B$63:$B$66,0)),"peringkat "&amp;Aturan!$C$40)&amp;")",IF(O276="Cukup","layar "&amp;Varian!$AG59&amp;" cukup, nyamannya "&amp;IFERROR(INDEX(Aturan!$A$63:$A$66,MATCH(Aturan!$D$40,Aturan!$B$63:$B$66,0)),"peringkat "&amp;Aturan!$D$40),IF(O276="Belum ada data","jenis layar belum diketahui",""))))</f>
        <v/>
      </c>
      <c r="W276" s="33" t="str">
        <f aca="false">IF($A276="","",IF(P276="Kurang","layar "&amp;H276&amp;" Hz, di bawah batas minimal "&amp;Aturan!$C$41&amp;" Hz",IF(P276="Cukup","layar "&amp;H276&amp;" Hz cukup, nyamannya "&amp;Aturan!$D$41&amp;" Hz atau lebih",IF(P276="Belum ada data","refresh rate belum diketahui",""))))</f>
        <v/>
      </c>
      <c r="X276" s="33" t="str">
        <f aca="false">IF($A276="","",IF(K276="Kurang",R276&amp;"; ","")&amp;IF(L276="Kurang",S276&amp;"; ","")&amp;IF(M276="Kurang",T276&amp;"; ","")&amp;IF(N276="Kurang",U276&amp;"; ","")&amp;IF(O276="Kurang",V276&amp;"; ","")&amp;IF(P276="Kurang",W276&amp;"; ","")&amp;IF(K276="Belum ada data",R276&amp;"; ","")&amp;IF(L276="Belum ada data",S276&amp;"; ","")&amp;IF(M276="Belum ada data",T276&amp;"; ","")&amp;IF(N276="Belum ada data",U276&amp;"; ","")&amp;IF(O276="Belum ada data",V276&amp;"; ","")&amp;IF(P276="Belum ada data",W276&amp;"; ","")&amp;IF(K276="Cukup",R276&amp;"; ","")&amp;IF(L276="Cukup",S276&amp;"; ","")&amp;IF(M276="Cukup",T276&amp;"; ","")&amp;IF(N276="Cukup",U276&amp;"; ","")&amp;IF(O276="Cukup",V276&amp;"; ","")&amp;IF(P276="Cukup",W276&amp;"; ",""))</f>
        <v/>
      </c>
      <c r="Y276" s="33" t="str">
        <f aca="false">IF($A276="","",IF(K276="Nyaman","prosesor, ","")&amp;IF(L276="Nyaman","grafis, ","")&amp;IF(M276="Nyaman","RAM, ","")&amp;IF(N276="Nyaman","penyimpanan, ","")&amp;IF(O276="Nyaman","layar, ","")&amp;IF(P276="Nyaman","refresh rate, ",""))</f>
        <v/>
      </c>
      <c r="Z276" s="33" t="str">
        <f aca="false">IF($A276="","",IF(Q276="Tidak dinilai","Belum ada kriteria yang dinilai untuk kebutuhan ini.",IF(Q276="Cocok","Semua kriteria yang dinilai sudah nyaman: "&amp;LEFT(Y276,LEN(Y276)-2)&amp;".",UPPER(LEFT(X276,1))&amp;MID(X276,2,LEN(X276)-3)&amp;"."&amp;IF(Y276="",""," Sudah nyaman: "&amp;LEFT(Y276,LEN(Y276)-2)&amp;"."))))</f>
        <v/>
      </c>
      <c r="AA276" s="33"/>
      <c r="AB276" s="33"/>
      <c r="AC276" s="69"/>
    </row>
    <row r="277" customFormat="false" ht="15" hidden="false" customHeight="true" outlineLevel="0" collapsed="false">
      <c r="A277" s="33" t="str">
        <f aca="false">IF(Varian!$A59="","",Varian!$A59)</f>
        <v/>
      </c>
      <c r="B277" s="33" t="str">
        <f aca="false">IF($A277="","",Aturan!$A$23)</f>
        <v/>
      </c>
      <c r="C277" s="69" t="str">
        <f aca="false">IF($A277="","",IFERROR(IF(ISNUMBER(INDEX(CPU!$J$4:$J$64,MATCH(Varian!$J59,CPU!$A$4:$A$64,0))),INDEX(CPU!$J$4:$J$64,MATCH(Varian!$J59,CPU!$A$4:$A$64,0)),""),""))</f>
        <v/>
      </c>
      <c r="D277" s="69" t="str">
        <f aca="false">IF($A277="","",IFERROR(IF(ISNUMBER(INDEX(GPU!$G$4:$G$64,MATCH(Varian!$K59,GPU!$A$4:$A$64,0))),INDEX(GPU!$G$4:$G$64,MATCH(Varian!$K59,GPU!$A$4:$A$64,0)),""),""))</f>
        <v/>
      </c>
      <c r="E277" s="69" t="str">
        <f aca="false">IF($A277="","",IF(ISNUMBER(Varian!$M59),Varian!$M59,""))</f>
        <v/>
      </c>
      <c r="F277" s="69" t="str">
        <f aca="false">IF($A277="","",IF(ISNUMBER(Varian!$V59),Varian!$V59,""))</f>
        <v/>
      </c>
      <c r="G277" s="69" t="str">
        <f aca="false">IF($A277="","",IFERROR(INDEX(Aturan!$B$63:$B$66,MATCH(Varian!$AG59,Aturan!$A$63:$A$66,0)),""))</f>
        <v/>
      </c>
      <c r="H277" s="69" t="str">
        <f aca="false">IF($A277="","",IF(ISNUMBER(Varian!$AI59),Varian!$AI59,""))</f>
        <v/>
      </c>
      <c r="I277" s="33" t="str">
        <f aca="false">IF($A277="","",IF(Varian!$Q59="disolder","menempel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7" s="33" t="str">
        <f aca="false">IF($A277="","",IF(Varian!$Z59="ya","bisa diganti dengan yang lebih besar",IF(Varian!$Z59="tidak","menempel, tidak bisa diganti","belum diketahui apakah bisa diganti")))</f>
        <v/>
      </c>
      <c r="K277" s="70" t="str">
        <f aca="false">IF($A277="","",IF(AND(Aturan!$C$42="",Aturan!$D$42=""),"Tidak dinilai",IF(C277="","Belum ada data",IF(C277&lt;IF(Aturan!$C$42="",0,Aturan!$C$42),"Kurang",IF(C277&gt;=IF(Aturan!$D$42="",Aturan!$C$42,Aturan!$D$42),"Nyaman","Cukup")))))</f>
        <v/>
      </c>
      <c r="L277" s="70" t="str">
        <f aca="false">IF($A277="","",IF(AND(Aturan!$C$43="",Aturan!$D$43=""),"Tidak dinilai",IF(D277="","Belum ada data",IF(D277&lt;IF(Aturan!$C$43="",0,Aturan!$C$43),"Kurang",IF(D277&gt;=IF(Aturan!$D$43="",Aturan!$C$43,Aturan!$D$43),"Nyaman","Cukup")))))</f>
        <v/>
      </c>
      <c r="M277" s="70" t="str">
        <f aca="false">IF($A277="","",IF(AND(Aturan!$C$44="",Aturan!$D$44=""),"Tidak dinilai",IF(E277="","Belum ada data",IF(E277&lt;IF(Aturan!$C$44="",0,Aturan!$C$44),"Kurang",IF(E277&gt;=IF(Aturan!$D$44="",Aturan!$C$44,Aturan!$D$44),"Nyaman","Cukup")))))</f>
        <v/>
      </c>
      <c r="N277" s="70" t="str">
        <f aca="false">IF($A277="","",IF(AND(Aturan!$C$45="",Aturan!$D$45=""),"Tidak dinilai",IF(F277="","Belum ada data",IF(F277&lt;IF(Aturan!$C$45="",0,Aturan!$C$45),"Kurang",IF(F277&gt;=IF(Aturan!$D$45="",Aturan!$C$45,Aturan!$D$45),"Nyaman","Cukup")))))</f>
        <v/>
      </c>
      <c r="O277" s="70" t="str">
        <f aca="false">IF($A277="","",IF(AND(Aturan!$C$46="",Aturan!$D$46=""),"Tidak dinilai",IF(G277="","Belum ada data",IF(G277&lt;IF(Aturan!$C$46="",0,Aturan!$C$46),"Kurang",IF(G277&gt;=IF(Aturan!$D$46="",Aturan!$C$46,Aturan!$D$46),"Nyaman","Cukup")))))</f>
        <v/>
      </c>
      <c r="P277" s="70" t="str">
        <f aca="false">IF($A277="","",IF(AND(Aturan!$C$47="",Aturan!$D$47=""),"Tidak dinilai",IF(H277="","Belum ada data",IF(H277&lt;IF(Aturan!$C$47="",0,Aturan!$C$47),"Kurang",IF(H277&gt;=IF(Aturan!$D$47="",Aturan!$C$47,Aturan!$D$47),"Nyaman","Cukup")))))</f>
        <v/>
      </c>
      <c r="Q277" s="70" t="str">
        <f aca="false">IF($A277="","",IF(COUNTIF(K277:P277,"Tidak dinilai")=6,"Tidak dinilai",IF(COUNTIF(K277:P277,"Kurang")&gt;0,"Kurang cocok",IF(COUNTIF(K277:P277,"Belum ada data")&gt;0,"Data belum lengkap",IF(COUNTIF(K277:P277,"Cukup")&gt;0,"Bisa, dengan catatan","Cocok")))))</f>
        <v/>
      </c>
      <c r="R277" s="33" t="str">
        <f aca="false">IF($A277="","",IF(K277="Kurang","prosesor tingkat "&amp;C277&amp;" dari 5, di bawah batas minimal (tingkat "&amp;Aturan!$C$42&amp;")",IF(K277="Cukup","prosesor tingkat "&amp;C277&amp;" dari 5 cukup, nyamannya mulai tingkat "&amp;Aturan!$D$42,IF(K277="Belum ada data","tingkat prosesor belum diisi",""))))</f>
        <v/>
      </c>
      <c r="S277" s="33" t="str">
        <f aca="false">IF($A277="","",IF(L277="Kurang","grafis tingkat "&amp;D277&amp;" dari 5, di bawah batas minimal (tingkat "&amp;Aturan!$C$43&amp;")",IF(L277="Cukup","grafis tingkat "&amp;D277&amp;" dari 5 cukup, nyamannya mulai tingkat "&amp;Aturan!$D$43,IF(L277="Belum ada data","tingkat grafis belum diisi",""))))</f>
        <v/>
      </c>
      <c r="T277" s="33" t="str">
        <f aca="false">IF($A277="","",IF(M277="Kurang","RAM "&amp;E277&amp;" GB, di bawah batas minimal "&amp;Aturan!$C$44&amp;" GB ("&amp;I277&amp;")",IF(M277="Cukup","RAM "&amp;E277&amp;" GB cukup, nyamannya "&amp;Aturan!$D$44&amp;" GB atau lebih ("&amp;I277&amp;")",IF(M277="Belum ada data","ukuran RAM belum diisi",""))))</f>
        <v/>
      </c>
      <c r="U277" s="33" t="str">
        <f aca="false">IF($A277="","",IF(N277="Kurang","penyimpanan "&amp;F277&amp;" GB, di bawah batas minimal "&amp;Aturan!$C$45&amp;" GB ("&amp;J277&amp;")",IF(N277="Cukup","penyimpanan "&amp;F277&amp;" GB cukup, nyamannya "&amp;Aturan!$D$45&amp;" GB atau lebih ("&amp;J277&amp;")",IF(N277="Belum ada data","ukuran penyimpanan belum diisi",""))))</f>
        <v/>
      </c>
      <c r="V277" s="33" t="str">
        <f aca="false">IF($A277="","",IF(O277="Kurang","layar "&amp;Varian!$AG59&amp;", di bawah batas minimal ("&amp;IFERROR(INDEX(Aturan!$A$63:$A$66,MATCH(Aturan!$C$46,Aturan!$B$63:$B$66,0)),"peringkat "&amp;Aturan!$C$46)&amp;")",IF(O277="Cukup","layar "&amp;Varian!$AG59&amp;" cukup, nyamannya "&amp;IFERROR(INDEX(Aturan!$A$63:$A$66,MATCH(Aturan!$D$46,Aturan!$B$63:$B$66,0)),"peringkat "&amp;Aturan!$D$46),IF(O277="Belum ada data","jenis layar belum diketahui",""))))</f>
        <v/>
      </c>
      <c r="W277" s="33" t="str">
        <f aca="false">IF($A277="","",IF(P277="Kurang","layar "&amp;H277&amp;" Hz, di bawah batas minimal "&amp;Aturan!$C$47&amp;" Hz",IF(P277="Cukup","layar "&amp;H277&amp;" Hz cukup, nyamannya "&amp;Aturan!$D$47&amp;" Hz atau lebih",IF(P277="Belum ada data","refresh rate belum diketahui",""))))</f>
        <v/>
      </c>
      <c r="X277" s="33" t="str">
        <f aca="false">IF($A277="","",IF(K277="Kurang",R277&amp;"; ","")&amp;IF(L277="Kurang",S277&amp;"; ","")&amp;IF(M277="Kurang",T277&amp;"; ","")&amp;IF(N277="Kurang",U277&amp;"; ","")&amp;IF(O277="Kurang",V277&amp;"; ","")&amp;IF(P277="Kurang",W277&amp;"; ","")&amp;IF(K277="Belum ada data",R277&amp;"; ","")&amp;IF(L277="Belum ada data",S277&amp;"; ","")&amp;IF(M277="Belum ada data",T277&amp;"; ","")&amp;IF(N277="Belum ada data",U277&amp;"; ","")&amp;IF(O277="Belum ada data",V277&amp;"; ","")&amp;IF(P277="Belum ada data",W277&amp;"; ","")&amp;IF(K277="Cukup",R277&amp;"; ","")&amp;IF(L277="Cukup",S277&amp;"; ","")&amp;IF(M277="Cukup",T277&amp;"; ","")&amp;IF(N277="Cukup",U277&amp;"; ","")&amp;IF(O277="Cukup",V277&amp;"; ","")&amp;IF(P277="Cukup",W277&amp;"; ",""))</f>
        <v/>
      </c>
      <c r="Y277" s="33" t="str">
        <f aca="false">IF($A277="","",IF(K277="Nyaman","prosesor, ","")&amp;IF(L277="Nyaman","grafis, ","")&amp;IF(M277="Nyaman","RAM, ","")&amp;IF(N277="Nyaman","penyimpanan, ","")&amp;IF(O277="Nyaman","layar, ","")&amp;IF(P277="Nyaman","refresh rate, ",""))</f>
        <v/>
      </c>
      <c r="Z277" s="33" t="str">
        <f aca="false">IF($A277="","",IF(Q277="Tidak dinilai","Belum ada kriteria yang dinilai untuk kebutuhan ini.",IF(Q277="Cocok","Semua kriteria yang dinilai sudah nyaman: "&amp;LEFT(Y277,LEN(Y277)-2)&amp;".",UPPER(LEFT(X277,1))&amp;MID(X277,2,LEN(X277)-3)&amp;"."&amp;IF(Y277="",""," Sudah nyaman: "&amp;LEFT(Y277,LEN(Y277)-2)&amp;"."))))</f>
        <v/>
      </c>
      <c r="AA277" s="33"/>
      <c r="AB277" s="33"/>
      <c r="AC277" s="69"/>
    </row>
    <row r="278" customFormat="false" ht="15" hidden="false" customHeight="true" outlineLevel="0" collapsed="false">
      <c r="A278" s="33" t="str">
        <f aca="false">IF(Varian!$A59="","",Varian!$A59)</f>
        <v/>
      </c>
      <c r="B278" s="33" t="str">
        <f aca="false">IF($A278="","",Aturan!$A$24)</f>
        <v/>
      </c>
      <c r="C278" s="69" t="str">
        <f aca="false">IF($A278="","",IFERROR(IF(ISNUMBER(INDEX(CPU!$J$4:$J$64,MATCH(Varian!$J59,CPU!$A$4:$A$64,0))),INDEX(CPU!$J$4:$J$64,MATCH(Varian!$J59,CPU!$A$4:$A$64,0)),""),""))</f>
        <v/>
      </c>
      <c r="D278" s="69" t="str">
        <f aca="false">IF($A278="","",IFERROR(IF(ISNUMBER(INDEX(GPU!$G$4:$G$64,MATCH(Varian!$K59,GPU!$A$4:$A$64,0))),INDEX(GPU!$G$4:$G$64,MATCH(Varian!$K59,GPU!$A$4:$A$64,0)),""),""))</f>
        <v/>
      </c>
      <c r="E278" s="69" t="str">
        <f aca="false">IF($A278="","",IF(ISNUMBER(Varian!$M59),Varian!$M59,""))</f>
        <v/>
      </c>
      <c r="F278" s="69" t="str">
        <f aca="false">IF($A278="","",IF(ISNUMBER(Varian!$V59),Varian!$V59,""))</f>
        <v/>
      </c>
      <c r="G278" s="69" t="str">
        <f aca="false">IF($A278="","",IFERROR(INDEX(Aturan!$B$63:$B$66,MATCH(Varian!$AG59,Aturan!$A$63:$A$66,0)),""))</f>
        <v/>
      </c>
      <c r="H278" s="69" t="str">
        <f aca="false">IF($A278="","",IF(ISNUMBER(Varian!$AI59),Varian!$AI59,""))</f>
        <v/>
      </c>
      <c r="I278" s="33" t="str">
        <f aca="false">IF($A278="","",IF(Varian!$Q59="disolder","menempel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8" s="33" t="str">
        <f aca="false">IF($A278="","",IF(Varian!$Z59="ya","bisa diganti dengan yang lebih besar",IF(Varian!$Z59="tidak","menempel, tidak bisa diganti","belum diketahui apakah bisa diganti")))</f>
        <v/>
      </c>
      <c r="K278" s="70" t="str">
        <f aca="false">IF($A278="","",IF(AND(Aturan!$C$48="",Aturan!$D$48=""),"Tidak dinilai",IF(C278="","Belum ada data",IF(C278&lt;IF(Aturan!$C$48="",0,Aturan!$C$48),"Kurang",IF(C278&gt;=IF(Aturan!$D$48="",Aturan!$C$48,Aturan!$D$48),"Nyaman","Cukup")))))</f>
        <v/>
      </c>
      <c r="L278" s="70" t="str">
        <f aca="false">IF($A278="","",IF(AND(Aturan!$C$49="",Aturan!$D$49=""),"Tidak dinilai",IF(D278="","Belum ada data",IF(D278&lt;IF(Aturan!$C$49="",0,Aturan!$C$49),"Kurang",IF(D278&gt;=IF(Aturan!$D$49="",Aturan!$C$49,Aturan!$D$49),"Nyaman","Cukup")))))</f>
        <v/>
      </c>
      <c r="M278" s="70" t="str">
        <f aca="false">IF($A278="","",IF(AND(Aturan!$C$50="",Aturan!$D$50=""),"Tidak dinilai",IF(E278="","Belum ada data",IF(E278&lt;IF(Aturan!$C$50="",0,Aturan!$C$50),"Kurang",IF(E278&gt;=IF(Aturan!$D$50="",Aturan!$C$50,Aturan!$D$50),"Nyaman","Cukup")))))</f>
        <v/>
      </c>
      <c r="N278" s="70" t="str">
        <f aca="false">IF($A278="","",IF(AND(Aturan!$C$51="",Aturan!$D$51=""),"Tidak dinilai",IF(F278="","Belum ada data",IF(F278&lt;IF(Aturan!$C$51="",0,Aturan!$C$51),"Kurang",IF(F278&gt;=IF(Aturan!$D$51="",Aturan!$C$51,Aturan!$D$51),"Nyaman","Cukup")))))</f>
        <v/>
      </c>
      <c r="O278" s="70" t="str">
        <f aca="false">IF($A278="","",IF(AND(Aturan!$C$52="",Aturan!$D$52=""),"Tidak dinilai",IF(G278="","Belum ada data",IF(G278&lt;IF(Aturan!$C$52="",0,Aturan!$C$52),"Kurang",IF(G278&gt;=IF(Aturan!$D$52="",Aturan!$C$52,Aturan!$D$52),"Nyaman","Cukup")))))</f>
        <v/>
      </c>
      <c r="P278" s="70" t="str">
        <f aca="false">IF($A278="","",IF(AND(Aturan!$C$53="",Aturan!$D$53=""),"Tidak dinilai",IF(H278="","Belum ada data",IF(H278&lt;IF(Aturan!$C$53="",0,Aturan!$C$53),"Kurang",IF(H278&gt;=IF(Aturan!$D$53="",Aturan!$C$53,Aturan!$D$53),"Nyaman","Cukup")))))</f>
        <v/>
      </c>
      <c r="Q278" s="70" t="str">
        <f aca="false">IF($A278="","",IF(COUNTIF(K278:P278,"Tidak dinilai")=6,"Tidak dinilai",IF(COUNTIF(K278:P278,"Kurang")&gt;0,"Kurang cocok",IF(COUNTIF(K278:P278,"Belum ada data")&gt;0,"Data belum lengkap",IF(COUNTIF(K278:P278,"Cukup")&gt;0,"Bisa, dengan catatan","Cocok")))))</f>
        <v/>
      </c>
      <c r="R278" s="33" t="str">
        <f aca="false">IF($A278="","",IF(K278="Kurang","prosesor tingkat "&amp;C278&amp;" dari 5, di bawah batas minimal (tingkat "&amp;Aturan!$C$48&amp;")",IF(K278="Cukup","prosesor tingkat "&amp;C278&amp;" dari 5 cukup, nyamannya mulai tingkat "&amp;Aturan!$D$48,IF(K278="Belum ada data","tingkat prosesor belum diisi",""))))</f>
        <v/>
      </c>
      <c r="S278" s="33" t="str">
        <f aca="false">IF($A278="","",IF(L278="Kurang","grafis tingkat "&amp;D278&amp;" dari 5, di bawah batas minimal (tingkat "&amp;Aturan!$C$49&amp;")",IF(L278="Cukup","grafis tingkat "&amp;D278&amp;" dari 5 cukup, nyamannya mulai tingkat "&amp;Aturan!$D$49,IF(L278="Belum ada data","tingkat grafis belum diisi",""))))</f>
        <v/>
      </c>
      <c r="T278" s="33" t="str">
        <f aca="false">IF($A278="","",IF(M278="Kurang","RAM "&amp;E278&amp;" GB, di bawah batas minimal "&amp;Aturan!$C$50&amp;" GB ("&amp;I278&amp;")",IF(M278="Cukup","RAM "&amp;E278&amp;" GB cukup, nyamannya "&amp;Aturan!$D$50&amp;" GB atau lebih ("&amp;I278&amp;")",IF(M278="Belum ada data","ukuran RAM belum diisi",""))))</f>
        <v/>
      </c>
      <c r="U278" s="33" t="str">
        <f aca="false">IF($A278="","",IF(N278="Kurang","penyimpanan "&amp;F278&amp;" GB, di bawah batas minimal "&amp;Aturan!$C$51&amp;" GB ("&amp;J278&amp;")",IF(N278="Cukup","penyimpanan "&amp;F278&amp;" GB cukup, nyamannya "&amp;Aturan!$D$51&amp;" GB atau lebih ("&amp;J278&amp;")",IF(N278="Belum ada data","ukuran penyimpanan belum diisi",""))))</f>
        <v/>
      </c>
      <c r="V278" s="33" t="str">
        <f aca="false">IF($A278="","",IF(O278="Kurang","layar "&amp;Varian!$AG59&amp;", di bawah batas minimal ("&amp;IFERROR(INDEX(Aturan!$A$63:$A$66,MATCH(Aturan!$C$52,Aturan!$B$63:$B$66,0)),"peringkat "&amp;Aturan!$C$52)&amp;")",IF(O278="Cukup","layar "&amp;Varian!$AG59&amp;" cukup, nyamannya "&amp;IFERROR(INDEX(Aturan!$A$63:$A$66,MATCH(Aturan!$D$52,Aturan!$B$63:$B$66,0)),"peringkat "&amp;Aturan!$D$52),IF(O278="Belum ada data","jenis layar belum diketahui",""))))</f>
        <v/>
      </c>
      <c r="W278" s="33" t="str">
        <f aca="false">IF($A278="","",IF(P278="Kurang","layar "&amp;H278&amp;" Hz, di bawah batas minimal "&amp;Aturan!$C$53&amp;" Hz",IF(P278="Cukup","layar "&amp;H278&amp;" Hz cukup, nyamannya "&amp;Aturan!$D$53&amp;" Hz atau lebih",IF(P278="Belum ada data","refresh rate belum diketahui",""))))</f>
        <v/>
      </c>
      <c r="X278" s="33" t="str">
        <f aca="false">IF($A278="","",IF(K278="Kurang",R278&amp;"; ","")&amp;IF(L278="Kurang",S278&amp;"; ","")&amp;IF(M278="Kurang",T278&amp;"; ","")&amp;IF(N278="Kurang",U278&amp;"; ","")&amp;IF(O278="Kurang",V278&amp;"; ","")&amp;IF(P278="Kurang",W278&amp;"; ","")&amp;IF(K278="Belum ada data",R278&amp;"; ","")&amp;IF(L278="Belum ada data",S278&amp;"; ","")&amp;IF(M278="Belum ada data",T278&amp;"; ","")&amp;IF(N278="Belum ada data",U278&amp;"; ","")&amp;IF(O278="Belum ada data",V278&amp;"; ","")&amp;IF(P278="Belum ada data",W278&amp;"; ","")&amp;IF(K278="Cukup",R278&amp;"; ","")&amp;IF(L278="Cukup",S278&amp;"; ","")&amp;IF(M278="Cukup",T278&amp;"; ","")&amp;IF(N278="Cukup",U278&amp;"; ","")&amp;IF(O278="Cukup",V278&amp;"; ","")&amp;IF(P278="Cukup",W278&amp;"; ",""))</f>
        <v/>
      </c>
      <c r="Y278" s="33" t="str">
        <f aca="false">IF($A278="","",IF(K278="Nyaman","prosesor, ","")&amp;IF(L278="Nyaman","grafis, ","")&amp;IF(M278="Nyaman","RAM, ","")&amp;IF(N278="Nyaman","penyimpanan, ","")&amp;IF(O278="Nyaman","layar, ","")&amp;IF(P278="Nyaman","refresh rate, ",""))</f>
        <v/>
      </c>
      <c r="Z278" s="33" t="str">
        <f aca="false">IF($A278="","",IF(Q278="Tidak dinilai","Belum ada kriteria yang dinilai untuk kebutuhan ini.",IF(Q278="Cocok","Semua kriteria yang dinilai sudah nyaman: "&amp;LEFT(Y278,LEN(Y278)-2)&amp;".",UPPER(LEFT(X278,1))&amp;MID(X278,2,LEN(X278)-3)&amp;"."&amp;IF(Y278="",""," Sudah nyaman: "&amp;LEFT(Y278,LEN(Y278)-2)&amp;"."))))</f>
        <v/>
      </c>
      <c r="AA278" s="33"/>
      <c r="AB278" s="33"/>
      <c r="AC278" s="69"/>
    </row>
    <row r="279" customFormat="false" ht="15" hidden="false" customHeight="true" outlineLevel="0" collapsed="false">
      <c r="A279" s="33" t="str">
        <f aca="false">IF(Varian!$A59="","",Varian!$A59)</f>
        <v/>
      </c>
      <c r="B279" s="33" t="str">
        <f aca="false">IF($A279="","",Aturan!$A$25)</f>
        <v/>
      </c>
      <c r="C279" s="69" t="str">
        <f aca="false">IF($A279="","",IFERROR(IF(ISNUMBER(INDEX(CPU!$J$4:$J$64,MATCH(Varian!$J59,CPU!$A$4:$A$64,0))),INDEX(CPU!$J$4:$J$64,MATCH(Varian!$J59,CPU!$A$4:$A$64,0)),""),""))</f>
        <v/>
      </c>
      <c r="D279" s="69" t="str">
        <f aca="false">IF($A279="","",IFERROR(IF(ISNUMBER(INDEX(GPU!$G$4:$G$64,MATCH(Varian!$K59,GPU!$A$4:$A$64,0))),INDEX(GPU!$G$4:$G$64,MATCH(Varian!$K59,GPU!$A$4:$A$64,0)),""),""))</f>
        <v/>
      </c>
      <c r="E279" s="69" t="str">
        <f aca="false">IF($A279="","",IF(ISNUMBER(Varian!$M59),Varian!$M59,""))</f>
        <v/>
      </c>
      <c r="F279" s="69" t="str">
        <f aca="false">IF($A279="","",IF(ISNUMBER(Varian!$V59),Varian!$V59,""))</f>
        <v/>
      </c>
      <c r="G279" s="69" t="str">
        <f aca="false">IF($A279="","",IFERROR(INDEX(Aturan!$B$63:$B$66,MATCH(Varian!$AG59,Aturan!$A$63:$A$66,0)),""))</f>
        <v/>
      </c>
      <c r="H279" s="69" t="str">
        <f aca="false">IF($A279="","",IF(ISNUMBER(Varian!$AI59),Varian!$AI59,""))</f>
        <v/>
      </c>
      <c r="I279" s="33" t="str">
        <f aca="false">IF($A279="","",IF(Varian!$Q59="disolder","menempel di papan utama, tidak bisa ditambah",IF(OR(Varian!$Q59="slot",Varian!$Q59="setengah_disolder"),IF(Varian!$Q59="setengah_disolder","sebagian menempel, ","")&amp;IF(ISNUMBER(Varian!$U59),IF(AND(ISNUMBER(Varian!$M59),Varian!$U59&gt;Varian!$M59),"bisa dinaikkan lewat slot sampai "&amp;Varian!$U59&amp;" GB","sudah di batas maksimal "&amp;Varian!$U59&amp;" GB"),"ada slot, batas maksimalnya belum diketahui"),"belum diketahui apakah bisa ditambah")))</f>
        <v/>
      </c>
      <c r="J279" s="33" t="str">
        <f aca="false">IF($A279="","",IF(Varian!$Z59="ya","bisa diganti dengan yang lebih besar",IF(Varian!$Z59="tidak","menempel, tidak bisa diganti","belum diketahui apakah bisa diganti")))</f>
        <v/>
      </c>
      <c r="K279" s="70" t="str">
        <f aca="false">IF($A279="","",IF(AND(Aturan!$C$54="",Aturan!$D$54=""),"Tidak dinilai",IF(C279="","Belum ada data",IF(C279&lt;IF(Aturan!$C$54="",0,Aturan!$C$54),"Kurang",IF(C279&gt;=IF(Aturan!$D$54="",Aturan!$C$54,Aturan!$D$54),"Nyaman","Cukup")))))</f>
        <v/>
      </c>
      <c r="L279" s="70" t="str">
        <f aca="false">IF($A279="","",IF(AND(Aturan!$C$55="",Aturan!$D$55=""),"Tidak dinilai",IF(D279="","Belum ada data",IF(D279&lt;IF(Aturan!$C$55="",0,Aturan!$C$55),"Kurang",IF(D279&gt;=IF(Aturan!$D$55="",Aturan!$C$55,Aturan!$D$55),"Nyaman","Cukup")))))</f>
        <v/>
      </c>
      <c r="M279" s="70" t="str">
        <f aca="false">IF($A279="","",IF(AND(Aturan!$C$56="",Aturan!$D$56=""),"Tidak dinilai",IF(E279="","Belum ada data",IF(E279&lt;IF(Aturan!$C$56="",0,Aturan!$C$56),"Kurang",IF(E279&gt;=IF(Aturan!$D$56="",Aturan!$C$56,Aturan!$D$56),"Nyaman","Cukup")))))</f>
        <v/>
      </c>
      <c r="N279" s="70" t="str">
        <f aca="false">IF($A279="","",IF(AND(Aturan!$C$57="",Aturan!$D$57=""),"Tidak dinilai",IF(F279="","Belum ada data",IF(F279&lt;IF(Aturan!$C$57="",0,Aturan!$C$57),"Kurang",IF(F279&gt;=IF(Aturan!$D$57="",Aturan!$C$57,Aturan!$D$57),"Nyaman","Cukup")))))</f>
        <v/>
      </c>
      <c r="O279" s="70" t="str">
        <f aca="false">IF($A279="","",IF(AND(Aturan!$C$58="",Aturan!$D$58=""),"Tidak dinilai",IF(G279="","Belum ada data",IF(G279&lt;IF(Aturan!$C$58="",0,Aturan!$C$58),"Kurang",IF(G279&gt;=IF(Aturan!$D$58="",Aturan!$C$58,Aturan!$D$58),"Nyaman","Cukup")))))</f>
        <v/>
      </c>
      <c r="P279" s="70" t="str">
        <f aca="false">IF($A279="","",IF(AND(Aturan!$C$59="",Aturan!$D$59=""),"Tidak dinilai",IF(H279="","Belum ada data",IF(H279&lt;IF(Aturan!$C$59="",0,Aturan!$C$59),"Kurang",IF(H279&gt;=IF(Aturan!$D$59="",Aturan!$C$59,Aturan!$D$59),"Nyaman","Cukup")))))</f>
        <v/>
      </c>
      <c r="Q279" s="70" t="str">
        <f aca="false">IF($A279="","",IF(COUNTIF(K279:P279,"Tidak dinilai")=6,"Tidak dinilai",IF(COUNTIF(K279:P279,"Kurang")&gt;0,"Kurang cocok",IF(COUNTIF(K279:P279,"Belum ada data")&gt;0,"Data belum lengkap",IF(COUNTIF(K279:P279,"Cukup")&gt;0,"Bisa, dengan catatan","Cocok")))))</f>
        <v/>
      </c>
      <c r="R279" s="33" t="str">
        <f aca="false">IF($A279="","",IF(K279="Kurang","prosesor tingkat "&amp;C279&amp;" dari 5, di bawah batas minimal (tingkat "&amp;Aturan!$C$54&amp;")",IF(K279="Cukup","prosesor tingkat "&amp;C279&amp;" dari 5 cukup, nyamannya mulai tingkat "&amp;Aturan!$D$54,IF(K279="Belum ada data","tingkat prosesor belum diisi",""))))</f>
        <v/>
      </c>
      <c r="S279" s="33" t="str">
        <f aca="false">IF($A279="","",IF(L279="Kurang","grafis tingkat "&amp;D279&amp;" dari 5, di bawah batas minimal (tingkat "&amp;Aturan!$C$55&amp;")",IF(L279="Cukup","grafis tingkat "&amp;D279&amp;" dari 5 cukup, nyamannya mulai tingkat "&amp;Aturan!$D$55,IF(L279="Belum ada data","tingkat grafis belum diisi",""))))</f>
        <v/>
      </c>
      <c r="T279" s="33" t="str">
        <f aca="false">IF($A279="","",IF(M279="Kurang","RAM "&amp;E279&amp;" GB, di bawah batas minimal "&amp;Aturan!$C$56&amp;" GB ("&amp;I279&amp;")",IF(M279="Cukup","RAM "&amp;E279&amp;" GB cukup, nyamannya "&amp;Aturan!$D$56&amp;" GB atau lebih ("&amp;I279&amp;")",IF(M279="Belum ada data","ukuran RAM belum diisi",""))))</f>
        <v/>
      </c>
      <c r="U279" s="33" t="str">
        <f aca="false">IF($A279="","",IF(N279="Kurang","penyimpanan "&amp;F279&amp;" GB, di bawah batas minimal "&amp;Aturan!$C$57&amp;" GB ("&amp;J279&amp;")",IF(N279="Cukup","penyimpanan "&amp;F279&amp;" GB cukup, nyamannya "&amp;Aturan!$D$57&amp;" GB atau lebih ("&amp;J279&amp;")",IF(N279="Belum ada data","ukuran penyimpanan belum diisi",""))))</f>
        <v/>
      </c>
      <c r="V279" s="33" t="str">
        <f aca="false">IF($A279="","",IF(O279="Kurang","layar "&amp;Varian!$AG59&amp;", di bawah batas minimal ("&amp;IFERROR(INDEX(Aturan!$A$63:$A$66,MATCH(Aturan!$C$58,Aturan!$B$63:$B$66,0)),"peringkat "&amp;Aturan!$C$58)&amp;")",IF(O279="Cukup","layar "&amp;Varian!$AG59&amp;" cukup, nyamannya "&amp;IFERROR(INDEX(Aturan!$A$63:$A$66,MATCH(Aturan!$D$58,Aturan!$B$63:$B$66,0)),"peringkat "&amp;Aturan!$D$58),IF(O279="Belum ada data","jenis layar belum diketahui",""))))</f>
        <v/>
      </c>
      <c r="W279" s="33" t="str">
        <f aca="false">IF($A279="","",IF(P279="Kurang","layar "&amp;H279&amp;" Hz, di bawah batas minimal "&amp;Aturan!$C$59&amp;" Hz",IF(P279="Cukup","layar "&amp;H279&amp;" Hz cukup, nyamannya "&amp;Aturan!$D$59&amp;" Hz atau lebih",IF(P279="Belum ada data","refresh rate belum diketahui",""))))</f>
        <v/>
      </c>
      <c r="X279" s="33" t="str">
        <f aca="false">IF($A279="","",IF(K279="Kurang",R279&amp;"; ","")&amp;IF(L279="Kurang",S279&amp;"; ","")&amp;IF(M279="Kurang",T279&amp;"; ","")&amp;IF(N279="Kurang",U279&amp;"; ","")&amp;IF(O279="Kurang",V279&amp;"; ","")&amp;IF(P279="Kurang",W279&amp;"; ","")&amp;IF(K279="Belum ada data",R279&amp;"; ","")&amp;IF(L279="Belum ada data",S279&amp;"; ","")&amp;IF(M279="Belum ada data",T279&amp;"; ","")&amp;IF(N279="Belum ada data",U279&amp;"; ","")&amp;IF(O279="Belum ada data",V279&amp;"; ","")&amp;IF(P279="Belum ada data",W279&amp;"; ","")&amp;IF(K279="Cukup",R279&amp;"; ","")&amp;IF(L279="Cukup",S279&amp;"; ","")&amp;IF(M279="Cukup",T279&amp;"; ","")&amp;IF(N279="Cukup",U279&amp;"; ","")&amp;IF(O279="Cukup",V279&amp;"; ","")&amp;IF(P279="Cukup",W279&amp;"; ",""))</f>
        <v/>
      </c>
      <c r="Y279" s="33" t="str">
        <f aca="false">IF($A279="","",IF(K279="Nyaman","prosesor, ","")&amp;IF(L279="Nyaman","grafis, ","")&amp;IF(M279="Nyaman","RAM, ","")&amp;IF(N279="Nyaman","penyimpanan, ","")&amp;IF(O279="Nyaman","layar, ","")&amp;IF(P279="Nyaman","refresh rate, ",""))</f>
        <v/>
      </c>
      <c r="Z279" s="33" t="str">
        <f aca="false">IF($A279="","",IF(Q279="Tidak dinilai","Belum ada kriteria yang dinilai untuk kebutuhan ini.",IF(Q279="Cocok","Semua kriteria yang dinilai sudah nyaman: "&amp;LEFT(Y279,LEN(Y279)-2)&amp;".",UPPER(LEFT(X279,1))&amp;MID(X279,2,LEN(X279)-3)&amp;"."&amp;IF(Y279="",""," Sudah nyaman: "&amp;LEFT(Y279,LEN(Y279)-2)&amp;"."))))</f>
        <v/>
      </c>
      <c r="AA279" s="33"/>
      <c r="AB279" s="33"/>
      <c r="AC279" s="69"/>
    </row>
    <row r="280" customFormat="false" ht="15" hidden="false" customHeight="true" outlineLevel="0" collapsed="false">
      <c r="A280" s="66" t="str">
        <f aca="false">IF(Varian!$A60="","",Varian!$A60)</f>
        <v/>
      </c>
      <c r="B280" s="66" t="str">
        <f aca="false">IF($A280="","",Aturan!$A$21)</f>
        <v/>
      </c>
      <c r="C280" s="67" t="str">
        <f aca="false">IF($A280="","",IFERROR(IF(ISNUMBER(INDEX(CPU!$J$4:$J$64,MATCH(Varian!$J60,CPU!$A$4:$A$64,0))),INDEX(CPU!$J$4:$J$64,MATCH(Varian!$J60,CPU!$A$4:$A$64,0)),""),""))</f>
        <v/>
      </c>
      <c r="D280" s="67" t="str">
        <f aca="false">IF($A280="","",IFERROR(IF(ISNUMBER(INDEX(GPU!$G$4:$G$64,MATCH(Varian!$K60,GPU!$A$4:$A$64,0))),INDEX(GPU!$G$4:$G$64,MATCH(Varian!$K60,GPU!$A$4:$A$64,0)),""),""))</f>
        <v/>
      </c>
      <c r="E280" s="67" t="str">
        <f aca="false">IF($A280="","",IF(ISNUMBER(Varian!$M60),Varian!$M60,""))</f>
        <v/>
      </c>
      <c r="F280" s="67" t="str">
        <f aca="false">IF($A280="","",IF(ISNUMBER(Varian!$V60),Varian!$V60,""))</f>
        <v/>
      </c>
      <c r="G280" s="67" t="str">
        <f aca="false">IF($A280="","",IFERROR(INDEX(Aturan!$B$63:$B$66,MATCH(Varian!$AG60,Aturan!$A$63:$A$66,0)),""))</f>
        <v/>
      </c>
      <c r="H280" s="67" t="str">
        <f aca="false">IF($A280="","",IF(ISNUMBER(Varian!$AI60),Varian!$AI60,""))</f>
        <v/>
      </c>
      <c r="I280" s="66" t="str">
        <f aca="false">IF($A280="","",IF(Varian!$Q60="disolder","menempel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0" s="66" t="str">
        <f aca="false">IF($A280="","",IF(Varian!$Z60="ya","bisa diganti dengan yang lebih besar",IF(Varian!$Z60="tidak","menempel, tidak bisa diganti","belum diketahui apakah bisa diganti")))</f>
        <v/>
      </c>
      <c r="K280" s="68" t="str">
        <f aca="false">IF($A280="","",IF(AND(Aturan!$C$30="",Aturan!$D$30=""),"Tidak dinilai",IF(C280="","Belum ada data",IF(C280&lt;IF(Aturan!$C$30="",0,Aturan!$C$30),"Kurang",IF(C280&gt;=IF(Aturan!$D$30="",Aturan!$C$30,Aturan!$D$30),"Nyaman","Cukup")))))</f>
        <v/>
      </c>
      <c r="L280" s="68" t="str">
        <f aca="false">IF($A280="","",IF(AND(Aturan!$C$31="",Aturan!$D$31=""),"Tidak dinilai",IF(D280="","Belum ada data",IF(D280&lt;IF(Aturan!$C$31="",0,Aturan!$C$31),"Kurang",IF(D280&gt;=IF(Aturan!$D$31="",Aturan!$C$31,Aturan!$D$31),"Nyaman","Cukup")))))</f>
        <v/>
      </c>
      <c r="M280" s="68" t="str">
        <f aca="false">IF($A280="","",IF(AND(Aturan!$C$32="",Aturan!$D$32=""),"Tidak dinilai",IF(E280="","Belum ada data",IF(E280&lt;IF(Aturan!$C$32="",0,Aturan!$C$32),"Kurang",IF(E280&gt;=IF(Aturan!$D$32="",Aturan!$C$32,Aturan!$D$32),"Nyaman","Cukup")))))</f>
        <v/>
      </c>
      <c r="N280" s="68" t="str">
        <f aca="false">IF($A280="","",IF(AND(Aturan!$C$33="",Aturan!$D$33=""),"Tidak dinilai",IF(F280="","Belum ada data",IF(F280&lt;IF(Aturan!$C$33="",0,Aturan!$C$33),"Kurang",IF(F280&gt;=IF(Aturan!$D$33="",Aturan!$C$33,Aturan!$D$33),"Nyaman","Cukup")))))</f>
        <v/>
      </c>
      <c r="O280" s="68" t="str">
        <f aca="false">IF($A280="","",IF(AND(Aturan!$C$34="",Aturan!$D$34=""),"Tidak dinilai",IF(G280="","Belum ada data",IF(G280&lt;IF(Aturan!$C$34="",0,Aturan!$C$34),"Kurang",IF(G280&gt;=IF(Aturan!$D$34="",Aturan!$C$34,Aturan!$D$34),"Nyaman","Cukup")))))</f>
        <v/>
      </c>
      <c r="P280" s="68" t="str">
        <f aca="false">IF($A280="","",IF(AND(Aturan!$C$35="",Aturan!$D$35=""),"Tidak dinilai",IF(H280="","Belum ada data",IF(H280&lt;IF(Aturan!$C$35="",0,Aturan!$C$35),"Kurang",IF(H280&gt;=IF(Aturan!$D$35="",Aturan!$C$35,Aturan!$D$35),"Nyaman","Cukup")))))</f>
        <v/>
      </c>
      <c r="Q280" s="68" t="str">
        <f aca="false">IF($A280="","",IF(COUNTIF(K280:P280,"Tidak dinilai")=6,"Tidak dinilai",IF(COUNTIF(K280:P280,"Kurang")&gt;0,"Kurang cocok",IF(COUNTIF(K280:P280,"Belum ada data")&gt;0,"Data belum lengkap",IF(COUNTIF(K280:P280,"Cukup")&gt;0,"Bisa, dengan catatan","Cocok")))))</f>
        <v/>
      </c>
      <c r="R280" s="66" t="str">
        <f aca="false">IF($A280="","",IF(K280="Kurang","prosesor tingkat "&amp;C280&amp;" dari 5, di bawah batas minimal (tingkat "&amp;Aturan!$C$30&amp;")",IF(K280="Cukup","prosesor tingkat "&amp;C280&amp;" dari 5 cukup, nyamannya mulai tingkat "&amp;Aturan!$D$30,IF(K280="Belum ada data","tingkat prosesor belum diisi",""))))</f>
        <v/>
      </c>
      <c r="S280" s="66" t="str">
        <f aca="false">IF($A280="","",IF(L280="Kurang","grafis tingkat "&amp;D280&amp;" dari 5, di bawah batas minimal (tingkat "&amp;Aturan!$C$31&amp;")",IF(L280="Cukup","grafis tingkat "&amp;D280&amp;" dari 5 cukup, nyamannya mulai tingkat "&amp;Aturan!$D$31,IF(L280="Belum ada data","tingkat grafis belum diisi",""))))</f>
        <v/>
      </c>
      <c r="T280" s="66" t="str">
        <f aca="false">IF($A280="","",IF(M280="Kurang","RAM "&amp;E280&amp;" GB, di bawah batas minimal "&amp;Aturan!$C$32&amp;" GB ("&amp;I280&amp;")",IF(M280="Cukup","RAM "&amp;E280&amp;" GB cukup, nyamannya "&amp;Aturan!$D$32&amp;" GB atau lebih ("&amp;I280&amp;")",IF(M280="Belum ada data","ukuran RAM belum diisi",""))))</f>
        <v/>
      </c>
      <c r="U280" s="66" t="str">
        <f aca="false">IF($A280="","",IF(N280="Kurang","penyimpanan "&amp;F280&amp;" GB, di bawah batas minimal "&amp;Aturan!$C$33&amp;" GB ("&amp;J280&amp;")",IF(N280="Cukup","penyimpanan "&amp;F280&amp;" GB cukup, nyamannya "&amp;Aturan!$D$33&amp;" GB atau lebih ("&amp;J280&amp;")",IF(N280="Belum ada data","ukuran penyimpanan belum diisi",""))))</f>
        <v/>
      </c>
      <c r="V280" s="66" t="str">
        <f aca="false">IF($A280="","",IF(O280="Kurang","layar "&amp;Varian!$AG60&amp;", di bawah batas minimal ("&amp;IFERROR(INDEX(Aturan!$A$63:$A$66,MATCH(Aturan!$C$34,Aturan!$B$63:$B$66,0)),"peringkat "&amp;Aturan!$C$34)&amp;")",IF(O280="Cukup","layar "&amp;Varian!$AG60&amp;" cukup, nyamannya "&amp;IFERROR(INDEX(Aturan!$A$63:$A$66,MATCH(Aturan!$D$34,Aturan!$B$63:$B$66,0)),"peringkat "&amp;Aturan!$D$34),IF(O280="Belum ada data","jenis layar belum diketahui",""))))</f>
        <v/>
      </c>
      <c r="W280" s="66" t="str">
        <f aca="false">IF($A280="","",IF(P280="Kurang","layar "&amp;H280&amp;" Hz, di bawah batas minimal "&amp;Aturan!$C$35&amp;" Hz",IF(P280="Cukup","layar "&amp;H280&amp;" Hz cukup, nyamannya "&amp;Aturan!$D$35&amp;" Hz atau lebih",IF(P280="Belum ada data","refresh rate belum diketahui",""))))</f>
        <v/>
      </c>
      <c r="X280" s="66" t="str">
        <f aca="false">IF($A280="","",IF(K280="Kurang",R280&amp;"; ","")&amp;IF(L280="Kurang",S280&amp;"; ","")&amp;IF(M280="Kurang",T280&amp;"; ","")&amp;IF(N280="Kurang",U280&amp;"; ","")&amp;IF(O280="Kurang",V280&amp;"; ","")&amp;IF(P280="Kurang",W280&amp;"; ","")&amp;IF(K280="Belum ada data",R280&amp;"; ","")&amp;IF(L280="Belum ada data",S280&amp;"; ","")&amp;IF(M280="Belum ada data",T280&amp;"; ","")&amp;IF(N280="Belum ada data",U280&amp;"; ","")&amp;IF(O280="Belum ada data",V280&amp;"; ","")&amp;IF(P280="Belum ada data",W280&amp;"; ","")&amp;IF(K280="Cukup",R280&amp;"; ","")&amp;IF(L280="Cukup",S280&amp;"; ","")&amp;IF(M280="Cukup",T280&amp;"; ","")&amp;IF(N280="Cukup",U280&amp;"; ","")&amp;IF(O280="Cukup",V280&amp;"; ","")&amp;IF(P280="Cukup",W280&amp;"; ",""))</f>
        <v/>
      </c>
      <c r="Y280" s="66" t="str">
        <f aca="false">IF($A280="","",IF(K280="Nyaman","prosesor, ","")&amp;IF(L280="Nyaman","grafis, ","")&amp;IF(M280="Nyaman","RAM, ","")&amp;IF(N280="Nyaman","penyimpanan, ","")&amp;IF(O280="Nyaman","layar, ","")&amp;IF(P280="Nyaman","refresh rate, ",""))</f>
        <v/>
      </c>
      <c r="Z280" s="66" t="str">
        <f aca="false">IF($A280="","",IF(Q280="Tidak dinilai","Belum ada kriteria yang dinilai untuk kebutuhan ini.",IF(Q280="Cocok","Semua kriteria yang dinilai sudah nyaman: "&amp;LEFT(Y280,LEN(Y280)-2)&amp;".",UPPER(LEFT(X280,1))&amp;MID(X280,2,LEN(X280)-3)&amp;"."&amp;IF(Y280="",""," Sudah nyaman: "&amp;LEFT(Y280,LEN(Y280)-2)&amp;"."))))</f>
        <v/>
      </c>
      <c r="AA280" s="66" t="str">
        <f aca="false">IF($A280="","",IF(Varian!$AR60="Windows 10","• "&amp;Aturan!$E$71&amp;CHAR(10),"")&amp;IF(Varian!$BB60="tidak","• "&amp;Aturan!$E$72&amp;CHAR(10),"")&amp;IF(OR(Varian!$AD60="belum terverifikasi",Varian!$AD60="tidak diketahui"),"• "&amp;Aturan!$E$73&amp;CHAR(10),"")&amp;IF(Varian!$AH60="1366x768","• "&amp;Aturan!$E$74&amp;CHAR(10),"")&amp;IF(Varian!$AG60="TN","• "&amp;Aturan!$E$75&amp;CHAR(10),"")&amp;IF(AND(Varian!$Q60="disolder",ISNUMBER(Varian!$M60),Varian!$M60&lt;=8),"• "&amp;Aturan!$E$76&amp;CHAR(10),""))</f>
        <v/>
      </c>
      <c r="AB280" s="66" t="str">
        <f aca="false">IF($A280="","",IF(AA280="","",LEFT(AA280,LEN(AA280)-1)))</f>
        <v/>
      </c>
      <c r="AC280" s="67" t="str">
        <f aca="false">IF($A280="","",IF(AA280="",0,LEN(AA280)-LEN(SUBSTITUTE(AA280,CHAR(10),""))))</f>
        <v/>
      </c>
    </row>
    <row r="281" customFormat="false" ht="15" hidden="false" customHeight="true" outlineLevel="0" collapsed="false">
      <c r="A281" s="33" t="str">
        <f aca="false">IF(Varian!$A60="","",Varian!$A60)</f>
        <v/>
      </c>
      <c r="B281" s="33" t="str">
        <f aca="false">IF($A281="","",Aturan!$A$22)</f>
        <v/>
      </c>
      <c r="C281" s="69" t="str">
        <f aca="false">IF($A281="","",IFERROR(IF(ISNUMBER(INDEX(CPU!$J$4:$J$64,MATCH(Varian!$J60,CPU!$A$4:$A$64,0))),INDEX(CPU!$J$4:$J$64,MATCH(Varian!$J60,CPU!$A$4:$A$64,0)),""),""))</f>
        <v/>
      </c>
      <c r="D281" s="69" t="str">
        <f aca="false">IF($A281="","",IFERROR(IF(ISNUMBER(INDEX(GPU!$G$4:$G$64,MATCH(Varian!$K60,GPU!$A$4:$A$64,0))),INDEX(GPU!$G$4:$G$64,MATCH(Varian!$K60,GPU!$A$4:$A$64,0)),""),""))</f>
        <v/>
      </c>
      <c r="E281" s="69" t="str">
        <f aca="false">IF($A281="","",IF(ISNUMBER(Varian!$M60),Varian!$M60,""))</f>
        <v/>
      </c>
      <c r="F281" s="69" t="str">
        <f aca="false">IF($A281="","",IF(ISNUMBER(Varian!$V60),Varian!$V60,""))</f>
        <v/>
      </c>
      <c r="G281" s="69" t="str">
        <f aca="false">IF($A281="","",IFERROR(INDEX(Aturan!$B$63:$B$66,MATCH(Varian!$AG60,Aturan!$A$63:$A$66,0)),""))</f>
        <v/>
      </c>
      <c r="H281" s="69" t="str">
        <f aca="false">IF($A281="","",IF(ISNUMBER(Varian!$AI60),Varian!$AI60,""))</f>
        <v/>
      </c>
      <c r="I281" s="33" t="str">
        <f aca="false">IF($A281="","",IF(Varian!$Q60="disolder","menempel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1" s="33" t="str">
        <f aca="false">IF($A281="","",IF(Varian!$Z60="ya","bisa diganti dengan yang lebih besar",IF(Varian!$Z60="tidak","menempel, tidak bisa diganti","belum diketahui apakah bisa diganti")))</f>
        <v/>
      </c>
      <c r="K281" s="70" t="str">
        <f aca="false">IF($A281="","",IF(AND(Aturan!$C$36="",Aturan!$D$36=""),"Tidak dinilai",IF(C281="","Belum ada data",IF(C281&lt;IF(Aturan!$C$36="",0,Aturan!$C$36),"Kurang",IF(C281&gt;=IF(Aturan!$D$36="",Aturan!$C$36,Aturan!$D$36),"Nyaman","Cukup")))))</f>
        <v/>
      </c>
      <c r="L281" s="70" t="str">
        <f aca="false">IF($A281="","",IF(AND(Aturan!$C$37="",Aturan!$D$37=""),"Tidak dinilai",IF(D281="","Belum ada data",IF(D281&lt;IF(Aturan!$C$37="",0,Aturan!$C$37),"Kurang",IF(D281&gt;=IF(Aturan!$D$37="",Aturan!$C$37,Aturan!$D$37),"Nyaman","Cukup")))))</f>
        <v/>
      </c>
      <c r="M281" s="70" t="str">
        <f aca="false">IF($A281="","",IF(AND(Aturan!$C$38="",Aturan!$D$38=""),"Tidak dinilai",IF(E281="","Belum ada data",IF(E281&lt;IF(Aturan!$C$38="",0,Aturan!$C$38),"Kurang",IF(E281&gt;=IF(Aturan!$D$38="",Aturan!$C$38,Aturan!$D$38),"Nyaman","Cukup")))))</f>
        <v/>
      </c>
      <c r="N281" s="70" t="str">
        <f aca="false">IF($A281="","",IF(AND(Aturan!$C$39="",Aturan!$D$39=""),"Tidak dinilai",IF(F281="","Belum ada data",IF(F281&lt;IF(Aturan!$C$39="",0,Aturan!$C$39),"Kurang",IF(F281&gt;=IF(Aturan!$D$39="",Aturan!$C$39,Aturan!$D$39),"Nyaman","Cukup")))))</f>
        <v/>
      </c>
      <c r="O281" s="70" t="str">
        <f aca="false">IF($A281="","",IF(AND(Aturan!$C$40="",Aturan!$D$40=""),"Tidak dinilai",IF(G281="","Belum ada data",IF(G281&lt;IF(Aturan!$C$40="",0,Aturan!$C$40),"Kurang",IF(G281&gt;=IF(Aturan!$D$40="",Aturan!$C$40,Aturan!$D$40),"Nyaman","Cukup")))))</f>
        <v/>
      </c>
      <c r="P281" s="70" t="str">
        <f aca="false">IF($A281="","",IF(AND(Aturan!$C$41="",Aturan!$D$41=""),"Tidak dinilai",IF(H281="","Belum ada data",IF(H281&lt;IF(Aturan!$C$41="",0,Aturan!$C$41),"Kurang",IF(H281&gt;=IF(Aturan!$D$41="",Aturan!$C$41,Aturan!$D$41),"Nyaman","Cukup")))))</f>
        <v/>
      </c>
      <c r="Q281" s="70" t="str">
        <f aca="false">IF($A281="","",IF(COUNTIF(K281:P281,"Tidak dinilai")=6,"Tidak dinilai",IF(COUNTIF(K281:P281,"Kurang")&gt;0,"Kurang cocok",IF(COUNTIF(K281:P281,"Belum ada data")&gt;0,"Data belum lengkap",IF(COUNTIF(K281:P281,"Cukup")&gt;0,"Bisa, dengan catatan","Cocok")))))</f>
        <v/>
      </c>
      <c r="R281" s="33" t="str">
        <f aca="false">IF($A281="","",IF(K281="Kurang","prosesor tingkat "&amp;C281&amp;" dari 5, di bawah batas minimal (tingkat "&amp;Aturan!$C$36&amp;")",IF(K281="Cukup","prosesor tingkat "&amp;C281&amp;" dari 5 cukup, nyamannya mulai tingkat "&amp;Aturan!$D$36,IF(K281="Belum ada data","tingkat prosesor belum diisi",""))))</f>
        <v/>
      </c>
      <c r="S281" s="33" t="str">
        <f aca="false">IF($A281="","",IF(L281="Kurang","grafis tingkat "&amp;D281&amp;" dari 5, di bawah batas minimal (tingkat "&amp;Aturan!$C$37&amp;")",IF(L281="Cukup","grafis tingkat "&amp;D281&amp;" dari 5 cukup, nyamannya mulai tingkat "&amp;Aturan!$D$37,IF(L281="Belum ada data","tingkat grafis belum diisi",""))))</f>
        <v/>
      </c>
      <c r="T281" s="33" t="str">
        <f aca="false">IF($A281="","",IF(M281="Kurang","RAM "&amp;E281&amp;" GB, di bawah batas minimal "&amp;Aturan!$C$38&amp;" GB ("&amp;I281&amp;")",IF(M281="Cukup","RAM "&amp;E281&amp;" GB cukup, nyamannya "&amp;Aturan!$D$38&amp;" GB atau lebih ("&amp;I281&amp;")",IF(M281="Belum ada data","ukuran RAM belum diisi",""))))</f>
        <v/>
      </c>
      <c r="U281" s="33" t="str">
        <f aca="false">IF($A281="","",IF(N281="Kurang","penyimpanan "&amp;F281&amp;" GB, di bawah batas minimal "&amp;Aturan!$C$39&amp;" GB ("&amp;J281&amp;")",IF(N281="Cukup","penyimpanan "&amp;F281&amp;" GB cukup, nyamannya "&amp;Aturan!$D$39&amp;" GB atau lebih ("&amp;J281&amp;")",IF(N281="Belum ada data","ukuran penyimpanan belum diisi",""))))</f>
        <v/>
      </c>
      <c r="V281" s="33" t="str">
        <f aca="false">IF($A281="","",IF(O281="Kurang","layar "&amp;Varian!$AG60&amp;", di bawah batas minimal ("&amp;IFERROR(INDEX(Aturan!$A$63:$A$66,MATCH(Aturan!$C$40,Aturan!$B$63:$B$66,0)),"peringkat "&amp;Aturan!$C$40)&amp;")",IF(O281="Cukup","layar "&amp;Varian!$AG60&amp;" cukup, nyamannya "&amp;IFERROR(INDEX(Aturan!$A$63:$A$66,MATCH(Aturan!$D$40,Aturan!$B$63:$B$66,0)),"peringkat "&amp;Aturan!$D$40),IF(O281="Belum ada data","jenis layar belum diketahui",""))))</f>
        <v/>
      </c>
      <c r="W281" s="33" t="str">
        <f aca="false">IF($A281="","",IF(P281="Kurang","layar "&amp;H281&amp;" Hz, di bawah batas minimal "&amp;Aturan!$C$41&amp;" Hz",IF(P281="Cukup","layar "&amp;H281&amp;" Hz cukup, nyamannya "&amp;Aturan!$D$41&amp;" Hz atau lebih",IF(P281="Belum ada data","refresh rate belum diketahui",""))))</f>
        <v/>
      </c>
      <c r="X281" s="33" t="str">
        <f aca="false">IF($A281="","",IF(K281="Kurang",R281&amp;"; ","")&amp;IF(L281="Kurang",S281&amp;"; ","")&amp;IF(M281="Kurang",T281&amp;"; ","")&amp;IF(N281="Kurang",U281&amp;"; ","")&amp;IF(O281="Kurang",V281&amp;"; ","")&amp;IF(P281="Kurang",W281&amp;"; ","")&amp;IF(K281="Belum ada data",R281&amp;"; ","")&amp;IF(L281="Belum ada data",S281&amp;"; ","")&amp;IF(M281="Belum ada data",T281&amp;"; ","")&amp;IF(N281="Belum ada data",U281&amp;"; ","")&amp;IF(O281="Belum ada data",V281&amp;"; ","")&amp;IF(P281="Belum ada data",W281&amp;"; ","")&amp;IF(K281="Cukup",R281&amp;"; ","")&amp;IF(L281="Cukup",S281&amp;"; ","")&amp;IF(M281="Cukup",T281&amp;"; ","")&amp;IF(N281="Cukup",U281&amp;"; ","")&amp;IF(O281="Cukup",V281&amp;"; ","")&amp;IF(P281="Cukup",W281&amp;"; ",""))</f>
        <v/>
      </c>
      <c r="Y281" s="33" t="str">
        <f aca="false">IF($A281="","",IF(K281="Nyaman","prosesor, ","")&amp;IF(L281="Nyaman","grafis, ","")&amp;IF(M281="Nyaman","RAM, ","")&amp;IF(N281="Nyaman","penyimpanan, ","")&amp;IF(O281="Nyaman","layar, ","")&amp;IF(P281="Nyaman","refresh rate, ",""))</f>
        <v/>
      </c>
      <c r="Z281" s="33" t="str">
        <f aca="false">IF($A281="","",IF(Q281="Tidak dinilai","Belum ada kriteria yang dinilai untuk kebutuhan ini.",IF(Q281="Cocok","Semua kriteria yang dinilai sudah nyaman: "&amp;LEFT(Y281,LEN(Y281)-2)&amp;".",UPPER(LEFT(X281,1))&amp;MID(X281,2,LEN(X281)-3)&amp;"."&amp;IF(Y281="",""," Sudah nyaman: "&amp;LEFT(Y281,LEN(Y281)-2)&amp;"."))))</f>
        <v/>
      </c>
      <c r="AA281" s="33"/>
      <c r="AB281" s="33"/>
      <c r="AC281" s="69"/>
    </row>
    <row r="282" customFormat="false" ht="15" hidden="false" customHeight="true" outlineLevel="0" collapsed="false">
      <c r="A282" s="33" t="str">
        <f aca="false">IF(Varian!$A60="","",Varian!$A60)</f>
        <v/>
      </c>
      <c r="B282" s="33" t="str">
        <f aca="false">IF($A282="","",Aturan!$A$23)</f>
        <v/>
      </c>
      <c r="C282" s="69" t="str">
        <f aca="false">IF($A282="","",IFERROR(IF(ISNUMBER(INDEX(CPU!$J$4:$J$64,MATCH(Varian!$J60,CPU!$A$4:$A$64,0))),INDEX(CPU!$J$4:$J$64,MATCH(Varian!$J60,CPU!$A$4:$A$64,0)),""),""))</f>
        <v/>
      </c>
      <c r="D282" s="69" t="str">
        <f aca="false">IF($A282="","",IFERROR(IF(ISNUMBER(INDEX(GPU!$G$4:$G$64,MATCH(Varian!$K60,GPU!$A$4:$A$64,0))),INDEX(GPU!$G$4:$G$64,MATCH(Varian!$K60,GPU!$A$4:$A$64,0)),""),""))</f>
        <v/>
      </c>
      <c r="E282" s="69" t="str">
        <f aca="false">IF($A282="","",IF(ISNUMBER(Varian!$M60),Varian!$M60,""))</f>
        <v/>
      </c>
      <c r="F282" s="69" t="str">
        <f aca="false">IF($A282="","",IF(ISNUMBER(Varian!$V60),Varian!$V60,""))</f>
        <v/>
      </c>
      <c r="G282" s="69" t="str">
        <f aca="false">IF($A282="","",IFERROR(INDEX(Aturan!$B$63:$B$66,MATCH(Varian!$AG60,Aturan!$A$63:$A$66,0)),""))</f>
        <v/>
      </c>
      <c r="H282" s="69" t="str">
        <f aca="false">IF($A282="","",IF(ISNUMBER(Varian!$AI60),Varian!$AI60,""))</f>
        <v/>
      </c>
      <c r="I282" s="33" t="str">
        <f aca="false">IF($A282="","",IF(Varian!$Q60="disolder","menempel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2" s="33" t="str">
        <f aca="false">IF($A282="","",IF(Varian!$Z60="ya","bisa diganti dengan yang lebih besar",IF(Varian!$Z60="tidak","menempel, tidak bisa diganti","belum diketahui apakah bisa diganti")))</f>
        <v/>
      </c>
      <c r="K282" s="70" t="str">
        <f aca="false">IF($A282="","",IF(AND(Aturan!$C$42="",Aturan!$D$42=""),"Tidak dinilai",IF(C282="","Belum ada data",IF(C282&lt;IF(Aturan!$C$42="",0,Aturan!$C$42),"Kurang",IF(C282&gt;=IF(Aturan!$D$42="",Aturan!$C$42,Aturan!$D$42),"Nyaman","Cukup")))))</f>
        <v/>
      </c>
      <c r="L282" s="70" t="str">
        <f aca="false">IF($A282="","",IF(AND(Aturan!$C$43="",Aturan!$D$43=""),"Tidak dinilai",IF(D282="","Belum ada data",IF(D282&lt;IF(Aturan!$C$43="",0,Aturan!$C$43),"Kurang",IF(D282&gt;=IF(Aturan!$D$43="",Aturan!$C$43,Aturan!$D$43),"Nyaman","Cukup")))))</f>
        <v/>
      </c>
      <c r="M282" s="70" t="str">
        <f aca="false">IF($A282="","",IF(AND(Aturan!$C$44="",Aturan!$D$44=""),"Tidak dinilai",IF(E282="","Belum ada data",IF(E282&lt;IF(Aturan!$C$44="",0,Aturan!$C$44),"Kurang",IF(E282&gt;=IF(Aturan!$D$44="",Aturan!$C$44,Aturan!$D$44),"Nyaman","Cukup")))))</f>
        <v/>
      </c>
      <c r="N282" s="70" t="str">
        <f aca="false">IF($A282="","",IF(AND(Aturan!$C$45="",Aturan!$D$45=""),"Tidak dinilai",IF(F282="","Belum ada data",IF(F282&lt;IF(Aturan!$C$45="",0,Aturan!$C$45),"Kurang",IF(F282&gt;=IF(Aturan!$D$45="",Aturan!$C$45,Aturan!$D$45),"Nyaman","Cukup")))))</f>
        <v/>
      </c>
      <c r="O282" s="70" t="str">
        <f aca="false">IF($A282="","",IF(AND(Aturan!$C$46="",Aturan!$D$46=""),"Tidak dinilai",IF(G282="","Belum ada data",IF(G282&lt;IF(Aturan!$C$46="",0,Aturan!$C$46),"Kurang",IF(G282&gt;=IF(Aturan!$D$46="",Aturan!$C$46,Aturan!$D$46),"Nyaman","Cukup")))))</f>
        <v/>
      </c>
      <c r="P282" s="70" t="str">
        <f aca="false">IF($A282="","",IF(AND(Aturan!$C$47="",Aturan!$D$47=""),"Tidak dinilai",IF(H282="","Belum ada data",IF(H282&lt;IF(Aturan!$C$47="",0,Aturan!$C$47),"Kurang",IF(H282&gt;=IF(Aturan!$D$47="",Aturan!$C$47,Aturan!$D$47),"Nyaman","Cukup")))))</f>
        <v/>
      </c>
      <c r="Q282" s="70" t="str">
        <f aca="false">IF($A282="","",IF(COUNTIF(K282:P282,"Tidak dinilai")=6,"Tidak dinilai",IF(COUNTIF(K282:P282,"Kurang")&gt;0,"Kurang cocok",IF(COUNTIF(K282:P282,"Belum ada data")&gt;0,"Data belum lengkap",IF(COUNTIF(K282:P282,"Cukup")&gt;0,"Bisa, dengan catatan","Cocok")))))</f>
        <v/>
      </c>
      <c r="R282" s="33" t="str">
        <f aca="false">IF($A282="","",IF(K282="Kurang","prosesor tingkat "&amp;C282&amp;" dari 5, di bawah batas minimal (tingkat "&amp;Aturan!$C$42&amp;")",IF(K282="Cukup","prosesor tingkat "&amp;C282&amp;" dari 5 cukup, nyamannya mulai tingkat "&amp;Aturan!$D$42,IF(K282="Belum ada data","tingkat prosesor belum diisi",""))))</f>
        <v/>
      </c>
      <c r="S282" s="33" t="str">
        <f aca="false">IF($A282="","",IF(L282="Kurang","grafis tingkat "&amp;D282&amp;" dari 5, di bawah batas minimal (tingkat "&amp;Aturan!$C$43&amp;")",IF(L282="Cukup","grafis tingkat "&amp;D282&amp;" dari 5 cukup, nyamannya mulai tingkat "&amp;Aturan!$D$43,IF(L282="Belum ada data","tingkat grafis belum diisi",""))))</f>
        <v/>
      </c>
      <c r="T282" s="33" t="str">
        <f aca="false">IF($A282="","",IF(M282="Kurang","RAM "&amp;E282&amp;" GB, di bawah batas minimal "&amp;Aturan!$C$44&amp;" GB ("&amp;I282&amp;")",IF(M282="Cukup","RAM "&amp;E282&amp;" GB cukup, nyamannya "&amp;Aturan!$D$44&amp;" GB atau lebih ("&amp;I282&amp;")",IF(M282="Belum ada data","ukuran RAM belum diisi",""))))</f>
        <v/>
      </c>
      <c r="U282" s="33" t="str">
        <f aca="false">IF($A282="","",IF(N282="Kurang","penyimpanan "&amp;F282&amp;" GB, di bawah batas minimal "&amp;Aturan!$C$45&amp;" GB ("&amp;J282&amp;")",IF(N282="Cukup","penyimpanan "&amp;F282&amp;" GB cukup, nyamannya "&amp;Aturan!$D$45&amp;" GB atau lebih ("&amp;J282&amp;")",IF(N282="Belum ada data","ukuran penyimpanan belum diisi",""))))</f>
        <v/>
      </c>
      <c r="V282" s="33" t="str">
        <f aca="false">IF($A282="","",IF(O282="Kurang","layar "&amp;Varian!$AG60&amp;", di bawah batas minimal ("&amp;IFERROR(INDEX(Aturan!$A$63:$A$66,MATCH(Aturan!$C$46,Aturan!$B$63:$B$66,0)),"peringkat "&amp;Aturan!$C$46)&amp;")",IF(O282="Cukup","layar "&amp;Varian!$AG60&amp;" cukup, nyamannya "&amp;IFERROR(INDEX(Aturan!$A$63:$A$66,MATCH(Aturan!$D$46,Aturan!$B$63:$B$66,0)),"peringkat "&amp;Aturan!$D$46),IF(O282="Belum ada data","jenis layar belum diketahui",""))))</f>
        <v/>
      </c>
      <c r="W282" s="33" t="str">
        <f aca="false">IF($A282="","",IF(P282="Kurang","layar "&amp;H282&amp;" Hz, di bawah batas minimal "&amp;Aturan!$C$47&amp;" Hz",IF(P282="Cukup","layar "&amp;H282&amp;" Hz cukup, nyamannya "&amp;Aturan!$D$47&amp;" Hz atau lebih",IF(P282="Belum ada data","refresh rate belum diketahui",""))))</f>
        <v/>
      </c>
      <c r="X282" s="33" t="str">
        <f aca="false">IF($A282="","",IF(K282="Kurang",R282&amp;"; ","")&amp;IF(L282="Kurang",S282&amp;"; ","")&amp;IF(M282="Kurang",T282&amp;"; ","")&amp;IF(N282="Kurang",U282&amp;"; ","")&amp;IF(O282="Kurang",V282&amp;"; ","")&amp;IF(P282="Kurang",W282&amp;"; ","")&amp;IF(K282="Belum ada data",R282&amp;"; ","")&amp;IF(L282="Belum ada data",S282&amp;"; ","")&amp;IF(M282="Belum ada data",T282&amp;"; ","")&amp;IF(N282="Belum ada data",U282&amp;"; ","")&amp;IF(O282="Belum ada data",V282&amp;"; ","")&amp;IF(P282="Belum ada data",W282&amp;"; ","")&amp;IF(K282="Cukup",R282&amp;"; ","")&amp;IF(L282="Cukup",S282&amp;"; ","")&amp;IF(M282="Cukup",T282&amp;"; ","")&amp;IF(N282="Cukup",U282&amp;"; ","")&amp;IF(O282="Cukup",V282&amp;"; ","")&amp;IF(P282="Cukup",W282&amp;"; ",""))</f>
        <v/>
      </c>
      <c r="Y282" s="33" t="str">
        <f aca="false">IF($A282="","",IF(K282="Nyaman","prosesor, ","")&amp;IF(L282="Nyaman","grafis, ","")&amp;IF(M282="Nyaman","RAM, ","")&amp;IF(N282="Nyaman","penyimpanan, ","")&amp;IF(O282="Nyaman","layar, ","")&amp;IF(P282="Nyaman","refresh rate, ",""))</f>
        <v/>
      </c>
      <c r="Z282" s="33" t="str">
        <f aca="false">IF($A282="","",IF(Q282="Tidak dinilai","Belum ada kriteria yang dinilai untuk kebutuhan ini.",IF(Q282="Cocok","Semua kriteria yang dinilai sudah nyaman: "&amp;LEFT(Y282,LEN(Y282)-2)&amp;".",UPPER(LEFT(X282,1))&amp;MID(X282,2,LEN(X282)-3)&amp;"."&amp;IF(Y282="",""," Sudah nyaman: "&amp;LEFT(Y282,LEN(Y282)-2)&amp;"."))))</f>
        <v/>
      </c>
      <c r="AA282" s="33"/>
      <c r="AB282" s="33"/>
      <c r="AC282" s="69"/>
    </row>
    <row r="283" customFormat="false" ht="15" hidden="false" customHeight="true" outlineLevel="0" collapsed="false">
      <c r="A283" s="33" t="str">
        <f aca="false">IF(Varian!$A60="","",Varian!$A60)</f>
        <v/>
      </c>
      <c r="B283" s="33" t="str">
        <f aca="false">IF($A283="","",Aturan!$A$24)</f>
        <v/>
      </c>
      <c r="C283" s="69" t="str">
        <f aca="false">IF($A283="","",IFERROR(IF(ISNUMBER(INDEX(CPU!$J$4:$J$64,MATCH(Varian!$J60,CPU!$A$4:$A$64,0))),INDEX(CPU!$J$4:$J$64,MATCH(Varian!$J60,CPU!$A$4:$A$64,0)),""),""))</f>
        <v/>
      </c>
      <c r="D283" s="69" t="str">
        <f aca="false">IF($A283="","",IFERROR(IF(ISNUMBER(INDEX(GPU!$G$4:$G$64,MATCH(Varian!$K60,GPU!$A$4:$A$64,0))),INDEX(GPU!$G$4:$G$64,MATCH(Varian!$K60,GPU!$A$4:$A$64,0)),""),""))</f>
        <v/>
      </c>
      <c r="E283" s="69" t="str">
        <f aca="false">IF($A283="","",IF(ISNUMBER(Varian!$M60),Varian!$M60,""))</f>
        <v/>
      </c>
      <c r="F283" s="69" t="str">
        <f aca="false">IF($A283="","",IF(ISNUMBER(Varian!$V60),Varian!$V60,""))</f>
        <v/>
      </c>
      <c r="G283" s="69" t="str">
        <f aca="false">IF($A283="","",IFERROR(INDEX(Aturan!$B$63:$B$66,MATCH(Varian!$AG60,Aturan!$A$63:$A$66,0)),""))</f>
        <v/>
      </c>
      <c r="H283" s="69" t="str">
        <f aca="false">IF($A283="","",IF(ISNUMBER(Varian!$AI60),Varian!$AI60,""))</f>
        <v/>
      </c>
      <c r="I283" s="33" t="str">
        <f aca="false">IF($A283="","",IF(Varian!$Q60="disolder","menempel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3" s="33" t="str">
        <f aca="false">IF($A283="","",IF(Varian!$Z60="ya","bisa diganti dengan yang lebih besar",IF(Varian!$Z60="tidak","menempel, tidak bisa diganti","belum diketahui apakah bisa diganti")))</f>
        <v/>
      </c>
      <c r="K283" s="70" t="str">
        <f aca="false">IF($A283="","",IF(AND(Aturan!$C$48="",Aturan!$D$48=""),"Tidak dinilai",IF(C283="","Belum ada data",IF(C283&lt;IF(Aturan!$C$48="",0,Aturan!$C$48),"Kurang",IF(C283&gt;=IF(Aturan!$D$48="",Aturan!$C$48,Aturan!$D$48),"Nyaman","Cukup")))))</f>
        <v/>
      </c>
      <c r="L283" s="70" t="str">
        <f aca="false">IF($A283="","",IF(AND(Aturan!$C$49="",Aturan!$D$49=""),"Tidak dinilai",IF(D283="","Belum ada data",IF(D283&lt;IF(Aturan!$C$49="",0,Aturan!$C$49),"Kurang",IF(D283&gt;=IF(Aturan!$D$49="",Aturan!$C$49,Aturan!$D$49),"Nyaman","Cukup")))))</f>
        <v/>
      </c>
      <c r="M283" s="70" t="str">
        <f aca="false">IF($A283="","",IF(AND(Aturan!$C$50="",Aturan!$D$50=""),"Tidak dinilai",IF(E283="","Belum ada data",IF(E283&lt;IF(Aturan!$C$50="",0,Aturan!$C$50),"Kurang",IF(E283&gt;=IF(Aturan!$D$50="",Aturan!$C$50,Aturan!$D$50),"Nyaman","Cukup")))))</f>
        <v/>
      </c>
      <c r="N283" s="70" t="str">
        <f aca="false">IF($A283="","",IF(AND(Aturan!$C$51="",Aturan!$D$51=""),"Tidak dinilai",IF(F283="","Belum ada data",IF(F283&lt;IF(Aturan!$C$51="",0,Aturan!$C$51),"Kurang",IF(F283&gt;=IF(Aturan!$D$51="",Aturan!$C$51,Aturan!$D$51),"Nyaman","Cukup")))))</f>
        <v/>
      </c>
      <c r="O283" s="70" t="str">
        <f aca="false">IF($A283="","",IF(AND(Aturan!$C$52="",Aturan!$D$52=""),"Tidak dinilai",IF(G283="","Belum ada data",IF(G283&lt;IF(Aturan!$C$52="",0,Aturan!$C$52),"Kurang",IF(G283&gt;=IF(Aturan!$D$52="",Aturan!$C$52,Aturan!$D$52),"Nyaman","Cukup")))))</f>
        <v/>
      </c>
      <c r="P283" s="70" t="str">
        <f aca="false">IF($A283="","",IF(AND(Aturan!$C$53="",Aturan!$D$53=""),"Tidak dinilai",IF(H283="","Belum ada data",IF(H283&lt;IF(Aturan!$C$53="",0,Aturan!$C$53),"Kurang",IF(H283&gt;=IF(Aturan!$D$53="",Aturan!$C$53,Aturan!$D$53),"Nyaman","Cukup")))))</f>
        <v/>
      </c>
      <c r="Q283" s="70" t="str">
        <f aca="false">IF($A283="","",IF(COUNTIF(K283:P283,"Tidak dinilai")=6,"Tidak dinilai",IF(COUNTIF(K283:P283,"Kurang")&gt;0,"Kurang cocok",IF(COUNTIF(K283:P283,"Belum ada data")&gt;0,"Data belum lengkap",IF(COUNTIF(K283:P283,"Cukup")&gt;0,"Bisa, dengan catatan","Cocok")))))</f>
        <v/>
      </c>
      <c r="R283" s="33" t="str">
        <f aca="false">IF($A283="","",IF(K283="Kurang","prosesor tingkat "&amp;C283&amp;" dari 5, di bawah batas minimal (tingkat "&amp;Aturan!$C$48&amp;")",IF(K283="Cukup","prosesor tingkat "&amp;C283&amp;" dari 5 cukup, nyamannya mulai tingkat "&amp;Aturan!$D$48,IF(K283="Belum ada data","tingkat prosesor belum diisi",""))))</f>
        <v/>
      </c>
      <c r="S283" s="33" t="str">
        <f aca="false">IF($A283="","",IF(L283="Kurang","grafis tingkat "&amp;D283&amp;" dari 5, di bawah batas minimal (tingkat "&amp;Aturan!$C$49&amp;")",IF(L283="Cukup","grafis tingkat "&amp;D283&amp;" dari 5 cukup, nyamannya mulai tingkat "&amp;Aturan!$D$49,IF(L283="Belum ada data","tingkat grafis belum diisi",""))))</f>
        <v/>
      </c>
      <c r="T283" s="33" t="str">
        <f aca="false">IF($A283="","",IF(M283="Kurang","RAM "&amp;E283&amp;" GB, di bawah batas minimal "&amp;Aturan!$C$50&amp;" GB ("&amp;I283&amp;")",IF(M283="Cukup","RAM "&amp;E283&amp;" GB cukup, nyamannya "&amp;Aturan!$D$50&amp;" GB atau lebih ("&amp;I283&amp;")",IF(M283="Belum ada data","ukuran RAM belum diisi",""))))</f>
        <v/>
      </c>
      <c r="U283" s="33" t="str">
        <f aca="false">IF($A283="","",IF(N283="Kurang","penyimpanan "&amp;F283&amp;" GB, di bawah batas minimal "&amp;Aturan!$C$51&amp;" GB ("&amp;J283&amp;")",IF(N283="Cukup","penyimpanan "&amp;F283&amp;" GB cukup, nyamannya "&amp;Aturan!$D$51&amp;" GB atau lebih ("&amp;J283&amp;")",IF(N283="Belum ada data","ukuran penyimpanan belum diisi",""))))</f>
        <v/>
      </c>
      <c r="V283" s="33" t="str">
        <f aca="false">IF($A283="","",IF(O283="Kurang","layar "&amp;Varian!$AG60&amp;", di bawah batas minimal ("&amp;IFERROR(INDEX(Aturan!$A$63:$A$66,MATCH(Aturan!$C$52,Aturan!$B$63:$B$66,0)),"peringkat "&amp;Aturan!$C$52)&amp;")",IF(O283="Cukup","layar "&amp;Varian!$AG60&amp;" cukup, nyamannya "&amp;IFERROR(INDEX(Aturan!$A$63:$A$66,MATCH(Aturan!$D$52,Aturan!$B$63:$B$66,0)),"peringkat "&amp;Aturan!$D$52),IF(O283="Belum ada data","jenis layar belum diketahui",""))))</f>
        <v/>
      </c>
      <c r="W283" s="33" t="str">
        <f aca="false">IF($A283="","",IF(P283="Kurang","layar "&amp;H283&amp;" Hz, di bawah batas minimal "&amp;Aturan!$C$53&amp;" Hz",IF(P283="Cukup","layar "&amp;H283&amp;" Hz cukup, nyamannya "&amp;Aturan!$D$53&amp;" Hz atau lebih",IF(P283="Belum ada data","refresh rate belum diketahui",""))))</f>
        <v/>
      </c>
      <c r="X283" s="33" t="str">
        <f aca="false">IF($A283="","",IF(K283="Kurang",R283&amp;"; ","")&amp;IF(L283="Kurang",S283&amp;"; ","")&amp;IF(M283="Kurang",T283&amp;"; ","")&amp;IF(N283="Kurang",U283&amp;"; ","")&amp;IF(O283="Kurang",V283&amp;"; ","")&amp;IF(P283="Kurang",W283&amp;"; ","")&amp;IF(K283="Belum ada data",R283&amp;"; ","")&amp;IF(L283="Belum ada data",S283&amp;"; ","")&amp;IF(M283="Belum ada data",T283&amp;"; ","")&amp;IF(N283="Belum ada data",U283&amp;"; ","")&amp;IF(O283="Belum ada data",V283&amp;"; ","")&amp;IF(P283="Belum ada data",W283&amp;"; ","")&amp;IF(K283="Cukup",R283&amp;"; ","")&amp;IF(L283="Cukup",S283&amp;"; ","")&amp;IF(M283="Cukup",T283&amp;"; ","")&amp;IF(N283="Cukup",U283&amp;"; ","")&amp;IF(O283="Cukup",V283&amp;"; ","")&amp;IF(P283="Cukup",W283&amp;"; ",""))</f>
        <v/>
      </c>
      <c r="Y283" s="33" t="str">
        <f aca="false">IF($A283="","",IF(K283="Nyaman","prosesor, ","")&amp;IF(L283="Nyaman","grafis, ","")&amp;IF(M283="Nyaman","RAM, ","")&amp;IF(N283="Nyaman","penyimpanan, ","")&amp;IF(O283="Nyaman","layar, ","")&amp;IF(P283="Nyaman","refresh rate, ",""))</f>
        <v/>
      </c>
      <c r="Z283" s="33" t="str">
        <f aca="false">IF($A283="","",IF(Q283="Tidak dinilai","Belum ada kriteria yang dinilai untuk kebutuhan ini.",IF(Q283="Cocok","Semua kriteria yang dinilai sudah nyaman: "&amp;LEFT(Y283,LEN(Y283)-2)&amp;".",UPPER(LEFT(X283,1))&amp;MID(X283,2,LEN(X283)-3)&amp;"."&amp;IF(Y283="",""," Sudah nyaman: "&amp;LEFT(Y283,LEN(Y283)-2)&amp;"."))))</f>
        <v/>
      </c>
      <c r="AA283" s="33"/>
      <c r="AB283" s="33"/>
      <c r="AC283" s="69"/>
    </row>
    <row r="284" customFormat="false" ht="15" hidden="false" customHeight="true" outlineLevel="0" collapsed="false">
      <c r="A284" s="33" t="str">
        <f aca="false">IF(Varian!$A60="","",Varian!$A60)</f>
        <v/>
      </c>
      <c r="B284" s="33" t="str">
        <f aca="false">IF($A284="","",Aturan!$A$25)</f>
        <v/>
      </c>
      <c r="C284" s="69" t="str">
        <f aca="false">IF($A284="","",IFERROR(IF(ISNUMBER(INDEX(CPU!$J$4:$J$64,MATCH(Varian!$J60,CPU!$A$4:$A$64,0))),INDEX(CPU!$J$4:$J$64,MATCH(Varian!$J60,CPU!$A$4:$A$64,0)),""),""))</f>
        <v/>
      </c>
      <c r="D284" s="69" t="str">
        <f aca="false">IF($A284="","",IFERROR(IF(ISNUMBER(INDEX(GPU!$G$4:$G$64,MATCH(Varian!$K60,GPU!$A$4:$A$64,0))),INDEX(GPU!$G$4:$G$64,MATCH(Varian!$K60,GPU!$A$4:$A$64,0)),""),""))</f>
        <v/>
      </c>
      <c r="E284" s="69" t="str">
        <f aca="false">IF($A284="","",IF(ISNUMBER(Varian!$M60),Varian!$M60,""))</f>
        <v/>
      </c>
      <c r="F284" s="69" t="str">
        <f aca="false">IF($A284="","",IF(ISNUMBER(Varian!$V60),Varian!$V60,""))</f>
        <v/>
      </c>
      <c r="G284" s="69" t="str">
        <f aca="false">IF($A284="","",IFERROR(INDEX(Aturan!$B$63:$B$66,MATCH(Varian!$AG60,Aturan!$A$63:$A$66,0)),""))</f>
        <v/>
      </c>
      <c r="H284" s="69" t="str">
        <f aca="false">IF($A284="","",IF(ISNUMBER(Varian!$AI60),Varian!$AI60,""))</f>
        <v/>
      </c>
      <c r="I284" s="33" t="str">
        <f aca="false">IF($A284="","",IF(Varian!$Q60="disolder","menempel di papan utama, tidak bisa ditambah",IF(OR(Varian!$Q60="slot",Varian!$Q60="setengah_disolder"),IF(Varian!$Q60="setengah_disolder","sebagian menempel, ","")&amp;IF(ISNUMBER(Varian!$U60),IF(AND(ISNUMBER(Varian!$M60),Varian!$U60&gt;Varian!$M60),"bisa dinaikkan lewat slot sampai "&amp;Varian!$U60&amp;" GB","sudah di batas maksimal "&amp;Varian!$U60&amp;" GB"),"ada slot, batas maksimalnya belum diketahui"),"belum diketahui apakah bisa ditambah")))</f>
        <v/>
      </c>
      <c r="J284" s="33" t="str">
        <f aca="false">IF($A284="","",IF(Varian!$Z60="ya","bisa diganti dengan yang lebih besar",IF(Varian!$Z60="tidak","menempel, tidak bisa diganti","belum diketahui apakah bisa diganti")))</f>
        <v/>
      </c>
      <c r="K284" s="70" t="str">
        <f aca="false">IF($A284="","",IF(AND(Aturan!$C$54="",Aturan!$D$54=""),"Tidak dinilai",IF(C284="","Belum ada data",IF(C284&lt;IF(Aturan!$C$54="",0,Aturan!$C$54),"Kurang",IF(C284&gt;=IF(Aturan!$D$54="",Aturan!$C$54,Aturan!$D$54),"Nyaman","Cukup")))))</f>
        <v/>
      </c>
      <c r="L284" s="70" t="str">
        <f aca="false">IF($A284="","",IF(AND(Aturan!$C$55="",Aturan!$D$55=""),"Tidak dinilai",IF(D284="","Belum ada data",IF(D284&lt;IF(Aturan!$C$55="",0,Aturan!$C$55),"Kurang",IF(D284&gt;=IF(Aturan!$D$55="",Aturan!$C$55,Aturan!$D$55),"Nyaman","Cukup")))))</f>
        <v/>
      </c>
      <c r="M284" s="70" t="str">
        <f aca="false">IF($A284="","",IF(AND(Aturan!$C$56="",Aturan!$D$56=""),"Tidak dinilai",IF(E284="","Belum ada data",IF(E284&lt;IF(Aturan!$C$56="",0,Aturan!$C$56),"Kurang",IF(E284&gt;=IF(Aturan!$D$56="",Aturan!$C$56,Aturan!$D$56),"Nyaman","Cukup")))))</f>
        <v/>
      </c>
      <c r="N284" s="70" t="str">
        <f aca="false">IF($A284="","",IF(AND(Aturan!$C$57="",Aturan!$D$57=""),"Tidak dinilai",IF(F284="","Belum ada data",IF(F284&lt;IF(Aturan!$C$57="",0,Aturan!$C$57),"Kurang",IF(F284&gt;=IF(Aturan!$D$57="",Aturan!$C$57,Aturan!$D$57),"Nyaman","Cukup")))))</f>
        <v/>
      </c>
      <c r="O284" s="70" t="str">
        <f aca="false">IF($A284="","",IF(AND(Aturan!$C$58="",Aturan!$D$58=""),"Tidak dinilai",IF(G284="","Belum ada data",IF(G284&lt;IF(Aturan!$C$58="",0,Aturan!$C$58),"Kurang",IF(G284&gt;=IF(Aturan!$D$58="",Aturan!$C$58,Aturan!$D$58),"Nyaman","Cukup")))))</f>
        <v/>
      </c>
      <c r="P284" s="70" t="str">
        <f aca="false">IF($A284="","",IF(AND(Aturan!$C$59="",Aturan!$D$59=""),"Tidak dinilai",IF(H284="","Belum ada data",IF(H284&lt;IF(Aturan!$C$59="",0,Aturan!$C$59),"Kurang",IF(H284&gt;=IF(Aturan!$D$59="",Aturan!$C$59,Aturan!$D$59),"Nyaman","Cukup")))))</f>
        <v/>
      </c>
      <c r="Q284" s="70" t="str">
        <f aca="false">IF($A284="","",IF(COUNTIF(K284:P284,"Tidak dinilai")=6,"Tidak dinilai",IF(COUNTIF(K284:P284,"Kurang")&gt;0,"Kurang cocok",IF(COUNTIF(K284:P284,"Belum ada data")&gt;0,"Data belum lengkap",IF(COUNTIF(K284:P284,"Cukup")&gt;0,"Bisa, dengan catatan","Cocok")))))</f>
        <v/>
      </c>
      <c r="R284" s="33" t="str">
        <f aca="false">IF($A284="","",IF(K284="Kurang","prosesor tingkat "&amp;C284&amp;" dari 5, di bawah batas minimal (tingkat "&amp;Aturan!$C$54&amp;")",IF(K284="Cukup","prosesor tingkat "&amp;C284&amp;" dari 5 cukup, nyamannya mulai tingkat "&amp;Aturan!$D$54,IF(K284="Belum ada data","tingkat prosesor belum diisi",""))))</f>
        <v/>
      </c>
      <c r="S284" s="33" t="str">
        <f aca="false">IF($A284="","",IF(L284="Kurang","grafis tingkat "&amp;D284&amp;" dari 5, di bawah batas minimal (tingkat "&amp;Aturan!$C$55&amp;")",IF(L284="Cukup","grafis tingkat "&amp;D284&amp;" dari 5 cukup, nyamannya mulai tingkat "&amp;Aturan!$D$55,IF(L284="Belum ada data","tingkat grafis belum diisi",""))))</f>
        <v/>
      </c>
      <c r="T284" s="33" t="str">
        <f aca="false">IF($A284="","",IF(M284="Kurang","RAM "&amp;E284&amp;" GB, di bawah batas minimal "&amp;Aturan!$C$56&amp;" GB ("&amp;I284&amp;")",IF(M284="Cukup","RAM "&amp;E284&amp;" GB cukup, nyamannya "&amp;Aturan!$D$56&amp;" GB atau lebih ("&amp;I284&amp;")",IF(M284="Belum ada data","ukuran RAM belum diisi",""))))</f>
        <v/>
      </c>
      <c r="U284" s="33" t="str">
        <f aca="false">IF($A284="","",IF(N284="Kurang","penyimpanan "&amp;F284&amp;" GB, di bawah batas minimal "&amp;Aturan!$C$57&amp;" GB ("&amp;J284&amp;")",IF(N284="Cukup","penyimpanan "&amp;F284&amp;" GB cukup, nyamannya "&amp;Aturan!$D$57&amp;" GB atau lebih ("&amp;J284&amp;")",IF(N284="Belum ada data","ukuran penyimpanan belum diisi",""))))</f>
        <v/>
      </c>
      <c r="V284" s="33" t="str">
        <f aca="false">IF($A284="","",IF(O284="Kurang","layar "&amp;Varian!$AG60&amp;", di bawah batas minimal ("&amp;IFERROR(INDEX(Aturan!$A$63:$A$66,MATCH(Aturan!$C$58,Aturan!$B$63:$B$66,0)),"peringkat "&amp;Aturan!$C$58)&amp;")",IF(O284="Cukup","layar "&amp;Varian!$AG60&amp;" cukup, nyamannya "&amp;IFERROR(INDEX(Aturan!$A$63:$A$66,MATCH(Aturan!$D$58,Aturan!$B$63:$B$66,0)),"peringkat "&amp;Aturan!$D$58),IF(O284="Belum ada data","jenis layar belum diketahui",""))))</f>
        <v/>
      </c>
      <c r="W284" s="33" t="str">
        <f aca="false">IF($A284="","",IF(P284="Kurang","layar "&amp;H284&amp;" Hz, di bawah batas minimal "&amp;Aturan!$C$59&amp;" Hz",IF(P284="Cukup","layar "&amp;H284&amp;" Hz cukup, nyamannya "&amp;Aturan!$D$59&amp;" Hz atau lebih",IF(P284="Belum ada data","refresh rate belum diketahui",""))))</f>
        <v/>
      </c>
      <c r="X284" s="33" t="str">
        <f aca="false">IF($A284="","",IF(K284="Kurang",R284&amp;"; ","")&amp;IF(L284="Kurang",S284&amp;"; ","")&amp;IF(M284="Kurang",T284&amp;"; ","")&amp;IF(N284="Kurang",U284&amp;"; ","")&amp;IF(O284="Kurang",V284&amp;"; ","")&amp;IF(P284="Kurang",W284&amp;"; ","")&amp;IF(K284="Belum ada data",R284&amp;"; ","")&amp;IF(L284="Belum ada data",S284&amp;"; ","")&amp;IF(M284="Belum ada data",T284&amp;"; ","")&amp;IF(N284="Belum ada data",U284&amp;"; ","")&amp;IF(O284="Belum ada data",V284&amp;"; ","")&amp;IF(P284="Belum ada data",W284&amp;"; ","")&amp;IF(K284="Cukup",R284&amp;"; ","")&amp;IF(L284="Cukup",S284&amp;"; ","")&amp;IF(M284="Cukup",T284&amp;"; ","")&amp;IF(N284="Cukup",U284&amp;"; ","")&amp;IF(O284="Cukup",V284&amp;"; ","")&amp;IF(P284="Cukup",W284&amp;"; ",""))</f>
        <v/>
      </c>
      <c r="Y284" s="33" t="str">
        <f aca="false">IF($A284="","",IF(K284="Nyaman","prosesor, ","")&amp;IF(L284="Nyaman","grafis, ","")&amp;IF(M284="Nyaman","RAM, ","")&amp;IF(N284="Nyaman","penyimpanan, ","")&amp;IF(O284="Nyaman","layar, ","")&amp;IF(P284="Nyaman","refresh rate, ",""))</f>
        <v/>
      </c>
      <c r="Z284" s="33" t="str">
        <f aca="false">IF($A284="","",IF(Q284="Tidak dinilai","Belum ada kriteria yang dinilai untuk kebutuhan ini.",IF(Q284="Cocok","Semua kriteria yang dinilai sudah nyaman: "&amp;LEFT(Y284,LEN(Y284)-2)&amp;".",UPPER(LEFT(X284,1))&amp;MID(X284,2,LEN(X284)-3)&amp;"."&amp;IF(Y284="",""," Sudah nyaman: "&amp;LEFT(Y284,LEN(Y284)-2)&amp;"."))))</f>
        <v/>
      </c>
      <c r="AA284" s="33"/>
      <c r="AB284" s="33"/>
      <c r="AC284" s="69"/>
    </row>
    <row r="285" customFormat="false" ht="15" hidden="false" customHeight="true" outlineLevel="0" collapsed="false">
      <c r="A285" s="66" t="str">
        <f aca="false">IF(Varian!$A61="","",Varian!$A61)</f>
        <v/>
      </c>
      <c r="B285" s="66" t="str">
        <f aca="false">IF($A285="","",Aturan!$A$21)</f>
        <v/>
      </c>
      <c r="C285" s="67" t="str">
        <f aca="false">IF($A285="","",IFERROR(IF(ISNUMBER(INDEX(CPU!$J$4:$J$64,MATCH(Varian!$J61,CPU!$A$4:$A$64,0))),INDEX(CPU!$J$4:$J$64,MATCH(Varian!$J61,CPU!$A$4:$A$64,0)),""),""))</f>
        <v/>
      </c>
      <c r="D285" s="67" t="str">
        <f aca="false">IF($A285="","",IFERROR(IF(ISNUMBER(INDEX(GPU!$G$4:$G$64,MATCH(Varian!$K61,GPU!$A$4:$A$64,0))),INDEX(GPU!$G$4:$G$64,MATCH(Varian!$K61,GPU!$A$4:$A$64,0)),""),""))</f>
        <v/>
      </c>
      <c r="E285" s="67" t="str">
        <f aca="false">IF($A285="","",IF(ISNUMBER(Varian!$M61),Varian!$M61,""))</f>
        <v/>
      </c>
      <c r="F285" s="67" t="str">
        <f aca="false">IF($A285="","",IF(ISNUMBER(Varian!$V61),Varian!$V61,""))</f>
        <v/>
      </c>
      <c r="G285" s="67" t="str">
        <f aca="false">IF($A285="","",IFERROR(INDEX(Aturan!$B$63:$B$66,MATCH(Varian!$AG61,Aturan!$A$63:$A$66,0)),""))</f>
        <v/>
      </c>
      <c r="H285" s="67" t="str">
        <f aca="false">IF($A285="","",IF(ISNUMBER(Varian!$AI61),Varian!$AI61,""))</f>
        <v/>
      </c>
      <c r="I285" s="66" t="str">
        <f aca="false">IF($A285="","",IF(Varian!$Q61="disolder","menempel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5" s="66" t="str">
        <f aca="false">IF($A285="","",IF(Varian!$Z61="ya","bisa diganti dengan yang lebih besar",IF(Varian!$Z61="tidak","menempel, tidak bisa diganti","belum diketahui apakah bisa diganti")))</f>
        <v/>
      </c>
      <c r="K285" s="68" t="str">
        <f aca="false">IF($A285="","",IF(AND(Aturan!$C$30="",Aturan!$D$30=""),"Tidak dinilai",IF(C285="","Belum ada data",IF(C285&lt;IF(Aturan!$C$30="",0,Aturan!$C$30),"Kurang",IF(C285&gt;=IF(Aturan!$D$30="",Aturan!$C$30,Aturan!$D$30),"Nyaman","Cukup")))))</f>
        <v/>
      </c>
      <c r="L285" s="68" t="str">
        <f aca="false">IF($A285="","",IF(AND(Aturan!$C$31="",Aturan!$D$31=""),"Tidak dinilai",IF(D285="","Belum ada data",IF(D285&lt;IF(Aturan!$C$31="",0,Aturan!$C$31),"Kurang",IF(D285&gt;=IF(Aturan!$D$31="",Aturan!$C$31,Aturan!$D$31),"Nyaman","Cukup")))))</f>
        <v/>
      </c>
      <c r="M285" s="68" t="str">
        <f aca="false">IF($A285="","",IF(AND(Aturan!$C$32="",Aturan!$D$32=""),"Tidak dinilai",IF(E285="","Belum ada data",IF(E285&lt;IF(Aturan!$C$32="",0,Aturan!$C$32),"Kurang",IF(E285&gt;=IF(Aturan!$D$32="",Aturan!$C$32,Aturan!$D$32),"Nyaman","Cukup")))))</f>
        <v/>
      </c>
      <c r="N285" s="68" t="str">
        <f aca="false">IF($A285="","",IF(AND(Aturan!$C$33="",Aturan!$D$33=""),"Tidak dinilai",IF(F285="","Belum ada data",IF(F285&lt;IF(Aturan!$C$33="",0,Aturan!$C$33),"Kurang",IF(F285&gt;=IF(Aturan!$D$33="",Aturan!$C$33,Aturan!$D$33),"Nyaman","Cukup")))))</f>
        <v/>
      </c>
      <c r="O285" s="68" t="str">
        <f aca="false">IF($A285="","",IF(AND(Aturan!$C$34="",Aturan!$D$34=""),"Tidak dinilai",IF(G285="","Belum ada data",IF(G285&lt;IF(Aturan!$C$34="",0,Aturan!$C$34),"Kurang",IF(G285&gt;=IF(Aturan!$D$34="",Aturan!$C$34,Aturan!$D$34),"Nyaman","Cukup")))))</f>
        <v/>
      </c>
      <c r="P285" s="68" t="str">
        <f aca="false">IF($A285="","",IF(AND(Aturan!$C$35="",Aturan!$D$35=""),"Tidak dinilai",IF(H285="","Belum ada data",IF(H285&lt;IF(Aturan!$C$35="",0,Aturan!$C$35),"Kurang",IF(H285&gt;=IF(Aturan!$D$35="",Aturan!$C$35,Aturan!$D$35),"Nyaman","Cukup")))))</f>
        <v/>
      </c>
      <c r="Q285" s="68" t="str">
        <f aca="false">IF($A285="","",IF(COUNTIF(K285:P285,"Tidak dinilai")=6,"Tidak dinilai",IF(COUNTIF(K285:P285,"Kurang")&gt;0,"Kurang cocok",IF(COUNTIF(K285:P285,"Belum ada data")&gt;0,"Data belum lengkap",IF(COUNTIF(K285:P285,"Cukup")&gt;0,"Bisa, dengan catatan","Cocok")))))</f>
        <v/>
      </c>
      <c r="R285" s="66" t="str">
        <f aca="false">IF($A285="","",IF(K285="Kurang","prosesor tingkat "&amp;C285&amp;" dari 5, di bawah batas minimal (tingkat "&amp;Aturan!$C$30&amp;")",IF(K285="Cukup","prosesor tingkat "&amp;C285&amp;" dari 5 cukup, nyamannya mulai tingkat "&amp;Aturan!$D$30,IF(K285="Belum ada data","tingkat prosesor belum diisi",""))))</f>
        <v/>
      </c>
      <c r="S285" s="66" t="str">
        <f aca="false">IF($A285="","",IF(L285="Kurang","grafis tingkat "&amp;D285&amp;" dari 5, di bawah batas minimal (tingkat "&amp;Aturan!$C$31&amp;")",IF(L285="Cukup","grafis tingkat "&amp;D285&amp;" dari 5 cukup, nyamannya mulai tingkat "&amp;Aturan!$D$31,IF(L285="Belum ada data","tingkat grafis belum diisi",""))))</f>
        <v/>
      </c>
      <c r="T285" s="66" t="str">
        <f aca="false">IF($A285="","",IF(M285="Kurang","RAM "&amp;E285&amp;" GB, di bawah batas minimal "&amp;Aturan!$C$32&amp;" GB ("&amp;I285&amp;")",IF(M285="Cukup","RAM "&amp;E285&amp;" GB cukup, nyamannya "&amp;Aturan!$D$32&amp;" GB atau lebih ("&amp;I285&amp;")",IF(M285="Belum ada data","ukuran RAM belum diisi",""))))</f>
        <v/>
      </c>
      <c r="U285" s="66" t="str">
        <f aca="false">IF($A285="","",IF(N285="Kurang","penyimpanan "&amp;F285&amp;" GB, di bawah batas minimal "&amp;Aturan!$C$33&amp;" GB ("&amp;J285&amp;")",IF(N285="Cukup","penyimpanan "&amp;F285&amp;" GB cukup, nyamannya "&amp;Aturan!$D$33&amp;" GB atau lebih ("&amp;J285&amp;")",IF(N285="Belum ada data","ukuran penyimpanan belum diisi",""))))</f>
        <v/>
      </c>
      <c r="V285" s="66" t="str">
        <f aca="false">IF($A285="","",IF(O285="Kurang","layar "&amp;Varian!$AG61&amp;", di bawah batas minimal ("&amp;IFERROR(INDEX(Aturan!$A$63:$A$66,MATCH(Aturan!$C$34,Aturan!$B$63:$B$66,0)),"peringkat "&amp;Aturan!$C$34)&amp;")",IF(O285="Cukup","layar "&amp;Varian!$AG61&amp;" cukup, nyamannya "&amp;IFERROR(INDEX(Aturan!$A$63:$A$66,MATCH(Aturan!$D$34,Aturan!$B$63:$B$66,0)),"peringkat "&amp;Aturan!$D$34),IF(O285="Belum ada data","jenis layar belum diketahui",""))))</f>
        <v/>
      </c>
      <c r="W285" s="66" t="str">
        <f aca="false">IF($A285="","",IF(P285="Kurang","layar "&amp;H285&amp;" Hz, di bawah batas minimal "&amp;Aturan!$C$35&amp;" Hz",IF(P285="Cukup","layar "&amp;H285&amp;" Hz cukup, nyamannya "&amp;Aturan!$D$35&amp;" Hz atau lebih",IF(P285="Belum ada data","refresh rate belum diketahui",""))))</f>
        <v/>
      </c>
      <c r="X285" s="66" t="str">
        <f aca="false">IF($A285="","",IF(K285="Kurang",R285&amp;"; ","")&amp;IF(L285="Kurang",S285&amp;"; ","")&amp;IF(M285="Kurang",T285&amp;"; ","")&amp;IF(N285="Kurang",U285&amp;"; ","")&amp;IF(O285="Kurang",V285&amp;"; ","")&amp;IF(P285="Kurang",W285&amp;"; ","")&amp;IF(K285="Belum ada data",R285&amp;"; ","")&amp;IF(L285="Belum ada data",S285&amp;"; ","")&amp;IF(M285="Belum ada data",T285&amp;"; ","")&amp;IF(N285="Belum ada data",U285&amp;"; ","")&amp;IF(O285="Belum ada data",V285&amp;"; ","")&amp;IF(P285="Belum ada data",W285&amp;"; ","")&amp;IF(K285="Cukup",R285&amp;"; ","")&amp;IF(L285="Cukup",S285&amp;"; ","")&amp;IF(M285="Cukup",T285&amp;"; ","")&amp;IF(N285="Cukup",U285&amp;"; ","")&amp;IF(O285="Cukup",V285&amp;"; ","")&amp;IF(P285="Cukup",W285&amp;"; ",""))</f>
        <v/>
      </c>
      <c r="Y285" s="66" t="str">
        <f aca="false">IF($A285="","",IF(K285="Nyaman","prosesor, ","")&amp;IF(L285="Nyaman","grafis, ","")&amp;IF(M285="Nyaman","RAM, ","")&amp;IF(N285="Nyaman","penyimpanan, ","")&amp;IF(O285="Nyaman","layar, ","")&amp;IF(P285="Nyaman","refresh rate, ",""))</f>
        <v/>
      </c>
      <c r="Z285" s="66" t="str">
        <f aca="false">IF($A285="","",IF(Q285="Tidak dinilai","Belum ada kriteria yang dinilai untuk kebutuhan ini.",IF(Q285="Cocok","Semua kriteria yang dinilai sudah nyaman: "&amp;LEFT(Y285,LEN(Y285)-2)&amp;".",UPPER(LEFT(X285,1))&amp;MID(X285,2,LEN(X285)-3)&amp;"."&amp;IF(Y285="",""," Sudah nyaman: "&amp;LEFT(Y285,LEN(Y285)-2)&amp;"."))))</f>
        <v/>
      </c>
      <c r="AA285" s="66" t="str">
        <f aca="false">IF($A285="","",IF(Varian!$AR61="Windows 10","• "&amp;Aturan!$E$71&amp;CHAR(10),"")&amp;IF(Varian!$BB61="tidak","• "&amp;Aturan!$E$72&amp;CHAR(10),"")&amp;IF(OR(Varian!$AD61="belum terverifikasi",Varian!$AD61="tidak diketahui"),"• "&amp;Aturan!$E$73&amp;CHAR(10),"")&amp;IF(Varian!$AH61="1366x768","• "&amp;Aturan!$E$74&amp;CHAR(10),"")&amp;IF(Varian!$AG61="TN","• "&amp;Aturan!$E$75&amp;CHAR(10),"")&amp;IF(AND(Varian!$Q61="disolder",ISNUMBER(Varian!$M61),Varian!$M61&lt;=8),"• "&amp;Aturan!$E$76&amp;CHAR(10),""))</f>
        <v/>
      </c>
      <c r="AB285" s="66" t="str">
        <f aca="false">IF($A285="","",IF(AA285="","",LEFT(AA285,LEN(AA285)-1)))</f>
        <v/>
      </c>
      <c r="AC285" s="67" t="str">
        <f aca="false">IF($A285="","",IF(AA285="",0,LEN(AA285)-LEN(SUBSTITUTE(AA285,CHAR(10),""))))</f>
        <v/>
      </c>
    </row>
    <row r="286" customFormat="false" ht="15" hidden="false" customHeight="true" outlineLevel="0" collapsed="false">
      <c r="A286" s="33" t="str">
        <f aca="false">IF(Varian!$A61="","",Varian!$A61)</f>
        <v/>
      </c>
      <c r="B286" s="33" t="str">
        <f aca="false">IF($A286="","",Aturan!$A$22)</f>
        <v/>
      </c>
      <c r="C286" s="69" t="str">
        <f aca="false">IF($A286="","",IFERROR(IF(ISNUMBER(INDEX(CPU!$J$4:$J$64,MATCH(Varian!$J61,CPU!$A$4:$A$64,0))),INDEX(CPU!$J$4:$J$64,MATCH(Varian!$J61,CPU!$A$4:$A$64,0)),""),""))</f>
        <v/>
      </c>
      <c r="D286" s="69" t="str">
        <f aca="false">IF($A286="","",IFERROR(IF(ISNUMBER(INDEX(GPU!$G$4:$G$64,MATCH(Varian!$K61,GPU!$A$4:$A$64,0))),INDEX(GPU!$G$4:$G$64,MATCH(Varian!$K61,GPU!$A$4:$A$64,0)),""),""))</f>
        <v/>
      </c>
      <c r="E286" s="69" t="str">
        <f aca="false">IF($A286="","",IF(ISNUMBER(Varian!$M61),Varian!$M61,""))</f>
        <v/>
      </c>
      <c r="F286" s="69" t="str">
        <f aca="false">IF($A286="","",IF(ISNUMBER(Varian!$V61),Varian!$V61,""))</f>
        <v/>
      </c>
      <c r="G286" s="69" t="str">
        <f aca="false">IF($A286="","",IFERROR(INDEX(Aturan!$B$63:$B$66,MATCH(Varian!$AG61,Aturan!$A$63:$A$66,0)),""))</f>
        <v/>
      </c>
      <c r="H286" s="69" t="str">
        <f aca="false">IF($A286="","",IF(ISNUMBER(Varian!$AI61),Varian!$AI61,""))</f>
        <v/>
      </c>
      <c r="I286" s="33" t="str">
        <f aca="false">IF($A286="","",IF(Varian!$Q61="disolder","menempel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6" s="33" t="str">
        <f aca="false">IF($A286="","",IF(Varian!$Z61="ya","bisa diganti dengan yang lebih besar",IF(Varian!$Z61="tidak","menempel, tidak bisa diganti","belum diketahui apakah bisa diganti")))</f>
        <v/>
      </c>
      <c r="K286" s="70" t="str">
        <f aca="false">IF($A286="","",IF(AND(Aturan!$C$36="",Aturan!$D$36=""),"Tidak dinilai",IF(C286="","Belum ada data",IF(C286&lt;IF(Aturan!$C$36="",0,Aturan!$C$36),"Kurang",IF(C286&gt;=IF(Aturan!$D$36="",Aturan!$C$36,Aturan!$D$36),"Nyaman","Cukup")))))</f>
        <v/>
      </c>
      <c r="L286" s="70" t="str">
        <f aca="false">IF($A286="","",IF(AND(Aturan!$C$37="",Aturan!$D$37=""),"Tidak dinilai",IF(D286="","Belum ada data",IF(D286&lt;IF(Aturan!$C$37="",0,Aturan!$C$37),"Kurang",IF(D286&gt;=IF(Aturan!$D$37="",Aturan!$C$37,Aturan!$D$37),"Nyaman","Cukup")))))</f>
        <v/>
      </c>
      <c r="M286" s="70" t="str">
        <f aca="false">IF($A286="","",IF(AND(Aturan!$C$38="",Aturan!$D$38=""),"Tidak dinilai",IF(E286="","Belum ada data",IF(E286&lt;IF(Aturan!$C$38="",0,Aturan!$C$38),"Kurang",IF(E286&gt;=IF(Aturan!$D$38="",Aturan!$C$38,Aturan!$D$38),"Nyaman","Cukup")))))</f>
        <v/>
      </c>
      <c r="N286" s="70" t="str">
        <f aca="false">IF($A286="","",IF(AND(Aturan!$C$39="",Aturan!$D$39=""),"Tidak dinilai",IF(F286="","Belum ada data",IF(F286&lt;IF(Aturan!$C$39="",0,Aturan!$C$39),"Kurang",IF(F286&gt;=IF(Aturan!$D$39="",Aturan!$C$39,Aturan!$D$39),"Nyaman","Cukup")))))</f>
        <v/>
      </c>
      <c r="O286" s="70" t="str">
        <f aca="false">IF($A286="","",IF(AND(Aturan!$C$40="",Aturan!$D$40=""),"Tidak dinilai",IF(G286="","Belum ada data",IF(G286&lt;IF(Aturan!$C$40="",0,Aturan!$C$40),"Kurang",IF(G286&gt;=IF(Aturan!$D$40="",Aturan!$C$40,Aturan!$D$40),"Nyaman","Cukup")))))</f>
        <v/>
      </c>
      <c r="P286" s="70" t="str">
        <f aca="false">IF($A286="","",IF(AND(Aturan!$C$41="",Aturan!$D$41=""),"Tidak dinilai",IF(H286="","Belum ada data",IF(H286&lt;IF(Aturan!$C$41="",0,Aturan!$C$41),"Kurang",IF(H286&gt;=IF(Aturan!$D$41="",Aturan!$C$41,Aturan!$D$41),"Nyaman","Cukup")))))</f>
        <v/>
      </c>
      <c r="Q286" s="70" t="str">
        <f aca="false">IF($A286="","",IF(COUNTIF(K286:P286,"Tidak dinilai")=6,"Tidak dinilai",IF(COUNTIF(K286:P286,"Kurang")&gt;0,"Kurang cocok",IF(COUNTIF(K286:P286,"Belum ada data")&gt;0,"Data belum lengkap",IF(COUNTIF(K286:P286,"Cukup")&gt;0,"Bisa, dengan catatan","Cocok")))))</f>
        <v/>
      </c>
      <c r="R286" s="33" t="str">
        <f aca="false">IF($A286="","",IF(K286="Kurang","prosesor tingkat "&amp;C286&amp;" dari 5, di bawah batas minimal (tingkat "&amp;Aturan!$C$36&amp;")",IF(K286="Cukup","prosesor tingkat "&amp;C286&amp;" dari 5 cukup, nyamannya mulai tingkat "&amp;Aturan!$D$36,IF(K286="Belum ada data","tingkat prosesor belum diisi",""))))</f>
        <v/>
      </c>
      <c r="S286" s="33" t="str">
        <f aca="false">IF($A286="","",IF(L286="Kurang","grafis tingkat "&amp;D286&amp;" dari 5, di bawah batas minimal (tingkat "&amp;Aturan!$C$37&amp;")",IF(L286="Cukup","grafis tingkat "&amp;D286&amp;" dari 5 cukup, nyamannya mulai tingkat "&amp;Aturan!$D$37,IF(L286="Belum ada data","tingkat grafis belum diisi",""))))</f>
        <v/>
      </c>
      <c r="T286" s="33" t="str">
        <f aca="false">IF($A286="","",IF(M286="Kurang","RAM "&amp;E286&amp;" GB, di bawah batas minimal "&amp;Aturan!$C$38&amp;" GB ("&amp;I286&amp;")",IF(M286="Cukup","RAM "&amp;E286&amp;" GB cukup, nyamannya "&amp;Aturan!$D$38&amp;" GB atau lebih ("&amp;I286&amp;")",IF(M286="Belum ada data","ukuran RAM belum diisi",""))))</f>
        <v/>
      </c>
      <c r="U286" s="33" t="str">
        <f aca="false">IF($A286="","",IF(N286="Kurang","penyimpanan "&amp;F286&amp;" GB, di bawah batas minimal "&amp;Aturan!$C$39&amp;" GB ("&amp;J286&amp;")",IF(N286="Cukup","penyimpanan "&amp;F286&amp;" GB cukup, nyamannya "&amp;Aturan!$D$39&amp;" GB atau lebih ("&amp;J286&amp;")",IF(N286="Belum ada data","ukuran penyimpanan belum diisi",""))))</f>
        <v/>
      </c>
      <c r="V286" s="33" t="str">
        <f aca="false">IF($A286="","",IF(O286="Kurang","layar "&amp;Varian!$AG61&amp;", di bawah batas minimal ("&amp;IFERROR(INDEX(Aturan!$A$63:$A$66,MATCH(Aturan!$C$40,Aturan!$B$63:$B$66,0)),"peringkat "&amp;Aturan!$C$40)&amp;")",IF(O286="Cukup","layar "&amp;Varian!$AG61&amp;" cukup, nyamannya "&amp;IFERROR(INDEX(Aturan!$A$63:$A$66,MATCH(Aturan!$D$40,Aturan!$B$63:$B$66,0)),"peringkat "&amp;Aturan!$D$40),IF(O286="Belum ada data","jenis layar belum diketahui",""))))</f>
        <v/>
      </c>
      <c r="W286" s="33" t="str">
        <f aca="false">IF($A286="","",IF(P286="Kurang","layar "&amp;H286&amp;" Hz, di bawah batas minimal "&amp;Aturan!$C$41&amp;" Hz",IF(P286="Cukup","layar "&amp;H286&amp;" Hz cukup, nyamannya "&amp;Aturan!$D$41&amp;" Hz atau lebih",IF(P286="Belum ada data","refresh rate belum diketahui",""))))</f>
        <v/>
      </c>
      <c r="X286" s="33" t="str">
        <f aca="false">IF($A286="","",IF(K286="Kurang",R286&amp;"; ","")&amp;IF(L286="Kurang",S286&amp;"; ","")&amp;IF(M286="Kurang",T286&amp;"; ","")&amp;IF(N286="Kurang",U286&amp;"; ","")&amp;IF(O286="Kurang",V286&amp;"; ","")&amp;IF(P286="Kurang",W286&amp;"; ","")&amp;IF(K286="Belum ada data",R286&amp;"; ","")&amp;IF(L286="Belum ada data",S286&amp;"; ","")&amp;IF(M286="Belum ada data",T286&amp;"; ","")&amp;IF(N286="Belum ada data",U286&amp;"; ","")&amp;IF(O286="Belum ada data",V286&amp;"; ","")&amp;IF(P286="Belum ada data",W286&amp;"; ","")&amp;IF(K286="Cukup",R286&amp;"; ","")&amp;IF(L286="Cukup",S286&amp;"; ","")&amp;IF(M286="Cukup",T286&amp;"; ","")&amp;IF(N286="Cukup",U286&amp;"; ","")&amp;IF(O286="Cukup",V286&amp;"; ","")&amp;IF(P286="Cukup",W286&amp;"; ",""))</f>
        <v/>
      </c>
      <c r="Y286" s="33" t="str">
        <f aca="false">IF($A286="","",IF(K286="Nyaman","prosesor, ","")&amp;IF(L286="Nyaman","grafis, ","")&amp;IF(M286="Nyaman","RAM, ","")&amp;IF(N286="Nyaman","penyimpanan, ","")&amp;IF(O286="Nyaman","layar, ","")&amp;IF(P286="Nyaman","refresh rate, ",""))</f>
        <v/>
      </c>
      <c r="Z286" s="33" t="str">
        <f aca="false">IF($A286="","",IF(Q286="Tidak dinilai","Belum ada kriteria yang dinilai untuk kebutuhan ini.",IF(Q286="Cocok","Semua kriteria yang dinilai sudah nyaman: "&amp;LEFT(Y286,LEN(Y286)-2)&amp;".",UPPER(LEFT(X286,1))&amp;MID(X286,2,LEN(X286)-3)&amp;"."&amp;IF(Y286="",""," Sudah nyaman: "&amp;LEFT(Y286,LEN(Y286)-2)&amp;"."))))</f>
        <v/>
      </c>
      <c r="AA286" s="33"/>
      <c r="AB286" s="33"/>
      <c r="AC286" s="69"/>
    </row>
    <row r="287" customFormat="false" ht="15" hidden="false" customHeight="true" outlineLevel="0" collapsed="false">
      <c r="A287" s="33" t="str">
        <f aca="false">IF(Varian!$A61="","",Varian!$A61)</f>
        <v/>
      </c>
      <c r="B287" s="33" t="str">
        <f aca="false">IF($A287="","",Aturan!$A$23)</f>
        <v/>
      </c>
      <c r="C287" s="69" t="str">
        <f aca="false">IF($A287="","",IFERROR(IF(ISNUMBER(INDEX(CPU!$J$4:$J$64,MATCH(Varian!$J61,CPU!$A$4:$A$64,0))),INDEX(CPU!$J$4:$J$64,MATCH(Varian!$J61,CPU!$A$4:$A$64,0)),""),""))</f>
        <v/>
      </c>
      <c r="D287" s="69" t="str">
        <f aca="false">IF($A287="","",IFERROR(IF(ISNUMBER(INDEX(GPU!$G$4:$G$64,MATCH(Varian!$K61,GPU!$A$4:$A$64,0))),INDEX(GPU!$G$4:$G$64,MATCH(Varian!$K61,GPU!$A$4:$A$64,0)),""),""))</f>
        <v/>
      </c>
      <c r="E287" s="69" t="str">
        <f aca="false">IF($A287="","",IF(ISNUMBER(Varian!$M61),Varian!$M61,""))</f>
        <v/>
      </c>
      <c r="F287" s="69" t="str">
        <f aca="false">IF($A287="","",IF(ISNUMBER(Varian!$V61),Varian!$V61,""))</f>
        <v/>
      </c>
      <c r="G287" s="69" t="str">
        <f aca="false">IF($A287="","",IFERROR(INDEX(Aturan!$B$63:$B$66,MATCH(Varian!$AG61,Aturan!$A$63:$A$66,0)),""))</f>
        <v/>
      </c>
      <c r="H287" s="69" t="str">
        <f aca="false">IF($A287="","",IF(ISNUMBER(Varian!$AI61),Varian!$AI61,""))</f>
        <v/>
      </c>
      <c r="I287" s="33" t="str">
        <f aca="false">IF($A287="","",IF(Varian!$Q61="disolder","menempel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7" s="33" t="str">
        <f aca="false">IF($A287="","",IF(Varian!$Z61="ya","bisa diganti dengan yang lebih besar",IF(Varian!$Z61="tidak","menempel, tidak bisa diganti","belum diketahui apakah bisa diganti")))</f>
        <v/>
      </c>
      <c r="K287" s="70" t="str">
        <f aca="false">IF($A287="","",IF(AND(Aturan!$C$42="",Aturan!$D$42=""),"Tidak dinilai",IF(C287="","Belum ada data",IF(C287&lt;IF(Aturan!$C$42="",0,Aturan!$C$42),"Kurang",IF(C287&gt;=IF(Aturan!$D$42="",Aturan!$C$42,Aturan!$D$42),"Nyaman","Cukup")))))</f>
        <v/>
      </c>
      <c r="L287" s="70" t="str">
        <f aca="false">IF($A287="","",IF(AND(Aturan!$C$43="",Aturan!$D$43=""),"Tidak dinilai",IF(D287="","Belum ada data",IF(D287&lt;IF(Aturan!$C$43="",0,Aturan!$C$43),"Kurang",IF(D287&gt;=IF(Aturan!$D$43="",Aturan!$C$43,Aturan!$D$43),"Nyaman","Cukup")))))</f>
        <v/>
      </c>
      <c r="M287" s="70" t="str">
        <f aca="false">IF($A287="","",IF(AND(Aturan!$C$44="",Aturan!$D$44=""),"Tidak dinilai",IF(E287="","Belum ada data",IF(E287&lt;IF(Aturan!$C$44="",0,Aturan!$C$44),"Kurang",IF(E287&gt;=IF(Aturan!$D$44="",Aturan!$C$44,Aturan!$D$44),"Nyaman","Cukup")))))</f>
        <v/>
      </c>
      <c r="N287" s="70" t="str">
        <f aca="false">IF($A287="","",IF(AND(Aturan!$C$45="",Aturan!$D$45=""),"Tidak dinilai",IF(F287="","Belum ada data",IF(F287&lt;IF(Aturan!$C$45="",0,Aturan!$C$45),"Kurang",IF(F287&gt;=IF(Aturan!$D$45="",Aturan!$C$45,Aturan!$D$45),"Nyaman","Cukup")))))</f>
        <v/>
      </c>
      <c r="O287" s="70" t="str">
        <f aca="false">IF($A287="","",IF(AND(Aturan!$C$46="",Aturan!$D$46=""),"Tidak dinilai",IF(G287="","Belum ada data",IF(G287&lt;IF(Aturan!$C$46="",0,Aturan!$C$46),"Kurang",IF(G287&gt;=IF(Aturan!$D$46="",Aturan!$C$46,Aturan!$D$46),"Nyaman","Cukup")))))</f>
        <v/>
      </c>
      <c r="P287" s="70" t="str">
        <f aca="false">IF($A287="","",IF(AND(Aturan!$C$47="",Aturan!$D$47=""),"Tidak dinilai",IF(H287="","Belum ada data",IF(H287&lt;IF(Aturan!$C$47="",0,Aturan!$C$47),"Kurang",IF(H287&gt;=IF(Aturan!$D$47="",Aturan!$C$47,Aturan!$D$47),"Nyaman","Cukup")))))</f>
        <v/>
      </c>
      <c r="Q287" s="70" t="str">
        <f aca="false">IF($A287="","",IF(COUNTIF(K287:P287,"Tidak dinilai")=6,"Tidak dinilai",IF(COUNTIF(K287:P287,"Kurang")&gt;0,"Kurang cocok",IF(COUNTIF(K287:P287,"Belum ada data")&gt;0,"Data belum lengkap",IF(COUNTIF(K287:P287,"Cukup")&gt;0,"Bisa, dengan catatan","Cocok")))))</f>
        <v/>
      </c>
      <c r="R287" s="33" t="str">
        <f aca="false">IF($A287="","",IF(K287="Kurang","prosesor tingkat "&amp;C287&amp;" dari 5, di bawah batas minimal (tingkat "&amp;Aturan!$C$42&amp;")",IF(K287="Cukup","prosesor tingkat "&amp;C287&amp;" dari 5 cukup, nyamannya mulai tingkat "&amp;Aturan!$D$42,IF(K287="Belum ada data","tingkat prosesor belum diisi",""))))</f>
        <v/>
      </c>
      <c r="S287" s="33" t="str">
        <f aca="false">IF($A287="","",IF(L287="Kurang","grafis tingkat "&amp;D287&amp;" dari 5, di bawah batas minimal (tingkat "&amp;Aturan!$C$43&amp;")",IF(L287="Cukup","grafis tingkat "&amp;D287&amp;" dari 5 cukup, nyamannya mulai tingkat "&amp;Aturan!$D$43,IF(L287="Belum ada data","tingkat grafis belum diisi",""))))</f>
        <v/>
      </c>
      <c r="T287" s="33" t="str">
        <f aca="false">IF($A287="","",IF(M287="Kurang","RAM "&amp;E287&amp;" GB, di bawah batas minimal "&amp;Aturan!$C$44&amp;" GB ("&amp;I287&amp;")",IF(M287="Cukup","RAM "&amp;E287&amp;" GB cukup, nyamannya "&amp;Aturan!$D$44&amp;" GB atau lebih ("&amp;I287&amp;")",IF(M287="Belum ada data","ukuran RAM belum diisi",""))))</f>
        <v/>
      </c>
      <c r="U287" s="33" t="str">
        <f aca="false">IF($A287="","",IF(N287="Kurang","penyimpanan "&amp;F287&amp;" GB, di bawah batas minimal "&amp;Aturan!$C$45&amp;" GB ("&amp;J287&amp;")",IF(N287="Cukup","penyimpanan "&amp;F287&amp;" GB cukup, nyamannya "&amp;Aturan!$D$45&amp;" GB atau lebih ("&amp;J287&amp;")",IF(N287="Belum ada data","ukuran penyimpanan belum diisi",""))))</f>
        <v/>
      </c>
      <c r="V287" s="33" t="str">
        <f aca="false">IF($A287="","",IF(O287="Kurang","layar "&amp;Varian!$AG61&amp;", di bawah batas minimal ("&amp;IFERROR(INDEX(Aturan!$A$63:$A$66,MATCH(Aturan!$C$46,Aturan!$B$63:$B$66,0)),"peringkat "&amp;Aturan!$C$46)&amp;")",IF(O287="Cukup","layar "&amp;Varian!$AG61&amp;" cukup, nyamannya "&amp;IFERROR(INDEX(Aturan!$A$63:$A$66,MATCH(Aturan!$D$46,Aturan!$B$63:$B$66,0)),"peringkat "&amp;Aturan!$D$46),IF(O287="Belum ada data","jenis layar belum diketahui",""))))</f>
        <v/>
      </c>
      <c r="W287" s="33" t="str">
        <f aca="false">IF($A287="","",IF(P287="Kurang","layar "&amp;H287&amp;" Hz, di bawah batas minimal "&amp;Aturan!$C$47&amp;" Hz",IF(P287="Cukup","layar "&amp;H287&amp;" Hz cukup, nyamannya "&amp;Aturan!$D$47&amp;" Hz atau lebih",IF(P287="Belum ada data","refresh rate belum diketahui",""))))</f>
        <v/>
      </c>
      <c r="X287" s="33" t="str">
        <f aca="false">IF($A287="","",IF(K287="Kurang",R287&amp;"; ","")&amp;IF(L287="Kurang",S287&amp;"; ","")&amp;IF(M287="Kurang",T287&amp;"; ","")&amp;IF(N287="Kurang",U287&amp;"; ","")&amp;IF(O287="Kurang",V287&amp;"; ","")&amp;IF(P287="Kurang",W287&amp;"; ","")&amp;IF(K287="Belum ada data",R287&amp;"; ","")&amp;IF(L287="Belum ada data",S287&amp;"; ","")&amp;IF(M287="Belum ada data",T287&amp;"; ","")&amp;IF(N287="Belum ada data",U287&amp;"; ","")&amp;IF(O287="Belum ada data",V287&amp;"; ","")&amp;IF(P287="Belum ada data",W287&amp;"; ","")&amp;IF(K287="Cukup",R287&amp;"; ","")&amp;IF(L287="Cukup",S287&amp;"; ","")&amp;IF(M287="Cukup",T287&amp;"; ","")&amp;IF(N287="Cukup",U287&amp;"; ","")&amp;IF(O287="Cukup",V287&amp;"; ","")&amp;IF(P287="Cukup",W287&amp;"; ",""))</f>
        <v/>
      </c>
      <c r="Y287" s="33" t="str">
        <f aca="false">IF($A287="","",IF(K287="Nyaman","prosesor, ","")&amp;IF(L287="Nyaman","grafis, ","")&amp;IF(M287="Nyaman","RAM, ","")&amp;IF(N287="Nyaman","penyimpanan, ","")&amp;IF(O287="Nyaman","layar, ","")&amp;IF(P287="Nyaman","refresh rate, ",""))</f>
        <v/>
      </c>
      <c r="Z287" s="33" t="str">
        <f aca="false">IF($A287="","",IF(Q287="Tidak dinilai","Belum ada kriteria yang dinilai untuk kebutuhan ini.",IF(Q287="Cocok","Semua kriteria yang dinilai sudah nyaman: "&amp;LEFT(Y287,LEN(Y287)-2)&amp;".",UPPER(LEFT(X287,1))&amp;MID(X287,2,LEN(X287)-3)&amp;"."&amp;IF(Y287="",""," Sudah nyaman: "&amp;LEFT(Y287,LEN(Y287)-2)&amp;"."))))</f>
        <v/>
      </c>
      <c r="AA287" s="33"/>
      <c r="AB287" s="33"/>
      <c r="AC287" s="69"/>
    </row>
    <row r="288" customFormat="false" ht="15" hidden="false" customHeight="true" outlineLevel="0" collapsed="false">
      <c r="A288" s="33" t="str">
        <f aca="false">IF(Varian!$A61="","",Varian!$A61)</f>
        <v/>
      </c>
      <c r="B288" s="33" t="str">
        <f aca="false">IF($A288="","",Aturan!$A$24)</f>
        <v/>
      </c>
      <c r="C288" s="69" t="str">
        <f aca="false">IF($A288="","",IFERROR(IF(ISNUMBER(INDEX(CPU!$J$4:$J$64,MATCH(Varian!$J61,CPU!$A$4:$A$64,0))),INDEX(CPU!$J$4:$J$64,MATCH(Varian!$J61,CPU!$A$4:$A$64,0)),""),""))</f>
        <v/>
      </c>
      <c r="D288" s="69" t="str">
        <f aca="false">IF($A288="","",IFERROR(IF(ISNUMBER(INDEX(GPU!$G$4:$G$64,MATCH(Varian!$K61,GPU!$A$4:$A$64,0))),INDEX(GPU!$G$4:$G$64,MATCH(Varian!$K61,GPU!$A$4:$A$64,0)),""),""))</f>
        <v/>
      </c>
      <c r="E288" s="69" t="str">
        <f aca="false">IF($A288="","",IF(ISNUMBER(Varian!$M61),Varian!$M61,""))</f>
        <v/>
      </c>
      <c r="F288" s="69" t="str">
        <f aca="false">IF($A288="","",IF(ISNUMBER(Varian!$V61),Varian!$V61,""))</f>
        <v/>
      </c>
      <c r="G288" s="69" t="str">
        <f aca="false">IF($A288="","",IFERROR(INDEX(Aturan!$B$63:$B$66,MATCH(Varian!$AG61,Aturan!$A$63:$A$66,0)),""))</f>
        <v/>
      </c>
      <c r="H288" s="69" t="str">
        <f aca="false">IF($A288="","",IF(ISNUMBER(Varian!$AI61),Varian!$AI61,""))</f>
        <v/>
      </c>
      <c r="I288" s="33" t="str">
        <f aca="false">IF($A288="","",IF(Varian!$Q61="disolder","menempel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8" s="33" t="str">
        <f aca="false">IF($A288="","",IF(Varian!$Z61="ya","bisa diganti dengan yang lebih besar",IF(Varian!$Z61="tidak","menempel, tidak bisa diganti","belum diketahui apakah bisa diganti")))</f>
        <v/>
      </c>
      <c r="K288" s="70" t="str">
        <f aca="false">IF($A288="","",IF(AND(Aturan!$C$48="",Aturan!$D$48=""),"Tidak dinilai",IF(C288="","Belum ada data",IF(C288&lt;IF(Aturan!$C$48="",0,Aturan!$C$48),"Kurang",IF(C288&gt;=IF(Aturan!$D$48="",Aturan!$C$48,Aturan!$D$48),"Nyaman","Cukup")))))</f>
        <v/>
      </c>
      <c r="L288" s="70" t="str">
        <f aca="false">IF($A288="","",IF(AND(Aturan!$C$49="",Aturan!$D$49=""),"Tidak dinilai",IF(D288="","Belum ada data",IF(D288&lt;IF(Aturan!$C$49="",0,Aturan!$C$49),"Kurang",IF(D288&gt;=IF(Aturan!$D$49="",Aturan!$C$49,Aturan!$D$49),"Nyaman","Cukup")))))</f>
        <v/>
      </c>
      <c r="M288" s="70" t="str">
        <f aca="false">IF($A288="","",IF(AND(Aturan!$C$50="",Aturan!$D$50=""),"Tidak dinilai",IF(E288="","Belum ada data",IF(E288&lt;IF(Aturan!$C$50="",0,Aturan!$C$50),"Kurang",IF(E288&gt;=IF(Aturan!$D$50="",Aturan!$C$50,Aturan!$D$50),"Nyaman","Cukup")))))</f>
        <v/>
      </c>
      <c r="N288" s="70" t="str">
        <f aca="false">IF($A288="","",IF(AND(Aturan!$C$51="",Aturan!$D$51=""),"Tidak dinilai",IF(F288="","Belum ada data",IF(F288&lt;IF(Aturan!$C$51="",0,Aturan!$C$51),"Kurang",IF(F288&gt;=IF(Aturan!$D$51="",Aturan!$C$51,Aturan!$D$51),"Nyaman","Cukup")))))</f>
        <v/>
      </c>
      <c r="O288" s="70" t="str">
        <f aca="false">IF($A288="","",IF(AND(Aturan!$C$52="",Aturan!$D$52=""),"Tidak dinilai",IF(G288="","Belum ada data",IF(G288&lt;IF(Aturan!$C$52="",0,Aturan!$C$52),"Kurang",IF(G288&gt;=IF(Aturan!$D$52="",Aturan!$C$52,Aturan!$D$52),"Nyaman","Cukup")))))</f>
        <v/>
      </c>
      <c r="P288" s="70" t="str">
        <f aca="false">IF($A288="","",IF(AND(Aturan!$C$53="",Aturan!$D$53=""),"Tidak dinilai",IF(H288="","Belum ada data",IF(H288&lt;IF(Aturan!$C$53="",0,Aturan!$C$53),"Kurang",IF(H288&gt;=IF(Aturan!$D$53="",Aturan!$C$53,Aturan!$D$53),"Nyaman","Cukup")))))</f>
        <v/>
      </c>
      <c r="Q288" s="70" t="str">
        <f aca="false">IF($A288="","",IF(COUNTIF(K288:P288,"Tidak dinilai")=6,"Tidak dinilai",IF(COUNTIF(K288:P288,"Kurang")&gt;0,"Kurang cocok",IF(COUNTIF(K288:P288,"Belum ada data")&gt;0,"Data belum lengkap",IF(COUNTIF(K288:P288,"Cukup")&gt;0,"Bisa, dengan catatan","Cocok")))))</f>
        <v/>
      </c>
      <c r="R288" s="33" t="str">
        <f aca="false">IF($A288="","",IF(K288="Kurang","prosesor tingkat "&amp;C288&amp;" dari 5, di bawah batas minimal (tingkat "&amp;Aturan!$C$48&amp;")",IF(K288="Cukup","prosesor tingkat "&amp;C288&amp;" dari 5 cukup, nyamannya mulai tingkat "&amp;Aturan!$D$48,IF(K288="Belum ada data","tingkat prosesor belum diisi",""))))</f>
        <v/>
      </c>
      <c r="S288" s="33" t="str">
        <f aca="false">IF($A288="","",IF(L288="Kurang","grafis tingkat "&amp;D288&amp;" dari 5, di bawah batas minimal (tingkat "&amp;Aturan!$C$49&amp;")",IF(L288="Cukup","grafis tingkat "&amp;D288&amp;" dari 5 cukup, nyamannya mulai tingkat "&amp;Aturan!$D$49,IF(L288="Belum ada data","tingkat grafis belum diisi",""))))</f>
        <v/>
      </c>
      <c r="T288" s="33" t="str">
        <f aca="false">IF($A288="","",IF(M288="Kurang","RAM "&amp;E288&amp;" GB, di bawah batas minimal "&amp;Aturan!$C$50&amp;" GB ("&amp;I288&amp;")",IF(M288="Cukup","RAM "&amp;E288&amp;" GB cukup, nyamannya "&amp;Aturan!$D$50&amp;" GB atau lebih ("&amp;I288&amp;")",IF(M288="Belum ada data","ukuran RAM belum diisi",""))))</f>
        <v/>
      </c>
      <c r="U288" s="33" t="str">
        <f aca="false">IF($A288="","",IF(N288="Kurang","penyimpanan "&amp;F288&amp;" GB, di bawah batas minimal "&amp;Aturan!$C$51&amp;" GB ("&amp;J288&amp;")",IF(N288="Cukup","penyimpanan "&amp;F288&amp;" GB cukup, nyamannya "&amp;Aturan!$D$51&amp;" GB atau lebih ("&amp;J288&amp;")",IF(N288="Belum ada data","ukuran penyimpanan belum diisi",""))))</f>
        <v/>
      </c>
      <c r="V288" s="33" t="str">
        <f aca="false">IF($A288="","",IF(O288="Kurang","layar "&amp;Varian!$AG61&amp;", di bawah batas minimal ("&amp;IFERROR(INDEX(Aturan!$A$63:$A$66,MATCH(Aturan!$C$52,Aturan!$B$63:$B$66,0)),"peringkat "&amp;Aturan!$C$52)&amp;")",IF(O288="Cukup","layar "&amp;Varian!$AG61&amp;" cukup, nyamannya "&amp;IFERROR(INDEX(Aturan!$A$63:$A$66,MATCH(Aturan!$D$52,Aturan!$B$63:$B$66,0)),"peringkat "&amp;Aturan!$D$52),IF(O288="Belum ada data","jenis layar belum diketahui",""))))</f>
        <v/>
      </c>
      <c r="W288" s="33" t="str">
        <f aca="false">IF($A288="","",IF(P288="Kurang","layar "&amp;H288&amp;" Hz, di bawah batas minimal "&amp;Aturan!$C$53&amp;" Hz",IF(P288="Cukup","layar "&amp;H288&amp;" Hz cukup, nyamannya "&amp;Aturan!$D$53&amp;" Hz atau lebih",IF(P288="Belum ada data","refresh rate belum diketahui",""))))</f>
        <v/>
      </c>
      <c r="X288" s="33" t="str">
        <f aca="false">IF($A288="","",IF(K288="Kurang",R288&amp;"; ","")&amp;IF(L288="Kurang",S288&amp;"; ","")&amp;IF(M288="Kurang",T288&amp;"; ","")&amp;IF(N288="Kurang",U288&amp;"; ","")&amp;IF(O288="Kurang",V288&amp;"; ","")&amp;IF(P288="Kurang",W288&amp;"; ","")&amp;IF(K288="Belum ada data",R288&amp;"; ","")&amp;IF(L288="Belum ada data",S288&amp;"; ","")&amp;IF(M288="Belum ada data",T288&amp;"; ","")&amp;IF(N288="Belum ada data",U288&amp;"; ","")&amp;IF(O288="Belum ada data",V288&amp;"; ","")&amp;IF(P288="Belum ada data",W288&amp;"; ","")&amp;IF(K288="Cukup",R288&amp;"; ","")&amp;IF(L288="Cukup",S288&amp;"; ","")&amp;IF(M288="Cukup",T288&amp;"; ","")&amp;IF(N288="Cukup",U288&amp;"; ","")&amp;IF(O288="Cukup",V288&amp;"; ","")&amp;IF(P288="Cukup",W288&amp;"; ",""))</f>
        <v/>
      </c>
      <c r="Y288" s="33" t="str">
        <f aca="false">IF($A288="","",IF(K288="Nyaman","prosesor, ","")&amp;IF(L288="Nyaman","grafis, ","")&amp;IF(M288="Nyaman","RAM, ","")&amp;IF(N288="Nyaman","penyimpanan, ","")&amp;IF(O288="Nyaman","layar, ","")&amp;IF(P288="Nyaman","refresh rate, ",""))</f>
        <v/>
      </c>
      <c r="Z288" s="33" t="str">
        <f aca="false">IF($A288="","",IF(Q288="Tidak dinilai","Belum ada kriteria yang dinilai untuk kebutuhan ini.",IF(Q288="Cocok","Semua kriteria yang dinilai sudah nyaman: "&amp;LEFT(Y288,LEN(Y288)-2)&amp;".",UPPER(LEFT(X288,1))&amp;MID(X288,2,LEN(X288)-3)&amp;"."&amp;IF(Y288="",""," Sudah nyaman: "&amp;LEFT(Y288,LEN(Y288)-2)&amp;"."))))</f>
        <v/>
      </c>
      <c r="AA288" s="33"/>
      <c r="AB288" s="33"/>
      <c r="AC288" s="69"/>
    </row>
    <row r="289" customFormat="false" ht="15" hidden="false" customHeight="true" outlineLevel="0" collapsed="false">
      <c r="A289" s="33" t="str">
        <f aca="false">IF(Varian!$A61="","",Varian!$A61)</f>
        <v/>
      </c>
      <c r="B289" s="33" t="str">
        <f aca="false">IF($A289="","",Aturan!$A$25)</f>
        <v/>
      </c>
      <c r="C289" s="69" t="str">
        <f aca="false">IF($A289="","",IFERROR(IF(ISNUMBER(INDEX(CPU!$J$4:$J$64,MATCH(Varian!$J61,CPU!$A$4:$A$64,0))),INDEX(CPU!$J$4:$J$64,MATCH(Varian!$J61,CPU!$A$4:$A$64,0)),""),""))</f>
        <v/>
      </c>
      <c r="D289" s="69" t="str">
        <f aca="false">IF($A289="","",IFERROR(IF(ISNUMBER(INDEX(GPU!$G$4:$G$64,MATCH(Varian!$K61,GPU!$A$4:$A$64,0))),INDEX(GPU!$G$4:$G$64,MATCH(Varian!$K61,GPU!$A$4:$A$64,0)),""),""))</f>
        <v/>
      </c>
      <c r="E289" s="69" t="str">
        <f aca="false">IF($A289="","",IF(ISNUMBER(Varian!$M61),Varian!$M61,""))</f>
        <v/>
      </c>
      <c r="F289" s="69" t="str">
        <f aca="false">IF($A289="","",IF(ISNUMBER(Varian!$V61),Varian!$V61,""))</f>
        <v/>
      </c>
      <c r="G289" s="69" t="str">
        <f aca="false">IF($A289="","",IFERROR(INDEX(Aturan!$B$63:$B$66,MATCH(Varian!$AG61,Aturan!$A$63:$A$66,0)),""))</f>
        <v/>
      </c>
      <c r="H289" s="69" t="str">
        <f aca="false">IF($A289="","",IF(ISNUMBER(Varian!$AI61),Varian!$AI61,""))</f>
        <v/>
      </c>
      <c r="I289" s="33" t="str">
        <f aca="false">IF($A289="","",IF(Varian!$Q61="disolder","menempel di papan utama, tidak bisa ditambah",IF(OR(Varian!$Q61="slot",Varian!$Q61="setengah_disolder"),IF(Varian!$Q61="setengah_disolder","sebagian menempel, ","")&amp;IF(ISNUMBER(Varian!$U61),IF(AND(ISNUMBER(Varian!$M61),Varian!$U61&gt;Varian!$M61),"bisa dinaikkan lewat slot sampai "&amp;Varian!$U61&amp;" GB","sudah di batas maksimal "&amp;Varian!$U61&amp;" GB"),"ada slot, batas maksimalnya belum diketahui"),"belum diketahui apakah bisa ditambah")))</f>
        <v/>
      </c>
      <c r="J289" s="33" t="str">
        <f aca="false">IF($A289="","",IF(Varian!$Z61="ya","bisa diganti dengan yang lebih besar",IF(Varian!$Z61="tidak","menempel, tidak bisa diganti","belum diketahui apakah bisa diganti")))</f>
        <v/>
      </c>
      <c r="K289" s="70" t="str">
        <f aca="false">IF($A289="","",IF(AND(Aturan!$C$54="",Aturan!$D$54=""),"Tidak dinilai",IF(C289="","Belum ada data",IF(C289&lt;IF(Aturan!$C$54="",0,Aturan!$C$54),"Kurang",IF(C289&gt;=IF(Aturan!$D$54="",Aturan!$C$54,Aturan!$D$54),"Nyaman","Cukup")))))</f>
        <v/>
      </c>
      <c r="L289" s="70" t="str">
        <f aca="false">IF($A289="","",IF(AND(Aturan!$C$55="",Aturan!$D$55=""),"Tidak dinilai",IF(D289="","Belum ada data",IF(D289&lt;IF(Aturan!$C$55="",0,Aturan!$C$55),"Kurang",IF(D289&gt;=IF(Aturan!$D$55="",Aturan!$C$55,Aturan!$D$55),"Nyaman","Cukup")))))</f>
        <v/>
      </c>
      <c r="M289" s="70" t="str">
        <f aca="false">IF($A289="","",IF(AND(Aturan!$C$56="",Aturan!$D$56=""),"Tidak dinilai",IF(E289="","Belum ada data",IF(E289&lt;IF(Aturan!$C$56="",0,Aturan!$C$56),"Kurang",IF(E289&gt;=IF(Aturan!$D$56="",Aturan!$C$56,Aturan!$D$56),"Nyaman","Cukup")))))</f>
        <v/>
      </c>
      <c r="N289" s="70" t="str">
        <f aca="false">IF($A289="","",IF(AND(Aturan!$C$57="",Aturan!$D$57=""),"Tidak dinilai",IF(F289="","Belum ada data",IF(F289&lt;IF(Aturan!$C$57="",0,Aturan!$C$57),"Kurang",IF(F289&gt;=IF(Aturan!$D$57="",Aturan!$C$57,Aturan!$D$57),"Nyaman","Cukup")))))</f>
        <v/>
      </c>
      <c r="O289" s="70" t="str">
        <f aca="false">IF($A289="","",IF(AND(Aturan!$C$58="",Aturan!$D$58=""),"Tidak dinilai",IF(G289="","Belum ada data",IF(G289&lt;IF(Aturan!$C$58="",0,Aturan!$C$58),"Kurang",IF(G289&gt;=IF(Aturan!$D$58="",Aturan!$C$58,Aturan!$D$58),"Nyaman","Cukup")))))</f>
        <v/>
      </c>
      <c r="P289" s="70" t="str">
        <f aca="false">IF($A289="","",IF(AND(Aturan!$C$59="",Aturan!$D$59=""),"Tidak dinilai",IF(H289="","Belum ada data",IF(H289&lt;IF(Aturan!$C$59="",0,Aturan!$C$59),"Kurang",IF(H289&gt;=IF(Aturan!$D$59="",Aturan!$C$59,Aturan!$D$59),"Nyaman","Cukup")))))</f>
        <v/>
      </c>
      <c r="Q289" s="70" t="str">
        <f aca="false">IF($A289="","",IF(COUNTIF(K289:P289,"Tidak dinilai")=6,"Tidak dinilai",IF(COUNTIF(K289:P289,"Kurang")&gt;0,"Kurang cocok",IF(COUNTIF(K289:P289,"Belum ada data")&gt;0,"Data belum lengkap",IF(COUNTIF(K289:P289,"Cukup")&gt;0,"Bisa, dengan catatan","Cocok")))))</f>
        <v/>
      </c>
      <c r="R289" s="33" t="str">
        <f aca="false">IF($A289="","",IF(K289="Kurang","prosesor tingkat "&amp;C289&amp;" dari 5, di bawah batas minimal (tingkat "&amp;Aturan!$C$54&amp;")",IF(K289="Cukup","prosesor tingkat "&amp;C289&amp;" dari 5 cukup, nyamannya mulai tingkat "&amp;Aturan!$D$54,IF(K289="Belum ada data","tingkat prosesor belum diisi",""))))</f>
        <v/>
      </c>
      <c r="S289" s="33" t="str">
        <f aca="false">IF($A289="","",IF(L289="Kurang","grafis tingkat "&amp;D289&amp;" dari 5, di bawah batas minimal (tingkat "&amp;Aturan!$C$55&amp;")",IF(L289="Cukup","grafis tingkat "&amp;D289&amp;" dari 5 cukup, nyamannya mulai tingkat "&amp;Aturan!$D$55,IF(L289="Belum ada data","tingkat grafis belum diisi",""))))</f>
        <v/>
      </c>
      <c r="T289" s="33" t="str">
        <f aca="false">IF($A289="","",IF(M289="Kurang","RAM "&amp;E289&amp;" GB, di bawah batas minimal "&amp;Aturan!$C$56&amp;" GB ("&amp;I289&amp;")",IF(M289="Cukup","RAM "&amp;E289&amp;" GB cukup, nyamannya "&amp;Aturan!$D$56&amp;" GB atau lebih ("&amp;I289&amp;")",IF(M289="Belum ada data","ukuran RAM belum diisi",""))))</f>
        <v/>
      </c>
      <c r="U289" s="33" t="str">
        <f aca="false">IF($A289="","",IF(N289="Kurang","penyimpanan "&amp;F289&amp;" GB, di bawah batas minimal "&amp;Aturan!$C$57&amp;" GB ("&amp;J289&amp;")",IF(N289="Cukup","penyimpanan "&amp;F289&amp;" GB cukup, nyamannya "&amp;Aturan!$D$57&amp;" GB atau lebih ("&amp;J289&amp;")",IF(N289="Belum ada data","ukuran penyimpanan belum diisi",""))))</f>
        <v/>
      </c>
      <c r="V289" s="33" t="str">
        <f aca="false">IF($A289="","",IF(O289="Kurang","layar "&amp;Varian!$AG61&amp;", di bawah batas minimal ("&amp;IFERROR(INDEX(Aturan!$A$63:$A$66,MATCH(Aturan!$C$58,Aturan!$B$63:$B$66,0)),"peringkat "&amp;Aturan!$C$58)&amp;")",IF(O289="Cukup","layar "&amp;Varian!$AG61&amp;" cukup, nyamannya "&amp;IFERROR(INDEX(Aturan!$A$63:$A$66,MATCH(Aturan!$D$58,Aturan!$B$63:$B$66,0)),"peringkat "&amp;Aturan!$D$58),IF(O289="Belum ada data","jenis layar belum diketahui",""))))</f>
        <v/>
      </c>
      <c r="W289" s="33" t="str">
        <f aca="false">IF($A289="","",IF(P289="Kurang","layar "&amp;H289&amp;" Hz, di bawah batas minimal "&amp;Aturan!$C$59&amp;" Hz",IF(P289="Cukup","layar "&amp;H289&amp;" Hz cukup, nyamannya "&amp;Aturan!$D$59&amp;" Hz atau lebih",IF(P289="Belum ada data","refresh rate belum diketahui",""))))</f>
        <v/>
      </c>
      <c r="X289" s="33" t="str">
        <f aca="false">IF($A289="","",IF(K289="Kurang",R289&amp;"; ","")&amp;IF(L289="Kurang",S289&amp;"; ","")&amp;IF(M289="Kurang",T289&amp;"; ","")&amp;IF(N289="Kurang",U289&amp;"; ","")&amp;IF(O289="Kurang",V289&amp;"; ","")&amp;IF(P289="Kurang",W289&amp;"; ","")&amp;IF(K289="Belum ada data",R289&amp;"; ","")&amp;IF(L289="Belum ada data",S289&amp;"; ","")&amp;IF(M289="Belum ada data",T289&amp;"; ","")&amp;IF(N289="Belum ada data",U289&amp;"; ","")&amp;IF(O289="Belum ada data",V289&amp;"; ","")&amp;IF(P289="Belum ada data",W289&amp;"; ","")&amp;IF(K289="Cukup",R289&amp;"; ","")&amp;IF(L289="Cukup",S289&amp;"; ","")&amp;IF(M289="Cukup",T289&amp;"; ","")&amp;IF(N289="Cukup",U289&amp;"; ","")&amp;IF(O289="Cukup",V289&amp;"; ","")&amp;IF(P289="Cukup",W289&amp;"; ",""))</f>
        <v/>
      </c>
      <c r="Y289" s="33" t="str">
        <f aca="false">IF($A289="","",IF(K289="Nyaman","prosesor, ","")&amp;IF(L289="Nyaman","grafis, ","")&amp;IF(M289="Nyaman","RAM, ","")&amp;IF(N289="Nyaman","penyimpanan, ","")&amp;IF(O289="Nyaman","layar, ","")&amp;IF(P289="Nyaman","refresh rate, ",""))</f>
        <v/>
      </c>
      <c r="Z289" s="33" t="str">
        <f aca="false">IF($A289="","",IF(Q289="Tidak dinilai","Belum ada kriteria yang dinilai untuk kebutuhan ini.",IF(Q289="Cocok","Semua kriteria yang dinilai sudah nyaman: "&amp;LEFT(Y289,LEN(Y289)-2)&amp;".",UPPER(LEFT(X289,1))&amp;MID(X289,2,LEN(X289)-3)&amp;"."&amp;IF(Y289="",""," Sudah nyaman: "&amp;LEFT(Y289,LEN(Y289)-2)&amp;"."))))</f>
        <v/>
      </c>
      <c r="AA289" s="33"/>
      <c r="AB289" s="33"/>
      <c r="AC289" s="69"/>
    </row>
    <row r="290" customFormat="false" ht="15" hidden="false" customHeight="true" outlineLevel="0" collapsed="false">
      <c r="A290" s="66" t="str">
        <f aca="false">IF(Varian!$A62="","",Varian!$A62)</f>
        <v/>
      </c>
      <c r="B290" s="66" t="str">
        <f aca="false">IF($A290="","",Aturan!$A$21)</f>
        <v/>
      </c>
      <c r="C290" s="67" t="str">
        <f aca="false">IF($A290="","",IFERROR(IF(ISNUMBER(INDEX(CPU!$J$4:$J$64,MATCH(Varian!$J62,CPU!$A$4:$A$64,0))),INDEX(CPU!$J$4:$J$64,MATCH(Varian!$J62,CPU!$A$4:$A$64,0)),""),""))</f>
        <v/>
      </c>
      <c r="D290" s="67" t="str">
        <f aca="false">IF($A290="","",IFERROR(IF(ISNUMBER(INDEX(GPU!$G$4:$G$64,MATCH(Varian!$K62,GPU!$A$4:$A$64,0))),INDEX(GPU!$G$4:$G$64,MATCH(Varian!$K62,GPU!$A$4:$A$64,0)),""),""))</f>
        <v/>
      </c>
      <c r="E290" s="67" t="str">
        <f aca="false">IF($A290="","",IF(ISNUMBER(Varian!$M62),Varian!$M62,""))</f>
        <v/>
      </c>
      <c r="F290" s="67" t="str">
        <f aca="false">IF($A290="","",IF(ISNUMBER(Varian!$V62),Varian!$V62,""))</f>
        <v/>
      </c>
      <c r="G290" s="67" t="str">
        <f aca="false">IF($A290="","",IFERROR(INDEX(Aturan!$B$63:$B$66,MATCH(Varian!$AG62,Aturan!$A$63:$A$66,0)),""))</f>
        <v/>
      </c>
      <c r="H290" s="67" t="str">
        <f aca="false">IF($A290="","",IF(ISNUMBER(Varian!$AI62),Varian!$AI62,""))</f>
        <v/>
      </c>
      <c r="I290" s="66" t="str">
        <f aca="false">IF($A290="","",IF(Varian!$Q62="disolder","menempel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0" s="66" t="str">
        <f aca="false">IF($A290="","",IF(Varian!$Z62="ya","bisa diganti dengan yang lebih besar",IF(Varian!$Z62="tidak","menempel, tidak bisa diganti","belum diketahui apakah bisa diganti")))</f>
        <v/>
      </c>
      <c r="K290" s="68" t="str">
        <f aca="false">IF($A290="","",IF(AND(Aturan!$C$30="",Aturan!$D$30=""),"Tidak dinilai",IF(C290="","Belum ada data",IF(C290&lt;IF(Aturan!$C$30="",0,Aturan!$C$30),"Kurang",IF(C290&gt;=IF(Aturan!$D$30="",Aturan!$C$30,Aturan!$D$30),"Nyaman","Cukup")))))</f>
        <v/>
      </c>
      <c r="L290" s="68" t="str">
        <f aca="false">IF($A290="","",IF(AND(Aturan!$C$31="",Aturan!$D$31=""),"Tidak dinilai",IF(D290="","Belum ada data",IF(D290&lt;IF(Aturan!$C$31="",0,Aturan!$C$31),"Kurang",IF(D290&gt;=IF(Aturan!$D$31="",Aturan!$C$31,Aturan!$D$31),"Nyaman","Cukup")))))</f>
        <v/>
      </c>
      <c r="M290" s="68" t="str">
        <f aca="false">IF($A290="","",IF(AND(Aturan!$C$32="",Aturan!$D$32=""),"Tidak dinilai",IF(E290="","Belum ada data",IF(E290&lt;IF(Aturan!$C$32="",0,Aturan!$C$32),"Kurang",IF(E290&gt;=IF(Aturan!$D$32="",Aturan!$C$32,Aturan!$D$32),"Nyaman","Cukup")))))</f>
        <v/>
      </c>
      <c r="N290" s="68" t="str">
        <f aca="false">IF($A290="","",IF(AND(Aturan!$C$33="",Aturan!$D$33=""),"Tidak dinilai",IF(F290="","Belum ada data",IF(F290&lt;IF(Aturan!$C$33="",0,Aturan!$C$33),"Kurang",IF(F290&gt;=IF(Aturan!$D$33="",Aturan!$C$33,Aturan!$D$33),"Nyaman","Cukup")))))</f>
        <v/>
      </c>
      <c r="O290" s="68" t="str">
        <f aca="false">IF($A290="","",IF(AND(Aturan!$C$34="",Aturan!$D$34=""),"Tidak dinilai",IF(G290="","Belum ada data",IF(G290&lt;IF(Aturan!$C$34="",0,Aturan!$C$34),"Kurang",IF(G290&gt;=IF(Aturan!$D$34="",Aturan!$C$34,Aturan!$D$34),"Nyaman","Cukup")))))</f>
        <v/>
      </c>
      <c r="P290" s="68" t="str">
        <f aca="false">IF($A290="","",IF(AND(Aturan!$C$35="",Aturan!$D$35=""),"Tidak dinilai",IF(H290="","Belum ada data",IF(H290&lt;IF(Aturan!$C$35="",0,Aturan!$C$35),"Kurang",IF(H290&gt;=IF(Aturan!$D$35="",Aturan!$C$35,Aturan!$D$35),"Nyaman","Cukup")))))</f>
        <v/>
      </c>
      <c r="Q290" s="68" t="str">
        <f aca="false">IF($A290="","",IF(COUNTIF(K290:P290,"Tidak dinilai")=6,"Tidak dinilai",IF(COUNTIF(K290:P290,"Kurang")&gt;0,"Kurang cocok",IF(COUNTIF(K290:P290,"Belum ada data")&gt;0,"Data belum lengkap",IF(COUNTIF(K290:P290,"Cukup")&gt;0,"Bisa, dengan catatan","Cocok")))))</f>
        <v/>
      </c>
      <c r="R290" s="66" t="str">
        <f aca="false">IF($A290="","",IF(K290="Kurang","prosesor tingkat "&amp;C290&amp;" dari 5, di bawah batas minimal (tingkat "&amp;Aturan!$C$30&amp;")",IF(K290="Cukup","prosesor tingkat "&amp;C290&amp;" dari 5 cukup, nyamannya mulai tingkat "&amp;Aturan!$D$30,IF(K290="Belum ada data","tingkat prosesor belum diisi",""))))</f>
        <v/>
      </c>
      <c r="S290" s="66" t="str">
        <f aca="false">IF($A290="","",IF(L290="Kurang","grafis tingkat "&amp;D290&amp;" dari 5, di bawah batas minimal (tingkat "&amp;Aturan!$C$31&amp;")",IF(L290="Cukup","grafis tingkat "&amp;D290&amp;" dari 5 cukup, nyamannya mulai tingkat "&amp;Aturan!$D$31,IF(L290="Belum ada data","tingkat grafis belum diisi",""))))</f>
        <v/>
      </c>
      <c r="T290" s="66" t="str">
        <f aca="false">IF($A290="","",IF(M290="Kurang","RAM "&amp;E290&amp;" GB, di bawah batas minimal "&amp;Aturan!$C$32&amp;" GB ("&amp;I290&amp;")",IF(M290="Cukup","RAM "&amp;E290&amp;" GB cukup, nyamannya "&amp;Aturan!$D$32&amp;" GB atau lebih ("&amp;I290&amp;")",IF(M290="Belum ada data","ukuran RAM belum diisi",""))))</f>
        <v/>
      </c>
      <c r="U290" s="66" t="str">
        <f aca="false">IF($A290="","",IF(N290="Kurang","penyimpanan "&amp;F290&amp;" GB, di bawah batas minimal "&amp;Aturan!$C$33&amp;" GB ("&amp;J290&amp;")",IF(N290="Cukup","penyimpanan "&amp;F290&amp;" GB cukup, nyamannya "&amp;Aturan!$D$33&amp;" GB atau lebih ("&amp;J290&amp;")",IF(N290="Belum ada data","ukuran penyimpanan belum diisi",""))))</f>
        <v/>
      </c>
      <c r="V290" s="66" t="str">
        <f aca="false">IF($A290="","",IF(O290="Kurang","layar "&amp;Varian!$AG62&amp;", di bawah batas minimal ("&amp;IFERROR(INDEX(Aturan!$A$63:$A$66,MATCH(Aturan!$C$34,Aturan!$B$63:$B$66,0)),"peringkat "&amp;Aturan!$C$34)&amp;")",IF(O290="Cukup","layar "&amp;Varian!$AG62&amp;" cukup, nyamannya "&amp;IFERROR(INDEX(Aturan!$A$63:$A$66,MATCH(Aturan!$D$34,Aturan!$B$63:$B$66,0)),"peringkat "&amp;Aturan!$D$34),IF(O290="Belum ada data","jenis layar belum diketahui",""))))</f>
        <v/>
      </c>
      <c r="W290" s="66" t="str">
        <f aca="false">IF($A290="","",IF(P290="Kurang","layar "&amp;H290&amp;" Hz, di bawah batas minimal "&amp;Aturan!$C$35&amp;" Hz",IF(P290="Cukup","layar "&amp;H290&amp;" Hz cukup, nyamannya "&amp;Aturan!$D$35&amp;" Hz atau lebih",IF(P290="Belum ada data","refresh rate belum diketahui",""))))</f>
        <v/>
      </c>
      <c r="X290" s="66" t="str">
        <f aca="false">IF($A290="","",IF(K290="Kurang",R290&amp;"; ","")&amp;IF(L290="Kurang",S290&amp;"; ","")&amp;IF(M290="Kurang",T290&amp;"; ","")&amp;IF(N290="Kurang",U290&amp;"; ","")&amp;IF(O290="Kurang",V290&amp;"; ","")&amp;IF(P290="Kurang",W290&amp;"; ","")&amp;IF(K290="Belum ada data",R290&amp;"; ","")&amp;IF(L290="Belum ada data",S290&amp;"; ","")&amp;IF(M290="Belum ada data",T290&amp;"; ","")&amp;IF(N290="Belum ada data",U290&amp;"; ","")&amp;IF(O290="Belum ada data",V290&amp;"; ","")&amp;IF(P290="Belum ada data",W290&amp;"; ","")&amp;IF(K290="Cukup",R290&amp;"; ","")&amp;IF(L290="Cukup",S290&amp;"; ","")&amp;IF(M290="Cukup",T290&amp;"; ","")&amp;IF(N290="Cukup",U290&amp;"; ","")&amp;IF(O290="Cukup",V290&amp;"; ","")&amp;IF(P290="Cukup",W290&amp;"; ",""))</f>
        <v/>
      </c>
      <c r="Y290" s="66" t="str">
        <f aca="false">IF($A290="","",IF(K290="Nyaman","prosesor, ","")&amp;IF(L290="Nyaman","grafis, ","")&amp;IF(M290="Nyaman","RAM, ","")&amp;IF(N290="Nyaman","penyimpanan, ","")&amp;IF(O290="Nyaman","layar, ","")&amp;IF(P290="Nyaman","refresh rate, ",""))</f>
        <v/>
      </c>
      <c r="Z290" s="66" t="str">
        <f aca="false">IF($A290="","",IF(Q290="Tidak dinilai","Belum ada kriteria yang dinilai untuk kebutuhan ini.",IF(Q290="Cocok","Semua kriteria yang dinilai sudah nyaman: "&amp;LEFT(Y290,LEN(Y290)-2)&amp;".",UPPER(LEFT(X290,1))&amp;MID(X290,2,LEN(X290)-3)&amp;"."&amp;IF(Y290="",""," Sudah nyaman: "&amp;LEFT(Y290,LEN(Y290)-2)&amp;"."))))</f>
        <v/>
      </c>
      <c r="AA290" s="66" t="str">
        <f aca="false">IF($A290="","",IF(Varian!$AR62="Windows 10","• "&amp;Aturan!$E$71&amp;CHAR(10),"")&amp;IF(Varian!$BB62="tidak","• "&amp;Aturan!$E$72&amp;CHAR(10),"")&amp;IF(OR(Varian!$AD62="belum terverifikasi",Varian!$AD62="tidak diketahui"),"• "&amp;Aturan!$E$73&amp;CHAR(10),"")&amp;IF(Varian!$AH62="1366x768","• "&amp;Aturan!$E$74&amp;CHAR(10),"")&amp;IF(Varian!$AG62="TN","• "&amp;Aturan!$E$75&amp;CHAR(10),"")&amp;IF(AND(Varian!$Q62="disolder",ISNUMBER(Varian!$M62),Varian!$M62&lt;=8),"• "&amp;Aturan!$E$76&amp;CHAR(10),""))</f>
        <v/>
      </c>
      <c r="AB290" s="66" t="str">
        <f aca="false">IF($A290="","",IF(AA290="","",LEFT(AA290,LEN(AA290)-1)))</f>
        <v/>
      </c>
      <c r="AC290" s="67" t="str">
        <f aca="false">IF($A290="","",IF(AA290="",0,LEN(AA290)-LEN(SUBSTITUTE(AA290,CHAR(10),""))))</f>
        <v/>
      </c>
    </row>
    <row r="291" customFormat="false" ht="15" hidden="false" customHeight="true" outlineLevel="0" collapsed="false">
      <c r="A291" s="33" t="str">
        <f aca="false">IF(Varian!$A62="","",Varian!$A62)</f>
        <v/>
      </c>
      <c r="B291" s="33" t="str">
        <f aca="false">IF($A291="","",Aturan!$A$22)</f>
        <v/>
      </c>
      <c r="C291" s="69" t="str">
        <f aca="false">IF($A291="","",IFERROR(IF(ISNUMBER(INDEX(CPU!$J$4:$J$64,MATCH(Varian!$J62,CPU!$A$4:$A$64,0))),INDEX(CPU!$J$4:$J$64,MATCH(Varian!$J62,CPU!$A$4:$A$64,0)),""),""))</f>
        <v/>
      </c>
      <c r="D291" s="69" t="str">
        <f aca="false">IF($A291="","",IFERROR(IF(ISNUMBER(INDEX(GPU!$G$4:$G$64,MATCH(Varian!$K62,GPU!$A$4:$A$64,0))),INDEX(GPU!$G$4:$G$64,MATCH(Varian!$K62,GPU!$A$4:$A$64,0)),""),""))</f>
        <v/>
      </c>
      <c r="E291" s="69" t="str">
        <f aca="false">IF($A291="","",IF(ISNUMBER(Varian!$M62),Varian!$M62,""))</f>
        <v/>
      </c>
      <c r="F291" s="69" t="str">
        <f aca="false">IF($A291="","",IF(ISNUMBER(Varian!$V62),Varian!$V62,""))</f>
        <v/>
      </c>
      <c r="G291" s="69" t="str">
        <f aca="false">IF($A291="","",IFERROR(INDEX(Aturan!$B$63:$B$66,MATCH(Varian!$AG62,Aturan!$A$63:$A$66,0)),""))</f>
        <v/>
      </c>
      <c r="H291" s="69" t="str">
        <f aca="false">IF($A291="","",IF(ISNUMBER(Varian!$AI62),Varian!$AI62,""))</f>
        <v/>
      </c>
      <c r="I291" s="33" t="str">
        <f aca="false">IF($A291="","",IF(Varian!$Q62="disolder","menempel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1" s="33" t="str">
        <f aca="false">IF($A291="","",IF(Varian!$Z62="ya","bisa diganti dengan yang lebih besar",IF(Varian!$Z62="tidak","menempel, tidak bisa diganti","belum diketahui apakah bisa diganti")))</f>
        <v/>
      </c>
      <c r="K291" s="70" t="str">
        <f aca="false">IF($A291="","",IF(AND(Aturan!$C$36="",Aturan!$D$36=""),"Tidak dinilai",IF(C291="","Belum ada data",IF(C291&lt;IF(Aturan!$C$36="",0,Aturan!$C$36),"Kurang",IF(C291&gt;=IF(Aturan!$D$36="",Aturan!$C$36,Aturan!$D$36),"Nyaman","Cukup")))))</f>
        <v/>
      </c>
      <c r="L291" s="70" t="str">
        <f aca="false">IF($A291="","",IF(AND(Aturan!$C$37="",Aturan!$D$37=""),"Tidak dinilai",IF(D291="","Belum ada data",IF(D291&lt;IF(Aturan!$C$37="",0,Aturan!$C$37),"Kurang",IF(D291&gt;=IF(Aturan!$D$37="",Aturan!$C$37,Aturan!$D$37),"Nyaman","Cukup")))))</f>
        <v/>
      </c>
      <c r="M291" s="70" t="str">
        <f aca="false">IF($A291="","",IF(AND(Aturan!$C$38="",Aturan!$D$38=""),"Tidak dinilai",IF(E291="","Belum ada data",IF(E291&lt;IF(Aturan!$C$38="",0,Aturan!$C$38),"Kurang",IF(E291&gt;=IF(Aturan!$D$38="",Aturan!$C$38,Aturan!$D$38),"Nyaman","Cukup")))))</f>
        <v/>
      </c>
      <c r="N291" s="70" t="str">
        <f aca="false">IF($A291="","",IF(AND(Aturan!$C$39="",Aturan!$D$39=""),"Tidak dinilai",IF(F291="","Belum ada data",IF(F291&lt;IF(Aturan!$C$39="",0,Aturan!$C$39),"Kurang",IF(F291&gt;=IF(Aturan!$D$39="",Aturan!$C$39,Aturan!$D$39),"Nyaman","Cukup")))))</f>
        <v/>
      </c>
      <c r="O291" s="70" t="str">
        <f aca="false">IF($A291="","",IF(AND(Aturan!$C$40="",Aturan!$D$40=""),"Tidak dinilai",IF(G291="","Belum ada data",IF(G291&lt;IF(Aturan!$C$40="",0,Aturan!$C$40),"Kurang",IF(G291&gt;=IF(Aturan!$D$40="",Aturan!$C$40,Aturan!$D$40),"Nyaman","Cukup")))))</f>
        <v/>
      </c>
      <c r="P291" s="70" t="str">
        <f aca="false">IF($A291="","",IF(AND(Aturan!$C$41="",Aturan!$D$41=""),"Tidak dinilai",IF(H291="","Belum ada data",IF(H291&lt;IF(Aturan!$C$41="",0,Aturan!$C$41),"Kurang",IF(H291&gt;=IF(Aturan!$D$41="",Aturan!$C$41,Aturan!$D$41),"Nyaman","Cukup")))))</f>
        <v/>
      </c>
      <c r="Q291" s="70" t="str">
        <f aca="false">IF($A291="","",IF(COUNTIF(K291:P291,"Tidak dinilai")=6,"Tidak dinilai",IF(COUNTIF(K291:P291,"Kurang")&gt;0,"Kurang cocok",IF(COUNTIF(K291:P291,"Belum ada data")&gt;0,"Data belum lengkap",IF(COUNTIF(K291:P291,"Cukup")&gt;0,"Bisa, dengan catatan","Cocok")))))</f>
        <v/>
      </c>
      <c r="R291" s="33" t="str">
        <f aca="false">IF($A291="","",IF(K291="Kurang","prosesor tingkat "&amp;C291&amp;" dari 5, di bawah batas minimal (tingkat "&amp;Aturan!$C$36&amp;")",IF(K291="Cukup","prosesor tingkat "&amp;C291&amp;" dari 5 cukup, nyamannya mulai tingkat "&amp;Aturan!$D$36,IF(K291="Belum ada data","tingkat prosesor belum diisi",""))))</f>
        <v/>
      </c>
      <c r="S291" s="33" t="str">
        <f aca="false">IF($A291="","",IF(L291="Kurang","grafis tingkat "&amp;D291&amp;" dari 5, di bawah batas minimal (tingkat "&amp;Aturan!$C$37&amp;")",IF(L291="Cukup","grafis tingkat "&amp;D291&amp;" dari 5 cukup, nyamannya mulai tingkat "&amp;Aturan!$D$37,IF(L291="Belum ada data","tingkat grafis belum diisi",""))))</f>
        <v/>
      </c>
      <c r="T291" s="33" t="str">
        <f aca="false">IF($A291="","",IF(M291="Kurang","RAM "&amp;E291&amp;" GB, di bawah batas minimal "&amp;Aturan!$C$38&amp;" GB ("&amp;I291&amp;")",IF(M291="Cukup","RAM "&amp;E291&amp;" GB cukup, nyamannya "&amp;Aturan!$D$38&amp;" GB atau lebih ("&amp;I291&amp;")",IF(M291="Belum ada data","ukuran RAM belum diisi",""))))</f>
        <v/>
      </c>
      <c r="U291" s="33" t="str">
        <f aca="false">IF($A291="","",IF(N291="Kurang","penyimpanan "&amp;F291&amp;" GB, di bawah batas minimal "&amp;Aturan!$C$39&amp;" GB ("&amp;J291&amp;")",IF(N291="Cukup","penyimpanan "&amp;F291&amp;" GB cukup, nyamannya "&amp;Aturan!$D$39&amp;" GB atau lebih ("&amp;J291&amp;")",IF(N291="Belum ada data","ukuran penyimpanan belum diisi",""))))</f>
        <v/>
      </c>
      <c r="V291" s="33" t="str">
        <f aca="false">IF($A291="","",IF(O291="Kurang","layar "&amp;Varian!$AG62&amp;", di bawah batas minimal ("&amp;IFERROR(INDEX(Aturan!$A$63:$A$66,MATCH(Aturan!$C$40,Aturan!$B$63:$B$66,0)),"peringkat "&amp;Aturan!$C$40)&amp;")",IF(O291="Cukup","layar "&amp;Varian!$AG62&amp;" cukup, nyamannya "&amp;IFERROR(INDEX(Aturan!$A$63:$A$66,MATCH(Aturan!$D$40,Aturan!$B$63:$B$66,0)),"peringkat "&amp;Aturan!$D$40),IF(O291="Belum ada data","jenis layar belum diketahui",""))))</f>
        <v/>
      </c>
      <c r="W291" s="33" t="str">
        <f aca="false">IF($A291="","",IF(P291="Kurang","layar "&amp;H291&amp;" Hz, di bawah batas minimal "&amp;Aturan!$C$41&amp;" Hz",IF(P291="Cukup","layar "&amp;H291&amp;" Hz cukup, nyamannya "&amp;Aturan!$D$41&amp;" Hz atau lebih",IF(P291="Belum ada data","refresh rate belum diketahui",""))))</f>
        <v/>
      </c>
      <c r="X291" s="33" t="str">
        <f aca="false">IF($A291="","",IF(K291="Kurang",R291&amp;"; ","")&amp;IF(L291="Kurang",S291&amp;"; ","")&amp;IF(M291="Kurang",T291&amp;"; ","")&amp;IF(N291="Kurang",U291&amp;"; ","")&amp;IF(O291="Kurang",V291&amp;"; ","")&amp;IF(P291="Kurang",W291&amp;"; ","")&amp;IF(K291="Belum ada data",R291&amp;"; ","")&amp;IF(L291="Belum ada data",S291&amp;"; ","")&amp;IF(M291="Belum ada data",T291&amp;"; ","")&amp;IF(N291="Belum ada data",U291&amp;"; ","")&amp;IF(O291="Belum ada data",V291&amp;"; ","")&amp;IF(P291="Belum ada data",W291&amp;"; ","")&amp;IF(K291="Cukup",R291&amp;"; ","")&amp;IF(L291="Cukup",S291&amp;"; ","")&amp;IF(M291="Cukup",T291&amp;"; ","")&amp;IF(N291="Cukup",U291&amp;"; ","")&amp;IF(O291="Cukup",V291&amp;"; ","")&amp;IF(P291="Cukup",W291&amp;"; ",""))</f>
        <v/>
      </c>
      <c r="Y291" s="33" t="str">
        <f aca="false">IF($A291="","",IF(K291="Nyaman","prosesor, ","")&amp;IF(L291="Nyaman","grafis, ","")&amp;IF(M291="Nyaman","RAM, ","")&amp;IF(N291="Nyaman","penyimpanan, ","")&amp;IF(O291="Nyaman","layar, ","")&amp;IF(P291="Nyaman","refresh rate, ",""))</f>
        <v/>
      </c>
      <c r="Z291" s="33" t="str">
        <f aca="false">IF($A291="","",IF(Q291="Tidak dinilai","Belum ada kriteria yang dinilai untuk kebutuhan ini.",IF(Q291="Cocok","Semua kriteria yang dinilai sudah nyaman: "&amp;LEFT(Y291,LEN(Y291)-2)&amp;".",UPPER(LEFT(X291,1))&amp;MID(X291,2,LEN(X291)-3)&amp;"."&amp;IF(Y291="",""," Sudah nyaman: "&amp;LEFT(Y291,LEN(Y291)-2)&amp;"."))))</f>
        <v/>
      </c>
      <c r="AA291" s="33"/>
      <c r="AB291" s="33"/>
      <c r="AC291" s="69"/>
    </row>
    <row r="292" customFormat="false" ht="15" hidden="false" customHeight="true" outlineLevel="0" collapsed="false">
      <c r="A292" s="33" t="str">
        <f aca="false">IF(Varian!$A62="","",Varian!$A62)</f>
        <v/>
      </c>
      <c r="B292" s="33" t="str">
        <f aca="false">IF($A292="","",Aturan!$A$23)</f>
        <v/>
      </c>
      <c r="C292" s="69" t="str">
        <f aca="false">IF($A292="","",IFERROR(IF(ISNUMBER(INDEX(CPU!$J$4:$J$64,MATCH(Varian!$J62,CPU!$A$4:$A$64,0))),INDEX(CPU!$J$4:$J$64,MATCH(Varian!$J62,CPU!$A$4:$A$64,0)),""),""))</f>
        <v/>
      </c>
      <c r="D292" s="69" t="str">
        <f aca="false">IF($A292="","",IFERROR(IF(ISNUMBER(INDEX(GPU!$G$4:$G$64,MATCH(Varian!$K62,GPU!$A$4:$A$64,0))),INDEX(GPU!$G$4:$G$64,MATCH(Varian!$K62,GPU!$A$4:$A$64,0)),""),""))</f>
        <v/>
      </c>
      <c r="E292" s="69" t="str">
        <f aca="false">IF($A292="","",IF(ISNUMBER(Varian!$M62),Varian!$M62,""))</f>
        <v/>
      </c>
      <c r="F292" s="69" t="str">
        <f aca="false">IF($A292="","",IF(ISNUMBER(Varian!$V62),Varian!$V62,""))</f>
        <v/>
      </c>
      <c r="G292" s="69" t="str">
        <f aca="false">IF($A292="","",IFERROR(INDEX(Aturan!$B$63:$B$66,MATCH(Varian!$AG62,Aturan!$A$63:$A$66,0)),""))</f>
        <v/>
      </c>
      <c r="H292" s="69" t="str">
        <f aca="false">IF($A292="","",IF(ISNUMBER(Varian!$AI62),Varian!$AI62,""))</f>
        <v/>
      </c>
      <c r="I292" s="33" t="str">
        <f aca="false">IF($A292="","",IF(Varian!$Q62="disolder","menempel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2" s="33" t="str">
        <f aca="false">IF($A292="","",IF(Varian!$Z62="ya","bisa diganti dengan yang lebih besar",IF(Varian!$Z62="tidak","menempel, tidak bisa diganti","belum diketahui apakah bisa diganti")))</f>
        <v/>
      </c>
      <c r="K292" s="70" t="str">
        <f aca="false">IF($A292="","",IF(AND(Aturan!$C$42="",Aturan!$D$42=""),"Tidak dinilai",IF(C292="","Belum ada data",IF(C292&lt;IF(Aturan!$C$42="",0,Aturan!$C$42),"Kurang",IF(C292&gt;=IF(Aturan!$D$42="",Aturan!$C$42,Aturan!$D$42),"Nyaman","Cukup")))))</f>
        <v/>
      </c>
      <c r="L292" s="70" t="str">
        <f aca="false">IF($A292="","",IF(AND(Aturan!$C$43="",Aturan!$D$43=""),"Tidak dinilai",IF(D292="","Belum ada data",IF(D292&lt;IF(Aturan!$C$43="",0,Aturan!$C$43),"Kurang",IF(D292&gt;=IF(Aturan!$D$43="",Aturan!$C$43,Aturan!$D$43),"Nyaman","Cukup")))))</f>
        <v/>
      </c>
      <c r="M292" s="70" t="str">
        <f aca="false">IF($A292="","",IF(AND(Aturan!$C$44="",Aturan!$D$44=""),"Tidak dinilai",IF(E292="","Belum ada data",IF(E292&lt;IF(Aturan!$C$44="",0,Aturan!$C$44),"Kurang",IF(E292&gt;=IF(Aturan!$D$44="",Aturan!$C$44,Aturan!$D$44),"Nyaman","Cukup")))))</f>
        <v/>
      </c>
      <c r="N292" s="70" t="str">
        <f aca="false">IF($A292="","",IF(AND(Aturan!$C$45="",Aturan!$D$45=""),"Tidak dinilai",IF(F292="","Belum ada data",IF(F292&lt;IF(Aturan!$C$45="",0,Aturan!$C$45),"Kurang",IF(F292&gt;=IF(Aturan!$D$45="",Aturan!$C$45,Aturan!$D$45),"Nyaman","Cukup")))))</f>
        <v/>
      </c>
      <c r="O292" s="70" t="str">
        <f aca="false">IF($A292="","",IF(AND(Aturan!$C$46="",Aturan!$D$46=""),"Tidak dinilai",IF(G292="","Belum ada data",IF(G292&lt;IF(Aturan!$C$46="",0,Aturan!$C$46),"Kurang",IF(G292&gt;=IF(Aturan!$D$46="",Aturan!$C$46,Aturan!$D$46),"Nyaman","Cukup")))))</f>
        <v/>
      </c>
      <c r="P292" s="70" t="str">
        <f aca="false">IF($A292="","",IF(AND(Aturan!$C$47="",Aturan!$D$47=""),"Tidak dinilai",IF(H292="","Belum ada data",IF(H292&lt;IF(Aturan!$C$47="",0,Aturan!$C$47),"Kurang",IF(H292&gt;=IF(Aturan!$D$47="",Aturan!$C$47,Aturan!$D$47),"Nyaman","Cukup")))))</f>
        <v/>
      </c>
      <c r="Q292" s="70" t="str">
        <f aca="false">IF($A292="","",IF(COUNTIF(K292:P292,"Tidak dinilai")=6,"Tidak dinilai",IF(COUNTIF(K292:P292,"Kurang")&gt;0,"Kurang cocok",IF(COUNTIF(K292:P292,"Belum ada data")&gt;0,"Data belum lengkap",IF(COUNTIF(K292:P292,"Cukup")&gt;0,"Bisa, dengan catatan","Cocok")))))</f>
        <v/>
      </c>
      <c r="R292" s="33" t="str">
        <f aca="false">IF($A292="","",IF(K292="Kurang","prosesor tingkat "&amp;C292&amp;" dari 5, di bawah batas minimal (tingkat "&amp;Aturan!$C$42&amp;")",IF(K292="Cukup","prosesor tingkat "&amp;C292&amp;" dari 5 cukup, nyamannya mulai tingkat "&amp;Aturan!$D$42,IF(K292="Belum ada data","tingkat prosesor belum diisi",""))))</f>
        <v/>
      </c>
      <c r="S292" s="33" t="str">
        <f aca="false">IF($A292="","",IF(L292="Kurang","grafis tingkat "&amp;D292&amp;" dari 5, di bawah batas minimal (tingkat "&amp;Aturan!$C$43&amp;")",IF(L292="Cukup","grafis tingkat "&amp;D292&amp;" dari 5 cukup, nyamannya mulai tingkat "&amp;Aturan!$D$43,IF(L292="Belum ada data","tingkat grafis belum diisi",""))))</f>
        <v/>
      </c>
      <c r="T292" s="33" t="str">
        <f aca="false">IF($A292="","",IF(M292="Kurang","RAM "&amp;E292&amp;" GB, di bawah batas minimal "&amp;Aturan!$C$44&amp;" GB ("&amp;I292&amp;")",IF(M292="Cukup","RAM "&amp;E292&amp;" GB cukup, nyamannya "&amp;Aturan!$D$44&amp;" GB atau lebih ("&amp;I292&amp;")",IF(M292="Belum ada data","ukuran RAM belum diisi",""))))</f>
        <v/>
      </c>
      <c r="U292" s="33" t="str">
        <f aca="false">IF($A292="","",IF(N292="Kurang","penyimpanan "&amp;F292&amp;" GB, di bawah batas minimal "&amp;Aturan!$C$45&amp;" GB ("&amp;J292&amp;")",IF(N292="Cukup","penyimpanan "&amp;F292&amp;" GB cukup, nyamannya "&amp;Aturan!$D$45&amp;" GB atau lebih ("&amp;J292&amp;")",IF(N292="Belum ada data","ukuran penyimpanan belum diisi",""))))</f>
        <v/>
      </c>
      <c r="V292" s="33" t="str">
        <f aca="false">IF($A292="","",IF(O292="Kurang","layar "&amp;Varian!$AG62&amp;", di bawah batas minimal ("&amp;IFERROR(INDEX(Aturan!$A$63:$A$66,MATCH(Aturan!$C$46,Aturan!$B$63:$B$66,0)),"peringkat "&amp;Aturan!$C$46)&amp;")",IF(O292="Cukup","layar "&amp;Varian!$AG62&amp;" cukup, nyamannya "&amp;IFERROR(INDEX(Aturan!$A$63:$A$66,MATCH(Aturan!$D$46,Aturan!$B$63:$B$66,0)),"peringkat "&amp;Aturan!$D$46),IF(O292="Belum ada data","jenis layar belum diketahui",""))))</f>
        <v/>
      </c>
      <c r="W292" s="33" t="str">
        <f aca="false">IF($A292="","",IF(P292="Kurang","layar "&amp;H292&amp;" Hz, di bawah batas minimal "&amp;Aturan!$C$47&amp;" Hz",IF(P292="Cukup","layar "&amp;H292&amp;" Hz cukup, nyamannya "&amp;Aturan!$D$47&amp;" Hz atau lebih",IF(P292="Belum ada data","refresh rate belum diketahui",""))))</f>
        <v/>
      </c>
      <c r="X292" s="33" t="str">
        <f aca="false">IF($A292="","",IF(K292="Kurang",R292&amp;"; ","")&amp;IF(L292="Kurang",S292&amp;"; ","")&amp;IF(M292="Kurang",T292&amp;"; ","")&amp;IF(N292="Kurang",U292&amp;"; ","")&amp;IF(O292="Kurang",V292&amp;"; ","")&amp;IF(P292="Kurang",W292&amp;"; ","")&amp;IF(K292="Belum ada data",R292&amp;"; ","")&amp;IF(L292="Belum ada data",S292&amp;"; ","")&amp;IF(M292="Belum ada data",T292&amp;"; ","")&amp;IF(N292="Belum ada data",U292&amp;"; ","")&amp;IF(O292="Belum ada data",V292&amp;"; ","")&amp;IF(P292="Belum ada data",W292&amp;"; ","")&amp;IF(K292="Cukup",R292&amp;"; ","")&amp;IF(L292="Cukup",S292&amp;"; ","")&amp;IF(M292="Cukup",T292&amp;"; ","")&amp;IF(N292="Cukup",U292&amp;"; ","")&amp;IF(O292="Cukup",V292&amp;"; ","")&amp;IF(P292="Cukup",W292&amp;"; ",""))</f>
        <v/>
      </c>
      <c r="Y292" s="33" t="str">
        <f aca="false">IF($A292="","",IF(K292="Nyaman","prosesor, ","")&amp;IF(L292="Nyaman","grafis, ","")&amp;IF(M292="Nyaman","RAM, ","")&amp;IF(N292="Nyaman","penyimpanan, ","")&amp;IF(O292="Nyaman","layar, ","")&amp;IF(P292="Nyaman","refresh rate, ",""))</f>
        <v/>
      </c>
      <c r="Z292" s="33" t="str">
        <f aca="false">IF($A292="","",IF(Q292="Tidak dinilai","Belum ada kriteria yang dinilai untuk kebutuhan ini.",IF(Q292="Cocok","Semua kriteria yang dinilai sudah nyaman: "&amp;LEFT(Y292,LEN(Y292)-2)&amp;".",UPPER(LEFT(X292,1))&amp;MID(X292,2,LEN(X292)-3)&amp;"."&amp;IF(Y292="",""," Sudah nyaman: "&amp;LEFT(Y292,LEN(Y292)-2)&amp;"."))))</f>
        <v/>
      </c>
      <c r="AA292" s="33"/>
      <c r="AB292" s="33"/>
      <c r="AC292" s="69"/>
    </row>
    <row r="293" customFormat="false" ht="15" hidden="false" customHeight="true" outlineLevel="0" collapsed="false">
      <c r="A293" s="33" t="str">
        <f aca="false">IF(Varian!$A62="","",Varian!$A62)</f>
        <v/>
      </c>
      <c r="B293" s="33" t="str">
        <f aca="false">IF($A293="","",Aturan!$A$24)</f>
        <v/>
      </c>
      <c r="C293" s="69" t="str">
        <f aca="false">IF($A293="","",IFERROR(IF(ISNUMBER(INDEX(CPU!$J$4:$J$64,MATCH(Varian!$J62,CPU!$A$4:$A$64,0))),INDEX(CPU!$J$4:$J$64,MATCH(Varian!$J62,CPU!$A$4:$A$64,0)),""),""))</f>
        <v/>
      </c>
      <c r="D293" s="69" t="str">
        <f aca="false">IF($A293="","",IFERROR(IF(ISNUMBER(INDEX(GPU!$G$4:$G$64,MATCH(Varian!$K62,GPU!$A$4:$A$64,0))),INDEX(GPU!$G$4:$G$64,MATCH(Varian!$K62,GPU!$A$4:$A$64,0)),""),""))</f>
        <v/>
      </c>
      <c r="E293" s="69" t="str">
        <f aca="false">IF($A293="","",IF(ISNUMBER(Varian!$M62),Varian!$M62,""))</f>
        <v/>
      </c>
      <c r="F293" s="69" t="str">
        <f aca="false">IF($A293="","",IF(ISNUMBER(Varian!$V62),Varian!$V62,""))</f>
        <v/>
      </c>
      <c r="G293" s="69" t="str">
        <f aca="false">IF($A293="","",IFERROR(INDEX(Aturan!$B$63:$B$66,MATCH(Varian!$AG62,Aturan!$A$63:$A$66,0)),""))</f>
        <v/>
      </c>
      <c r="H293" s="69" t="str">
        <f aca="false">IF($A293="","",IF(ISNUMBER(Varian!$AI62),Varian!$AI62,""))</f>
        <v/>
      </c>
      <c r="I293" s="33" t="str">
        <f aca="false">IF($A293="","",IF(Varian!$Q62="disolder","menempel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3" s="33" t="str">
        <f aca="false">IF($A293="","",IF(Varian!$Z62="ya","bisa diganti dengan yang lebih besar",IF(Varian!$Z62="tidak","menempel, tidak bisa diganti","belum diketahui apakah bisa diganti")))</f>
        <v/>
      </c>
      <c r="K293" s="70" t="str">
        <f aca="false">IF($A293="","",IF(AND(Aturan!$C$48="",Aturan!$D$48=""),"Tidak dinilai",IF(C293="","Belum ada data",IF(C293&lt;IF(Aturan!$C$48="",0,Aturan!$C$48),"Kurang",IF(C293&gt;=IF(Aturan!$D$48="",Aturan!$C$48,Aturan!$D$48),"Nyaman","Cukup")))))</f>
        <v/>
      </c>
      <c r="L293" s="70" t="str">
        <f aca="false">IF($A293="","",IF(AND(Aturan!$C$49="",Aturan!$D$49=""),"Tidak dinilai",IF(D293="","Belum ada data",IF(D293&lt;IF(Aturan!$C$49="",0,Aturan!$C$49),"Kurang",IF(D293&gt;=IF(Aturan!$D$49="",Aturan!$C$49,Aturan!$D$49),"Nyaman","Cukup")))))</f>
        <v/>
      </c>
      <c r="M293" s="70" t="str">
        <f aca="false">IF($A293="","",IF(AND(Aturan!$C$50="",Aturan!$D$50=""),"Tidak dinilai",IF(E293="","Belum ada data",IF(E293&lt;IF(Aturan!$C$50="",0,Aturan!$C$50),"Kurang",IF(E293&gt;=IF(Aturan!$D$50="",Aturan!$C$50,Aturan!$D$50),"Nyaman","Cukup")))))</f>
        <v/>
      </c>
      <c r="N293" s="70" t="str">
        <f aca="false">IF($A293="","",IF(AND(Aturan!$C$51="",Aturan!$D$51=""),"Tidak dinilai",IF(F293="","Belum ada data",IF(F293&lt;IF(Aturan!$C$51="",0,Aturan!$C$51),"Kurang",IF(F293&gt;=IF(Aturan!$D$51="",Aturan!$C$51,Aturan!$D$51),"Nyaman","Cukup")))))</f>
        <v/>
      </c>
      <c r="O293" s="70" t="str">
        <f aca="false">IF($A293="","",IF(AND(Aturan!$C$52="",Aturan!$D$52=""),"Tidak dinilai",IF(G293="","Belum ada data",IF(G293&lt;IF(Aturan!$C$52="",0,Aturan!$C$52),"Kurang",IF(G293&gt;=IF(Aturan!$D$52="",Aturan!$C$52,Aturan!$D$52),"Nyaman","Cukup")))))</f>
        <v/>
      </c>
      <c r="P293" s="70" t="str">
        <f aca="false">IF($A293="","",IF(AND(Aturan!$C$53="",Aturan!$D$53=""),"Tidak dinilai",IF(H293="","Belum ada data",IF(H293&lt;IF(Aturan!$C$53="",0,Aturan!$C$53),"Kurang",IF(H293&gt;=IF(Aturan!$D$53="",Aturan!$C$53,Aturan!$D$53),"Nyaman","Cukup")))))</f>
        <v/>
      </c>
      <c r="Q293" s="70" t="str">
        <f aca="false">IF($A293="","",IF(COUNTIF(K293:P293,"Tidak dinilai")=6,"Tidak dinilai",IF(COUNTIF(K293:P293,"Kurang")&gt;0,"Kurang cocok",IF(COUNTIF(K293:P293,"Belum ada data")&gt;0,"Data belum lengkap",IF(COUNTIF(K293:P293,"Cukup")&gt;0,"Bisa, dengan catatan","Cocok")))))</f>
        <v/>
      </c>
      <c r="R293" s="33" t="str">
        <f aca="false">IF($A293="","",IF(K293="Kurang","prosesor tingkat "&amp;C293&amp;" dari 5, di bawah batas minimal (tingkat "&amp;Aturan!$C$48&amp;")",IF(K293="Cukup","prosesor tingkat "&amp;C293&amp;" dari 5 cukup, nyamannya mulai tingkat "&amp;Aturan!$D$48,IF(K293="Belum ada data","tingkat prosesor belum diisi",""))))</f>
        <v/>
      </c>
      <c r="S293" s="33" t="str">
        <f aca="false">IF($A293="","",IF(L293="Kurang","grafis tingkat "&amp;D293&amp;" dari 5, di bawah batas minimal (tingkat "&amp;Aturan!$C$49&amp;")",IF(L293="Cukup","grafis tingkat "&amp;D293&amp;" dari 5 cukup, nyamannya mulai tingkat "&amp;Aturan!$D$49,IF(L293="Belum ada data","tingkat grafis belum diisi",""))))</f>
        <v/>
      </c>
      <c r="T293" s="33" t="str">
        <f aca="false">IF($A293="","",IF(M293="Kurang","RAM "&amp;E293&amp;" GB, di bawah batas minimal "&amp;Aturan!$C$50&amp;" GB ("&amp;I293&amp;")",IF(M293="Cukup","RAM "&amp;E293&amp;" GB cukup, nyamannya "&amp;Aturan!$D$50&amp;" GB atau lebih ("&amp;I293&amp;")",IF(M293="Belum ada data","ukuran RAM belum diisi",""))))</f>
        <v/>
      </c>
      <c r="U293" s="33" t="str">
        <f aca="false">IF($A293="","",IF(N293="Kurang","penyimpanan "&amp;F293&amp;" GB, di bawah batas minimal "&amp;Aturan!$C$51&amp;" GB ("&amp;J293&amp;")",IF(N293="Cukup","penyimpanan "&amp;F293&amp;" GB cukup, nyamannya "&amp;Aturan!$D$51&amp;" GB atau lebih ("&amp;J293&amp;")",IF(N293="Belum ada data","ukuran penyimpanan belum diisi",""))))</f>
        <v/>
      </c>
      <c r="V293" s="33" t="str">
        <f aca="false">IF($A293="","",IF(O293="Kurang","layar "&amp;Varian!$AG62&amp;", di bawah batas minimal ("&amp;IFERROR(INDEX(Aturan!$A$63:$A$66,MATCH(Aturan!$C$52,Aturan!$B$63:$B$66,0)),"peringkat "&amp;Aturan!$C$52)&amp;")",IF(O293="Cukup","layar "&amp;Varian!$AG62&amp;" cukup, nyamannya "&amp;IFERROR(INDEX(Aturan!$A$63:$A$66,MATCH(Aturan!$D$52,Aturan!$B$63:$B$66,0)),"peringkat "&amp;Aturan!$D$52),IF(O293="Belum ada data","jenis layar belum diketahui",""))))</f>
        <v/>
      </c>
      <c r="W293" s="33" t="str">
        <f aca="false">IF($A293="","",IF(P293="Kurang","layar "&amp;H293&amp;" Hz, di bawah batas minimal "&amp;Aturan!$C$53&amp;" Hz",IF(P293="Cukup","layar "&amp;H293&amp;" Hz cukup, nyamannya "&amp;Aturan!$D$53&amp;" Hz atau lebih",IF(P293="Belum ada data","refresh rate belum diketahui",""))))</f>
        <v/>
      </c>
      <c r="X293" s="33" t="str">
        <f aca="false">IF($A293="","",IF(K293="Kurang",R293&amp;"; ","")&amp;IF(L293="Kurang",S293&amp;"; ","")&amp;IF(M293="Kurang",T293&amp;"; ","")&amp;IF(N293="Kurang",U293&amp;"; ","")&amp;IF(O293="Kurang",V293&amp;"; ","")&amp;IF(P293="Kurang",W293&amp;"; ","")&amp;IF(K293="Belum ada data",R293&amp;"; ","")&amp;IF(L293="Belum ada data",S293&amp;"; ","")&amp;IF(M293="Belum ada data",T293&amp;"; ","")&amp;IF(N293="Belum ada data",U293&amp;"; ","")&amp;IF(O293="Belum ada data",V293&amp;"; ","")&amp;IF(P293="Belum ada data",W293&amp;"; ","")&amp;IF(K293="Cukup",R293&amp;"; ","")&amp;IF(L293="Cukup",S293&amp;"; ","")&amp;IF(M293="Cukup",T293&amp;"; ","")&amp;IF(N293="Cukup",U293&amp;"; ","")&amp;IF(O293="Cukup",V293&amp;"; ","")&amp;IF(P293="Cukup",W293&amp;"; ",""))</f>
        <v/>
      </c>
      <c r="Y293" s="33" t="str">
        <f aca="false">IF($A293="","",IF(K293="Nyaman","prosesor, ","")&amp;IF(L293="Nyaman","grafis, ","")&amp;IF(M293="Nyaman","RAM, ","")&amp;IF(N293="Nyaman","penyimpanan, ","")&amp;IF(O293="Nyaman","layar, ","")&amp;IF(P293="Nyaman","refresh rate, ",""))</f>
        <v/>
      </c>
      <c r="Z293" s="33" t="str">
        <f aca="false">IF($A293="","",IF(Q293="Tidak dinilai","Belum ada kriteria yang dinilai untuk kebutuhan ini.",IF(Q293="Cocok","Semua kriteria yang dinilai sudah nyaman: "&amp;LEFT(Y293,LEN(Y293)-2)&amp;".",UPPER(LEFT(X293,1))&amp;MID(X293,2,LEN(X293)-3)&amp;"."&amp;IF(Y293="",""," Sudah nyaman: "&amp;LEFT(Y293,LEN(Y293)-2)&amp;"."))))</f>
        <v/>
      </c>
      <c r="AA293" s="33"/>
      <c r="AB293" s="33"/>
      <c r="AC293" s="69"/>
    </row>
    <row r="294" customFormat="false" ht="15" hidden="false" customHeight="true" outlineLevel="0" collapsed="false">
      <c r="A294" s="33" t="str">
        <f aca="false">IF(Varian!$A62="","",Varian!$A62)</f>
        <v/>
      </c>
      <c r="B294" s="33" t="str">
        <f aca="false">IF($A294="","",Aturan!$A$25)</f>
        <v/>
      </c>
      <c r="C294" s="69" t="str">
        <f aca="false">IF($A294="","",IFERROR(IF(ISNUMBER(INDEX(CPU!$J$4:$J$64,MATCH(Varian!$J62,CPU!$A$4:$A$64,0))),INDEX(CPU!$J$4:$J$64,MATCH(Varian!$J62,CPU!$A$4:$A$64,0)),""),""))</f>
        <v/>
      </c>
      <c r="D294" s="69" t="str">
        <f aca="false">IF($A294="","",IFERROR(IF(ISNUMBER(INDEX(GPU!$G$4:$G$64,MATCH(Varian!$K62,GPU!$A$4:$A$64,0))),INDEX(GPU!$G$4:$G$64,MATCH(Varian!$K62,GPU!$A$4:$A$64,0)),""),""))</f>
        <v/>
      </c>
      <c r="E294" s="69" t="str">
        <f aca="false">IF($A294="","",IF(ISNUMBER(Varian!$M62),Varian!$M62,""))</f>
        <v/>
      </c>
      <c r="F294" s="69" t="str">
        <f aca="false">IF($A294="","",IF(ISNUMBER(Varian!$V62),Varian!$V62,""))</f>
        <v/>
      </c>
      <c r="G294" s="69" t="str">
        <f aca="false">IF($A294="","",IFERROR(INDEX(Aturan!$B$63:$B$66,MATCH(Varian!$AG62,Aturan!$A$63:$A$66,0)),""))</f>
        <v/>
      </c>
      <c r="H294" s="69" t="str">
        <f aca="false">IF($A294="","",IF(ISNUMBER(Varian!$AI62),Varian!$AI62,""))</f>
        <v/>
      </c>
      <c r="I294" s="33" t="str">
        <f aca="false">IF($A294="","",IF(Varian!$Q62="disolder","menempel di papan utama, tidak bisa ditambah",IF(OR(Varian!$Q62="slot",Varian!$Q62="setengah_disolder"),IF(Varian!$Q62="setengah_disolder","sebagian menempel, ","")&amp;IF(ISNUMBER(Varian!$U62),IF(AND(ISNUMBER(Varian!$M62),Varian!$U62&gt;Varian!$M62),"bisa dinaikkan lewat slot sampai "&amp;Varian!$U62&amp;" GB","sudah di batas maksimal "&amp;Varian!$U62&amp;" GB"),"ada slot, batas maksimalnya belum diketahui"),"belum diketahui apakah bisa ditambah")))</f>
        <v/>
      </c>
      <c r="J294" s="33" t="str">
        <f aca="false">IF($A294="","",IF(Varian!$Z62="ya","bisa diganti dengan yang lebih besar",IF(Varian!$Z62="tidak","menempel, tidak bisa diganti","belum diketahui apakah bisa diganti")))</f>
        <v/>
      </c>
      <c r="K294" s="70" t="str">
        <f aca="false">IF($A294="","",IF(AND(Aturan!$C$54="",Aturan!$D$54=""),"Tidak dinilai",IF(C294="","Belum ada data",IF(C294&lt;IF(Aturan!$C$54="",0,Aturan!$C$54),"Kurang",IF(C294&gt;=IF(Aturan!$D$54="",Aturan!$C$54,Aturan!$D$54),"Nyaman","Cukup")))))</f>
        <v/>
      </c>
      <c r="L294" s="70" t="str">
        <f aca="false">IF($A294="","",IF(AND(Aturan!$C$55="",Aturan!$D$55=""),"Tidak dinilai",IF(D294="","Belum ada data",IF(D294&lt;IF(Aturan!$C$55="",0,Aturan!$C$55),"Kurang",IF(D294&gt;=IF(Aturan!$D$55="",Aturan!$C$55,Aturan!$D$55),"Nyaman","Cukup")))))</f>
        <v/>
      </c>
      <c r="M294" s="70" t="str">
        <f aca="false">IF($A294="","",IF(AND(Aturan!$C$56="",Aturan!$D$56=""),"Tidak dinilai",IF(E294="","Belum ada data",IF(E294&lt;IF(Aturan!$C$56="",0,Aturan!$C$56),"Kurang",IF(E294&gt;=IF(Aturan!$D$56="",Aturan!$C$56,Aturan!$D$56),"Nyaman","Cukup")))))</f>
        <v/>
      </c>
      <c r="N294" s="70" t="str">
        <f aca="false">IF($A294="","",IF(AND(Aturan!$C$57="",Aturan!$D$57=""),"Tidak dinilai",IF(F294="","Belum ada data",IF(F294&lt;IF(Aturan!$C$57="",0,Aturan!$C$57),"Kurang",IF(F294&gt;=IF(Aturan!$D$57="",Aturan!$C$57,Aturan!$D$57),"Nyaman","Cukup")))))</f>
        <v/>
      </c>
      <c r="O294" s="70" t="str">
        <f aca="false">IF($A294="","",IF(AND(Aturan!$C$58="",Aturan!$D$58=""),"Tidak dinilai",IF(G294="","Belum ada data",IF(G294&lt;IF(Aturan!$C$58="",0,Aturan!$C$58),"Kurang",IF(G294&gt;=IF(Aturan!$D$58="",Aturan!$C$58,Aturan!$D$58),"Nyaman","Cukup")))))</f>
        <v/>
      </c>
      <c r="P294" s="70" t="str">
        <f aca="false">IF($A294="","",IF(AND(Aturan!$C$59="",Aturan!$D$59=""),"Tidak dinilai",IF(H294="","Belum ada data",IF(H294&lt;IF(Aturan!$C$59="",0,Aturan!$C$59),"Kurang",IF(H294&gt;=IF(Aturan!$D$59="",Aturan!$C$59,Aturan!$D$59),"Nyaman","Cukup")))))</f>
        <v/>
      </c>
      <c r="Q294" s="70" t="str">
        <f aca="false">IF($A294="","",IF(COUNTIF(K294:P294,"Tidak dinilai")=6,"Tidak dinilai",IF(COUNTIF(K294:P294,"Kurang")&gt;0,"Kurang cocok",IF(COUNTIF(K294:P294,"Belum ada data")&gt;0,"Data belum lengkap",IF(COUNTIF(K294:P294,"Cukup")&gt;0,"Bisa, dengan catatan","Cocok")))))</f>
        <v/>
      </c>
      <c r="R294" s="33" t="str">
        <f aca="false">IF($A294="","",IF(K294="Kurang","prosesor tingkat "&amp;C294&amp;" dari 5, di bawah batas minimal (tingkat "&amp;Aturan!$C$54&amp;")",IF(K294="Cukup","prosesor tingkat "&amp;C294&amp;" dari 5 cukup, nyamannya mulai tingkat "&amp;Aturan!$D$54,IF(K294="Belum ada data","tingkat prosesor belum diisi",""))))</f>
        <v/>
      </c>
      <c r="S294" s="33" t="str">
        <f aca="false">IF($A294="","",IF(L294="Kurang","grafis tingkat "&amp;D294&amp;" dari 5, di bawah batas minimal (tingkat "&amp;Aturan!$C$55&amp;")",IF(L294="Cukup","grafis tingkat "&amp;D294&amp;" dari 5 cukup, nyamannya mulai tingkat "&amp;Aturan!$D$55,IF(L294="Belum ada data","tingkat grafis belum diisi",""))))</f>
        <v/>
      </c>
      <c r="T294" s="33" t="str">
        <f aca="false">IF($A294="","",IF(M294="Kurang","RAM "&amp;E294&amp;" GB, di bawah batas minimal "&amp;Aturan!$C$56&amp;" GB ("&amp;I294&amp;")",IF(M294="Cukup","RAM "&amp;E294&amp;" GB cukup, nyamannya "&amp;Aturan!$D$56&amp;" GB atau lebih ("&amp;I294&amp;")",IF(M294="Belum ada data","ukuran RAM belum diisi",""))))</f>
        <v/>
      </c>
      <c r="U294" s="33" t="str">
        <f aca="false">IF($A294="","",IF(N294="Kurang","penyimpanan "&amp;F294&amp;" GB, di bawah batas minimal "&amp;Aturan!$C$57&amp;" GB ("&amp;J294&amp;")",IF(N294="Cukup","penyimpanan "&amp;F294&amp;" GB cukup, nyamannya "&amp;Aturan!$D$57&amp;" GB atau lebih ("&amp;J294&amp;")",IF(N294="Belum ada data","ukuran penyimpanan belum diisi",""))))</f>
        <v/>
      </c>
      <c r="V294" s="33" t="str">
        <f aca="false">IF($A294="","",IF(O294="Kurang","layar "&amp;Varian!$AG62&amp;", di bawah batas minimal ("&amp;IFERROR(INDEX(Aturan!$A$63:$A$66,MATCH(Aturan!$C$58,Aturan!$B$63:$B$66,0)),"peringkat "&amp;Aturan!$C$58)&amp;")",IF(O294="Cukup","layar "&amp;Varian!$AG62&amp;" cukup, nyamannya "&amp;IFERROR(INDEX(Aturan!$A$63:$A$66,MATCH(Aturan!$D$58,Aturan!$B$63:$B$66,0)),"peringkat "&amp;Aturan!$D$58),IF(O294="Belum ada data","jenis layar belum diketahui",""))))</f>
        <v/>
      </c>
      <c r="W294" s="33" t="str">
        <f aca="false">IF($A294="","",IF(P294="Kurang","layar "&amp;H294&amp;" Hz, di bawah batas minimal "&amp;Aturan!$C$59&amp;" Hz",IF(P294="Cukup","layar "&amp;H294&amp;" Hz cukup, nyamannya "&amp;Aturan!$D$59&amp;" Hz atau lebih",IF(P294="Belum ada data","refresh rate belum diketahui",""))))</f>
        <v/>
      </c>
      <c r="X294" s="33" t="str">
        <f aca="false">IF($A294="","",IF(K294="Kurang",R294&amp;"; ","")&amp;IF(L294="Kurang",S294&amp;"; ","")&amp;IF(M294="Kurang",T294&amp;"; ","")&amp;IF(N294="Kurang",U294&amp;"; ","")&amp;IF(O294="Kurang",V294&amp;"; ","")&amp;IF(P294="Kurang",W294&amp;"; ","")&amp;IF(K294="Belum ada data",R294&amp;"; ","")&amp;IF(L294="Belum ada data",S294&amp;"; ","")&amp;IF(M294="Belum ada data",T294&amp;"; ","")&amp;IF(N294="Belum ada data",U294&amp;"; ","")&amp;IF(O294="Belum ada data",V294&amp;"; ","")&amp;IF(P294="Belum ada data",W294&amp;"; ","")&amp;IF(K294="Cukup",R294&amp;"; ","")&amp;IF(L294="Cukup",S294&amp;"; ","")&amp;IF(M294="Cukup",T294&amp;"; ","")&amp;IF(N294="Cukup",U294&amp;"; ","")&amp;IF(O294="Cukup",V294&amp;"; ","")&amp;IF(P294="Cukup",W294&amp;"; ",""))</f>
        <v/>
      </c>
      <c r="Y294" s="33" t="str">
        <f aca="false">IF($A294="","",IF(K294="Nyaman","prosesor, ","")&amp;IF(L294="Nyaman","grafis, ","")&amp;IF(M294="Nyaman","RAM, ","")&amp;IF(N294="Nyaman","penyimpanan, ","")&amp;IF(O294="Nyaman","layar, ","")&amp;IF(P294="Nyaman","refresh rate, ",""))</f>
        <v/>
      </c>
      <c r="Z294" s="33" t="str">
        <f aca="false">IF($A294="","",IF(Q294="Tidak dinilai","Belum ada kriteria yang dinilai untuk kebutuhan ini.",IF(Q294="Cocok","Semua kriteria yang dinilai sudah nyaman: "&amp;LEFT(Y294,LEN(Y294)-2)&amp;".",UPPER(LEFT(X294,1))&amp;MID(X294,2,LEN(X294)-3)&amp;"."&amp;IF(Y294="",""," Sudah nyaman: "&amp;LEFT(Y294,LEN(Y294)-2)&amp;"."))))</f>
        <v/>
      </c>
      <c r="AA294" s="33"/>
      <c r="AB294" s="33"/>
      <c r="AC294" s="69"/>
    </row>
    <row r="295" customFormat="false" ht="15" hidden="false" customHeight="true" outlineLevel="0" collapsed="false">
      <c r="A295" s="66" t="str">
        <f aca="false">IF(Varian!$A63="","",Varian!$A63)</f>
        <v/>
      </c>
      <c r="B295" s="66" t="str">
        <f aca="false">IF($A295="","",Aturan!$A$21)</f>
        <v/>
      </c>
      <c r="C295" s="67" t="str">
        <f aca="false">IF($A295="","",IFERROR(IF(ISNUMBER(INDEX(CPU!$J$4:$J$64,MATCH(Varian!$J63,CPU!$A$4:$A$64,0))),INDEX(CPU!$J$4:$J$64,MATCH(Varian!$J63,CPU!$A$4:$A$64,0)),""),""))</f>
        <v/>
      </c>
      <c r="D295" s="67" t="str">
        <f aca="false">IF($A295="","",IFERROR(IF(ISNUMBER(INDEX(GPU!$G$4:$G$64,MATCH(Varian!$K63,GPU!$A$4:$A$64,0))),INDEX(GPU!$G$4:$G$64,MATCH(Varian!$K63,GPU!$A$4:$A$64,0)),""),""))</f>
        <v/>
      </c>
      <c r="E295" s="67" t="str">
        <f aca="false">IF($A295="","",IF(ISNUMBER(Varian!$M63),Varian!$M63,""))</f>
        <v/>
      </c>
      <c r="F295" s="67" t="str">
        <f aca="false">IF($A295="","",IF(ISNUMBER(Varian!$V63),Varian!$V63,""))</f>
        <v/>
      </c>
      <c r="G295" s="67" t="str">
        <f aca="false">IF($A295="","",IFERROR(INDEX(Aturan!$B$63:$B$66,MATCH(Varian!$AG63,Aturan!$A$63:$A$66,0)),""))</f>
        <v/>
      </c>
      <c r="H295" s="67" t="str">
        <f aca="false">IF($A295="","",IF(ISNUMBER(Varian!$AI63),Varian!$AI63,""))</f>
        <v/>
      </c>
      <c r="I295" s="66" t="str">
        <f aca="false">IF($A295="","",IF(Varian!$Q63="disolder","menempel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5" s="66" t="str">
        <f aca="false">IF($A295="","",IF(Varian!$Z63="ya","bisa diganti dengan yang lebih besar",IF(Varian!$Z63="tidak","menempel, tidak bisa diganti","belum diketahui apakah bisa diganti")))</f>
        <v/>
      </c>
      <c r="K295" s="68" t="str">
        <f aca="false">IF($A295="","",IF(AND(Aturan!$C$30="",Aturan!$D$30=""),"Tidak dinilai",IF(C295="","Belum ada data",IF(C295&lt;IF(Aturan!$C$30="",0,Aturan!$C$30),"Kurang",IF(C295&gt;=IF(Aturan!$D$30="",Aturan!$C$30,Aturan!$D$30),"Nyaman","Cukup")))))</f>
        <v/>
      </c>
      <c r="L295" s="68" t="str">
        <f aca="false">IF($A295="","",IF(AND(Aturan!$C$31="",Aturan!$D$31=""),"Tidak dinilai",IF(D295="","Belum ada data",IF(D295&lt;IF(Aturan!$C$31="",0,Aturan!$C$31),"Kurang",IF(D295&gt;=IF(Aturan!$D$31="",Aturan!$C$31,Aturan!$D$31),"Nyaman","Cukup")))))</f>
        <v/>
      </c>
      <c r="M295" s="68" t="str">
        <f aca="false">IF($A295="","",IF(AND(Aturan!$C$32="",Aturan!$D$32=""),"Tidak dinilai",IF(E295="","Belum ada data",IF(E295&lt;IF(Aturan!$C$32="",0,Aturan!$C$32),"Kurang",IF(E295&gt;=IF(Aturan!$D$32="",Aturan!$C$32,Aturan!$D$32),"Nyaman","Cukup")))))</f>
        <v/>
      </c>
      <c r="N295" s="68" t="str">
        <f aca="false">IF($A295="","",IF(AND(Aturan!$C$33="",Aturan!$D$33=""),"Tidak dinilai",IF(F295="","Belum ada data",IF(F295&lt;IF(Aturan!$C$33="",0,Aturan!$C$33),"Kurang",IF(F295&gt;=IF(Aturan!$D$33="",Aturan!$C$33,Aturan!$D$33),"Nyaman","Cukup")))))</f>
        <v/>
      </c>
      <c r="O295" s="68" t="str">
        <f aca="false">IF($A295="","",IF(AND(Aturan!$C$34="",Aturan!$D$34=""),"Tidak dinilai",IF(G295="","Belum ada data",IF(G295&lt;IF(Aturan!$C$34="",0,Aturan!$C$34),"Kurang",IF(G295&gt;=IF(Aturan!$D$34="",Aturan!$C$34,Aturan!$D$34),"Nyaman","Cukup")))))</f>
        <v/>
      </c>
      <c r="P295" s="68" t="str">
        <f aca="false">IF($A295="","",IF(AND(Aturan!$C$35="",Aturan!$D$35=""),"Tidak dinilai",IF(H295="","Belum ada data",IF(H295&lt;IF(Aturan!$C$35="",0,Aturan!$C$35),"Kurang",IF(H295&gt;=IF(Aturan!$D$35="",Aturan!$C$35,Aturan!$D$35),"Nyaman","Cukup")))))</f>
        <v/>
      </c>
      <c r="Q295" s="68" t="str">
        <f aca="false">IF($A295="","",IF(COUNTIF(K295:P295,"Tidak dinilai")=6,"Tidak dinilai",IF(COUNTIF(K295:P295,"Kurang")&gt;0,"Kurang cocok",IF(COUNTIF(K295:P295,"Belum ada data")&gt;0,"Data belum lengkap",IF(COUNTIF(K295:P295,"Cukup")&gt;0,"Bisa, dengan catatan","Cocok")))))</f>
        <v/>
      </c>
      <c r="R295" s="66" t="str">
        <f aca="false">IF($A295="","",IF(K295="Kurang","prosesor tingkat "&amp;C295&amp;" dari 5, di bawah batas minimal (tingkat "&amp;Aturan!$C$30&amp;")",IF(K295="Cukup","prosesor tingkat "&amp;C295&amp;" dari 5 cukup, nyamannya mulai tingkat "&amp;Aturan!$D$30,IF(K295="Belum ada data","tingkat prosesor belum diisi",""))))</f>
        <v/>
      </c>
      <c r="S295" s="66" t="str">
        <f aca="false">IF($A295="","",IF(L295="Kurang","grafis tingkat "&amp;D295&amp;" dari 5, di bawah batas minimal (tingkat "&amp;Aturan!$C$31&amp;")",IF(L295="Cukup","grafis tingkat "&amp;D295&amp;" dari 5 cukup, nyamannya mulai tingkat "&amp;Aturan!$D$31,IF(L295="Belum ada data","tingkat grafis belum diisi",""))))</f>
        <v/>
      </c>
      <c r="T295" s="66" t="str">
        <f aca="false">IF($A295="","",IF(M295="Kurang","RAM "&amp;E295&amp;" GB, di bawah batas minimal "&amp;Aturan!$C$32&amp;" GB ("&amp;I295&amp;")",IF(M295="Cukup","RAM "&amp;E295&amp;" GB cukup, nyamannya "&amp;Aturan!$D$32&amp;" GB atau lebih ("&amp;I295&amp;")",IF(M295="Belum ada data","ukuran RAM belum diisi",""))))</f>
        <v/>
      </c>
      <c r="U295" s="66" t="str">
        <f aca="false">IF($A295="","",IF(N295="Kurang","penyimpanan "&amp;F295&amp;" GB, di bawah batas minimal "&amp;Aturan!$C$33&amp;" GB ("&amp;J295&amp;")",IF(N295="Cukup","penyimpanan "&amp;F295&amp;" GB cukup, nyamannya "&amp;Aturan!$D$33&amp;" GB atau lebih ("&amp;J295&amp;")",IF(N295="Belum ada data","ukuran penyimpanan belum diisi",""))))</f>
        <v/>
      </c>
      <c r="V295" s="66" t="str">
        <f aca="false">IF($A295="","",IF(O295="Kurang","layar "&amp;Varian!$AG63&amp;", di bawah batas minimal ("&amp;IFERROR(INDEX(Aturan!$A$63:$A$66,MATCH(Aturan!$C$34,Aturan!$B$63:$B$66,0)),"peringkat "&amp;Aturan!$C$34)&amp;")",IF(O295="Cukup","layar "&amp;Varian!$AG63&amp;" cukup, nyamannya "&amp;IFERROR(INDEX(Aturan!$A$63:$A$66,MATCH(Aturan!$D$34,Aturan!$B$63:$B$66,0)),"peringkat "&amp;Aturan!$D$34),IF(O295="Belum ada data","jenis layar belum diketahui",""))))</f>
        <v/>
      </c>
      <c r="W295" s="66" t="str">
        <f aca="false">IF($A295="","",IF(P295="Kurang","layar "&amp;H295&amp;" Hz, di bawah batas minimal "&amp;Aturan!$C$35&amp;" Hz",IF(P295="Cukup","layar "&amp;H295&amp;" Hz cukup, nyamannya "&amp;Aturan!$D$35&amp;" Hz atau lebih",IF(P295="Belum ada data","refresh rate belum diketahui",""))))</f>
        <v/>
      </c>
      <c r="X295" s="66" t="str">
        <f aca="false">IF($A295="","",IF(K295="Kurang",R295&amp;"; ","")&amp;IF(L295="Kurang",S295&amp;"; ","")&amp;IF(M295="Kurang",T295&amp;"; ","")&amp;IF(N295="Kurang",U295&amp;"; ","")&amp;IF(O295="Kurang",V295&amp;"; ","")&amp;IF(P295="Kurang",W295&amp;"; ","")&amp;IF(K295="Belum ada data",R295&amp;"; ","")&amp;IF(L295="Belum ada data",S295&amp;"; ","")&amp;IF(M295="Belum ada data",T295&amp;"; ","")&amp;IF(N295="Belum ada data",U295&amp;"; ","")&amp;IF(O295="Belum ada data",V295&amp;"; ","")&amp;IF(P295="Belum ada data",W295&amp;"; ","")&amp;IF(K295="Cukup",R295&amp;"; ","")&amp;IF(L295="Cukup",S295&amp;"; ","")&amp;IF(M295="Cukup",T295&amp;"; ","")&amp;IF(N295="Cukup",U295&amp;"; ","")&amp;IF(O295="Cukup",V295&amp;"; ","")&amp;IF(P295="Cukup",W295&amp;"; ",""))</f>
        <v/>
      </c>
      <c r="Y295" s="66" t="str">
        <f aca="false">IF($A295="","",IF(K295="Nyaman","prosesor, ","")&amp;IF(L295="Nyaman","grafis, ","")&amp;IF(M295="Nyaman","RAM, ","")&amp;IF(N295="Nyaman","penyimpanan, ","")&amp;IF(O295="Nyaman","layar, ","")&amp;IF(P295="Nyaman","refresh rate, ",""))</f>
        <v/>
      </c>
      <c r="Z295" s="66" t="str">
        <f aca="false">IF($A295="","",IF(Q295="Tidak dinilai","Belum ada kriteria yang dinilai untuk kebutuhan ini.",IF(Q295="Cocok","Semua kriteria yang dinilai sudah nyaman: "&amp;LEFT(Y295,LEN(Y295)-2)&amp;".",UPPER(LEFT(X295,1))&amp;MID(X295,2,LEN(X295)-3)&amp;"."&amp;IF(Y295="",""," Sudah nyaman: "&amp;LEFT(Y295,LEN(Y295)-2)&amp;"."))))</f>
        <v/>
      </c>
      <c r="AA295" s="66" t="str">
        <f aca="false">IF($A295="","",IF(Varian!$AR63="Windows 10","• "&amp;Aturan!$E$71&amp;CHAR(10),"")&amp;IF(Varian!$BB63="tidak","• "&amp;Aturan!$E$72&amp;CHAR(10),"")&amp;IF(OR(Varian!$AD63="belum terverifikasi",Varian!$AD63="tidak diketahui"),"• "&amp;Aturan!$E$73&amp;CHAR(10),"")&amp;IF(Varian!$AH63="1366x768","• "&amp;Aturan!$E$74&amp;CHAR(10),"")&amp;IF(Varian!$AG63="TN","• "&amp;Aturan!$E$75&amp;CHAR(10),"")&amp;IF(AND(Varian!$Q63="disolder",ISNUMBER(Varian!$M63),Varian!$M63&lt;=8),"• "&amp;Aturan!$E$76&amp;CHAR(10),""))</f>
        <v/>
      </c>
      <c r="AB295" s="66" t="str">
        <f aca="false">IF($A295="","",IF(AA295="","",LEFT(AA295,LEN(AA295)-1)))</f>
        <v/>
      </c>
      <c r="AC295" s="67" t="str">
        <f aca="false">IF($A295="","",IF(AA295="",0,LEN(AA295)-LEN(SUBSTITUTE(AA295,CHAR(10),""))))</f>
        <v/>
      </c>
    </row>
    <row r="296" customFormat="false" ht="15" hidden="false" customHeight="true" outlineLevel="0" collapsed="false">
      <c r="A296" s="33" t="str">
        <f aca="false">IF(Varian!$A63="","",Varian!$A63)</f>
        <v/>
      </c>
      <c r="B296" s="33" t="str">
        <f aca="false">IF($A296="","",Aturan!$A$22)</f>
        <v/>
      </c>
      <c r="C296" s="69" t="str">
        <f aca="false">IF($A296="","",IFERROR(IF(ISNUMBER(INDEX(CPU!$J$4:$J$64,MATCH(Varian!$J63,CPU!$A$4:$A$64,0))),INDEX(CPU!$J$4:$J$64,MATCH(Varian!$J63,CPU!$A$4:$A$64,0)),""),""))</f>
        <v/>
      </c>
      <c r="D296" s="69" t="str">
        <f aca="false">IF($A296="","",IFERROR(IF(ISNUMBER(INDEX(GPU!$G$4:$G$64,MATCH(Varian!$K63,GPU!$A$4:$A$64,0))),INDEX(GPU!$G$4:$G$64,MATCH(Varian!$K63,GPU!$A$4:$A$64,0)),""),""))</f>
        <v/>
      </c>
      <c r="E296" s="69" t="str">
        <f aca="false">IF($A296="","",IF(ISNUMBER(Varian!$M63),Varian!$M63,""))</f>
        <v/>
      </c>
      <c r="F296" s="69" t="str">
        <f aca="false">IF($A296="","",IF(ISNUMBER(Varian!$V63),Varian!$V63,""))</f>
        <v/>
      </c>
      <c r="G296" s="69" t="str">
        <f aca="false">IF($A296="","",IFERROR(INDEX(Aturan!$B$63:$B$66,MATCH(Varian!$AG63,Aturan!$A$63:$A$66,0)),""))</f>
        <v/>
      </c>
      <c r="H296" s="69" t="str">
        <f aca="false">IF($A296="","",IF(ISNUMBER(Varian!$AI63),Varian!$AI63,""))</f>
        <v/>
      </c>
      <c r="I296" s="33" t="str">
        <f aca="false">IF($A296="","",IF(Varian!$Q63="disolder","menempel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6" s="33" t="str">
        <f aca="false">IF($A296="","",IF(Varian!$Z63="ya","bisa diganti dengan yang lebih besar",IF(Varian!$Z63="tidak","menempel, tidak bisa diganti","belum diketahui apakah bisa diganti")))</f>
        <v/>
      </c>
      <c r="K296" s="70" t="str">
        <f aca="false">IF($A296="","",IF(AND(Aturan!$C$36="",Aturan!$D$36=""),"Tidak dinilai",IF(C296="","Belum ada data",IF(C296&lt;IF(Aturan!$C$36="",0,Aturan!$C$36),"Kurang",IF(C296&gt;=IF(Aturan!$D$36="",Aturan!$C$36,Aturan!$D$36),"Nyaman","Cukup")))))</f>
        <v/>
      </c>
      <c r="L296" s="70" t="str">
        <f aca="false">IF($A296="","",IF(AND(Aturan!$C$37="",Aturan!$D$37=""),"Tidak dinilai",IF(D296="","Belum ada data",IF(D296&lt;IF(Aturan!$C$37="",0,Aturan!$C$37),"Kurang",IF(D296&gt;=IF(Aturan!$D$37="",Aturan!$C$37,Aturan!$D$37),"Nyaman","Cukup")))))</f>
        <v/>
      </c>
      <c r="M296" s="70" t="str">
        <f aca="false">IF($A296="","",IF(AND(Aturan!$C$38="",Aturan!$D$38=""),"Tidak dinilai",IF(E296="","Belum ada data",IF(E296&lt;IF(Aturan!$C$38="",0,Aturan!$C$38),"Kurang",IF(E296&gt;=IF(Aturan!$D$38="",Aturan!$C$38,Aturan!$D$38),"Nyaman","Cukup")))))</f>
        <v/>
      </c>
      <c r="N296" s="70" t="str">
        <f aca="false">IF($A296="","",IF(AND(Aturan!$C$39="",Aturan!$D$39=""),"Tidak dinilai",IF(F296="","Belum ada data",IF(F296&lt;IF(Aturan!$C$39="",0,Aturan!$C$39),"Kurang",IF(F296&gt;=IF(Aturan!$D$39="",Aturan!$C$39,Aturan!$D$39),"Nyaman","Cukup")))))</f>
        <v/>
      </c>
      <c r="O296" s="70" t="str">
        <f aca="false">IF($A296="","",IF(AND(Aturan!$C$40="",Aturan!$D$40=""),"Tidak dinilai",IF(G296="","Belum ada data",IF(G296&lt;IF(Aturan!$C$40="",0,Aturan!$C$40),"Kurang",IF(G296&gt;=IF(Aturan!$D$40="",Aturan!$C$40,Aturan!$D$40),"Nyaman","Cukup")))))</f>
        <v/>
      </c>
      <c r="P296" s="70" t="str">
        <f aca="false">IF($A296="","",IF(AND(Aturan!$C$41="",Aturan!$D$41=""),"Tidak dinilai",IF(H296="","Belum ada data",IF(H296&lt;IF(Aturan!$C$41="",0,Aturan!$C$41),"Kurang",IF(H296&gt;=IF(Aturan!$D$41="",Aturan!$C$41,Aturan!$D$41),"Nyaman","Cukup")))))</f>
        <v/>
      </c>
      <c r="Q296" s="70" t="str">
        <f aca="false">IF($A296="","",IF(COUNTIF(K296:P296,"Tidak dinilai")=6,"Tidak dinilai",IF(COUNTIF(K296:P296,"Kurang")&gt;0,"Kurang cocok",IF(COUNTIF(K296:P296,"Belum ada data")&gt;0,"Data belum lengkap",IF(COUNTIF(K296:P296,"Cukup")&gt;0,"Bisa, dengan catatan","Cocok")))))</f>
        <v/>
      </c>
      <c r="R296" s="33" t="str">
        <f aca="false">IF($A296="","",IF(K296="Kurang","prosesor tingkat "&amp;C296&amp;" dari 5, di bawah batas minimal (tingkat "&amp;Aturan!$C$36&amp;")",IF(K296="Cukup","prosesor tingkat "&amp;C296&amp;" dari 5 cukup, nyamannya mulai tingkat "&amp;Aturan!$D$36,IF(K296="Belum ada data","tingkat prosesor belum diisi",""))))</f>
        <v/>
      </c>
      <c r="S296" s="33" t="str">
        <f aca="false">IF($A296="","",IF(L296="Kurang","grafis tingkat "&amp;D296&amp;" dari 5, di bawah batas minimal (tingkat "&amp;Aturan!$C$37&amp;")",IF(L296="Cukup","grafis tingkat "&amp;D296&amp;" dari 5 cukup, nyamannya mulai tingkat "&amp;Aturan!$D$37,IF(L296="Belum ada data","tingkat grafis belum diisi",""))))</f>
        <v/>
      </c>
      <c r="T296" s="33" t="str">
        <f aca="false">IF($A296="","",IF(M296="Kurang","RAM "&amp;E296&amp;" GB, di bawah batas minimal "&amp;Aturan!$C$38&amp;" GB ("&amp;I296&amp;")",IF(M296="Cukup","RAM "&amp;E296&amp;" GB cukup, nyamannya "&amp;Aturan!$D$38&amp;" GB atau lebih ("&amp;I296&amp;")",IF(M296="Belum ada data","ukuran RAM belum diisi",""))))</f>
        <v/>
      </c>
      <c r="U296" s="33" t="str">
        <f aca="false">IF($A296="","",IF(N296="Kurang","penyimpanan "&amp;F296&amp;" GB, di bawah batas minimal "&amp;Aturan!$C$39&amp;" GB ("&amp;J296&amp;")",IF(N296="Cukup","penyimpanan "&amp;F296&amp;" GB cukup, nyamannya "&amp;Aturan!$D$39&amp;" GB atau lebih ("&amp;J296&amp;")",IF(N296="Belum ada data","ukuran penyimpanan belum diisi",""))))</f>
        <v/>
      </c>
      <c r="V296" s="33" t="str">
        <f aca="false">IF($A296="","",IF(O296="Kurang","layar "&amp;Varian!$AG63&amp;", di bawah batas minimal ("&amp;IFERROR(INDEX(Aturan!$A$63:$A$66,MATCH(Aturan!$C$40,Aturan!$B$63:$B$66,0)),"peringkat "&amp;Aturan!$C$40)&amp;")",IF(O296="Cukup","layar "&amp;Varian!$AG63&amp;" cukup, nyamannya "&amp;IFERROR(INDEX(Aturan!$A$63:$A$66,MATCH(Aturan!$D$40,Aturan!$B$63:$B$66,0)),"peringkat "&amp;Aturan!$D$40),IF(O296="Belum ada data","jenis layar belum diketahui",""))))</f>
        <v/>
      </c>
      <c r="W296" s="33" t="str">
        <f aca="false">IF($A296="","",IF(P296="Kurang","layar "&amp;H296&amp;" Hz, di bawah batas minimal "&amp;Aturan!$C$41&amp;" Hz",IF(P296="Cukup","layar "&amp;H296&amp;" Hz cukup, nyamannya "&amp;Aturan!$D$41&amp;" Hz atau lebih",IF(P296="Belum ada data","refresh rate belum diketahui",""))))</f>
        <v/>
      </c>
      <c r="X296" s="33" t="str">
        <f aca="false">IF($A296="","",IF(K296="Kurang",R296&amp;"; ","")&amp;IF(L296="Kurang",S296&amp;"; ","")&amp;IF(M296="Kurang",T296&amp;"; ","")&amp;IF(N296="Kurang",U296&amp;"; ","")&amp;IF(O296="Kurang",V296&amp;"; ","")&amp;IF(P296="Kurang",W296&amp;"; ","")&amp;IF(K296="Belum ada data",R296&amp;"; ","")&amp;IF(L296="Belum ada data",S296&amp;"; ","")&amp;IF(M296="Belum ada data",T296&amp;"; ","")&amp;IF(N296="Belum ada data",U296&amp;"; ","")&amp;IF(O296="Belum ada data",V296&amp;"; ","")&amp;IF(P296="Belum ada data",W296&amp;"; ","")&amp;IF(K296="Cukup",R296&amp;"; ","")&amp;IF(L296="Cukup",S296&amp;"; ","")&amp;IF(M296="Cukup",T296&amp;"; ","")&amp;IF(N296="Cukup",U296&amp;"; ","")&amp;IF(O296="Cukup",V296&amp;"; ","")&amp;IF(P296="Cukup",W296&amp;"; ",""))</f>
        <v/>
      </c>
      <c r="Y296" s="33" t="str">
        <f aca="false">IF($A296="","",IF(K296="Nyaman","prosesor, ","")&amp;IF(L296="Nyaman","grafis, ","")&amp;IF(M296="Nyaman","RAM, ","")&amp;IF(N296="Nyaman","penyimpanan, ","")&amp;IF(O296="Nyaman","layar, ","")&amp;IF(P296="Nyaman","refresh rate, ",""))</f>
        <v/>
      </c>
      <c r="Z296" s="33" t="str">
        <f aca="false">IF($A296="","",IF(Q296="Tidak dinilai","Belum ada kriteria yang dinilai untuk kebutuhan ini.",IF(Q296="Cocok","Semua kriteria yang dinilai sudah nyaman: "&amp;LEFT(Y296,LEN(Y296)-2)&amp;".",UPPER(LEFT(X296,1))&amp;MID(X296,2,LEN(X296)-3)&amp;"."&amp;IF(Y296="",""," Sudah nyaman: "&amp;LEFT(Y296,LEN(Y296)-2)&amp;"."))))</f>
        <v/>
      </c>
      <c r="AA296" s="33"/>
      <c r="AB296" s="33"/>
      <c r="AC296" s="69"/>
    </row>
    <row r="297" customFormat="false" ht="15" hidden="false" customHeight="true" outlineLevel="0" collapsed="false">
      <c r="A297" s="33" t="str">
        <f aca="false">IF(Varian!$A63="","",Varian!$A63)</f>
        <v/>
      </c>
      <c r="B297" s="33" t="str">
        <f aca="false">IF($A297="","",Aturan!$A$23)</f>
        <v/>
      </c>
      <c r="C297" s="69" t="str">
        <f aca="false">IF($A297="","",IFERROR(IF(ISNUMBER(INDEX(CPU!$J$4:$J$64,MATCH(Varian!$J63,CPU!$A$4:$A$64,0))),INDEX(CPU!$J$4:$J$64,MATCH(Varian!$J63,CPU!$A$4:$A$64,0)),""),""))</f>
        <v/>
      </c>
      <c r="D297" s="69" t="str">
        <f aca="false">IF($A297="","",IFERROR(IF(ISNUMBER(INDEX(GPU!$G$4:$G$64,MATCH(Varian!$K63,GPU!$A$4:$A$64,0))),INDEX(GPU!$G$4:$G$64,MATCH(Varian!$K63,GPU!$A$4:$A$64,0)),""),""))</f>
        <v/>
      </c>
      <c r="E297" s="69" t="str">
        <f aca="false">IF($A297="","",IF(ISNUMBER(Varian!$M63),Varian!$M63,""))</f>
        <v/>
      </c>
      <c r="F297" s="69" t="str">
        <f aca="false">IF($A297="","",IF(ISNUMBER(Varian!$V63),Varian!$V63,""))</f>
        <v/>
      </c>
      <c r="G297" s="69" t="str">
        <f aca="false">IF($A297="","",IFERROR(INDEX(Aturan!$B$63:$B$66,MATCH(Varian!$AG63,Aturan!$A$63:$A$66,0)),""))</f>
        <v/>
      </c>
      <c r="H297" s="69" t="str">
        <f aca="false">IF($A297="","",IF(ISNUMBER(Varian!$AI63),Varian!$AI63,""))</f>
        <v/>
      </c>
      <c r="I297" s="33" t="str">
        <f aca="false">IF($A297="","",IF(Varian!$Q63="disolder","menempel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7" s="33" t="str">
        <f aca="false">IF($A297="","",IF(Varian!$Z63="ya","bisa diganti dengan yang lebih besar",IF(Varian!$Z63="tidak","menempel, tidak bisa diganti","belum diketahui apakah bisa diganti")))</f>
        <v/>
      </c>
      <c r="K297" s="70" t="str">
        <f aca="false">IF($A297="","",IF(AND(Aturan!$C$42="",Aturan!$D$42=""),"Tidak dinilai",IF(C297="","Belum ada data",IF(C297&lt;IF(Aturan!$C$42="",0,Aturan!$C$42),"Kurang",IF(C297&gt;=IF(Aturan!$D$42="",Aturan!$C$42,Aturan!$D$42),"Nyaman","Cukup")))))</f>
        <v/>
      </c>
      <c r="L297" s="70" t="str">
        <f aca="false">IF($A297="","",IF(AND(Aturan!$C$43="",Aturan!$D$43=""),"Tidak dinilai",IF(D297="","Belum ada data",IF(D297&lt;IF(Aturan!$C$43="",0,Aturan!$C$43),"Kurang",IF(D297&gt;=IF(Aturan!$D$43="",Aturan!$C$43,Aturan!$D$43),"Nyaman","Cukup")))))</f>
        <v/>
      </c>
      <c r="M297" s="70" t="str">
        <f aca="false">IF($A297="","",IF(AND(Aturan!$C$44="",Aturan!$D$44=""),"Tidak dinilai",IF(E297="","Belum ada data",IF(E297&lt;IF(Aturan!$C$44="",0,Aturan!$C$44),"Kurang",IF(E297&gt;=IF(Aturan!$D$44="",Aturan!$C$44,Aturan!$D$44),"Nyaman","Cukup")))))</f>
        <v/>
      </c>
      <c r="N297" s="70" t="str">
        <f aca="false">IF($A297="","",IF(AND(Aturan!$C$45="",Aturan!$D$45=""),"Tidak dinilai",IF(F297="","Belum ada data",IF(F297&lt;IF(Aturan!$C$45="",0,Aturan!$C$45),"Kurang",IF(F297&gt;=IF(Aturan!$D$45="",Aturan!$C$45,Aturan!$D$45),"Nyaman","Cukup")))))</f>
        <v/>
      </c>
      <c r="O297" s="70" t="str">
        <f aca="false">IF($A297="","",IF(AND(Aturan!$C$46="",Aturan!$D$46=""),"Tidak dinilai",IF(G297="","Belum ada data",IF(G297&lt;IF(Aturan!$C$46="",0,Aturan!$C$46),"Kurang",IF(G297&gt;=IF(Aturan!$D$46="",Aturan!$C$46,Aturan!$D$46),"Nyaman","Cukup")))))</f>
        <v/>
      </c>
      <c r="P297" s="70" t="str">
        <f aca="false">IF($A297="","",IF(AND(Aturan!$C$47="",Aturan!$D$47=""),"Tidak dinilai",IF(H297="","Belum ada data",IF(H297&lt;IF(Aturan!$C$47="",0,Aturan!$C$47),"Kurang",IF(H297&gt;=IF(Aturan!$D$47="",Aturan!$C$47,Aturan!$D$47),"Nyaman","Cukup")))))</f>
        <v/>
      </c>
      <c r="Q297" s="70" t="str">
        <f aca="false">IF($A297="","",IF(COUNTIF(K297:P297,"Tidak dinilai")=6,"Tidak dinilai",IF(COUNTIF(K297:P297,"Kurang")&gt;0,"Kurang cocok",IF(COUNTIF(K297:P297,"Belum ada data")&gt;0,"Data belum lengkap",IF(COUNTIF(K297:P297,"Cukup")&gt;0,"Bisa, dengan catatan","Cocok")))))</f>
        <v/>
      </c>
      <c r="R297" s="33" t="str">
        <f aca="false">IF($A297="","",IF(K297="Kurang","prosesor tingkat "&amp;C297&amp;" dari 5, di bawah batas minimal (tingkat "&amp;Aturan!$C$42&amp;")",IF(K297="Cukup","prosesor tingkat "&amp;C297&amp;" dari 5 cukup, nyamannya mulai tingkat "&amp;Aturan!$D$42,IF(K297="Belum ada data","tingkat prosesor belum diisi",""))))</f>
        <v/>
      </c>
      <c r="S297" s="33" t="str">
        <f aca="false">IF($A297="","",IF(L297="Kurang","grafis tingkat "&amp;D297&amp;" dari 5, di bawah batas minimal (tingkat "&amp;Aturan!$C$43&amp;")",IF(L297="Cukup","grafis tingkat "&amp;D297&amp;" dari 5 cukup, nyamannya mulai tingkat "&amp;Aturan!$D$43,IF(L297="Belum ada data","tingkat grafis belum diisi",""))))</f>
        <v/>
      </c>
      <c r="T297" s="33" t="str">
        <f aca="false">IF($A297="","",IF(M297="Kurang","RAM "&amp;E297&amp;" GB, di bawah batas minimal "&amp;Aturan!$C$44&amp;" GB ("&amp;I297&amp;")",IF(M297="Cukup","RAM "&amp;E297&amp;" GB cukup, nyamannya "&amp;Aturan!$D$44&amp;" GB atau lebih ("&amp;I297&amp;")",IF(M297="Belum ada data","ukuran RAM belum diisi",""))))</f>
        <v/>
      </c>
      <c r="U297" s="33" t="str">
        <f aca="false">IF($A297="","",IF(N297="Kurang","penyimpanan "&amp;F297&amp;" GB, di bawah batas minimal "&amp;Aturan!$C$45&amp;" GB ("&amp;J297&amp;")",IF(N297="Cukup","penyimpanan "&amp;F297&amp;" GB cukup, nyamannya "&amp;Aturan!$D$45&amp;" GB atau lebih ("&amp;J297&amp;")",IF(N297="Belum ada data","ukuran penyimpanan belum diisi",""))))</f>
        <v/>
      </c>
      <c r="V297" s="33" t="str">
        <f aca="false">IF($A297="","",IF(O297="Kurang","layar "&amp;Varian!$AG63&amp;", di bawah batas minimal ("&amp;IFERROR(INDEX(Aturan!$A$63:$A$66,MATCH(Aturan!$C$46,Aturan!$B$63:$B$66,0)),"peringkat "&amp;Aturan!$C$46)&amp;")",IF(O297="Cukup","layar "&amp;Varian!$AG63&amp;" cukup, nyamannya "&amp;IFERROR(INDEX(Aturan!$A$63:$A$66,MATCH(Aturan!$D$46,Aturan!$B$63:$B$66,0)),"peringkat "&amp;Aturan!$D$46),IF(O297="Belum ada data","jenis layar belum diketahui",""))))</f>
        <v/>
      </c>
      <c r="W297" s="33" t="str">
        <f aca="false">IF($A297="","",IF(P297="Kurang","layar "&amp;H297&amp;" Hz, di bawah batas minimal "&amp;Aturan!$C$47&amp;" Hz",IF(P297="Cukup","layar "&amp;H297&amp;" Hz cukup, nyamannya "&amp;Aturan!$D$47&amp;" Hz atau lebih",IF(P297="Belum ada data","refresh rate belum diketahui",""))))</f>
        <v/>
      </c>
      <c r="X297" s="33" t="str">
        <f aca="false">IF($A297="","",IF(K297="Kurang",R297&amp;"; ","")&amp;IF(L297="Kurang",S297&amp;"; ","")&amp;IF(M297="Kurang",T297&amp;"; ","")&amp;IF(N297="Kurang",U297&amp;"; ","")&amp;IF(O297="Kurang",V297&amp;"; ","")&amp;IF(P297="Kurang",W297&amp;"; ","")&amp;IF(K297="Belum ada data",R297&amp;"; ","")&amp;IF(L297="Belum ada data",S297&amp;"; ","")&amp;IF(M297="Belum ada data",T297&amp;"; ","")&amp;IF(N297="Belum ada data",U297&amp;"; ","")&amp;IF(O297="Belum ada data",V297&amp;"; ","")&amp;IF(P297="Belum ada data",W297&amp;"; ","")&amp;IF(K297="Cukup",R297&amp;"; ","")&amp;IF(L297="Cukup",S297&amp;"; ","")&amp;IF(M297="Cukup",T297&amp;"; ","")&amp;IF(N297="Cukup",U297&amp;"; ","")&amp;IF(O297="Cukup",V297&amp;"; ","")&amp;IF(P297="Cukup",W297&amp;"; ",""))</f>
        <v/>
      </c>
      <c r="Y297" s="33" t="str">
        <f aca="false">IF($A297="","",IF(K297="Nyaman","prosesor, ","")&amp;IF(L297="Nyaman","grafis, ","")&amp;IF(M297="Nyaman","RAM, ","")&amp;IF(N297="Nyaman","penyimpanan, ","")&amp;IF(O297="Nyaman","layar, ","")&amp;IF(P297="Nyaman","refresh rate, ",""))</f>
        <v/>
      </c>
      <c r="Z297" s="33" t="str">
        <f aca="false">IF($A297="","",IF(Q297="Tidak dinilai","Belum ada kriteria yang dinilai untuk kebutuhan ini.",IF(Q297="Cocok","Semua kriteria yang dinilai sudah nyaman: "&amp;LEFT(Y297,LEN(Y297)-2)&amp;".",UPPER(LEFT(X297,1))&amp;MID(X297,2,LEN(X297)-3)&amp;"."&amp;IF(Y297="",""," Sudah nyaman: "&amp;LEFT(Y297,LEN(Y297)-2)&amp;"."))))</f>
        <v/>
      </c>
      <c r="AA297" s="33"/>
      <c r="AB297" s="33"/>
      <c r="AC297" s="69"/>
    </row>
    <row r="298" customFormat="false" ht="15" hidden="false" customHeight="true" outlineLevel="0" collapsed="false">
      <c r="A298" s="33" t="str">
        <f aca="false">IF(Varian!$A63="","",Varian!$A63)</f>
        <v/>
      </c>
      <c r="B298" s="33" t="str">
        <f aca="false">IF($A298="","",Aturan!$A$24)</f>
        <v/>
      </c>
      <c r="C298" s="69" t="str">
        <f aca="false">IF($A298="","",IFERROR(IF(ISNUMBER(INDEX(CPU!$J$4:$J$64,MATCH(Varian!$J63,CPU!$A$4:$A$64,0))),INDEX(CPU!$J$4:$J$64,MATCH(Varian!$J63,CPU!$A$4:$A$64,0)),""),""))</f>
        <v/>
      </c>
      <c r="D298" s="69" t="str">
        <f aca="false">IF($A298="","",IFERROR(IF(ISNUMBER(INDEX(GPU!$G$4:$G$64,MATCH(Varian!$K63,GPU!$A$4:$A$64,0))),INDEX(GPU!$G$4:$G$64,MATCH(Varian!$K63,GPU!$A$4:$A$64,0)),""),""))</f>
        <v/>
      </c>
      <c r="E298" s="69" t="str">
        <f aca="false">IF($A298="","",IF(ISNUMBER(Varian!$M63),Varian!$M63,""))</f>
        <v/>
      </c>
      <c r="F298" s="69" t="str">
        <f aca="false">IF($A298="","",IF(ISNUMBER(Varian!$V63),Varian!$V63,""))</f>
        <v/>
      </c>
      <c r="G298" s="69" t="str">
        <f aca="false">IF($A298="","",IFERROR(INDEX(Aturan!$B$63:$B$66,MATCH(Varian!$AG63,Aturan!$A$63:$A$66,0)),""))</f>
        <v/>
      </c>
      <c r="H298" s="69" t="str">
        <f aca="false">IF($A298="","",IF(ISNUMBER(Varian!$AI63),Varian!$AI63,""))</f>
        <v/>
      </c>
      <c r="I298" s="33" t="str">
        <f aca="false">IF($A298="","",IF(Varian!$Q63="disolder","menempel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8" s="33" t="str">
        <f aca="false">IF($A298="","",IF(Varian!$Z63="ya","bisa diganti dengan yang lebih besar",IF(Varian!$Z63="tidak","menempel, tidak bisa diganti","belum diketahui apakah bisa diganti")))</f>
        <v/>
      </c>
      <c r="K298" s="70" t="str">
        <f aca="false">IF($A298="","",IF(AND(Aturan!$C$48="",Aturan!$D$48=""),"Tidak dinilai",IF(C298="","Belum ada data",IF(C298&lt;IF(Aturan!$C$48="",0,Aturan!$C$48),"Kurang",IF(C298&gt;=IF(Aturan!$D$48="",Aturan!$C$48,Aturan!$D$48),"Nyaman","Cukup")))))</f>
        <v/>
      </c>
      <c r="L298" s="70" t="str">
        <f aca="false">IF($A298="","",IF(AND(Aturan!$C$49="",Aturan!$D$49=""),"Tidak dinilai",IF(D298="","Belum ada data",IF(D298&lt;IF(Aturan!$C$49="",0,Aturan!$C$49),"Kurang",IF(D298&gt;=IF(Aturan!$D$49="",Aturan!$C$49,Aturan!$D$49),"Nyaman","Cukup")))))</f>
        <v/>
      </c>
      <c r="M298" s="70" t="str">
        <f aca="false">IF($A298="","",IF(AND(Aturan!$C$50="",Aturan!$D$50=""),"Tidak dinilai",IF(E298="","Belum ada data",IF(E298&lt;IF(Aturan!$C$50="",0,Aturan!$C$50),"Kurang",IF(E298&gt;=IF(Aturan!$D$50="",Aturan!$C$50,Aturan!$D$50),"Nyaman","Cukup")))))</f>
        <v/>
      </c>
      <c r="N298" s="70" t="str">
        <f aca="false">IF($A298="","",IF(AND(Aturan!$C$51="",Aturan!$D$51=""),"Tidak dinilai",IF(F298="","Belum ada data",IF(F298&lt;IF(Aturan!$C$51="",0,Aturan!$C$51),"Kurang",IF(F298&gt;=IF(Aturan!$D$51="",Aturan!$C$51,Aturan!$D$51),"Nyaman","Cukup")))))</f>
        <v/>
      </c>
      <c r="O298" s="70" t="str">
        <f aca="false">IF($A298="","",IF(AND(Aturan!$C$52="",Aturan!$D$52=""),"Tidak dinilai",IF(G298="","Belum ada data",IF(G298&lt;IF(Aturan!$C$52="",0,Aturan!$C$52),"Kurang",IF(G298&gt;=IF(Aturan!$D$52="",Aturan!$C$52,Aturan!$D$52),"Nyaman","Cukup")))))</f>
        <v/>
      </c>
      <c r="P298" s="70" t="str">
        <f aca="false">IF($A298="","",IF(AND(Aturan!$C$53="",Aturan!$D$53=""),"Tidak dinilai",IF(H298="","Belum ada data",IF(H298&lt;IF(Aturan!$C$53="",0,Aturan!$C$53),"Kurang",IF(H298&gt;=IF(Aturan!$D$53="",Aturan!$C$53,Aturan!$D$53),"Nyaman","Cukup")))))</f>
        <v/>
      </c>
      <c r="Q298" s="70" t="str">
        <f aca="false">IF($A298="","",IF(COUNTIF(K298:P298,"Tidak dinilai")=6,"Tidak dinilai",IF(COUNTIF(K298:P298,"Kurang")&gt;0,"Kurang cocok",IF(COUNTIF(K298:P298,"Belum ada data")&gt;0,"Data belum lengkap",IF(COUNTIF(K298:P298,"Cukup")&gt;0,"Bisa, dengan catatan","Cocok")))))</f>
        <v/>
      </c>
      <c r="R298" s="33" t="str">
        <f aca="false">IF($A298="","",IF(K298="Kurang","prosesor tingkat "&amp;C298&amp;" dari 5, di bawah batas minimal (tingkat "&amp;Aturan!$C$48&amp;")",IF(K298="Cukup","prosesor tingkat "&amp;C298&amp;" dari 5 cukup, nyamannya mulai tingkat "&amp;Aturan!$D$48,IF(K298="Belum ada data","tingkat prosesor belum diisi",""))))</f>
        <v/>
      </c>
      <c r="S298" s="33" t="str">
        <f aca="false">IF($A298="","",IF(L298="Kurang","grafis tingkat "&amp;D298&amp;" dari 5, di bawah batas minimal (tingkat "&amp;Aturan!$C$49&amp;")",IF(L298="Cukup","grafis tingkat "&amp;D298&amp;" dari 5 cukup, nyamannya mulai tingkat "&amp;Aturan!$D$49,IF(L298="Belum ada data","tingkat grafis belum diisi",""))))</f>
        <v/>
      </c>
      <c r="T298" s="33" t="str">
        <f aca="false">IF($A298="","",IF(M298="Kurang","RAM "&amp;E298&amp;" GB, di bawah batas minimal "&amp;Aturan!$C$50&amp;" GB ("&amp;I298&amp;")",IF(M298="Cukup","RAM "&amp;E298&amp;" GB cukup, nyamannya "&amp;Aturan!$D$50&amp;" GB atau lebih ("&amp;I298&amp;")",IF(M298="Belum ada data","ukuran RAM belum diisi",""))))</f>
        <v/>
      </c>
      <c r="U298" s="33" t="str">
        <f aca="false">IF($A298="","",IF(N298="Kurang","penyimpanan "&amp;F298&amp;" GB, di bawah batas minimal "&amp;Aturan!$C$51&amp;" GB ("&amp;J298&amp;")",IF(N298="Cukup","penyimpanan "&amp;F298&amp;" GB cukup, nyamannya "&amp;Aturan!$D$51&amp;" GB atau lebih ("&amp;J298&amp;")",IF(N298="Belum ada data","ukuran penyimpanan belum diisi",""))))</f>
        <v/>
      </c>
      <c r="V298" s="33" t="str">
        <f aca="false">IF($A298="","",IF(O298="Kurang","layar "&amp;Varian!$AG63&amp;", di bawah batas minimal ("&amp;IFERROR(INDEX(Aturan!$A$63:$A$66,MATCH(Aturan!$C$52,Aturan!$B$63:$B$66,0)),"peringkat "&amp;Aturan!$C$52)&amp;")",IF(O298="Cukup","layar "&amp;Varian!$AG63&amp;" cukup, nyamannya "&amp;IFERROR(INDEX(Aturan!$A$63:$A$66,MATCH(Aturan!$D$52,Aturan!$B$63:$B$66,0)),"peringkat "&amp;Aturan!$D$52),IF(O298="Belum ada data","jenis layar belum diketahui",""))))</f>
        <v/>
      </c>
      <c r="W298" s="33" t="str">
        <f aca="false">IF($A298="","",IF(P298="Kurang","layar "&amp;H298&amp;" Hz, di bawah batas minimal "&amp;Aturan!$C$53&amp;" Hz",IF(P298="Cukup","layar "&amp;H298&amp;" Hz cukup, nyamannya "&amp;Aturan!$D$53&amp;" Hz atau lebih",IF(P298="Belum ada data","refresh rate belum diketahui",""))))</f>
        <v/>
      </c>
      <c r="X298" s="33" t="str">
        <f aca="false">IF($A298="","",IF(K298="Kurang",R298&amp;"; ","")&amp;IF(L298="Kurang",S298&amp;"; ","")&amp;IF(M298="Kurang",T298&amp;"; ","")&amp;IF(N298="Kurang",U298&amp;"; ","")&amp;IF(O298="Kurang",V298&amp;"; ","")&amp;IF(P298="Kurang",W298&amp;"; ","")&amp;IF(K298="Belum ada data",R298&amp;"; ","")&amp;IF(L298="Belum ada data",S298&amp;"; ","")&amp;IF(M298="Belum ada data",T298&amp;"; ","")&amp;IF(N298="Belum ada data",U298&amp;"; ","")&amp;IF(O298="Belum ada data",V298&amp;"; ","")&amp;IF(P298="Belum ada data",W298&amp;"; ","")&amp;IF(K298="Cukup",R298&amp;"; ","")&amp;IF(L298="Cukup",S298&amp;"; ","")&amp;IF(M298="Cukup",T298&amp;"; ","")&amp;IF(N298="Cukup",U298&amp;"; ","")&amp;IF(O298="Cukup",V298&amp;"; ","")&amp;IF(P298="Cukup",W298&amp;"; ",""))</f>
        <v/>
      </c>
      <c r="Y298" s="33" t="str">
        <f aca="false">IF($A298="","",IF(K298="Nyaman","prosesor, ","")&amp;IF(L298="Nyaman","grafis, ","")&amp;IF(M298="Nyaman","RAM, ","")&amp;IF(N298="Nyaman","penyimpanan, ","")&amp;IF(O298="Nyaman","layar, ","")&amp;IF(P298="Nyaman","refresh rate, ",""))</f>
        <v/>
      </c>
      <c r="Z298" s="33" t="str">
        <f aca="false">IF($A298="","",IF(Q298="Tidak dinilai","Belum ada kriteria yang dinilai untuk kebutuhan ini.",IF(Q298="Cocok","Semua kriteria yang dinilai sudah nyaman: "&amp;LEFT(Y298,LEN(Y298)-2)&amp;".",UPPER(LEFT(X298,1))&amp;MID(X298,2,LEN(X298)-3)&amp;"."&amp;IF(Y298="",""," Sudah nyaman: "&amp;LEFT(Y298,LEN(Y298)-2)&amp;"."))))</f>
        <v/>
      </c>
      <c r="AA298" s="33"/>
      <c r="AB298" s="33"/>
      <c r="AC298" s="69"/>
    </row>
    <row r="299" customFormat="false" ht="15" hidden="false" customHeight="true" outlineLevel="0" collapsed="false">
      <c r="A299" s="33" t="str">
        <f aca="false">IF(Varian!$A63="","",Varian!$A63)</f>
        <v/>
      </c>
      <c r="B299" s="33" t="str">
        <f aca="false">IF($A299="","",Aturan!$A$25)</f>
        <v/>
      </c>
      <c r="C299" s="69" t="str">
        <f aca="false">IF($A299="","",IFERROR(IF(ISNUMBER(INDEX(CPU!$J$4:$J$64,MATCH(Varian!$J63,CPU!$A$4:$A$64,0))),INDEX(CPU!$J$4:$J$64,MATCH(Varian!$J63,CPU!$A$4:$A$64,0)),""),""))</f>
        <v/>
      </c>
      <c r="D299" s="69" t="str">
        <f aca="false">IF($A299="","",IFERROR(IF(ISNUMBER(INDEX(GPU!$G$4:$G$64,MATCH(Varian!$K63,GPU!$A$4:$A$64,0))),INDEX(GPU!$G$4:$G$64,MATCH(Varian!$K63,GPU!$A$4:$A$64,0)),""),""))</f>
        <v/>
      </c>
      <c r="E299" s="69" t="str">
        <f aca="false">IF($A299="","",IF(ISNUMBER(Varian!$M63),Varian!$M63,""))</f>
        <v/>
      </c>
      <c r="F299" s="69" t="str">
        <f aca="false">IF($A299="","",IF(ISNUMBER(Varian!$V63),Varian!$V63,""))</f>
        <v/>
      </c>
      <c r="G299" s="69" t="str">
        <f aca="false">IF($A299="","",IFERROR(INDEX(Aturan!$B$63:$B$66,MATCH(Varian!$AG63,Aturan!$A$63:$A$66,0)),""))</f>
        <v/>
      </c>
      <c r="H299" s="69" t="str">
        <f aca="false">IF($A299="","",IF(ISNUMBER(Varian!$AI63),Varian!$AI63,""))</f>
        <v/>
      </c>
      <c r="I299" s="33" t="str">
        <f aca="false">IF($A299="","",IF(Varian!$Q63="disolder","menempel di papan utama, tidak bisa ditambah",IF(OR(Varian!$Q63="slot",Varian!$Q63="setengah_disolder"),IF(Varian!$Q63="setengah_disolder","sebagian menempel, ","")&amp;IF(ISNUMBER(Varian!$U63),IF(AND(ISNUMBER(Varian!$M63),Varian!$U63&gt;Varian!$M63),"bisa dinaikkan lewat slot sampai "&amp;Varian!$U63&amp;" GB","sudah di batas maksimal "&amp;Varian!$U63&amp;" GB"),"ada slot, batas maksimalnya belum diketahui"),"belum diketahui apakah bisa ditambah")))</f>
        <v/>
      </c>
      <c r="J299" s="33" t="str">
        <f aca="false">IF($A299="","",IF(Varian!$Z63="ya","bisa diganti dengan yang lebih besar",IF(Varian!$Z63="tidak","menempel, tidak bisa diganti","belum diketahui apakah bisa diganti")))</f>
        <v/>
      </c>
      <c r="K299" s="70" t="str">
        <f aca="false">IF($A299="","",IF(AND(Aturan!$C$54="",Aturan!$D$54=""),"Tidak dinilai",IF(C299="","Belum ada data",IF(C299&lt;IF(Aturan!$C$54="",0,Aturan!$C$54),"Kurang",IF(C299&gt;=IF(Aturan!$D$54="",Aturan!$C$54,Aturan!$D$54),"Nyaman","Cukup")))))</f>
        <v/>
      </c>
      <c r="L299" s="70" t="str">
        <f aca="false">IF($A299="","",IF(AND(Aturan!$C$55="",Aturan!$D$55=""),"Tidak dinilai",IF(D299="","Belum ada data",IF(D299&lt;IF(Aturan!$C$55="",0,Aturan!$C$55),"Kurang",IF(D299&gt;=IF(Aturan!$D$55="",Aturan!$C$55,Aturan!$D$55),"Nyaman","Cukup")))))</f>
        <v/>
      </c>
      <c r="M299" s="70" t="str">
        <f aca="false">IF($A299="","",IF(AND(Aturan!$C$56="",Aturan!$D$56=""),"Tidak dinilai",IF(E299="","Belum ada data",IF(E299&lt;IF(Aturan!$C$56="",0,Aturan!$C$56),"Kurang",IF(E299&gt;=IF(Aturan!$D$56="",Aturan!$C$56,Aturan!$D$56),"Nyaman","Cukup")))))</f>
        <v/>
      </c>
      <c r="N299" s="70" t="str">
        <f aca="false">IF($A299="","",IF(AND(Aturan!$C$57="",Aturan!$D$57=""),"Tidak dinilai",IF(F299="","Belum ada data",IF(F299&lt;IF(Aturan!$C$57="",0,Aturan!$C$57),"Kurang",IF(F299&gt;=IF(Aturan!$D$57="",Aturan!$C$57,Aturan!$D$57),"Nyaman","Cukup")))))</f>
        <v/>
      </c>
      <c r="O299" s="70" t="str">
        <f aca="false">IF($A299="","",IF(AND(Aturan!$C$58="",Aturan!$D$58=""),"Tidak dinilai",IF(G299="","Belum ada data",IF(G299&lt;IF(Aturan!$C$58="",0,Aturan!$C$58),"Kurang",IF(G299&gt;=IF(Aturan!$D$58="",Aturan!$C$58,Aturan!$D$58),"Nyaman","Cukup")))))</f>
        <v/>
      </c>
      <c r="P299" s="70" t="str">
        <f aca="false">IF($A299="","",IF(AND(Aturan!$C$59="",Aturan!$D$59=""),"Tidak dinilai",IF(H299="","Belum ada data",IF(H299&lt;IF(Aturan!$C$59="",0,Aturan!$C$59),"Kurang",IF(H299&gt;=IF(Aturan!$D$59="",Aturan!$C$59,Aturan!$D$59),"Nyaman","Cukup")))))</f>
        <v/>
      </c>
      <c r="Q299" s="70" t="str">
        <f aca="false">IF($A299="","",IF(COUNTIF(K299:P299,"Tidak dinilai")=6,"Tidak dinilai",IF(COUNTIF(K299:P299,"Kurang")&gt;0,"Kurang cocok",IF(COUNTIF(K299:P299,"Belum ada data")&gt;0,"Data belum lengkap",IF(COUNTIF(K299:P299,"Cukup")&gt;0,"Bisa, dengan catatan","Cocok")))))</f>
        <v/>
      </c>
      <c r="R299" s="33" t="str">
        <f aca="false">IF($A299="","",IF(K299="Kurang","prosesor tingkat "&amp;C299&amp;" dari 5, di bawah batas minimal (tingkat "&amp;Aturan!$C$54&amp;")",IF(K299="Cukup","prosesor tingkat "&amp;C299&amp;" dari 5 cukup, nyamannya mulai tingkat "&amp;Aturan!$D$54,IF(K299="Belum ada data","tingkat prosesor belum diisi",""))))</f>
        <v/>
      </c>
      <c r="S299" s="33" t="str">
        <f aca="false">IF($A299="","",IF(L299="Kurang","grafis tingkat "&amp;D299&amp;" dari 5, di bawah batas minimal (tingkat "&amp;Aturan!$C$55&amp;")",IF(L299="Cukup","grafis tingkat "&amp;D299&amp;" dari 5 cukup, nyamannya mulai tingkat "&amp;Aturan!$D$55,IF(L299="Belum ada data","tingkat grafis belum diisi",""))))</f>
        <v/>
      </c>
      <c r="T299" s="33" t="str">
        <f aca="false">IF($A299="","",IF(M299="Kurang","RAM "&amp;E299&amp;" GB, di bawah batas minimal "&amp;Aturan!$C$56&amp;" GB ("&amp;I299&amp;")",IF(M299="Cukup","RAM "&amp;E299&amp;" GB cukup, nyamannya "&amp;Aturan!$D$56&amp;" GB atau lebih ("&amp;I299&amp;")",IF(M299="Belum ada data","ukuran RAM belum diisi",""))))</f>
        <v/>
      </c>
      <c r="U299" s="33" t="str">
        <f aca="false">IF($A299="","",IF(N299="Kurang","penyimpanan "&amp;F299&amp;" GB, di bawah batas minimal "&amp;Aturan!$C$57&amp;" GB ("&amp;J299&amp;")",IF(N299="Cukup","penyimpanan "&amp;F299&amp;" GB cukup, nyamannya "&amp;Aturan!$D$57&amp;" GB atau lebih ("&amp;J299&amp;")",IF(N299="Belum ada data","ukuran penyimpanan belum diisi",""))))</f>
        <v/>
      </c>
      <c r="V299" s="33" t="str">
        <f aca="false">IF($A299="","",IF(O299="Kurang","layar "&amp;Varian!$AG63&amp;", di bawah batas minimal ("&amp;IFERROR(INDEX(Aturan!$A$63:$A$66,MATCH(Aturan!$C$58,Aturan!$B$63:$B$66,0)),"peringkat "&amp;Aturan!$C$58)&amp;")",IF(O299="Cukup","layar "&amp;Varian!$AG63&amp;" cukup, nyamannya "&amp;IFERROR(INDEX(Aturan!$A$63:$A$66,MATCH(Aturan!$D$58,Aturan!$B$63:$B$66,0)),"peringkat "&amp;Aturan!$D$58),IF(O299="Belum ada data","jenis layar belum diketahui",""))))</f>
        <v/>
      </c>
      <c r="W299" s="33" t="str">
        <f aca="false">IF($A299="","",IF(P299="Kurang","layar "&amp;H299&amp;" Hz, di bawah batas minimal "&amp;Aturan!$C$59&amp;" Hz",IF(P299="Cukup","layar "&amp;H299&amp;" Hz cukup, nyamannya "&amp;Aturan!$D$59&amp;" Hz atau lebih",IF(P299="Belum ada data","refresh rate belum diketahui",""))))</f>
        <v/>
      </c>
      <c r="X299" s="33" t="str">
        <f aca="false">IF($A299="","",IF(K299="Kurang",R299&amp;"; ","")&amp;IF(L299="Kurang",S299&amp;"; ","")&amp;IF(M299="Kurang",T299&amp;"; ","")&amp;IF(N299="Kurang",U299&amp;"; ","")&amp;IF(O299="Kurang",V299&amp;"; ","")&amp;IF(P299="Kurang",W299&amp;"; ","")&amp;IF(K299="Belum ada data",R299&amp;"; ","")&amp;IF(L299="Belum ada data",S299&amp;"; ","")&amp;IF(M299="Belum ada data",T299&amp;"; ","")&amp;IF(N299="Belum ada data",U299&amp;"; ","")&amp;IF(O299="Belum ada data",V299&amp;"; ","")&amp;IF(P299="Belum ada data",W299&amp;"; ","")&amp;IF(K299="Cukup",R299&amp;"; ","")&amp;IF(L299="Cukup",S299&amp;"; ","")&amp;IF(M299="Cukup",T299&amp;"; ","")&amp;IF(N299="Cukup",U299&amp;"; ","")&amp;IF(O299="Cukup",V299&amp;"; ","")&amp;IF(P299="Cukup",W299&amp;"; ",""))</f>
        <v/>
      </c>
      <c r="Y299" s="33" t="str">
        <f aca="false">IF($A299="","",IF(K299="Nyaman","prosesor, ","")&amp;IF(L299="Nyaman","grafis, ","")&amp;IF(M299="Nyaman","RAM, ","")&amp;IF(N299="Nyaman","penyimpanan, ","")&amp;IF(O299="Nyaman","layar, ","")&amp;IF(P299="Nyaman","refresh rate, ",""))</f>
        <v/>
      </c>
      <c r="Z299" s="33" t="str">
        <f aca="false">IF($A299="","",IF(Q299="Tidak dinilai","Belum ada kriteria yang dinilai untuk kebutuhan ini.",IF(Q299="Cocok","Semua kriteria yang dinilai sudah nyaman: "&amp;LEFT(Y299,LEN(Y299)-2)&amp;".",UPPER(LEFT(X299,1))&amp;MID(X299,2,LEN(X299)-3)&amp;"."&amp;IF(Y299="",""," Sudah nyaman: "&amp;LEFT(Y299,LEN(Y299)-2)&amp;"."))))</f>
        <v/>
      </c>
      <c r="AA299" s="33"/>
      <c r="AB299" s="33"/>
      <c r="AC299" s="69"/>
    </row>
    <row r="300" customFormat="false" ht="15" hidden="false" customHeight="true" outlineLevel="0" collapsed="false">
      <c r="A300" s="66" t="str">
        <f aca="false">IF(Varian!$A64="","",Varian!$A64)</f>
        <v/>
      </c>
      <c r="B300" s="66" t="str">
        <f aca="false">IF($A300="","",Aturan!$A$21)</f>
        <v/>
      </c>
      <c r="C300" s="67" t="str">
        <f aca="false">IF($A300="","",IFERROR(IF(ISNUMBER(INDEX(CPU!$J$4:$J$64,MATCH(Varian!$J64,CPU!$A$4:$A$64,0))),INDEX(CPU!$J$4:$J$64,MATCH(Varian!$J64,CPU!$A$4:$A$64,0)),""),""))</f>
        <v/>
      </c>
      <c r="D300" s="67" t="str">
        <f aca="false">IF($A300="","",IFERROR(IF(ISNUMBER(INDEX(GPU!$G$4:$G$64,MATCH(Varian!$K64,GPU!$A$4:$A$64,0))),INDEX(GPU!$G$4:$G$64,MATCH(Varian!$K64,GPU!$A$4:$A$64,0)),""),""))</f>
        <v/>
      </c>
      <c r="E300" s="67" t="str">
        <f aca="false">IF($A300="","",IF(ISNUMBER(Varian!$M64),Varian!$M64,""))</f>
        <v/>
      </c>
      <c r="F300" s="67" t="str">
        <f aca="false">IF($A300="","",IF(ISNUMBER(Varian!$V64),Varian!$V64,""))</f>
        <v/>
      </c>
      <c r="G300" s="67" t="str">
        <f aca="false">IF($A300="","",IFERROR(INDEX(Aturan!$B$63:$B$66,MATCH(Varian!$AG64,Aturan!$A$63:$A$66,0)),""))</f>
        <v/>
      </c>
      <c r="H300" s="67" t="str">
        <f aca="false">IF($A300="","",IF(ISNUMBER(Varian!$AI64),Varian!$AI64,""))</f>
        <v/>
      </c>
      <c r="I300" s="66" t="str">
        <f aca="false">IF($A300="","",IF(Varian!$Q64="disolder","menempel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0" s="66" t="str">
        <f aca="false">IF($A300="","",IF(Varian!$Z64="ya","bisa diganti dengan yang lebih besar",IF(Varian!$Z64="tidak","menempel, tidak bisa diganti","belum diketahui apakah bisa diganti")))</f>
        <v/>
      </c>
      <c r="K300" s="68" t="str">
        <f aca="false">IF($A300="","",IF(AND(Aturan!$C$30="",Aturan!$D$30=""),"Tidak dinilai",IF(C300="","Belum ada data",IF(C300&lt;IF(Aturan!$C$30="",0,Aturan!$C$30),"Kurang",IF(C300&gt;=IF(Aturan!$D$30="",Aturan!$C$30,Aturan!$D$30),"Nyaman","Cukup")))))</f>
        <v/>
      </c>
      <c r="L300" s="68" t="str">
        <f aca="false">IF($A300="","",IF(AND(Aturan!$C$31="",Aturan!$D$31=""),"Tidak dinilai",IF(D300="","Belum ada data",IF(D300&lt;IF(Aturan!$C$31="",0,Aturan!$C$31),"Kurang",IF(D300&gt;=IF(Aturan!$D$31="",Aturan!$C$31,Aturan!$D$31),"Nyaman","Cukup")))))</f>
        <v/>
      </c>
      <c r="M300" s="68" t="str">
        <f aca="false">IF($A300="","",IF(AND(Aturan!$C$32="",Aturan!$D$32=""),"Tidak dinilai",IF(E300="","Belum ada data",IF(E300&lt;IF(Aturan!$C$32="",0,Aturan!$C$32),"Kurang",IF(E300&gt;=IF(Aturan!$D$32="",Aturan!$C$32,Aturan!$D$32),"Nyaman","Cukup")))))</f>
        <v/>
      </c>
      <c r="N300" s="68" t="str">
        <f aca="false">IF($A300="","",IF(AND(Aturan!$C$33="",Aturan!$D$33=""),"Tidak dinilai",IF(F300="","Belum ada data",IF(F300&lt;IF(Aturan!$C$33="",0,Aturan!$C$33),"Kurang",IF(F300&gt;=IF(Aturan!$D$33="",Aturan!$C$33,Aturan!$D$33),"Nyaman","Cukup")))))</f>
        <v/>
      </c>
      <c r="O300" s="68" t="str">
        <f aca="false">IF($A300="","",IF(AND(Aturan!$C$34="",Aturan!$D$34=""),"Tidak dinilai",IF(G300="","Belum ada data",IF(G300&lt;IF(Aturan!$C$34="",0,Aturan!$C$34),"Kurang",IF(G300&gt;=IF(Aturan!$D$34="",Aturan!$C$34,Aturan!$D$34),"Nyaman","Cukup")))))</f>
        <v/>
      </c>
      <c r="P300" s="68" t="str">
        <f aca="false">IF($A300="","",IF(AND(Aturan!$C$35="",Aturan!$D$35=""),"Tidak dinilai",IF(H300="","Belum ada data",IF(H300&lt;IF(Aturan!$C$35="",0,Aturan!$C$35),"Kurang",IF(H300&gt;=IF(Aturan!$D$35="",Aturan!$C$35,Aturan!$D$35),"Nyaman","Cukup")))))</f>
        <v/>
      </c>
      <c r="Q300" s="68" t="str">
        <f aca="false">IF($A300="","",IF(COUNTIF(K300:P300,"Tidak dinilai")=6,"Tidak dinilai",IF(COUNTIF(K300:P300,"Kurang")&gt;0,"Kurang cocok",IF(COUNTIF(K300:P300,"Belum ada data")&gt;0,"Data belum lengkap",IF(COUNTIF(K300:P300,"Cukup")&gt;0,"Bisa, dengan catatan","Cocok")))))</f>
        <v/>
      </c>
      <c r="R300" s="66" t="str">
        <f aca="false">IF($A300="","",IF(K300="Kurang","prosesor tingkat "&amp;C300&amp;" dari 5, di bawah batas minimal (tingkat "&amp;Aturan!$C$30&amp;")",IF(K300="Cukup","prosesor tingkat "&amp;C300&amp;" dari 5 cukup, nyamannya mulai tingkat "&amp;Aturan!$D$30,IF(K300="Belum ada data","tingkat prosesor belum diisi",""))))</f>
        <v/>
      </c>
      <c r="S300" s="66" t="str">
        <f aca="false">IF($A300="","",IF(L300="Kurang","grafis tingkat "&amp;D300&amp;" dari 5, di bawah batas minimal (tingkat "&amp;Aturan!$C$31&amp;")",IF(L300="Cukup","grafis tingkat "&amp;D300&amp;" dari 5 cukup, nyamannya mulai tingkat "&amp;Aturan!$D$31,IF(L300="Belum ada data","tingkat grafis belum diisi",""))))</f>
        <v/>
      </c>
      <c r="T300" s="66" t="str">
        <f aca="false">IF($A300="","",IF(M300="Kurang","RAM "&amp;E300&amp;" GB, di bawah batas minimal "&amp;Aturan!$C$32&amp;" GB ("&amp;I300&amp;")",IF(M300="Cukup","RAM "&amp;E300&amp;" GB cukup, nyamannya "&amp;Aturan!$D$32&amp;" GB atau lebih ("&amp;I300&amp;")",IF(M300="Belum ada data","ukuran RAM belum diisi",""))))</f>
        <v/>
      </c>
      <c r="U300" s="66" t="str">
        <f aca="false">IF($A300="","",IF(N300="Kurang","penyimpanan "&amp;F300&amp;" GB, di bawah batas minimal "&amp;Aturan!$C$33&amp;" GB ("&amp;J300&amp;")",IF(N300="Cukup","penyimpanan "&amp;F300&amp;" GB cukup, nyamannya "&amp;Aturan!$D$33&amp;" GB atau lebih ("&amp;J300&amp;")",IF(N300="Belum ada data","ukuran penyimpanan belum diisi",""))))</f>
        <v/>
      </c>
      <c r="V300" s="66" t="str">
        <f aca="false">IF($A300="","",IF(O300="Kurang","layar "&amp;Varian!$AG64&amp;", di bawah batas minimal ("&amp;IFERROR(INDEX(Aturan!$A$63:$A$66,MATCH(Aturan!$C$34,Aturan!$B$63:$B$66,0)),"peringkat "&amp;Aturan!$C$34)&amp;")",IF(O300="Cukup","layar "&amp;Varian!$AG64&amp;" cukup, nyamannya "&amp;IFERROR(INDEX(Aturan!$A$63:$A$66,MATCH(Aturan!$D$34,Aturan!$B$63:$B$66,0)),"peringkat "&amp;Aturan!$D$34),IF(O300="Belum ada data","jenis layar belum diketahui",""))))</f>
        <v/>
      </c>
      <c r="W300" s="66" t="str">
        <f aca="false">IF($A300="","",IF(P300="Kurang","layar "&amp;H300&amp;" Hz, di bawah batas minimal "&amp;Aturan!$C$35&amp;" Hz",IF(P300="Cukup","layar "&amp;H300&amp;" Hz cukup, nyamannya "&amp;Aturan!$D$35&amp;" Hz atau lebih",IF(P300="Belum ada data","refresh rate belum diketahui",""))))</f>
        <v/>
      </c>
      <c r="X300" s="66" t="str">
        <f aca="false">IF($A300="","",IF(K300="Kurang",R300&amp;"; ","")&amp;IF(L300="Kurang",S300&amp;"; ","")&amp;IF(M300="Kurang",T300&amp;"; ","")&amp;IF(N300="Kurang",U300&amp;"; ","")&amp;IF(O300="Kurang",V300&amp;"; ","")&amp;IF(P300="Kurang",W300&amp;"; ","")&amp;IF(K300="Belum ada data",R300&amp;"; ","")&amp;IF(L300="Belum ada data",S300&amp;"; ","")&amp;IF(M300="Belum ada data",T300&amp;"; ","")&amp;IF(N300="Belum ada data",U300&amp;"; ","")&amp;IF(O300="Belum ada data",V300&amp;"; ","")&amp;IF(P300="Belum ada data",W300&amp;"; ","")&amp;IF(K300="Cukup",R300&amp;"; ","")&amp;IF(L300="Cukup",S300&amp;"; ","")&amp;IF(M300="Cukup",T300&amp;"; ","")&amp;IF(N300="Cukup",U300&amp;"; ","")&amp;IF(O300="Cukup",V300&amp;"; ","")&amp;IF(P300="Cukup",W300&amp;"; ",""))</f>
        <v/>
      </c>
      <c r="Y300" s="66" t="str">
        <f aca="false">IF($A300="","",IF(K300="Nyaman","prosesor, ","")&amp;IF(L300="Nyaman","grafis, ","")&amp;IF(M300="Nyaman","RAM, ","")&amp;IF(N300="Nyaman","penyimpanan, ","")&amp;IF(O300="Nyaman","layar, ","")&amp;IF(P300="Nyaman","refresh rate, ",""))</f>
        <v/>
      </c>
      <c r="Z300" s="66" t="str">
        <f aca="false">IF($A300="","",IF(Q300="Tidak dinilai","Belum ada kriteria yang dinilai untuk kebutuhan ini.",IF(Q300="Cocok","Semua kriteria yang dinilai sudah nyaman: "&amp;LEFT(Y300,LEN(Y300)-2)&amp;".",UPPER(LEFT(X300,1))&amp;MID(X300,2,LEN(X300)-3)&amp;"."&amp;IF(Y300="",""," Sudah nyaman: "&amp;LEFT(Y300,LEN(Y300)-2)&amp;"."))))</f>
        <v/>
      </c>
      <c r="AA300" s="66" t="str">
        <f aca="false">IF($A300="","",IF(Varian!$AR64="Windows 10","• "&amp;Aturan!$E$71&amp;CHAR(10),"")&amp;IF(Varian!$BB64="tidak","• "&amp;Aturan!$E$72&amp;CHAR(10),"")&amp;IF(OR(Varian!$AD64="belum terverifikasi",Varian!$AD64="tidak diketahui"),"• "&amp;Aturan!$E$73&amp;CHAR(10),"")&amp;IF(Varian!$AH64="1366x768","• "&amp;Aturan!$E$74&amp;CHAR(10),"")&amp;IF(Varian!$AG64="TN","• "&amp;Aturan!$E$75&amp;CHAR(10),"")&amp;IF(AND(Varian!$Q64="disolder",ISNUMBER(Varian!$M64),Varian!$M64&lt;=8),"• "&amp;Aturan!$E$76&amp;CHAR(10),""))</f>
        <v/>
      </c>
      <c r="AB300" s="66" t="str">
        <f aca="false">IF($A300="","",IF(AA300="","",LEFT(AA300,LEN(AA300)-1)))</f>
        <v/>
      </c>
      <c r="AC300" s="67" t="str">
        <f aca="false">IF($A300="","",IF(AA300="",0,LEN(AA300)-LEN(SUBSTITUTE(AA300,CHAR(10),""))))</f>
        <v/>
      </c>
    </row>
    <row r="301" customFormat="false" ht="15" hidden="false" customHeight="true" outlineLevel="0" collapsed="false">
      <c r="A301" s="33" t="str">
        <f aca="false">IF(Varian!$A64="","",Varian!$A64)</f>
        <v/>
      </c>
      <c r="B301" s="33" t="str">
        <f aca="false">IF($A301="","",Aturan!$A$22)</f>
        <v/>
      </c>
      <c r="C301" s="69" t="str">
        <f aca="false">IF($A301="","",IFERROR(IF(ISNUMBER(INDEX(CPU!$J$4:$J$64,MATCH(Varian!$J64,CPU!$A$4:$A$64,0))),INDEX(CPU!$J$4:$J$64,MATCH(Varian!$J64,CPU!$A$4:$A$64,0)),""),""))</f>
        <v/>
      </c>
      <c r="D301" s="69" t="str">
        <f aca="false">IF($A301="","",IFERROR(IF(ISNUMBER(INDEX(GPU!$G$4:$G$64,MATCH(Varian!$K64,GPU!$A$4:$A$64,0))),INDEX(GPU!$G$4:$G$64,MATCH(Varian!$K64,GPU!$A$4:$A$64,0)),""),""))</f>
        <v/>
      </c>
      <c r="E301" s="69" t="str">
        <f aca="false">IF($A301="","",IF(ISNUMBER(Varian!$M64),Varian!$M64,""))</f>
        <v/>
      </c>
      <c r="F301" s="69" t="str">
        <f aca="false">IF($A301="","",IF(ISNUMBER(Varian!$V64),Varian!$V64,""))</f>
        <v/>
      </c>
      <c r="G301" s="69" t="str">
        <f aca="false">IF($A301="","",IFERROR(INDEX(Aturan!$B$63:$B$66,MATCH(Varian!$AG64,Aturan!$A$63:$A$66,0)),""))</f>
        <v/>
      </c>
      <c r="H301" s="69" t="str">
        <f aca="false">IF($A301="","",IF(ISNUMBER(Varian!$AI64),Varian!$AI64,""))</f>
        <v/>
      </c>
      <c r="I301" s="33" t="str">
        <f aca="false">IF($A301="","",IF(Varian!$Q64="disolder","menempel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1" s="33" t="str">
        <f aca="false">IF($A301="","",IF(Varian!$Z64="ya","bisa diganti dengan yang lebih besar",IF(Varian!$Z64="tidak","menempel, tidak bisa diganti","belum diketahui apakah bisa diganti")))</f>
        <v/>
      </c>
      <c r="K301" s="70" t="str">
        <f aca="false">IF($A301="","",IF(AND(Aturan!$C$36="",Aturan!$D$36=""),"Tidak dinilai",IF(C301="","Belum ada data",IF(C301&lt;IF(Aturan!$C$36="",0,Aturan!$C$36),"Kurang",IF(C301&gt;=IF(Aturan!$D$36="",Aturan!$C$36,Aturan!$D$36),"Nyaman","Cukup")))))</f>
        <v/>
      </c>
      <c r="L301" s="70" t="str">
        <f aca="false">IF($A301="","",IF(AND(Aturan!$C$37="",Aturan!$D$37=""),"Tidak dinilai",IF(D301="","Belum ada data",IF(D301&lt;IF(Aturan!$C$37="",0,Aturan!$C$37),"Kurang",IF(D301&gt;=IF(Aturan!$D$37="",Aturan!$C$37,Aturan!$D$37),"Nyaman","Cukup")))))</f>
        <v/>
      </c>
      <c r="M301" s="70" t="str">
        <f aca="false">IF($A301="","",IF(AND(Aturan!$C$38="",Aturan!$D$38=""),"Tidak dinilai",IF(E301="","Belum ada data",IF(E301&lt;IF(Aturan!$C$38="",0,Aturan!$C$38),"Kurang",IF(E301&gt;=IF(Aturan!$D$38="",Aturan!$C$38,Aturan!$D$38),"Nyaman","Cukup")))))</f>
        <v/>
      </c>
      <c r="N301" s="70" t="str">
        <f aca="false">IF($A301="","",IF(AND(Aturan!$C$39="",Aturan!$D$39=""),"Tidak dinilai",IF(F301="","Belum ada data",IF(F301&lt;IF(Aturan!$C$39="",0,Aturan!$C$39),"Kurang",IF(F301&gt;=IF(Aturan!$D$39="",Aturan!$C$39,Aturan!$D$39),"Nyaman","Cukup")))))</f>
        <v/>
      </c>
      <c r="O301" s="70" t="str">
        <f aca="false">IF($A301="","",IF(AND(Aturan!$C$40="",Aturan!$D$40=""),"Tidak dinilai",IF(G301="","Belum ada data",IF(G301&lt;IF(Aturan!$C$40="",0,Aturan!$C$40),"Kurang",IF(G301&gt;=IF(Aturan!$D$40="",Aturan!$C$40,Aturan!$D$40),"Nyaman","Cukup")))))</f>
        <v/>
      </c>
      <c r="P301" s="70" t="str">
        <f aca="false">IF($A301="","",IF(AND(Aturan!$C$41="",Aturan!$D$41=""),"Tidak dinilai",IF(H301="","Belum ada data",IF(H301&lt;IF(Aturan!$C$41="",0,Aturan!$C$41),"Kurang",IF(H301&gt;=IF(Aturan!$D$41="",Aturan!$C$41,Aturan!$D$41),"Nyaman","Cukup")))))</f>
        <v/>
      </c>
      <c r="Q301" s="70" t="str">
        <f aca="false">IF($A301="","",IF(COUNTIF(K301:P301,"Tidak dinilai")=6,"Tidak dinilai",IF(COUNTIF(K301:P301,"Kurang")&gt;0,"Kurang cocok",IF(COUNTIF(K301:P301,"Belum ada data")&gt;0,"Data belum lengkap",IF(COUNTIF(K301:P301,"Cukup")&gt;0,"Bisa, dengan catatan","Cocok")))))</f>
        <v/>
      </c>
      <c r="R301" s="33" t="str">
        <f aca="false">IF($A301="","",IF(K301="Kurang","prosesor tingkat "&amp;C301&amp;" dari 5, di bawah batas minimal (tingkat "&amp;Aturan!$C$36&amp;")",IF(K301="Cukup","prosesor tingkat "&amp;C301&amp;" dari 5 cukup, nyamannya mulai tingkat "&amp;Aturan!$D$36,IF(K301="Belum ada data","tingkat prosesor belum diisi",""))))</f>
        <v/>
      </c>
      <c r="S301" s="33" t="str">
        <f aca="false">IF($A301="","",IF(L301="Kurang","grafis tingkat "&amp;D301&amp;" dari 5, di bawah batas minimal (tingkat "&amp;Aturan!$C$37&amp;")",IF(L301="Cukup","grafis tingkat "&amp;D301&amp;" dari 5 cukup, nyamannya mulai tingkat "&amp;Aturan!$D$37,IF(L301="Belum ada data","tingkat grafis belum diisi",""))))</f>
        <v/>
      </c>
      <c r="T301" s="33" t="str">
        <f aca="false">IF($A301="","",IF(M301="Kurang","RAM "&amp;E301&amp;" GB, di bawah batas minimal "&amp;Aturan!$C$38&amp;" GB ("&amp;I301&amp;")",IF(M301="Cukup","RAM "&amp;E301&amp;" GB cukup, nyamannya "&amp;Aturan!$D$38&amp;" GB atau lebih ("&amp;I301&amp;")",IF(M301="Belum ada data","ukuran RAM belum diisi",""))))</f>
        <v/>
      </c>
      <c r="U301" s="33" t="str">
        <f aca="false">IF($A301="","",IF(N301="Kurang","penyimpanan "&amp;F301&amp;" GB, di bawah batas minimal "&amp;Aturan!$C$39&amp;" GB ("&amp;J301&amp;")",IF(N301="Cukup","penyimpanan "&amp;F301&amp;" GB cukup, nyamannya "&amp;Aturan!$D$39&amp;" GB atau lebih ("&amp;J301&amp;")",IF(N301="Belum ada data","ukuran penyimpanan belum diisi",""))))</f>
        <v/>
      </c>
      <c r="V301" s="33" t="str">
        <f aca="false">IF($A301="","",IF(O301="Kurang","layar "&amp;Varian!$AG64&amp;", di bawah batas minimal ("&amp;IFERROR(INDEX(Aturan!$A$63:$A$66,MATCH(Aturan!$C$40,Aturan!$B$63:$B$66,0)),"peringkat "&amp;Aturan!$C$40)&amp;")",IF(O301="Cukup","layar "&amp;Varian!$AG64&amp;" cukup, nyamannya "&amp;IFERROR(INDEX(Aturan!$A$63:$A$66,MATCH(Aturan!$D$40,Aturan!$B$63:$B$66,0)),"peringkat "&amp;Aturan!$D$40),IF(O301="Belum ada data","jenis layar belum diketahui",""))))</f>
        <v/>
      </c>
      <c r="W301" s="33" t="str">
        <f aca="false">IF($A301="","",IF(P301="Kurang","layar "&amp;H301&amp;" Hz, di bawah batas minimal "&amp;Aturan!$C$41&amp;" Hz",IF(P301="Cukup","layar "&amp;H301&amp;" Hz cukup, nyamannya "&amp;Aturan!$D$41&amp;" Hz atau lebih",IF(P301="Belum ada data","refresh rate belum diketahui",""))))</f>
        <v/>
      </c>
      <c r="X301" s="33" t="str">
        <f aca="false">IF($A301="","",IF(K301="Kurang",R301&amp;"; ","")&amp;IF(L301="Kurang",S301&amp;"; ","")&amp;IF(M301="Kurang",T301&amp;"; ","")&amp;IF(N301="Kurang",U301&amp;"; ","")&amp;IF(O301="Kurang",V301&amp;"; ","")&amp;IF(P301="Kurang",W301&amp;"; ","")&amp;IF(K301="Belum ada data",R301&amp;"; ","")&amp;IF(L301="Belum ada data",S301&amp;"; ","")&amp;IF(M301="Belum ada data",T301&amp;"; ","")&amp;IF(N301="Belum ada data",U301&amp;"; ","")&amp;IF(O301="Belum ada data",V301&amp;"; ","")&amp;IF(P301="Belum ada data",W301&amp;"; ","")&amp;IF(K301="Cukup",R301&amp;"; ","")&amp;IF(L301="Cukup",S301&amp;"; ","")&amp;IF(M301="Cukup",T301&amp;"; ","")&amp;IF(N301="Cukup",U301&amp;"; ","")&amp;IF(O301="Cukup",V301&amp;"; ","")&amp;IF(P301="Cukup",W301&amp;"; ",""))</f>
        <v/>
      </c>
      <c r="Y301" s="33" t="str">
        <f aca="false">IF($A301="","",IF(K301="Nyaman","prosesor, ","")&amp;IF(L301="Nyaman","grafis, ","")&amp;IF(M301="Nyaman","RAM, ","")&amp;IF(N301="Nyaman","penyimpanan, ","")&amp;IF(O301="Nyaman","layar, ","")&amp;IF(P301="Nyaman","refresh rate, ",""))</f>
        <v/>
      </c>
      <c r="Z301" s="33" t="str">
        <f aca="false">IF($A301="","",IF(Q301="Tidak dinilai","Belum ada kriteria yang dinilai untuk kebutuhan ini.",IF(Q301="Cocok","Semua kriteria yang dinilai sudah nyaman: "&amp;LEFT(Y301,LEN(Y301)-2)&amp;".",UPPER(LEFT(X301,1))&amp;MID(X301,2,LEN(X301)-3)&amp;"."&amp;IF(Y301="",""," Sudah nyaman: "&amp;LEFT(Y301,LEN(Y301)-2)&amp;"."))))</f>
        <v/>
      </c>
      <c r="AA301" s="33"/>
      <c r="AB301" s="33"/>
      <c r="AC301" s="69"/>
    </row>
    <row r="302" customFormat="false" ht="15" hidden="false" customHeight="true" outlineLevel="0" collapsed="false">
      <c r="A302" s="33" t="str">
        <f aca="false">IF(Varian!$A64="","",Varian!$A64)</f>
        <v/>
      </c>
      <c r="B302" s="33" t="str">
        <f aca="false">IF($A302="","",Aturan!$A$23)</f>
        <v/>
      </c>
      <c r="C302" s="69" t="str">
        <f aca="false">IF($A302="","",IFERROR(IF(ISNUMBER(INDEX(CPU!$J$4:$J$64,MATCH(Varian!$J64,CPU!$A$4:$A$64,0))),INDEX(CPU!$J$4:$J$64,MATCH(Varian!$J64,CPU!$A$4:$A$64,0)),""),""))</f>
        <v/>
      </c>
      <c r="D302" s="69" t="str">
        <f aca="false">IF($A302="","",IFERROR(IF(ISNUMBER(INDEX(GPU!$G$4:$G$64,MATCH(Varian!$K64,GPU!$A$4:$A$64,0))),INDEX(GPU!$G$4:$G$64,MATCH(Varian!$K64,GPU!$A$4:$A$64,0)),""),""))</f>
        <v/>
      </c>
      <c r="E302" s="69" t="str">
        <f aca="false">IF($A302="","",IF(ISNUMBER(Varian!$M64),Varian!$M64,""))</f>
        <v/>
      </c>
      <c r="F302" s="69" t="str">
        <f aca="false">IF($A302="","",IF(ISNUMBER(Varian!$V64),Varian!$V64,""))</f>
        <v/>
      </c>
      <c r="G302" s="69" t="str">
        <f aca="false">IF($A302="","",IFERROR(INDEX(Aturan!$B$63:$B$66,MATCH(Varian!$AG64,Aturan!$A$63:$A$66,0)),""))</f>
        <v/>
      </c>
      <c r="H302" s="69" t="str">
        <f aca="false">IF($A302="","",IF(ISNUMBER(Varian!$AI64),Varian!$AI64,""))</f>
        <v/>
      </c>
      <c r="I302" s="33" t="str">
        <f aca="false">IF($A302="","",IF(Varian!$Q64="disolder","menempel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2" s="33" t="str">
        <f aca="false">IF($A302="","",IF(Varian!$Z64="ya","bisa diganti dengan yang lebih besar",IF(Varian!$Z64="tidak","menempel, tidak bisa diganti","belum diketahui apakah bisa diganti")))</f>
        <v/>
      </c>
      <c r="K302" s="70" t="str">
        <f aca="false">IF($A302="","",IF(AND(Aturan!$C$42="",Aturan!$D$42=""),"Tidak dinilai",IF(C302="","Belum ada data",IF(C302&lt;IF(Aturan!$C$42="",0,Aturan!$C$42),"Kurang",IF(C302&gt;=IF(Aturan!$D$42="",Aturan!$C$42,Aturan!$D$42),"Nyaman","Cukup")))))</f>
        <v/>
      </c>
      <c r="L302" s="70" t="str">
        <f aca="false">IF($A302="","",IF(AND(Aturan!$C$43="",Aturan!$D$43=""),"Tidak dinilai",IF(D302="","Belum ada data",IF(D302&lt;IF(Aturan!$C$43="",0,Aturan!$C$43),"Kurang",IF(D302&gt;=IF(Aturan!$D$43="",Aturan!$C$43,Aturan!$D$43),"Nyaman","Cukup")))))</f>
        <v/>
      </c>
      <c r="M302" s="70" t="str">
        <f aca="false">IF($A302="","",IF(AND(Aturan!$C$44="",Aturan!$D$44=""),"Tidak dinilai",IF(E302="","Belum ada data",IF(E302&lt;IF(Aturan!$C$44="",0,Aturan!$C$44),"Kurang",IF(E302&gt;=IF(Aturan!$D$44="",Aturan!$C$44,Aturan!$D$44),"Nyaman","Cukup")))))</f>
        <v/>
      </c>
      <c r="N302" s="70" t="str">
        <f aca="false">IF($A302="","",IF(AND(Aturan!$C$45="",Aturan!$D$45=""),"Tidak dinilai",IF(F302="","Belum ada data",IF(F302&lt;IF(Aturan!$C$45="",0,Aturan!$C$45),"Kurang",IF(F302&gt;=IF(Aturan!$D$45="",Aturan!$C$45,Aturan!$D$45),"Nyaman","Cukup")))))</f>
        <v/>
      </c>
      <c r="O302" s="70" t="str">
        <f aca="false">IF($A302="","",IF(AND(Aturan!$C$46="",Aturan!$D$46=""),"Tidak dinilai",IF(G302="","Belum ada data",IF(G302&lt;IF(Aturan!$C$46="",0,Aturan!$C$46),"Kurang",IF(G302&gt;=IF(Aturan!$D$46="",Aturan!$C$46,Aturan!$D$46),"Nyaman","Cukup")))))</f>
        <v/>
      </c>
      <c r="P302" s="70" t="str">
        <f aca="false">IF($A302="","",IF(AND(Aturan!$C$47="",Aturan!$D$47=""),"Tidak dinilai",IF(H302="","Belum ada data",IF(H302&lt;IF(Aturan!$C$47="",0,Aturan!$C$47),"Kurang",IF(H302&gt;=IF(Aturan!$D$47="",Aturan!$C$47,Aturan!$D$47),"Nyaman","Cukup")))))</f>
        <v/>
      </c>
      <c r="Q302" s="70" t="str">
        <f aca="false">IF($A302="","",IF(COUNTIF(K302:P302,"Tidak dinilai")=6,"Tidak dinilai",IF(COUNTIF(K302:P302,"Kurang")&gt;0,"Kurang cocok",IF(COUNTIF(K302:P302,"Belum ada data")&gt;0,"Data belum lengkap",IF(COUNTIF(K302:P302,"Cukup")&gt;0,"Bisa, dengan catatan","Cocok")))))</f>
        <v/>
      </c>
      <c r="R302" s="33" t="str">
        <f aca="false">IF($A302="","",IF(K302="Kurang","prosesor tingkat "&amp;C302&amp;" dari 5, di bawah batas minimal (tingkat "&amp;Aturan!$C$42&amp;")",IF(K302="Cukup","prosesor tingkat "&amp;C302&amp;" dari 5 cukup, nyamannya mulai tingkat "&amp;Aturan!$D$42,IF(K302="Belum ada data","tingkat prosesor belum diisi",""))))</f>
        <v/>
      </c>
      <c r="S302" s="33" t="str">
        <f aca="false">IF($A302="","",IF(L302="Kurang","grafis tingkat "&amp;D302&amp;" dari 5, di bawah batas minimal (tingkat "&amp;Aturan!$C$43&amp;")",IF(L302="Cukup","grafis tingkat "&amp;D302&amp;" dari 5 cukup, nyamannya mulai tingkat "&amp;Aturan!$D$43,IF(L302="Belum ada data","tingkat grafis belum diisi",""))))</f>
        <v/>
      </c>
      <c r="T302" s="33" t="str">
        <f aca="false">IF($A302="","",IF(M302="Kurang","RAM "&amp;E302&amp;" GB, di bawah batas minimal "&amp;Aturan!$C$44&amp;" GB ("&amp;I302&amp;")",IF(M302="Cukup","RAM "&amp;E302&amp;" GB cukup, nyamannya "&amp;Aturan!$D$44&amp;" GB atau lebih ("&amp;I302&amp;")",IF(M302="Belum ada data","ukuran RAM belum diisi",""))))</f>
        <v/>
      </c>
      <c r="U302" s="33" t="str">
        <f aca="false">IF($A302="","",IF(N302="Kurang","penyimpanan "&amp;F302&amp;" GB, di bawah batas minimal "&amp;Aturan!$C$45&amp;" GB ("&amp;J302&amp;")",IF(N302="Cukup","penyimpanan "&amp;F302&amp;" GB cukup, nyamannya "&amp;Aturan!$D$45&amp;" GB atau lebih ("&amp;J302&amp;")",IF(N302="Belum ada data","ukuran penyimpanan belum diisi",""))))</f>
        <v/>
      </c>
      <c r="V302" s="33" t="str">
        <f aca="false">IF($A302="","",IF(O302="Kurang","layar "&amp;Varian!$AG64&amp;", di bawah batas minimal ("&amp;IFERROR(INDEX(Aturan!$A$63:$A$66,MATCH(Aturan!$C$46,Aturan!$B$63:$B$66,0)),"peringkat "&amp;Aturan!$C$46)&amp;")",IF(O302="Cukup","layar "&amp;Varian!$AG64&amp;" cukup, nyamannya "&amp;IFERROR(INDEX(Aturan!$A$63:$A$66,MATCH(Aturan!$D$46,Aturan!$B$63:$B$66,0)),"peringkat "&amp;Aturan!$D$46),IF(O302="Belum ada data","jenis layar belum diketahui",""))))</f>
        <v/>
      </c>
      <c r="W302" s="33" t="str">
        <f aca="false">IF($A302="","",IF(P302="Kurang","layar "&amp;H302&amp;" Hz, di bawah batas minimal "&amp;Aturan!$C$47&amp;" Hz",IF(P302="Cukup","layar "&amp;H302&amp;" Hz cukup, nyamannya "&amp;Aturan!$D$47&amp;" Hz atau lebih",IF(P302="Belum ada data","refresh rate belum diketahui",""))))</f>
        <v/>
      </c>
      <c r="X302" s="33" t="str">
        <f aca="false">IF($A302="","",IF(K302="Kurang",R302&amp;"; ","")&amp;IF(L302="Kurang",S302&amp;"; ","")&amp;IF(M302="Kurang",T302&amp;"; ","")&amp;IF(N302="Kurang",U302&amp;"; ","")&amp;IF(O302="Kurang",V302&amp;"; ","")&amp;IF(P302="Kurang",W302&amp;"; ","")&amp;IF(K302="Belum ada data",R302&amp;"; ","")&amp;IF(L302="Belum ada data",S302&amp;"; ","")&amp;IF(M302="Belum ada data",T302&amp;"; ","")&amp;IF(N302="Belum ada data",U302&amp;"; ","")&amp;IF(O302="Belum ada data",V302&amp;"; ","")&amp;IF(P302="Belum ada data",W302&amp;"; ","")&amp;IF(K302="Cukup",R302&amp;"; ","")&amp;IF(L302="Cukup",S302&amp;"; ","")&amp;IF(M302="Cukup",T302&amp;"; ","")&amp;IF(N302="Cukup",U302&amp;"; ","")&amp;IF(O302="Cukup",V302&amp;"; ","")&amp;IF(P302="Cukup",W302&amp;"; ",""))</f>
        <v/>
      </c>
      <c r="Y302" s="33" t="str">
        <f aca="false">IF($A302="","",IF(K302="Nyaman","prosesor, ","")&amp;IF(L302="Nyaman","grafis, ","")&amp;IF(M302="Nyaman","RAM, ","")&amp;IF(N302="Nyaman","penyimpanan, ","")&amp;IF(O302="Nyaman","layar, ","")&amp;IF(P302="Nyaman","refresh rate, ",""))</f>
        <v/>
      </c>
      <c r="Z302" s="33" t="str">
        <f aca="false">IF($A302="","",IF(Q302="Tidak dinilai","Belum ada kriteria yang dinilai untuk kebutuhan ini.",IF(Q302="Cocok","Semua kriteria yang dinilai sudah nyaman: "&amp;LEFT(Y302,LEN(Y302)-2)&amp;".",UPPER(LEFT(X302,1))&amp;MID(X302,2,LEN(X302)-3)&amp;"."&amp;IF(Y302="",""," Sudah nyaman: "&amp;LEFT(Y302,LEN(Y302)-2)&amp;"."))))</f>
        <v/>
      </c>
      <c r="AA302" s="33"/>
      <c r="AB302" s="33"/>
      <c r="AC302" s="69"/>
    </row>
    <row r="303" customFormat="false" ht="15" hidden="false" customHeight="true" outlineLevel="0" collapsed="false">
      <c r="A303" s="33" t="str">
        <f aca="false">IF(Varian!$A64="","",Varian!$A64)</f>
        <v/>
      </c>
      <c r="B303" s="33" t="str">
        <f aca="false">IF($A303="","",Aturan!$A$24)</f>
        <v/>
      </c>
      <c r="C303" s="69" t="str">
        <f aca="false">IF($A303="","",IFERROR(IF(ISNUMBER(INDEX(CPU!$J$4:$J$64,MATCH(Varian!$J64,CPU!$A$4:$A$64,0))),INDEX(CPU!$J$4:$J$64,MATCH(Varian!$J64,CPU!$A$4:$A$64,0)),""),""))</f>
        <v/>
      </c>
      <c r="D303" s="69" t="str">
        <f aca="false">IF($A303="","",IFERROR(IF(ISNUMBER(INDEX(GPU!$G$4:$G$64,MATCH(Varian!$K64,GPU!$A$4:$A$64,0))),INDEX(GPU!$G$4:$G$64,MATCH(Varian!$K64,GPU!$A$4:$A$64,0)),""),""))</f>
        <v/>
      </c>
      <c r="E303" s="69" t="str">
        <f aca="false">IF($A303="","",IF(ISNUMBER(Varian!$M64),Varian!$M64,""))</f>
        <v/>
      </c>
      <c r="F303" s="69" t="str">
        <f aca="false">IF($A303="","",IF(ISNUMBER(Varian!$V64),Varian!$V64,""))</f>
        <v/>
      </c>
      <c r="G303" s="69" t="str">
        <f aca="false">IF($A303="","",IFERROR(INDEX(Aturan!$B$63:$B$66,MATCH(Varian!$AG64,Aturan!$A$63:$A$66,0)),""))</f>
        <v/>
      </c>
      <c r="H303" s="69" t="str">
        <f aca="false">IF($A303="","",IF(ISNUMBER(Varian!$AI64),Varian!$AI64,""))</f>
        <v/>
      </c>
      <c r="I303" s="33" t="str">
        <f aca="false">IF($A303="","",IF(Varian!$Q64="disolder","menempel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3" s="33" t="str">
        <f aca="false">IF($A303="","",IF(Varian!$Z64="ya","bisa diganti dengan yang lebih besar",IF(Varian!$Z64="tidak","menempel, tidak bisa diganti","belum diketahui apakah bisa diganti")))</f>
        <v/>
      </c>
      <c r="K303" s="70" t="str">
        <f aca="false">IF($A303="","",IF(AND(Aturan!$C$48="",Aturan!$D$48=""),"Tidak dinilai",IF(C303="","Belum ada data",IF(C303&lt;IF(Aturan!$C$48="",0,Aturan!$C$48),"Kurang",IF(C303&gt;=IF(Aturan!$D$48="",Aturan!$C$48,Aturan!$D$48),"Nyaman","Cukup")))))</f>
        <v/>
      </c>
      <c r="L303" s="70" t="str">
        <f aca="false">IF($A303="","",IF(AND(Aturan!$C$49="",Aturan!$D$49=""),"Tidak dinilai",IF(D303="","Belum ada data",IF(D303&lt;IF(Aturan!$C$49="",0,Aturan!$C$49),"Kurang",IF(D303&gt;=IF(Aturan!$D$49="",Aturan!$C$49,Aturan!$D$49),"Nyaman","Cukup")))))</f>
        <v/>
      </c>
      <c r="M303" s="70" t="str">
        <f aca="false">IF($A303="","",IF(AND(Aturan!$C$50="",Aturan!$D$50=""),"Tidak dinilai",IF(E303="","Belum ada data",IF(E303&lt;IF(Aturan!$C$50="",0,Aturan!$C$50),"Kurang",IF(E303&gt;=IF(Aturan!$D$50="",Aturan!$C$50,Aturan!$D$50),"Nyaman","Cukup")))))</f>
        <v/>
      </c>
      <c r="N303" s="70" t="str">
        <f aca="false">IF($A303="","",IF(AND(Aturan!$C$51="",Aturan!$D$51=""),"Tidak dinilai",IF(F303="","Belum ada data",IF(F303&lt;IF(Aturan!$C$51="",0,Aturan!$C$51),"Kurang",IF(F303&gt;=IF(Aturan!$D$51="",Aturan!$C$51,Aturan!$D$51),"Nyaman","Cukup")))))</f>
        <v/>
      </c>
      <c r="O303" s="70" t="str">
        <f aca="false">IF($A303="","",IF(AND(Aturan!$C$52="",Aturan!$D$52=""),"Tidak dinilai",IF(G303="","Belum ada data",IF(G303&lt;IF(Aturan!$C$52="",0,Aturan!$C$52),"Kurang",IF(G303&gt;=IF(Aturan!$D$52="",Aturan!$C$52,Aturan!$D$52),"Nyaman","Cukup")))))</f>
        <v/>
      </c>
      <c r="P303" s="70" t="str">
        <f aca="false">IF($A303="","",IF(AND(Aturan!$C$53="",Aturan!$D$53=""),"Tidak dinilai",IF(H303="","Belum ada data",IF(H303&lt;IF(Aturan!$C$53="",0,Aturan!$C$53),"Kurang",IF(H303&gt;=IF(Aturan!$D$53="",Aturan!$C$53,Aturan!$D$53),"Nyaman","Cukup")))))</f>
        <v/>
      </c>
      <c r="Q303" s="70" t="str">
        <f aca="false">IF($A303="","",IF(COUNTIF(K303:P303,"Tidak dinilai")=6,"Tidak dinilai",IF(COUNTIF(K303:P303,"Kurang")&gt;0,"Kurang cocok",IF(COUNTIF(K303:P303,"Belum ada data")&gt;0,"Data belum lengkap",IF(COUNTIF(K303:P303,"Cukup")&gt;0,"Bisa, dengan catatan","Cocok")))))</f>
        <v/>
      </c>
      <c r="R303" s="33" t="str">
        <f aca="false">IF($A303="","",IF(K303="Kurang","prosesor tingkat "&amp;C303&amp;" dari 5, di bawah batas minimal (tingkat "&amp;Aturan!$C$48&amp;")",IF(K303="Cukup","prosesor tingkat "&amp;C303&amp;" dari 5 cukup, nyamannya mulai tingkat "&amp;Aturan!$D$48,IF(K303="Belum ada data","tingkat prosesor belum diisi",""))))</f>
        <v/>
      </c>
      <c r="S303" s="33" t="str">
        <f aca="false">IF($A303="","",IF(L303="Kurang","grafis tingkat "&amp;D303&amp;" dari 5, di bawah batas minimal (tingkat "&amp;Aturan!$C$49&amp;")",IF(L303="Cukup","grafis tingkat "&amp;D303&amp;" dari 5 cukup, nyamannya mulai tingkat "&amp;Aturan!$D$49,IF(L303="Belum ada data","tingkat grafis belum diisi",""))))</f>
        <v/>
      </c>
      <c r="T303" s="33" t="str">
        <f aca="false">IF($A303="","",IF(M303="Kurang","RAM "&amp;E303&amp;" GB, di bawah batas minimal "&amp;Aturan!$C$50&amp;" GB ("&amp;I303&amp;")",IF(M303="Cukup","RAM "&amp;E303&amp;" GB cukup, nyamannya "&amp;Aturan!$D$50&amp;" GB atau lebih ("&amp;I303&amp;")",IF(M303="Belum ada data","ukuran RAM belum diisi",""))))</f>
        <v/>
      </c>
      <c r="U303" s="33" t="str">
        <f aca="false">IF($A303="","",IF(N303="Kurang","penyimpanan "&amp;F303&amp;" GB, di bawah batas minimal "&amp;Aturan!$C$51&amp;" GB ("&amp;J303&amp;")",IF(N303="Cukup","penyimpanan "&amp;F303&amp;" GB cukup, nyamannya "&amp;Aturan!$D$51&amp;" GB atau lebih ("&amp;J303&amp;")",IF(N303="Belum ada data","ukuran penyimpanan belum diisi",""))))</f>
        <v/>
      </c>
      <c r="V303" s="33" t="str">
        <f aca="false">IF($A303="","",IF(O303="Kurang","layar "&amp;Varian!$AG64&amp;", di bawah batas minimal ("&amp;IFERROR(INDEX(Aturan!$A$63:$A$66,MATCH(Aturan!$C$52,Aturan!$B$63:$B$66,0)),"peringkat "&amp;Aturan!$C$52)&amp;")",IF(O303="Cukup","layar "&amp;Varian!$AG64&amp;" cukup, nyamannya "&amp;IFERROR(INDEX(Aturan!$A$63:$A$66,MATCH(Aturan!$D$52,Aturan!$B$63:$B$66,0)),"peringkat "&amp;Aturan!$D$52),IF(O303="Belum ada data","jenis layar belum diketahui",""))))</f>
        <v/>
      </c>
      <c r="W303" s="33" t="str">
        <f aca="false">IF($A303="","",IF(P303="Kurang","layar "&amp;H303&amp;" Hz, di bawah batas minimal "&amp;Aturan!$C$53&amp;" Hz",IF(P303="Cukup","layar "&amp;H303&amp;" Hz cukup, nyamannya "&amp;Aturan!$D$53&amp;" Hz atau lebih",IF(P303="Belum ada data","refresh rate belum diketahui",""))))</f>
        <v/>
      </c>
      <c r="X303" s="33" t="str">
        <f aca="false">IF($A303="","",IF(K303="Kurang",R303&amp;"; ","")&amp;IF(L303="Kurang",S303&amp;"; ","")&amp;IF(M303="Kurang",T303&amp;"; ","")&amp;IF(N303="Kurang",U303&amp;"; ","")&amp;IF(O303="Kurang",V303&amp;"; ","")&amp;IF(P303="Kurang",W303&amp;"; ","")&amp;IF(K303="Belum ada data",R303&amp;"; ","")&amp;IF(L303="Belum ada data",S303&amp;"; ","")&amp;IF(M303="Belum ada data",T303&amp;"; ","")&amp;IF(N303="Belum ada data",U303&amp;"; ","")&amp;IF(O303="Belum ada data",V303&amp;"; ","")&amp;IF(P303="Belum ada data",W303&amp;"; ","")&amp;IF(K303="Cukup",R303&amp;"; ","")&amp;IF(L303="Cukup",S303&amp;"; ","")&amp;IF(M303="Cukup",T303&amp;"; ","")&amp;IF(N303="Cukup",U303&amp;"; ","")&amp;IF(O303="Cukup",V303&amp;"; ","")&amp;IF(P303="Cukup",W303&amp;"; ",""))</f>
        <v/>
      </c>
      <c r="Y303" s="33" t="str">
        <f aca="false">IF($A303="","",IF(K303="Nyaman","prosesor, ","")&amp;IF(L303="Nyaman","grafis, ","")&amp;IF(M303="Nyaman","RAM, ","")&amp;IF(N303="Nyaman","penyimpanan, ","")&amp;IF(O303="Nyaman","layar, ","")&amp;IF(P303="Nyaman","refresh rate, ",""))</f>
        <v/>
      </c>
      <c r="Z303" s="33" t="str">
        <f aca="false">IF($A303="","",IF(Q303="Tidak dinilai","Belum ada kriteria yang dinilai untuk kebutuhan ini.",IF(Q303="Cocok","Semua kriteria yang dinilai sudah nyaman: "&amp;LEFT(Y303,LEN(Y303)-2)&amp;".",UPPER(LEFT(X303,1))&amp;MID(X303,2,LEN(X303)-3)&amp;"."&amp;IF(Y303="",""," Sudah nyaman: "&amp;LEFT(Y303,LEN(Y303)-2)&amp;"."))))</f>
        <v/>
      </c>
      <c r="AA303" s="33"/>
      <c r="AB303" s="33"/>
      <c r="AC303" s="69"/>
    </row>
    <row r="304" customFormat="false" ht="15" hidden="false" customHeight="true" outlineLevel="0" collapsed="false">
      <c r="A304" s="33" t="str">
        <f aca="false">IF(Varian!$A64="","",Varian!$A64)</f>
        <v/>
      </c>
      <c r="B304" s="33" t="str">
        <f aca="false">IF($A304="","",Aturan!$A$25)</f>
        <v/>
      </c>
      <c r="C304" s="69" t="str">
        <f aca="false">IF($A304="","",IFERROR(IF(ISNUMBER(INDEX(CPU!$J$4:$J$64,MATCH(Varian!$J64,CPU!$A$4:$A$64,0))),INDEX(CPU!$J$4:$J$64,MATCH(Varian!$J64,CPU!$A$4:$A$64,0)),""),""))</f>
        <v/>
      </c>
      <c r="D304" s="69" t="str">
        <f aca="false">IF($A304="","",IFERROR(IF(ISNUMBER(INDEX(GPU!$G$4:$G$64,MATCH(Varian!$K64,GPU!$A$4:$A$64,0))),INDEX(GPU!$G$4:$G$64,MATCH(Varian!$K64,GPU!$A$4:$A$64,0)),""),""))</f>
        <v/>
      </c>
      <c r="E304" s="69" t="str">
        <f aca="false">IF($A304="","",IF(ISNUMBER(Varian!$M64),Varian!$M64,""))</f>
        <v/>
      </c>
      <c r="F304" s="69" t="str">
        <f aca="false">IF($A304="","",IF(ISNUMBER(Varian!$V64),Varian!$V64,""))</f>
        <v/>
      </c>
      <c r="G304" s="69" t="str">
        <f aca="false">IF($A304="","",IFERROR(INDEX(Aturan!$B$63:$B$66,MATCH(Varian!$AG64,Aturan!$A$63:$A$66,0)),""))</f>
        <v/>
      </c>
      <c r="H304" s="69" t="str">
        <f aca="false">IF($A304="","",IF(ISNUMBER(Varian!$AI64),Varian!$AI64,""))</f>
        <v/>
      </c>
      <c r="I304" s="33" t="str">
        <f aca="false">IF($A304="","",IF(Varian!$Q64="disolder","menempel di papan utama, tidak bisa ditambah",IF(OR(Varian!$Q64="slot",Varian!$Q64="setengah_disolder"),IF(Varian!$Q64="setengah_disolder","sebagian menempel, ","")&amp;IF(ISNUMBER(Varian!$U64),IF(AND(ISNUMBER(Varian!$M64),Varian!$U64&gt;Varian!$M64),"bisa dinaikkan lewat slot sampai "&amp;Varian!$U64&amp;" GB","sudah di batas maksimal "&amp;Varian!$U64&amp;" GB"),"ada slot, batas maksimalnya belum diketahui"),"belum diketahui apakah bisa ditambah")))</f>
        <v/>
      </c>
      <c r="J304" s="33" t="str">
        <f aca="false">IF($A304="","",IF(Varian!$Z64="ya","bisa diganti dengan yang lebih besar",IF(Varian!$Z64="tidak","menempel, tidak bisa diganti","belum diketahui apakah bisa diganti")))</f>
        <v/>
      </c>
      <c r="K304" s="70" t="str">
        <f aca="false">IF($A304="","",IF(AND(Aturan!$C$54="",Aturan!$D$54=""),"Tidak dinilai",IF(C304="","Belum ada data",IF(C304&lt;IF(Aturan!$C$54="",0,Aturan!$C$54),"Kurang",IF(C304&gt;=IF(Aturan!$D$54="",Aturan!$C$54,Aturan!$D$54),"Nyaman","Cukup")))))</f>
        <v/>
      </c>
      <c r="L304" s="70" t="str">
        <f aca="false">IF($A304="","",IF(AND(Aturan!$C$55="",Aturan!$D$55=""),"Tidak dinilai",IF(D304="","Belum ada data",IF(D304&lt;IF(Aturan!$C$55="",0,Aturan!$C$55),"Kurang",IF(D304&gt;=IF(Aturan!$D$55="",Aturan!$C$55,Aturan!$D$55),"Nyaman","Cukup")))))</f>
        <v/>
      </c>
      <c r="M304" s="70" t="str">
        <f aca="false">IF($A304="","",IF(AND(Aturan!$C$56="",Aturan!$D$56=""),"Tidak dinilai",IF(E304="","Belum ada data",IF(E304&lt;IF(Aturan!$C$56="",0,Aturan!$C$56),"Kurang",IF(E304&gt;=IF(Aturan!$D$56="",Aturan!$C$56,Aturan!$D$56),"Nyaman","Cukup")))))</f>
        <v/>
      </c>
      <c r="N304" s="70" t="str">
        <f aca="false">IF($A304="","",IF(AND(Aturan!$C$57="",Aturan!$D$57=""),"Tidak dinilai",IF(F304="","Belum ada data",IF(F304&lt;IF(Aturan!$C$57="",0,Aturan!$C$57),"Kurang",IF(F304&gt;=IF(Aturan!$D$57="",Aturan!$C$57,Aturan!$D$57),"Nyaman","Cukup")))))</f>
        <v/>
      </c>
      <c r="O304" s="70" t="str">
        <f aca="false">IF($A304="","",IF(AND(Aturan!$C$58="",Aturan!$D$58=""),"Tidak dinilai",IF(G304="","Belum ada data",IF(G304&lt;IF(Aturan!$C$58="",0,Aturan!$C$58),"Kurang",IF(G304&gt;=IF(Aturan!$D$58="",Aturan!$C$58,Aturan!$D$58),"Nyaman","Cukup")))))</f>
        <v/>
      </c>
      <c r="P304" s="70" t="str">
        <f aca="false">IF($A304="","",IF(AND(Aturan!$C$59="",Aturan!$D$59=""),"Tidak dinilai",IF(H304="","Belum ada data",IF(H304&lt;IF(Aturan!$C$59="",0,Aturan!$C$59),"Kurang",IF(H304&gt;=IF(Aturan!$D$59="",Aturan!$C$59,Aturan!$D$59),"Nyaman","Cukup")))))</f>
        <v/>
      </c>
      <c r="Q304" s="70" t="str">
        <f aca="false">IF($A304="","",IF(COUNTIF(K304:P304,"Tidak dinilai")=6,"Tidak dinilai",IF(COUNTIF(K304:P304,"Kurang")&gt;0,"Kurang cocok",IF(COUNTIF(K304:P304,"Belum ada data")&gt;0,"Data belum lengkap",IF(COUNTIF(K304:P304,"Cukup")&gt;0,"Bisa, dengan catatan","Cocok")))))</f>
        <v/>
      </c>
      <c r="R304" s="33" t="str">
        <f aca="false">IF($A304="","",IF(K304="Kurang","prosesor tingkat "&amp;C304&amp;" dari 5, di bawah batas minimal (tingkat "&amp;Aturan!$C$54&amp;")",IF(K304="Cukup","prosesor tingkat "&amp;C304&amp;" dari 5 cukup, nyamannya mulai tingkat "&amp;Aturan!$D$54,IF(K304="Belum ada data","tingkat prosesor belum diisi",""))))</f>
        <v/>
      </c>
      <c r="S304" s="33" t="str">
        <f aca="false">IF($A304="","",IF(L304="Kurang","grafis tingkat "&amp;D304&amp;" dari 5, di bawah batas minimal (tingkat "&amp;Aturan!$C$55&amp;")",IF(L304="Cukup","grafis tingkat "&amp;D304&amp;" dari 5 cukup, nyamannya mulai tingkat "&amp;Aturan!$D$55,IF(L304="Belum ada data","tingkat grafis belum diisi",""))))</f>
        <v/>
      </c>
      <c r="T304" s="33" t="str">
        <f aca="false">IF($A304="","",IF(M304="Kurang","RAM "&amp;E304&amp;" GB, di bawah batas minimal "&amp;Aturan!$C$56&amp;" GB ("&amp;I304&amp;")",IF(M304="Cukup","RAM "&amp;E304&amp;" GB cukup, nyamannya "&amp;Aturan!$D$56&amp;" GB atau lebih ("&amp;I304&amp;")",IF(M304="Belum ada data","ukuran RAM belum diisi",""))))</f>
        <v/>
      </c>
      <c r="U304" s="33" t="str">
        <f aca="false">IF($A304="","",IF(N304="Kurang","penyimpanan "&amp;F304&amp;" GB, di bawah batas minimal "&amp;Aturan!$C$57&amp;" GB ("&amp;J304&amp;")",IF(N304="Cukup","penyimpanan "&amp;F304&amp;" GB cukup, nyamannya "&amp;Aturan!$D$57&amp;" GB atau lebih ("&amp;J304&amp;")",IF(N304="Belum ada data","ukuran penyimpanan belum diisi",""))))</f>
        <v/>
      </c>
      <c r="V304" s="33" t="str">
        <f aca="false">IF($A304="","",IF(O304="Kurang","layar "&amp;Varian!$AG64&amp;", di bawah batas minimal ("&amp;IFERROR(INDEX(Aturan!$A$63:$A$66,MATCH(Aturan!$C$58,Aturan!$B$63:$B$66,0)),"peringkat "&amp;Aturan!$C$58)&amp;")",IF(O304="Cukup","layar "&amp;Varian!$AG64&amp;" cukup, nyamannya "&amp;IFERROR(INDEX(Aturan!$A$63:$A$66,MATCH(Aturan!$D$58,Aturan!$B$63:$B$66,0)),"peringkat "&amp;Aturan!$D$58),IF(O304="Belum ada data","jenis layar belum diketahui",""))))</f>
        <v/>
      </c>
      <c r="W304" s="33" t="str">
        <f aca="false">IF($A304="","",IF(P304="Kurang","layar "&amp;H304&amp;" Hz, di bawah batas minimal "&amp;Aturan!$C$59&amp;" Hz",IF(P304="Cukup","layar "&amp;H304&amp;" Hz cukup, nyamannya "&amp;Aturan!$D$59&amp;" Hz atau lebih",IF(P304="Belum ada data","refresh rate belum diketahui",""))))</f>
        <v/>
      </c>
      <c r="X304" s="33" t="str">
        <f aca="false">IF($A304="","",IF(K304="Kurang",R304&amp;"; ","")&amp;IF(L304="Kurang",S304&amp;"; ","")&amp;IF(M304="Kurang",T304&amp;"; ","")&amp;IF(N304="Kurang",U304&amp;"; ","")&amp;IF(O304="Kurang",V304&amp;"; ","")&amp;IF(P304="Kurang",W304&amp;"; ","")&amp;IF(K304="Belum ada data",R304&amp;"; ","")&amp;IF(L304="Belum ada data",S304&amp;"; ","")&amp;IF(M304="Belum ada data",T304&amp;"; ","")&amp;IF(N304="Belum ada data",U304&amp;"; ","")&amp;IF(O304="Belum ada data",V304&amp;"; ","")&amp;IF(P304="Belum ada data",W304&amp;"; ","")&amp;IF(K304="Cukup",R304&amp;"; ","")&amp;IF(L304="Cukup",S304&amp;"; ","")&amp;IF(M304="Cukup",T304&amp;"; ","")&amp;IF(N304="Cukup",U304&amp;"; ","")&amp;IF(O304="Cukup",V304&amp;"; ","")&amp;IF(P304="Cukup",W304&amp;"; ",""))</f>
        <v/>
      </c>
      <c r="Y304" s="33" t="str">
        <f aca="false">IF($A304="","",IF(K304="Nyaman","prosesor, ","")&amp;IF(L304="Nyaman","grafis, ","")&amp;IF(M304="Nyaman","RAM, ","")&amp;IF(N304="Nyaman","penyimpanan, ","")&amp;IF(O304="Nyaman","layar, ","")&amp;IF(P304="Nyaman","refresh rate, ",""))</f>
        <v/>
      </c>
      <c r="Z304" s="33" t="str">
        <f aca="false">IF($A304="","",IF(Q304="Tidak dinilai","Belum ada kriteria yang dinilai untuk kebutuhan ini.",IF(Q304="Cocok","Semua kriteria yang dinilai sudah nyaman: "&amp;LEFT(Y304,LEN(Y304)-2)&amp;".",UPPER(LEFT(X304,1))&amp;MID(X304,2,LEN(X304)-3)&amp;"."&amp;IF(Y304="",""," Sudah nyaman: "&amp;LEFT(Y304,LEN(Y304)-2)&amp;"."))))</f>
        <v/>
      </c>
      <c r="AA304" s="33"/>
      <c r="AB304" s="33"/>
      <c r="AC304" s="69"/>
    </row>
  </sheetData>
  <mergeCells count="7">
    <mergeCell ref="A3:B3"/>
    <mergeCell ref="C3:H3"/>
    <mergeCell ref="I3:J3"/>
    <mergeCell ref="K3:P3"/>
    <mergeCell ref="R3:W3"/>
    <mergeCell ref="X3:Z3"/>
    <mergeCell ref="AA3:AC3"/>
  </mergeCells>
  <conditionalFormatting sqref="K5:P304">
    <cfRule type="cellIs" priority="2" operator="equal" aboveAverage="0" equalAverage="0" bottom="0" percent="0" rank="0" text="" dxfId="18">
      <formula>"Nyaman"</formula>
    </cfRule>
    <cfRule type="cellIs" priority="3" operator="equal" aboveAverage="0" equalAverage="0" bottom="0" percent="0" rank="0" text="" dxfId="19">
      <formula>"Cukup"</formula>
    </cfRule>
    <cfRule type="cellIs" priority="4" operator="equal" aboveAverage="0" equalAverage="0" bottom="0" percent="0" rank="0" text="" dxfId="20">
      <formula>"Kurang"</formula>
    </cfRule>
    <cfRule type="cellIs" priority="5" operator="equal" aboveAverage="0" equalAverage="0" bottom="0" percent="0" rank="0" text="" dxfId="21">
      <formula>"Belum ada data"</formula>
    </cfRule>
    <cfRule type="cellIs" priority="6" operator="equal" aboveAverage="0" equalAverage="0" bottom="0" percent="0" rank="0" text="" dxfId="22">
      <formula>"Tidak dinilai"</formula>
    </cfRule>
  </conditionalFormatting>
  <conditionalFormatting sqref="Q5:Q304">
    <cfRule type="cellIs" priority="7" operator="equal" aboveAverage="0" equalAverage="0" bottom="0" percent="0" rank="0" text="" dxfId="18">
      <formula>"Cocok"</formula>
    </cfRule>
    <cfRule type="cellIs" priority="8" operator="equal" aboveAverage="0" equalAverage="0" bottom="0" percent="0" rank="0" text="" dxfId="19">
      <formula>"Bisa, dengan catatan"</formula>
    </cfRule>
    <cfRule type="cellIs" priority="9" operator="equal" aboveAverage="0" equalAverage="0" bottom="0" percent="0" rank="0" text="" dxfId="21">
      <formula>"Data belum lengkap"</formula>
    </cfRule>
    <cfRule type="cellIs" priority="10" operator="equal" aboveAverage="0" equalAverage="0" bottom="0" percent="0" rank="0" text="" dxfId="20">
      <formula>"Kurang cocok"</formula>
    </cfRule>
    <cfRule type="cellIs" priority="11" operator="equal" aboveAverage="0" equalAverage="0" bottom="0" percent="0" rank="0" text="" dxfId="23">
      <formula>"Tidak dinilai"</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B8B"/>
    <pageSetUpPr fitToPage="true"/>
  </sheetPr>
  <dimension ref="A1:I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7"/>
    <col collapsed="false" customWidth="true" hidden="false" outlineLevel="0" max="3" min="3" style="1" width="38"/>
    <col collapsed="false" customWidth="true" hidden="false" outlineLevel="0" max="8" min="4" style="1" width="17"/>
    <col collapsed="false" customWidth="true" hidden="false" outlineLevel="0" max="9" min="9" style="1" width="15"/>
  </cols>
  <sheetData>
    <row r="1" customFormat="false" ht="17.25" hidden="false" customHeight="true" outlineLevel="0" collapsed="false">
      <c r="A1" s="45" t="s">
        <v>1668</v>
      </c>
    </row>
    <row r="2" customFormat="false" ht="15" hidden="false" customHeight="true" outlineLevel="0" collapsed="false">
      <c r="A2" s="46" t="s">
        <v>1669</v>
      </c>
    </row>
    <row r="4" customFormat="false" ht="15" hidden="false" customHeight="true" outlineLevel="0" collapsed="false">
      <c r="A4" s="72" t="s">
        <v>1670</v>
      </c>
      <c r="B4" s="19" t="s">
        <v>389</v>
      </c>
      <c r="C4" s="19"/>
      <c r="H4" s="73" t="s">
        <v>1671</v>
      </c>
      <c r="I4" s="69" t="n">
        <f aca="false">IFERROR(MATCH($B$4,Varian!$A$5:$A$64,0),0)</f>
        <v>1</v>
      </c>
    </row>
    <row r="5" customFormat="false" ht="18" hidden="false" customHeight="true" outlineLevel="0" collapsed="false">
      <c r="A5" s="72" t="s">
        <v>1672</v>
      </c>
      <c r="B5" s="74" t="str">
        <f aca="false">IF($I$4=0,"Varian tidak ditemukan di tab Varian.",INDEX($A$17:$A$76,$I$4)&amp;": "&amp;INDEX($C$17:$C$76,$I$4))</f>
        <v>ASUS Vivobook 14 M1405YA: AMD Ryzen 5 7430U · 16 GB RAM · 512 GB</v>
      </c>
      <c r="C5" s="74"/>
      <c r="D5" s="74"/>
      <c r="E5" s="74"/>
      <c r="F5" s="74"/>
      <c r="G5" s="74"/>
      <c r="H5" s="74"/>
      <c r="I5" s="74"/>
    </row>
    <row r="7" customFormat="false" ht="15" hidden="false" customHeight="true" outlineLevel="0" collapsed="false">
      <c r="A7" s="61" t="s">
        <v>1499</v>
      </c>
      <c r="B7" s="61" t="s">
        <v>1635</v>
      </c>
      <c r="C7" s="61" t="s">
        <v>1637</v>
      </c>
      <c r="D7" s="61"/>
      <c r="E7" s="61"/>
      <c r="F7" s="61"/>
      <c r="G7" s="61"/>
      <c r="H7" s="61"/>
      <c r="I7" s="61"/>
    </row>
    <row r="8" customFormat="false" ht="45.75" hidden="false" customHeight="true" outlineLevel="0" collapsed="false">
      <c r="A8" s="75" t="str">
        <f aca="false">Aturan!$A$21</f>
        <v>Kuliah dan kantor</v>
      </c>
      <c r="B8" s="76" t="str">
        <f aca="false">IF($I$4=0,"",INDEX(Perhitungan!$Q$5:$Q$304,5*($I$4-1)+1))</f>
        <v>Cocok</v>
      </c>
      <c r="C8" s="57" t="str">
        <f aca="false">IF($I$4=0,"",INDEX(Perhitungan!$Z$5:$Z$304,5*($I$4-1)+1))</f>
        <v>Semua kriteria yang dinilai sudah nyaman: prosesor, RAM, penyimpanan.</v>
      </c>
      <c r="D8" s="57"/>
      <c r="E8" s="57"/>
      <c r="F8" s="57"/>
      <c r="G8" s="57"/>
      <c r="H8" s="57"/>
      <c r="I8" s="57"/>
    </row>
    <row r="9" customFormat="false" ht="45.75" hidden="false" customHeight="true" outlineLevel="0" collapsed="false">
      <c r="A9" s="75" t="str">
        <f aca="false">Aturan!$A$22</f>
        <v>Desain grafis</v>
      </c>
      <c r="B9" s="76" t="str">
        <f aca="false">IF($I$4=0,"",INDEX(Perhitungan!$Q$5:$Q$304,5*($I$4-1)+2))</f>
        <v>Bisa, dengan catatan</v>
      </c>
      <c r="C9" s="57" t="str">
        <f aca="false">IF($I$4=0,"",INDEX(Perhitungan!$Z$5:$Z$304,5*($I$4-1)+2))</f>
        <v>Layar IPS cukup, nyamannya OLED. Sudah nyaman: prosesor, grafis, RAM, penyimpanan.</v>
      </c>
      <c r="D9" s="57"/>
      <c r="E9" s="57"/>
      <c r="F9" s="57"/>
      <c r="G9" s="57"/>
      <c r="H9" s="57"/>
      <c r="I9" s="57"/>
    </row>
    <row r="10" customFormat="false" ht="45.75" hidden="false" customHeight="true" outlineLevel="0" collapsed="false">
      <c r="A10" s="75" t="str">
        <f aca="false">Aturan!$A$23</f>
        <v>Pemrograman</v>
      </c>
      <c r="B10" s="76" t="str">
        <f aca="false">IF($I$4=0,"",INDEX(Perhitungan!$Q$5:$Q$304,5*($I$4-1)+3))</f>
        <v>Cocok</v>
      </c>
      <c r="C10" s="57" t="str">
        <f aca="false">IF($I$4=0,"",INDEX(Perhitungan!$Z$5:$Z$304,5*($I$4-1)+3))</f>
        <v>Semua kriteria yang dinilai sudah nyaman: prosesor, RAM, penyimpanan.</v>
      </c>
      <c r="D10" s="57"/>
      <c r="E10" s="57"/>
      <c r="F10" s="57"/>
      <c r="G10" s="57"/>
      <c r="H10" s="57"/>
      <c r="I10" s="57"/>
    </row>
    <row r="11" customFormat="false" ht="45.75" hidden="false" customHeight="true" outlineLevel="0" collapsed="false">
      <c r="A11" s="75" t="str">
        <f aca="false">Aturan!$A$24</f>
        <v>Game ringan</v>
      </c>
      <c r="B11" s="76" t="str">
        <f aca="false">IF($I$4=0,"",INDEX(Perhitungan!$Q$5:$Q$304,5*($I$4-1)+4))</f>
        <v>Cocok</v>
      </c>
      <c r="C11" s="57" t="str">
        <f aca="false">IF($I$4=0,"",INDEX(Perhitungan!$Z$5:$Z$304,5*($I$4-1)+4))</f>
        <v>Semua kriteria yang dinilai sudah nyaman: prosesor, grafis, RAM, penyimpanan.</v>
      </c>
      <c r="D11" s="57"/>
      <c r="E11" s="57"/>
      <c r="F11" s="57"/>
      <c r="G11" s="57"/>
      <c r="H11" s="57"/>
      <c r="I11" s="57"/>
    </row>
    <row r="12" customFormat="false" ht="45.75" hidden="false" customHeight="true" outlineLevel="0" collapsed="false">
      <c r="A12" s="75" t="str">
        <f aca="false">Aturan!$A$25</f>
        <v>Game berat</v>
      </c>
      <c r="B12" s="76" t="str">
        <f aca="false">IF($I$4=0,"",INDEX(Perhitungan!$Q$5:$Q$304,5*($I$4-1)+5))</f>
        <v>Kurang cocok</v>
      </c>
      <c r="C12" s="57" t="str">
        <f aca="false">IF($I$4=0,"",INDEX(Perhitungan!$Z$5:$Z$304,5*($I$4-1)+5))</f>
        <v>Grafis tingkat 2 dari 5, di bawah batas minimal (tingkat 3); prosesor tingkat 3 dari 5 cukup, nyamannya mulai tingkat 4; penyimpanan 512 GB cukup, nyamannya 1000 GB atau lebih (bisa diganti dengan yang lebih besar); layar 60 Hz cukup, nyamannya 120 Hz atau lebih. Sudah nyaman: RAM.</v>
      </c>
      <c r="D12" s="57"/>
      <c r="E12" s="57"/>
      <c r="F12" s="57"/>
      <c r="G12" s="57"/>
      <c r="H12" s="57"/>
      <c r="I12" s="57"/>
    </row>
    <row r="13" customFormat="false" ht="72" hidden="false" customHeight="true" outlineLevel="0" collapsed="false">
      <c r="A13" s="75" t="s">
        <v>1673</v>
      </c>
      <c r="B13" s="77" t="n">
        <f aca="false">IF($I$4=0,"",INDEX(Perhitungan!$AC$5:$AC$304,5*($I$4-1)+1))</f>
        <v>0</v>
      </c>
      <c r="C13" s="57" t="str">
        <f aca="false">IF($I$4=0,"",IF(B13=0,"Tidak ada peringatan umum.",INDEX(Perhitungan!$AB$5:$AB$304,5*($I$4-1)+1)))</f>
        <v>Tidak ada peringatan umum.</v>
      </c>
      <c r="D13" s="57"/>
      <c r="E13" s="57"/>
      <c r="F13" s="57"/>
      <c r="G13" s="57"/>
      <c r="H13" s="57"/>
      <c r="I13" s="57"/>
    </row>
    <row r="15" customFormat="false" ht="27.75" hidden="false" customHeight="true" outlineLevel="0" collapsed="false">
      <c r="A15" s="78" t="s">
        <v>1674</v>
      </c>
      <c r="C15" s="79" t="s">
        <v>1675</v>
      </c>
      <c r="D15" s="80" t="s">
        <v>1495</v>
      </c>
      <c r="E15" s="81" t="s">
        <v>1493</v>
      </c>
      <c r="F15" s="82" t="s">
        <v>1491</v>
      </c>
      <c r="G15" s="83" t="s">
        <v>1489</v>
      </c>
    </row>
    <row r="16" customFormat="false" ht="31.5" hidden="false" customHeight="true" outlineLevel="0" collapsed="false">
      <c r="A16" s="10" t="s">
        <v>1672</v>
      </c>
      <c r="B16" s="10" t="s">
        <v>1676</v>
      </c>
      <c r="C16" s="10" t="s">
        <v>1677</v>
      </c>
      <c r="D16" s="10" t="str">
        <f aca="false">Aturan!$A$21</f>
        <v>Kuliah dan kantor</v>
      </c>
      <c r="E16" s="10" t="str">
        <f aca="false">Aturan!$A$22</f>
        <v>Desain grafis</v>
      </c>
      <c r="F16" s="10" t="str">
        <f aca="false">Aturan!$A$23</f>
        <v>Pemrograman</v>
      </c>
      <c r="G16" s="10" t="str">
        <f aca="false">Aturan!$A$24</f>
        <v>Game ringan</v>
      </c>
      <c r="H16" s="10" t="str">
        <f aca="false">Aturan!$A$25</f>
        <v>Game berat</v>
      </c>
      <c r="I16" s="10" t="s">
        <v>1678</v>
      </c>
    </row>
    <row r="17" customFormat="false" ht="30" hidden="false" customHeight="true" outlineLevel="0" collapsed="false">
      <c r="A17" s="74" t="str">
        <f aca="false">IF(Varian!$A5="","",IFERROR(INDEX(Model!$B$4:$B$64,MATCH(Varian!$B5,Model!$A$4:$A$64,0))&amp;" "&amp;INDEX(Model!$C$4:$C$64,MATCH(Varian!$B5,Model!$A$4:$A$64,0)),IF(Varian!$B5="","(model belum diisi)",Varian!$B5)))</f>
        <v>ASUS Vivobook 14 M1405YA</v>
      </c>
      <c r="B17" s="74" t="str">
        <f aca="false">IF(Varian!$A5="","",Varian!$A5)</f>
        <v>asus-m1405ya-r5-7430u-16-512</v>
      </c>
      <c r="C17" s="74" t="str">
        <f aca="false">IF($B17="","",IF(Varian!$J5="","(prosesor belum diisi)",Varian!$J5)&amp;" · "&amp;IF(ISNUMBER(Varian!$M5),Varian!$M5&amp;" GB RAM","RAM belum diisi")&amp;" · "&amp;IF(ISNUMBER(Varian!$V5),Varian!$V5&amp;" GB","penyimpanan belum diisi"))</f>
        <v>AMD Ryzen 5 7430U · 16 GB RAM · 512 GB</v>
      </c>
      <c r="D17" s="84" t="str">
        <f aca="false">IF($B17="","",Perhitungan!$Q$5)</f>
        <v>Cocok</v>
      </c>
      <c r="E17" s="84" t="str">
        <f aca="false">IF($B17="","",Perhitungan!$Q$6)</f>
        <v>Bisa, dengan catatan</v>
      </c>
      <c r="F17" s="84" t="str">
        <f aca="false">IF($B17="","",Perhitungan!$Q$7)</f>
        <v>Cocok</v>
      </c>
      <c r="G17" s="84" t="str">
        <f aca="false">IF($B17="","",Perhitungan!$Q$8)</f>
        <v>Cocok</v>
      </c>
      <c r="H17" s="84" t="str">
        <f aca="false">IF($B17="","",Perhitungan!$Q$9)</f>
        <v>Kurang cocok</v>
      </c>
      <c r="I17" s="85" t="n">
        <f aca="false">IF($B17="","",Perhitungan!$AC$5)</f>
        <v>0</v>
      </c>
    </row>
    <row r="18" customFormat="false" ht="30" hidden="false" customHeight="true" outlineLevel="0" collapsed="false">
      <c r="A18" s="74" t="str">
        <f aca="false">IF(Varian!$A6="","",IFERROR(INDEX(Model!$B$4:$B$64,MATCH(Varian!$B6,Model!$A$4:$A$64,0))&amp;" "&amp;INDEX(Model!$C$4:$C$64,MATCH(Varian!$B6,Model!$A$4:$A$64,0)),IF(Varian!$B6="","(model belum diisi)",Varian!$B6)))</f>
        <v>HP Pavilion x360 14-ek1000</v>
      </c>
      <c r="B18" s="74" t="str">
        <f aca="false">IF(Varian!$A6="","",Varian!$A6)</f>
        <v>hp-pavilion-x360-14-ek1005tu-i5-1335u-16-512</v>
      </c>
      <c r="C18" s="74" t="str">
        <f aca="false">IF($B18="","",IF(Varian!$J6="","(prosesor belum diisi)",Varian!$J6)&amp;" · "&amp;IF(ISNUMBER(Varian!$M6),Varian!$M6&amp;" GB RAM","RAM belum diisi")&amp;" · "&amp;IF(ISNUMBER(Varian!$V6),Varian!$V6&amp;" GB","penyimpanan belum diisi"))</f>
        <v>Intel Core i5-1335U · 16 GB RAM · 512 GB</v>
      </c>
      <c r="D18" s="84" t="str">
        <f aca="false">IF($B18="","",Perhitungan!$Q$10)</f>
        <v>Cocok</v>
      </c>
      <c r="E18" s="84" t="str">
        <f aca="false">IF($B18="","",Perhitungan!$Q$11)</f>
        <v>Bisa, dengan catatan</v>
      </c>
      <c r="F18" s="84" t="str">
        <f aca="false">IF($B18="","",Perhitungan!$Q$12)</f>
        <v>Cocok</v>
      </c>
      <c r="G18" s="84" t="str">
        <f aca="false">IF($B18="","",Perhitungan!$Q$13)</f>
        <v>Cocok</v>
      </c>
      <c r="H18" s="84" t="str">
        <f aca="false">IF($B18="","",Perhitungan!$Q$14)</f>
        <v>Kurang cocok</v>
      </c>
      <c r="I18" s="85" t="n">
        <f aca="false">IF($B18="","",Perhitungan!$AC$10)</f>
        <v>1</v>
      </c>
    </row>
    <row r="19" customFormat="false" ht="30" hidden="false" customHeight="true" outlineLevel="0" collapsed="false">
      <c r="A19" s="74" t="str">
        <f aca="false">IF(Varian!$A7="","",IFERROR(INDEX(Model!$B$4:$B$64,MATCH(Varian!$B7,Model!$A$4:$A$64,0))&amp;" "&amp;INDEX(Model!$C$4:$C$64,MATCH(Varian!$B7,Model!$A$4:$A$64,0)),IF(Varian!$B7="","(model belum diisi)",Varian!$B7)))</f>
        <v>Axioo Hype 10</v>
      </c>
      <c r="B19" s="74" t="str">
        <f aca="false">IF(Varian!$A7="","",Varian!$A7)</f>
        <v>axioo-hype-10-n4020-8-256-w11</v>
      </c>
      <c r="C19" s="74" t="str">
        <f aca="false">IF($B19="","",IF(Varian!$J7="","(prosesor belum diisi)",Varian!$J7)&amp;" · "&amp;IF(ISNUMBER(Varian!$M7),Varian!$M7&amp;" GB RAM","RAM belum diisi")&amp;" · "&amp;IF(ISNUMBER(Varian!$V7),Varian!$V7&amp;" GB","penyimpanan belum diisi"))</f>
        <v>Intel Celeron N4020 · 8 GB RAM · 256 GB</v>
      </c>
      <c r="D19" s="84" t="str">
        <f aca="false">IF($B19="","",Perhitungan!$Q$15)</f>
        <v>Bisa, dengan catatan</v>
      </c>
      <c r="E19" s="84" t="str">
        <f aca="false">IF($B19="","",Perhitungan!$Q$16)</f>
        <v>Kurang cocok</v>
      </c>
      <c r="F19" s="84" t="str">
        <f aca="false">IF($B19="","",Perhitungan!$Q$17)</f>
        <v>Kurang cocok</v>
      </c>
      <c r="G19" s="84" t="str">
        <f aca="false">IF($B19="","",Perhitungan!$Q$18)</f>
        <v>Kurang cocok</v>
      </c>
      <c r="H19" s="84" t="str">
        <f aca="false">IF($B19="","",Perhitungan!$Q$19)</f>
        <v>Kurang cocok</v>
      </c>
      <c r="I19" s="85" t="n">
        <f aca="false">IF($B19="","",Perhitungan!$AC$15)</f>
        <v>3</v>
      </c>
    </row>
    <row r="20" customFormat="false" ht="30" hidden="false" customHeight="true" outlineLevel="0" collapsed="false">
      <c r="A20" s="74" t="str">
        <f aca="false">IF(Varian!$A8="","",IFERROR(INDEX(Model!$B$4:$B$64,MATCH(Varian!$B8,Model!$A$4:$A$64,0))&amp;" "&amp;INDEX(Model!$C$4:$C$64,MATCH(Varian!$B8,Model!$A$4:$A$64,0)),IF(Varian!$B8="","(model belum diisi)",Varian!$B8)))</f>
        <v>Axioo Hype 10</v>
      </c>
      <c r="B20" s="74" t="str">
        <f aca="false">IF(Varian!$A8="","",Varian!$A8)</f>
        <v>axioo-hype-10-n4020-8-256-w10</v>
      </c>
      <c r="C20" s="74" t="str">
        <f aca="false">IF($B20="","",IF(Varian!$J8="","(prosesor belum diisi)",Varian!$J8)&amp;" · "&amp;IF(ISNUMBER(Varian!$M8),Varian!$M8&amp;" GB RAM","RAM belum diisi")&amp;" · "&amp;IF(ISNUMBER(Varian!$V8),Varian!$V8&amp;" GB","penyimpanan belum diisi"))</f>
        <v>Intel Celeron N4020 · 8 GB RAM · 256 GB</v>
      </c>
      <c r="D20" s="84" t="str">
        <f aca="false">IF($B20="","",Perhitungan!$Q$20)</f>
        <v>Bisa, dengan catatan</v>
      </c>
      <c r="E20" s="84" t="str">
        <f aca="false">IF($B20="","",Perhitungan!$Q$21)</f>
        <v>Kurang cocok</v>
      </c>
      <c r="F20" s="84" t="str">
        <f aca="false">IF($B20="","",Perhitungan!$Q$22)</f>
        <v>Kurang cocok</v>
      </c>
      <c r="G20" s="84" t="str">
        <f aca="false">IF($B20="","",Perhitungan!$Q$23)</f>
        <v>Kurang cocok</v>
      </c>
      <c r="H20" s="84" t="str">
        <f aca="false">IF($B20="","",Perhitungan!$Q$24)</f>
        <v>Kurang cocok</v>
      </c>
      <c r="I20" s="85" t="n">
        <f aca="false">IF($B20="","",Perhitungan!$AC$20)</f>
        <v>4</v>
      </c>
    </row>
    <row r="21" customFormat="false" ht="30" hidden="false" customHeight="true" outlineLevel="0" collapsed="false">
      <c r="A21" s="74" t="str">
        <f aca="false">IF(Varian!$A9="","",IFERROR(INDEX(Model!$B$4:$B$64,MATCH(Varian!$B9,Model!$A$4:$A$64,0))&amp;" "&amp;INDEX(Model!$C$4:$C$64,MATCH(Varian!$B9,Model!$A$4:$A$64,0)),IF(Varian!$B9="","(model belum diisi)",Varian!$B9)))</f>
        <v>Lenovo ThinkPad T480</v>
      </c>
      <c r="B21" s="74" t="str">
        <f aca="false">IF(Varian!$A9="","",Varian!$A9)</f>
        <v>lenovo-thinkpad-t480-i5-8350u-8-256</v>
      </c>
      <c r="C21" s="74" t="str">
        <f aca="false">IF($B21="","",IF(Varian!$J9="","(prosesor belum diisi)",Varian!$J9)&amp;" · "&amp;IF(ISNUMBER(Varian!$M9),Varian!$M9&amp;" GB RAM","RAM belum diisi")&amp;" · "&amp;IF(ISNUMBER(Varian!$V9),Varian!$V9&amp;" GB","penyimpanan belum diisi"))</f>
        <v>Intel Core i5-8350U · 8 GB RAM · 256 GB</v>
      </c>
      <c r="D21" s="84" t="str">
        <f aca="false">IF($B21="","",Perhitungan!$Q$25)</f>
        <v>Cocok</v>
      </c>
      <c r="E21" s="84" t="str">
        <f aca="false">IF($B21="","",Perhitungan!$Q$26)</f>
        <v>Data belum lengkap</v>
      </c>
      <c r="F21" s="84" t="str">
        <f aca="false">IF($B21="","",Perhitungan!$Q$27)</f>
        <v>Bisa, dengan catatan</v>
      </c>
      <c r="G21" s="84" t="str">
        <f aca="false">IF($B21="","",Perhitungan!$Q$28)</f>
        <v>Bisa, dengan catatan</v>
      </c>
      <c r="H21" s="84" t="str">
        <f aca="false">IF($B21="","",Perhitungan!$Q$29)</f>
        <v>Kurang cocok</v>
      </c>
      <c r="I21" s="85" t="n">
        <f aca="false">IF($B21="","",Perhitungan!$AC$25)</f>
        <v>0</v>
      </c>
    </row>
    <row r="22" customFormat="false" ht="30" hidden="false" customHeight="true" outlineLevel="0" collapsed="false">
      <c r="A22" s="74" t="str">
        <f aca="false">IF(Varian!$A10="","",IFERROR(INDEX(Model!$B$4:$B$64,MATCH(Varian!$B10,Model!$A$4:$A$64,0))&amp;" "&amp;INDEX(Model!$C$4:$C$64,MATCH(Varian!$B10,Model!$A$4:$A$64,0)),IF(Varian!$B10="","(model belum diisi)",Varian!$B10)))</f>
        <v>Lenovo ThinkPad T480</v>
      </c>
      <c r="B22" s="74" t="str">
        <f aca="false">IF(Varian!$A10="","",Varian!$A10)</f>
        <v>lenovo-thinkpad-t480-i5-8350u-16-512</v>
      </c>
      <c r="C22" s="74" t="str">
        <f aca="false">IF($B22="","",IF(Varian!$J10="","(prosesor belum diisi)",Varian!$J10)&amp;" · "&amp;IF(ISNUMBER(Varian!$M10),Varian!$M10&amp;" GB RAM","RAM belum diisi")&amp;" · "&amp;IF(ISNUMBER(Varian!$V10),Varian!$V10&amp;" GB","penyimpanan belum diisi"))</f>
        <v>Intel Core i5-8350U · 16 GB RAM · 512 GB</v>
      </c>
      <c r="D22" s="84" t="str">
        <f aca="false">IF($B22="","",Perhitungan!$Q$30)</f>
        <v>Cocok</v>
      </c>
      <c r="E22" s="84" t="str">
        <f aca="false">IF($B22="","",Perhitungan!$Q$31)</f>
        <v>Data belum lengkap</v>
      </c>
      <c r="F22" s="84" t="str">
        <f aca="false">IF($B22="","",Perhitungan!$Q$32)</f>
        <v>Bisa, dengan catatan</v>
      </c>
      <c r="G22" s="84" t="str">
        <f aca="false">IF($B22="","",Perhitungan!$Q$33)</f>
        <v>Bisa, dengan catatan</v>
      </c>
      <c r="H22" s="84" t="str">
        <f aca="false">IF($B22="","",Perhitungan!$Q$34)</f>
        <v>Kurang cocok</v>
      </c>
      <c r="I22" s="85" t="n">
        <f aca="false">IF($B22="","",Perhitungan!$AC$30)</f>
        <v>0</v>
      </c>
    </row>
    <row r="23" customFormat="false" ht="30" hidden="false" customHeight="true" outlineLevel="0" collapsed="false">
      <c r="A23" s="74" t="str">
        <f aca="false">IF(Varian!$A11="","",IFERROR(INDEX(Model!$B$4:$B$64,MATCH(Varian!$B11,Model!$A$4:$A$64,0))&amp;" "&amp;INDEX(Model!$C$4:$C$64,MATCH(Varian!$B11,Model!$A$4:$A$64,0)),IF(Varian!$B11="","(model belum diisi)",Varian!$B11)))</f>
        <v>Dell Latitude 5400</v>
      </c>
      <c r="B23" s="74" t="str">
        <f aca="false">IF(Varian!$A11="","",Varian!$A11)</f>
        <v>dell-latitude-5400-i5-8265u-8-256</v>
      </c>
      <c r="C23" s="74" t="str">
        <f aca="false">IF($B23="","",IF(Varian!$J11="","(prosesor belum diisi)",Varian!$J11)&amp;" · "&amp;IF(ISNUMBER(Varian!$M11),Varian!$M11&amp;" GB RAM","RAM belum diisi")&amp;" · "&amp;IF(ISNUMBER(Varian!$V11),Varian!$V11&amp;" GB","penyimpanan belum diisi"))</f>
        <v>Intel Core i5-8265U · 8 GB RAM · 256 GB</v>
      </c>
      <c r="D23" s="84" t="str">
        <f aca="false">IF($B23="","",Perhitungan!$Q$35)</f>
        <v>Cocok</v>
      </c>
      <c r="E23" s="84" t="str">
        <f aca="false">IF($B23="","",Perhitungan!$Q$36)</f>
        <v>Data belum lengkap</v>
      </c>
      <c r="F23" s="84" t="str">
        <f aca="false">IF($B23="","",Perhitungan!$Q$37)</f>
        <v>Bisa, dengan catatan</v>
      </c>
      <c r="G23" s="84" t="str">
        <f aca="false">IF($B23="","",Perhitungan!$Q$38)</f>
        <v>Bisa, dengan catatan</v>
      </c>
      <c r="H23" s="84" t="str">
        <f aca="false">IF($B23="","",Perhitungan!$Q$39)</f>
        <v>Kurang cocok</v>
      </c>
      <c r="I23" s="85" t="n">
        <f aca="false">IF($B23="","",Perhitungan!$AC$35)</f>
        <v>0</v>
      </c>
    </row>
    <row r="24" customFormat="false" ht="30" hidden="false" customHeight="true" outlineLevel="0" collapsed="false">
      <c r="A24" s="74" t="str">
        <f aca="false">IF(Varian!$A12="","",IFERROR(INDEX(Model!$B$4:$B$64,MATCH(Varian!$B12,Model!$A$4:$A$64,0))&amp;" "&amp;INDEX(Model!$C$4:$C$64,MATCH(Varian!$B12,Model!$A$4:$A$64,0)),IF(Varian!$B12="","(model belum diisi)",Varian!$B12)))</f>
        <v>Dell Latitude 5400</v>
      </c>
      <c r="B24" s="74" t="str">
        <f aca="false">IF(Varian!$A12="","",Varian!$A12)</f>
        <v>dell-latitude-5400-i5-8365u-8-256</v>
      </c>
      <c r="C24" s="74" t="str">
        <f aca="false">IF($B24="","",IF(Varian!$J12="","(prosesor belum diisi)",Varian!$J12)&amp;" · "&amp;IF(ISNUMBER(Varian!$M12),Varian!$M12&amp;" GB RAM","RAM belum diisi")&amp;" · "&amp;IF(ISNUMBER(Varian!$V12),Varian!$V12&amp;" GB","penyimpanan belum diisi"))</f>
        <v>Intel Core i5-8365U · 8 GB RAM · 256 GB</v>
      </c>
      <c r="D24" s="84" t="str">
        <f aca="false">IF($B24="","",Perhitungan!$Q$40)</f>
        <v>Cocok</v>
      </c>
      <c r="E24" s="84" t="str">
        <f aca="false">IF($B24="","",Perhitungan!$Q$41)</f>
        <v>Data belum lengkap</v>
      </c>
      <c r="F24" s="84" t="str">
        <f aca="false">IF($B24="","",Perhitungan!$Q$42)</f>
        <v>Bisa, dengan catatan</v>
      </c>
      <c r="G24" s="84" t="str">
        <f aca="false">IF($B24="","",Perhitungan!$Q$43)</f>
        <v>Bisa, dengan catatan</v>
      </c>
      <c r="H24" s="84" t="str">
        <f aca="false">IF($B24="","",Perhitungan!$Q$44)</f>
        <v>Kurang cocok</v>
      </c>
      <c r="I24" s="85" t="n">
        <f aca="false">IF($B24="","",Perhitungan!$AC$40)</f>
        <v>0</v>
      </c>
    </row>
    <row r="25" customFormat="false" ht="30" hidden="false" customHeight="true" outlineLevel="0" collapsed="false">
      <c r="A25" s="74" t="str">
        <f aca="false">IF(Varian!$A13="","",IFERROR(INDEX(Model!$B$4:$B$64,MATCH(Varian!$B13,Model!$A$4:$A$64,0))&amp;" "&amp;INDEX(Model!$C$4:$C$64,MATCH(Varian!$B13,Model!$A$4:$A$64,0)),IF(Varian!$B13="","(model belum diisi)",Varian!$B13)))</f>
        <v>ASUS Zenbook 14 OLED UX3405MA</v>
      </c>
      <c r="B25" s="74" t="str">
        <f aca="false">IF(Varian!$A13="","",Varian!$A13)</f>
        <v>asus-zenbook-14-oled-ux3405ma-u5-125h-16-1tb</v>
      </c>
      <c r="C25" s="74" t="str">
        <f aca="false">IF($B25="","",IF(Varian!$J13="","(prosesor belum diisi)",Varian!$J13)&amp;" · "&amp;IF(ISNUMBER(Varian!$M13),Varian!$M13&amp;" GB RAM","RAM belum diisi")&amp;" · "&amp;IF(ISNUMBER(Varian!$V13),Varian!$V13&amp;" GB","penyimpanan belum diisi"))</f>
        <v>Intel Core Ultra 5 125H · 16 GB RAM · 1024 GB</v>
      </c>
      <c r="D25" s="84" t="str">
        <f aca="false">IF($B25="","",Perhitungan!$Q$45)</f>
        <v>Cocok</v>
      </c>
      <c r="E25" s="84" t="str">
        <f aca="false">IF($B25="","",Perhitungan!$Q$46)</f>
        <v>Cocok</v>
      </c>
      <c r="F25" s="84" t="str">
        <f aca="false">IF($B25="","",Perhitungan!$Q$47)</f>
        <v>Cocok</v>
      </c>
      <c r="G25" s="84" t="str">
        <f aca="false">IF($B25="","",Perhitungan!$Q$48)</f>
        <v>Cocok</v>
      </c>
      <c r="H25" s="84" t="str">
        <f aca="false">IF($B25="","",Perhitungan!$Q$49)</f>
        <v>Kurang cocok</v>
      </c>
      <c r="I25" s="85" t="n">
        <f aca="false">IF($B25="","",Perhitungan!$AC$45)</f>
        <v>0</v>
      </c>
    </row>
    <row r="26" customFormat="false" ht="30" hidden="false" customHeight="true" outlineLevel="0" collapsed="false">
      <c r="A26" s="74" t="str">
        <f aca="false">IF(Varian!$A14="","",IFERROR(INDEX(Model!$B$4:$B$64,MATCH(Varian!$B14,Model!$A$4:$A$64,0))&amp;" "&amp;INDEX(Model!$C$4:$C$64,MATCH(Varian!$B14,Model!$A$4:$A$64,0)),IF(Varian!$B14="","(model belum diisi)",Varian!$B14)))</f>
        <v>Acer Aspire 3 Slim A314-23M</v>
      </c>
      <c r="B26" s="74" t="str">
        <f aca="false">IF(Varian!$A14="","",Varian!$A14)</f>
        <v>acer-aspire-3-a314-23m-r5-7520u-8-512</v>
      </c>
      <c r="C26" s="74" t="str">
        <f aca="false">IF($B26="","",IF(Varian!$J14="","(prosesor belum diisi)",Varian!$J14)&amp;" · "&amp;IF(ISNUMBER(Varian!$M14),Varian!$M14&amp;" GB RAM","RAM belum diisi")&amp;" · "&amp;IF(ISNUMBER(Varian!$V14),Varian!$V14&amp;" GB","penyimpanan belum diisi"))</f>
        <v>AMD Ryzen 5 7520U · 8 GB RAM · 512 GB</v>
      </c>
      <c r="D26" s="84" t="str">
        <f aca="false">IF($B26="","",Perhitungan!$Q$50)</f>
        <v>Cocok</v>
      </c>
      <c r="E26" s="84" t="str">
        <f aca="false">IF($B26="","",Perhitungan!$Q$51)</f>
        <v>Kurang cocok</v>
      </c>
      <c r="F26" s="84" t="str">
        <f aca="false">IF($B26="","",Perhitungan!$Q$52)</f>
        <v>Bisa, dengan catatan</v>
      </c>
      <c r="G26" s="84" t="str">
        <f aca="false">IF($B26="","",Perhitungan!$Q$53)</f>
        <v>Bisa, dengan catatan</v>
      </c>
      <c r="H26" s="84" t="str">
        <f aca="false">IF($B26="","",Perhitungan!$Q$54)</f>
        <v>Kurang cocok</v>
      </c>
      <c r="I26" s="85" t="n">
        <f aca="false">IF($B26="","",Perhitungan!$AC$50)</f>
        <v>4</v>
      </c>
    </row>
    <row r="27" customFormat="false" ht="30" hidden="false" customHeight="true" outlineLevel="0" collapsed="false">
      <c r="A27" s="74" t="str">
        <f aca="false">IF(Varian!$A15="","",IFERROR(INDEX(Model!$B$4:$B$64,MATCH(Varian!$B15,Model!$A$4:$A$64,0))&amp;" "&amp;INDEX(Model!$C$4:$C$64,MATCH(Varian!$B15,Model!$A$4:$A$64,0)),IF(Varian!$B15="","(model belum diisi)",Varian!$B15)))</f>
        <v>Acer Aspire 3 Slim A314-23M</v>
      </c>
      <c r="B27" s="74" t="str">
        <f aca="false">IF(Varian!$A15="","",Varian!$A15)</f>
        <v>acer-aspire-3-a314-23m-r3-7320u-8-512</v>
      </c>
      <c r="C27" s="74" t="str">
        <f aca="false">IF($B27="","",IF(Varian!$J15="","(prosesor belum diisi)",Varian!$J15)&amp;" · "&amp;IF(ISNUMBER(Varian!$M15),Varian!$M15&amp;" GB RAM","RAM belum diisi")&amp;" · "&amp;IF(ISNUMBER(Varian!$V15),Varian!$V15&amp;" GB","penyimpanan belum diisi"))</f>
        <v>AMD Ryzen 3 7320U · 8 GB RAM · 512 GB</v>
      </c>
      <c r="D27" s="84" t="str">
        <f aca="false">IF($B27="","",Perhitungan!$Q$55)</f>
        <v>Cocok</v>
      </c>
      <c r="E27" s="84" t="str">
        <f aca="false">IF($B27="","",Perhitungan!$Q$56)</f>
        <v>Kurang cocok</v>
      </c>
      <c r="F27" s="84" t="str">
        <f aca="false">IF($B27="","",Perhitungan!$Q$57)</f>
        <v>Bisa, dengan catatan</v>
      </c>
      <c r="G27" s="84" t="str">
        <f aca="false">IF($B27="","",Perhitungan!$Q$58)</f>
        <v>Bisa, dengan catatan</v>
      </c>
      <c r="H27" s="84" t="str">
        <f aca="false">IF($B27="","",Perhitungan!$Q$59)</f>
        <v>Kurang cocok</v>
      </c>
      <c r="I27" s="85" t="n">
        <f aca="false">IF($B27="","",Perhitungan!$AC$55)</f>
        <v>4</v>
      </c>
    </row>
    <row r="28" customFormat="false" ht="30" hidden="false" customHeight="true" outlineLevel="0" collapsed="false">
      <c r="A28" s="74" t="str">
        <f aca="false">IF(Varian!$A16="","",IFERROR(INDEX(Model!$B$4:$B$64,MATCH(Varian!$B16,Model!$A$4:$A$64,0))&amp;" "&amp;INDEX(Model!$C$4:$C$64,MATCH(Varian!$B16,Model!$A$4:$A$64,0)),IF(Varian!$B16="","(model belum diisi)",Varian!$B16)))</f>
        <v>Lenovo IdeaPad Slim 3 14IAH8</v>
      </c>
      <c r="B28" s="74" t="str">
        <f aca="false">IF(Varian!$A16="","",Varian!$A16)</f>
        <v>lenovo-ideapad-slim-3-14iah8-i5-12450h-16-512</v>
      </c>
      <c r="C28" s="74" t="str">
        <f aca="false">IF($B28="","",IF(Varian!$J16="","(prosesor belum diisi)",Varian!$J16)&amp;" · "&amp;IF(ISNUMBER(Varian!$M16),Varian!$M16&amp;" GB RAM","RAM belum diisi")&amp;" · "&amp;IF(ISNUMBER(Varian!$V16),Varian!$V16&amp;" GB","penyimpanan belum diisi"))</f>
        <v>Intel Core i5-12450H · 16 GB RAM · 512 GB</v>
      </c>
      <c r="D28" s="84" t="str">
        <f aca="false">IF($B28="","",Perhitungan!$Q$60)</f>
        <v>Cocok</v>
      </c>
      <c r="E28" s="84" t="str">
        <f aca="false">IF($B28="","",Perhitungan!$Q$61)</f>
        <v>Bisa, dengan catatan</v>
      </c>
      <c r="F28" s="84" t="str">
        <f aca="false">IF($B28="","",Perhitungan!$Q$62)</f>
        <v>Cocok</v>
      </c>
      <c r="G28" s="84" t="str">
        <f aca="false">IF($B28="","",Perhitungan!$Q$63)</f>
        <v>Cocok</v>
      </c>
      <c r="H28" s="84" t="str">
        <f aca="false">IF($B28="","",Perhitungan!$Q$64)</f>
        <v>Kurang cocok</v>
      </c>
      <c r="I28" s="85" t="n">
        <f aca="false">IF($B28="","",Perhitungan!$AC$60)</f>
        <v>0</v>
      </c>
    </row>
    <row r="29" customFormat="false" ht="30" hidden="false" customHeight="true" outlineLevel="0" collapsed="false">
      <c r="A29" s="74" t="str">
        <f aca="false">IF(Varian!$A17="","",IFERROR(INDEX(Model!$B$4:$B$64,MATCH(Varian!$B17,Model!$A$4:$A$64,0))&amp;" "&amp;INDEX(Model!$C$4:$C$64,MATCH(Varian!$B17,Model!$A$4:$A$64,0)),IF(Varian!$B17="","(model belum diisi)",Varian!$B17)))</f>
        <v>Lenovo IdeaPad Slim 3 14IAH8</v>
      </c>
      <c r="B29" s="74" t="str">
        <f aca="false">IF(Varian!$A17="","",Varian!$A17)</f>
        <v>lenovo-ideapad-slim-3-14iah8-i5-12450h-8-512</v>
      </c>
      <c r="C29" s="74" t="str">
        <f aca="false">IF($B29="","",IF(Varian!$J17="","(prosesor belum diisi)",Varian!$J17)&amp;" · "&amp;IF(ISNUMBER(Varian!$M17),Varian!$M17&amp;" GB RAM","RAM belum diisi")&amp;" · "&amp;IF(ISNUMBER(Varian!$V17),Varian!$V17&amp;" GB","penyimpanan belum diisi"))</f>
        <v>Intel Core i5-12450H · 8 GB RAM · 512 GB</v>
      </c>
      <c r="D29" s="84" t="str">
        <f aca="false">IF($B29="","",Perhitungan!$Q$65)</f>
        <v>Cocok</v>
      </c>
      <c r="E29" s="84" t="str">
        <f aca="false">IF($B29="","",Perhitungan!$Q$66)</f>
        <v>Bisa, dengan catatan</v>
      </c>
      <c r="F29" s="84" t="str">
        <f aca="false">IF($B29="","",Perhitungan!$Q$67)</f>
        <v>Bisa, dengan catatan</v>
      </c>
      <c r="G29" s="84" t="str">
        <f aca="false">IF($B29="","",Perhitungan!$Q$68)</f>
        <v>Cocok</v>
      </c>
      <c r="H29" s="84" t="str">
        <f aca="false">IF($B29="","",Perhitungan!$Q$69)</f>
        <v>Kurang cocok</v>
      </c>
      <c r="I29" s="85" t="n">
        <f aca="false">IF($B29="","",Perhitungan!$AC$65)</f>
        <v>1</v>
      </c>
    </row>
    <row r="30" customFormat="false" ht="30" hidden="false" customHeight="true" outlineLevel="0" collapsed="false">
      <c r="A30" s="74" t="str">
        <f aca="false">IF(Varian!$A18="","",IFERROR(INDEX(Model!$B$4:$B$64,MATCH(Varian!$B18,Model!$A$4:$A$64,0))&amp;" "&amp;INDEX(Model!$C$4:$C$64,MATCH(Varian!$B18,Model!$A$4:$A$64,0)),IF(Varian!$B18="","(model belum diisi)",Varian!$B18)))</f>
        <v>ASUS Vivobook Go 14 E1404</v>
      </c>
      <c r="B30" s="74" t="str">
        <f aca="false">IF(Varian!$A18="","",Varian!$A18)</f>
        <v>asus-vivobook-go-14-e1404-r3-7320u-8-512</v>
      </c>
      <c r="C30" s="74" t="str">
        <f aca="false">IF($B30="","",IF(Varian!$J18="","(prosesor belum diisi)",Varian!$J18)&amp;" · "&amp;IF(ISNUMBER(Varian!$M18),Varian!$M18&amp;" GB RAM","RAM belum diisi")&amp;" · "&amp;IF(ISNUMBER(Varian!$V18),Varian!$V18&amp;" GB","penyimpanan belum diisi"))</f>
        <v>AMD Ryzen 3 7320U · 8 GB RAM · 512 GB</v>
      </c>
      <c r="D30" s="84" t="str">
        <f aca="false">IF($B30="","",Perhitungan!$Q$70)</f>
        <v>Cocok</v>
      </c>
      <c r="E30" s="84" t="str">
        <f aca="false">IF($B30="","",Perhitungan!$Q$71)</f>
        <v>Kurang cocok</v>
      </c>
      <c r="F30" s="84" t="str">
        <f aca="false">IF($B30="","",Perhitungan!$Q$72)</f>
        <v>Bisa, dengan catatan</v>
      </c>
      <c r="G30" s="84" t="str">
        <f aca="false">IF($B30="","",Perhitungan!$Q$73)</f>
        <v>Bisa, dengan catatan</v>
      </c>
      <c r="H30" s="84" t="str">
        <f aca="false">IF($B30="","",Perhitungan!$Q$74)</f>
        <v>Kurang cocok</v>
      </c>
      <c r="I30" s="85" t="n">
        <f aca="false">IF($B30="","",Perhitungan!$AC$70)</f>
        <v>2</v>
      </c>
    </row>
    <row r="31" customFormat="false" ht="30" hidden="false" customHeight="true" outlineLevel="0" collapsed="false">
      <c r="A31" s="74" t="str">
        <f aca="false">IF(Varian!$A19="","",IFERROR(INDEX(Model!$B$4:$B$64,MATCH(Varian!$B19,Model!$A$4:$A$64,0))&amp;" "&amp;INDEX(Model!$C$4:$C$64,MATCH(Varian!$B19,Model!$A$4:$A$64,0)),IF(Varian!$B19="","(model belum diisi)",Varian!$B19)))</f>
        <v>ASUS Vivobook 15 A1504 (di luar negeri bernama X1504)</v>
      </c>
      <c r="B31" s="74" t="str">
        <f aca="false">IF(Varian!$A19="","",Varian!$A19)</f>
        <v>asus-vivobook-15-a1504-core5-120u-16-512</v>
      </c>
      <c r="C31" s="74" t="str">
        <f aca="false">IF($B31="","",IF(Varian!$J19="","(prosesor belum diisi)",Varian!$J19)&amp;" · "&amp;IF(ISNUMBER(Varian!$M19),Varian!$M19&amp;" GB RAM","RAM belum diisi")&amp;" · "&amp;IF(ISNUMBER(Varian!$V19),Varian!$V19&amp;" GB","penyimpanan belum diisi"))</f>
        <v>Intel Core 5 120U · 16 GB RAM · 512 GB</v>
      </c>
      <c r="D31" s="84" t="str">
        <f aca="false">IF($B31="","",Perhitungan!$Q$75)</f>
        <v>Cocok</v>
      </c>
      <c r="E31" s="84" t="str">
        <f aca="false">IF($B31="","",Perhitungan!$Q$76)</f>
        <v>Bisa, dengan catatan</v>
      </c>
      <c r="F31" s="84" t="str">
        <f aca="false">IF($B31="","",Perhitungan!$Q$77)</f>
        <v>Cocok</v>
      </c>
      <c r="G31" s="84" t="str">
        <f aca="false">IF($B31="","",Perhitungan!$Q$78)</f>
        <v>Cocok</v>
      </c>
      <c r="H31" s="84" t="str">
        <f aca="false">IF($B31="","",Perhitungan!$Q$79)</f>
        <v>Kurang cocok</v>
      </c>
      <c r="I31" s="85" t="n">
        <f aca="false">IF($B31="","",Perhitungan!$AC$75)</f>
        <v>0</v>
      </c>
    </row>
    <row r="32" customFormat="false" ht="30" hidden="false" customHeight="true" outlineLevel="0" collapsed="false">
      <c r="A32" s="74" t="str">
        <f aca="false">IF(Varian!$A20="","",IFERROR(INDEX(Model!$B$4:$B$64,MATCH(Varian!$B20,Model!$A$4:$A$64,0))&amp;" "&amp;INDEX(Model!$C$4:$C$64,MATCH(Varian!$B20,Model!$A$4:$A$64,0)),IF(Varian!$B20="","(model belum diisi)",Varian!$B20)))</f>
        <v>ASUS Vivobook 15 A1504 (di luar negeri bernama X1504)</v>
      </c>
      <c r="B32" s="74" t="str">
        <f aca="false">IF(Varian!$A20="","",Varian!$A20)</f>
        <v>asus-vivobook-15-a1504-i5-1335u-8-512</v>
      </c>
      <c r="C32" s="74" t="str">
        <f aca="false">IF($B32="","",IF(Varian!$J20="","(prosesor belum diisi)",Varian!$J20)&amp;" · "&amp;IF(ISNUMBER(Varian!$M20),Varian!$M20&amp;" GB RAM","RAM belum diisi")&amp;" · "&amp;IF(ISNUMBER(Varian!$V20),Varian!$V20&amp;" GB","penyimpanan belum diisi"))</f>
        <v>Intel Core i5-1335U · 8 GB RAM · 512 GB</v>
      </c>
      <c r="D32" s="84" t="str">
        <f aca="false">IF($B32="","",Perhitungan!$Q$80)</f>
        <v>Cocok</v>
      </c>
      <c r="E32" s="84" t="str">
        <f aca="false">IF($B32="","",Perhitungan!$Q$81)</f>
        <v>Bisa, dengan catatan</v>
      </c>
      <c r="F32" s="84" t="str">
        <f aca="false">IF($B32="","",Perhitungan!$Q$82)</f>
        <v>Bisa, dengan catatan</v>
      </c>
      <c r="G32" s="84" t="str">
        <f aca="false">IF($B32="","",Perhitungan!$Q$83)</f>
        <v>Cocok</v>
      </c>
      <c r="H32" s="84" t="str">
        <f aca="false">IF($B32="","",Perhitungan!$Q$84)</f>
        <v>Kurang cocok</v>
      </c>
      <c r="I32" s="85" t="n">
        <f aca="false">IF($B32="","",Perhitungan!$AC$80)</f>
        <v>1</v>
      </c>
    </row>
    <row r="33" customFormat="false" ht="30" hidden="false" customHeight="true" outlineLevel="0" collapsed="false">
      <c r="A33" s="74" t="str">
        <f aca="false">IF(Varian!$A21="","",IFERROR(INDEX(Model!$B$4:$B$64,MATCH(Varian!$B21,Model!$A$4:$A$64,0))&amp;" "&amp;INDEX(Model!$C$4:$C$64,MATCH(Varian!$B21,Model!$A$4:$A$64,0)),IF(Varian!$B21="","(model belum diisi)",Varian!$B21)))</f>
        <v>HP HP Laptop 14 (14-ep1xxx); di sebagian toko seri 14-ep ditulis sebagai 14s-ep</v>
      </c>
      <c r="B33" s="74" t="str">
        <f aca="false">IF(Varian!$A21="","",Varian!$A21)</f>
        <v>hp-laptop-14-ep1-core5-120u-8-512</v>
      </c>
      <c r="C33" s="74" t="str">
        <f aca="false">IF($B33="","",IF(Varian!$J21="","(prosesor belum diisi)",Varian!$J21)&amp;" · "&amp;IF(ISNUMBER(Varian!$M21),Varian!$M21&amp;" GB RAM","RAM belum diisi")&amp;" · "&amp;IF(ISNUMBER(Varian!$V21),Varian!$V21&amp;" GB","penyimpanan belum diisi"))</f>
        <v>Intel Core 5 120U · 8 GB RAM · 512 GB</v>
      </c>
      <c r="D33" s="84" t="str">
        <f aca="false">IF($B33="","",Perhitungan!$Q$85)</f>
        <v>Cocok</v>
      </c>
      <c r="E33" s="84" t="str">
        <f aca="false">IF($B33="","",Perhitungan!$Q$86)</f>
        <v>Data belum lengkap</v>
      </c>
      <c r="F33" s="84" t="str">
        <f aca="false">IF($B33="","",Perhitungan!$Q$87)</f>
        <v>Bisa, dengan catatan</v>
      </c>
      <c r="G33" s="84" t="str">
        <f aca="false">IF($B33="","",Perhitungan!$Q$88)</f>
        <v>Cocok</v>
      </c>
      <c r="H33" s="84" t="str">
        <f aca="false">IF($B33="","",Perhitungan!$Q$89)</f>
        <v>Kurang cocok</v>
      </c>
      <c r="I33" s="85" t="n">
        <f aca="false">IF($B33="","",Perhitungan!$AC$85)</f>
        <v>1</v>
      </c>
    </row>
    <row r="34" customFormat="false" ht="30" hidden="false" customHeight="true" outlineLevel="0" collapsed="false">
      <c r="A34" s="74" t="str">
        <f aca="false">IF(Varian!$A22="","",IFERROR(INDEX(Model!$B$4:$B$64,MATCH(Varian!$B22,Model!$A$4:$A$64,0))&amp;" "&amp;INDEX(Model!$C$4:$C$64,MATCH(Varian!$B22,Model!$A$4:$A$64,0)),IF(Varian!$B22="","(model belum diisi)",Varian!$B22)))</f>
        <v>HP HP Laptop 14 (14-ep1xxx); di sebagian toko seri 14-ep ditulis sebagai 14s-ep</v>
      </c>
      <c r="B34" s="74" t="str">
        <f aca="false">IF(Varian!$A22="","",Varian!$A22)</f>
        <v>hp-laptop-14-ep1-core5-120u-16-512</v>
      </c>
      <c r="C34" s="74" t="str">
        <f aca="false">IF($B34="","",IF(Varian!$J22="","(prosesor belum diisi)",Varian!$J22)&amp;" · "&amp;IF(ISNUMBER(Varian!$M22),Varian!$M22&amp;" GB RAM","RAM belum diisi")&amp;" · "&amp;IF(ISNUMBER(Varian!$V22),Varian!$V22&amp;" GB","penyimpanan belum diisi"))</f>
        <v>Intel Core 5 120U · 16 GB RAM · 512 GB</v>
      </c>
      <c r="D34" s="84" t="str">
        <f aca="false">IF($B34="","",Perhitungan!$Q$90)</f>
        <v>Cocok</v>
      </c>
      <c r="E34" s="84" t="str">
        <f aca="false">IF($B34="","",Perhitungan!$Q$91)</f>
        <v>Data belum lengkap</v>
      </c>
      <c r="F34" s="84" t="str">
        <f aca="false">IF($B34="","",Perhitungan!$Q$92)</f>
        <v>Cocok</v>
      </c>
      <c r="G34" s="84" t="str">
        <f aca="false">IF($B34="","",Perhitungan!$Q$93)</f>
        <v>Cocok</v>
      </c>
      <c r="H34" s="84" t="str">
        <f aca="false">IF($B34="","",Perhitungan!$Q$94)</f>
        <v>Kurang cocok</v>
      </c>
      <c r="I34" s="85" t="n">
        <f aca="false">IF($B34="","",Perhitungan!$AC$90)</f>
        <v>1</v>
      </c>
    </row>
    <row r="35" customFormat="false" ht="30" hidden="false" customHeight="true" outlineLevel="0" collapsed="false">
      <c r="A35" s="74" t="str">
        <f aca="false">IF(Varian!$A23="","",IFERROR(INDEX(Model!$B$4:$B$64,MATCH(Varian!$B23,Model!$A$4:$A$64,0))&amp;" "&amp;INDEX(Model!$C$4:$C$64,MATCH(Varian!$B23,Model!$A$4:$A$64,0)),IF(Varian!$B23="","(model belum diisi)",Varian!$B23)))</f>
        <v>Lenovo IdeaPad Slim 5 14IRH10R (Gen 10, prosesor Intel)</v>
      </c>
      <c r="B35" s="74" t="str">
        <f aca="false">IF(Varian!$A23="","",Varian!$A23)</f>
        <v>lenovo-ideapad-slim-5-14irh10r-core5-210h-16-512</v>
      </c>
      <c r="C35" s="74" t="str">
        <f aca="false">IF($B35="","",IF(Varian!$J23="","(prosesor belum diisi)",Varian!$J23)&amp;" · "&amp;IF(ISNUMBER(Varian!$M23),Varian!$M23&amp;" GB RAM","RAM belum diisi")&amp;" · "&amp;IF(ISNUMBER(Varian!$V23),Varian!$V23&amp;" GB","penyimpanan belum diisi"))</f>
        <v>Intel Core 5 210H · 16 GB RAM · 512 GB</v>
      </c>
      <c r="D35" s="84" t="str">
        <f aca="false">IF($B35="","",Perhitungan!$Q$95)</f>
        <v>Cocok</v>
      </c>
      <c r="E35" s="84" t="str">
        <f aca="false">IF($B35="","",Perhitungan!$Q$96)</f>
        <v>Cocok</v>
      </c>
      <c r="F35" s="84" t="str">
        <f aca="false">IF($B35="","",Perhitungan!$Q$97)</f>
        <v>Cocok</v>
      </c>
      <c r="G35" s="84" t="str">
        <f aca="false">IF($B35="","",Perhitungan!$Q$98)</f>
        <v>Cocok</v>
      </c>
      <c r="H35" s="84" t="str">
        <f aca="false">IF($B35="","",Perhitungan!$Q$99)</f>
        <v>Kurang cocok</v>
      </c>
      <c r="I35" s="85" t="n">
        <f aca="false">IF($B35="","",Perhitungan!$AC$95)</f>
        <v>0</v>
      </c>
    </row>
    <row r="36" customFormat="false" ht="30" hidden="false" customHeight="true" outlineLevel="0" collapsed="false">
      <c r="A36" s="74" t="str">
        <f aca="false">IF(Varian!$A24="","",IFERROR(INDEX(Model!$B$4:$B$64,MATCH(Varian!$B24,Model!$A$4:$A$64,0))&amp;" "&amp;INDEX(Model!$C$4:$C$64,MATCH(Varian!$B24,Model!$A$4:$A$64,0)),IF(Varian!$B24="","(model belum diisi)",Varian!$B24)))</f>
        <v>Lenovo ThinkBook 14 Gen 9 (G9 IPL, prosesor Intel)</v>
      </c>
      <c r="B36" s="74" t="str">
        <f aca="false">IF(Varian!$A24="","",Varian!$A24)</f>
        <v>lenovo-thinkbook-14-g9-ipl-u7-355-16-1tb</v>
      </c>
      <c r="C36" s="74" t="str">
        <f aca="false">IF($B36="","",IF(Varian!$J24="","(prosesor belum diisi)",Varian!$J24)&amp;" · "&amp;IF(ISNUMBER(Varian!$M24),Varian!$M24&amp;" GB RAM","RAM belum diisi")&amp;" · "&amp;IF(ISNUMBER(Varian!$V24),Varian!$V24&amp;" GB","penyimpanan belum diisi"))</f>
        <v>Intel Core Ultra 7 355 · 16 GB RAM · 1024 GB</v>
      </c>
      <c r="D36" s="84" t="str">
        <f aca="false">IF($B36="","",Perhitungan!$Q$100)</f>
        <v>Cocok</v>
      </c>
      <c r="E36" s="84" t="str">
        <f aca="false">IF($B36="","",Perhitungan!$Q$101)</f>
        <v>Bisa, dengan catatan</v>
      </c>
      <c r="F36" s="84" t="str">
        <f aca="false">IF($B36="","",Perhitungan!$Q$102)</f>
        <v>Cocok</v>
      </c>
      <c r="G36" s="84" t="str">
        <f aca="false">IF($B36="","",Perhitungan!$Q$103)</f>
        <v>Cocok</v>
      </c>
      <c r="H36" s="84" t="str">
        <f aca="false">IF($B36="","",Perhitungan!$Q$104)</f>
        <v>Kurang cocok</v>
      </c>
      <c r="I36" s="85" t="n">
        <f aca="false">IF($B36="","",Perhitungan!$AC$100)</f>
        <v>0</v>
      </c>
    </row>
    <row r="37" customFormat="false" ht="30" hidden="false" customHeight="true" outlineLevel="0" collapsed="false">
      <c r="A37" s="74" t="str">
        <f aca="false">IF(Varian!$A25="","",IFERROR(INDEX(Model!$B$4:$B$64,MATCH(Varian!$B25,Model!$A$4:$A$64,0))&amp;" "&amp;INDEX(Model!$C$4:$C$64,MATCH(Varian!$B25,Model!$A$4:$A$64,0)),IF(Varian!$B25="","(model belum diisi)",Varian!$B25)))</f>
        <v>Acer Swift Go 14 AI SFG14-64 (prosesor AMD)</v>
      </c>
      <c r="B37" s="74" t="str">
        <f aca="false">IF(Varian!$A25="","",Varian!$A25)</f>
        <v>acer-swift-go-14-ai-sfg14-64-r5ai340-32-512</v>
      </c>
      <c r="C37" s="74" t="str">
        <f aca="false">IF($B37="","",IF(Varian!$J25="","(prosesor belum diisi)",Varian!$J25)&amp;" · "&amp;IF(ISNUMBER(Varian!$M25),Varian!$M25&amp;" GB RAM","RAM belum diisi")&amp;" · "&amp;IF(ISNUMBER(Varian!$V25),Varian!$V25&amp;" GB","penyimpanan belum diisi"))</f>
        <v>AMD Ryzen AI 5 340 · 32 GB RAM · 512 GB</v>
      </c>
      <c r="D37" s="84" t="str">
        <f aca="false">IF($B37="","",Perhitungan!$Q$105)</f>
        <v>Cocok</v>
      </c>
      <c r="E37" s="84" t="str">
        <f aca="false">IF($B37="","",Perhitungan!$Q$106)</f>
        <v>Cocok</v>
      </c>
      <c r="F37" s="84" t="str">
        <f aca="false">IF($B37="","",Perhitungan!$Q$107)</f>
        <v>Cocok</v>
      </c>
      <c r="G37" s="84" t="str">
        <f aca="false">IF($B37="","",Perhitungan!$Q$108)</f>
        <v>Cocok</v>
      </c>
      <c r="H37" s="84" t="str">
        <f aca="false">IF($B37="","",Perhitungan!$Q$109)</f>
        <v>Kurang cocok</v>
      </c>
      <c r="I37" s="85" t="n">
        <f aca="false">IF($B37="","",Perhitungan!$AC$105)</f>
        <v>1</v>
      </c>
    </row>
    <row r="38" customFormat="false" ht="30" hidden="false" customHeight="true" outlineLevel="0" collapsed="false">
      <c r="A38" s="74" t="str">
        <f aca="false">IF(Varian!$A26="","",IFERROR(INDEX(Model!$B$4:$B$64,MATCH(Varian!$B26,Model!$A$4:$A$64,0))&amp;" "&amp;INDEX(Model!$C$4:$C$64,MATCH(Varian!$B26,Model!$A$4:$A$64,0)),IF(Varian!$B26="","(model belum diisi)",Varian!$B26)))</f>
        <v>Apple MacBook Air 13 inci (chip M5, 2026)</v>
      </c>
      <c r="B38" s="74" t="str">
        <f aca="false">IF(Varian!$A26="","",Varian!$A26)</f>
        <v>apple-macbook-air-13-m5-m5-16-512</v>
      </c>
      <c r="C38" s="74" t="str">
        <f aca="false">IF($B38="","",IF(Varian!$J26="","(prosesor belum diisi)",Varian!$J26)&amp;" · "&amp;IF(ISNUMBER(Varian!$M26),Varian!$M26&amp;" GB RAM","RAM belum diisi")&amp;" · "&amp;IF(ISNUMBER(Varian!$V26),Varian!$V26&amp;" GB","penyimpanan belum diisi"))</f>
        <v>Apple M5 · 16 GB RAM · 512 GB</v>
      </c>
      <c r="D38" s="84" t="str">
        <f aca="false">IF($B38="","",Perhitungan!$Q$110)</f>
        <v>Cocok</v>
      </c>
      <c r="E38" s="84" t="str">
        <f aca="false">IF($B38="","",Perhitungan!$Q$111)</f>
        <v>Bisa, dengan catatan</v>
      </c>
      <c r="F38" s="84" t="str">
        <f aca="false">IF($B38="","",Perhitungan!$Q$112)</f>
        <v>Cocok</v>
      </c>
      <c r="G38" s="84" t="str">
        <f aca="false">IF($B38="","",Perhitungan!$Q$113)</f>
        <v>Cocok</v>
      </c>
      <c r="H38" s="84" t="str">
        <f aca="false">IF($B38="","",Perhitungan!$Q$114)</f>
        <v>Kurang cocok</v>
      </c>
      <c r="I38" s="85" t="n">
        <f aca="false">IF($B38="","",Perhitungan!$AC$110)</f>
        <v>1</v>
      </c>
    </row>
    <row r="39" customFormat="false" ht="30" hidden="false" customHeight="true" outlineLevel="0" collapsed="false">
      <c r="A39" s="74" t="str">
        <f aca="false">IF(Varian!$A27="","",IFERROR(INDEX(Model!$B$4:$B$64,MATCH(Varian!$B27,Model!$A$4:$A$64,0))&amp;" "&amp;INDEX(Model!$C$4:$C$64,MATCH(Varian!$B27,Model!$A$4:$A$64,0)),IF(Varian!$B27="","(model belum diisi)",Varian!$B27)))</f>
        <v>ASUS TUF Gaming A15 FA507N (varian FA507NUR dan FA507NVR)</v>
      </c>
      <c r="B39" s="74" t="str">
        <f aca="false">IF(Varian!$A27="","",Varian!$A27)</f>
        <v>asus-tuf-gaming-a15-fa507n-r7-7435hs-rtx4050-16-512</v>
      </c>
      <c r="C39" s="74" t="str">
        <f aca="false">IF($B39="","",IF(Varian!$J27="","(prosesor belum diisi)",Varian!$J27)&amp;" · "&amp;IF(ISNUMBER(Varian!$M27),Varian!$M27&amp;" GB RAM","RAM belum diisi")&amp;" · "&amp;IF(ISNUMBER(Varian!$V27),Varian!$V27&amp;" GB","penyimpanan belum diisi"))</f>
        <v>AMD Ryzen 7 7435HS · 16 GB RAM · 512 GB</v>
      </c>
      <c r="D39" s="84" t="str">
        <f aca="false">IF($B39="","",Perhitungan!$Q$115)</f>
        <v>Cocok</v>
      </c>
      <c r="E39" s="84" t="str">
        <f aca="false">IF($B39="","",Perhitungan!$Q$116)</f>
        <v>Bisa, dengan catatan</v>
      </c>
      <c r="F39" s="84" t="str">
        <f aca="false">IF($B39="","",Perhitungan!$Q$117)</f>
        <v>Cocok</v>
      </c>
      <c r="G39" s="84" t="str">
        <f aca="false">IF($B39="","",Perhitungan!$Q$118)</f>
        <v>Cocok</v>
      </c>
      <c r="H39" s="84" t="str">
        <f aca="false">IF($B39="","",Perhitungan!$Q$119)</f>
        <v>Bisa, dengan catatan</v>
      </c>
      <c r="I39" s="85" t="n">
        <f aca="false">IF($B39="","",Perhitungan!$AC$115)</f>
        <v>0</v>
      </c>
    </row>
    <row r="40" customFormat="false" ht="30" hidden="false" customHeight="true" outlineLevel="0" collapsed="false">
      <c r="A40" s="74" t="str">
        <f aca="false">IF(Varian!$A28="","",IFERROR(INDEX(Model!$B$4:$B$64,MATCH(Varian!$B28,Model!$A$4:$A$64,0))&amp;" "&amp;INDEX(Model!$C$4:$C$64,MATCH(Varian!$B28,Model!$A$4:$A$64,0)),IF(Varian!$B28="","(model belum diisi)",Varian!$B28)))</f>
        <v>ASUS TUF Gaming A15 FA507N (varian FA507NUR dan FA507NVR)</v>
      </c>
      <c r="B40" s="74" t="str">
        <f aca="false">IF(Varian!$A28="","",Varian!$A28)</f>
        <v>asus-tuf-gaming-a15-fa507n-r7-7435hs-rtx4060-16-512</v>
      </c>
      <c r="C40" s="74" t="str">
        <f aca="false">IF($B40="","",IF(Varian!$J28="","(prosesor belum diisi)",Varian!$J28)&amp;" · "&amp;IF(ISNUMBER(Varian!$M28),Varian!$M28&amp;" GB RAM","RAM belum diisi")&amp;" · "&amp;IF(ISNUMBER(Varian!$V28),Varian!$V28&amp;" GB","penyimpanan belum diisi"))</f>
        <v>AMD Ryzen 7 7435HS · 16 GB RAM · 512 GB</v>
      </c>
      <c r="D40" s="84" t="str">
        <f aca="false">IF($B40="","",Perhitungan!$Q$120)</f>
        <v>Cocok</v>
      </c>
      <c r="E40" s="84" t="str">
        <f aca="false">IF($B40="","",Perhitungan!$Q$121)</f>
        <v>Bisa, dengan catatan</v>
      </c>
      <c r="F40" s="84" t="str">
        <f aca="false">IF($B40="","",Perhitungan!$Q$122)</f>
        <v>Cocok</v>
      </c>
      <c r="G40" s="84" t="str">
        <f aca="false">IF($B40="","",Perhitungan!$Q$123)</f>
        <v>Cocok</v>
      </c>
      <c r="H40" s="84" t="str">
        <f aca="false">IF($B40="","",Perhitungan!$Q$124)</f>
        <v>Bisa, dengan catatan</v>
      </c>
      <c r="I40" s="85" t="n">
        <f aca="false">IF($B40="","",Perhitungan!$AC$120)</f>
        <v>0</v>
      </c>
    </row>
    <row r="41" customFormat="false" ht="15" hidden="false" customHeight="true" outlineLevel="0" collapsed="false">
      <c r="A41" s="74" t="str">
        <f aca="false">IF(Varian!$A29="","",IFERROR(INDEX(Model!$B$4:$B$64,MATCH(Varian!$B29,Model!$A$4:$A$64,0))&amp;" "&amp;INDEX(Model!$C$4:$C$64,MATCH(Varian!$B29,Model!$A$4:$A$64,0)),IF(Varian!$B29="","(model belum diisi)",Varian!$B29)))</f>
        <v>Lenovo LOQ 15IRX10 (Intel)</v>
      </c>
      <c r="B41" s="74" t="str">
        <f aca="false">IF(Varian!$A29="","",Varian!$A29)</f>
        <v>lenovo-loq-15irx10-i7-13700hx-rtx5050-16-512</v>
      </c>
      <c r="C41" s="74" t="str">
        <f aca="false">IF($B41="","",IF(Varian!$J29="","(prosesor belum diisi)",Varian!$J29)&amp;" · "&amp;IF(ISNUMBER(Varian!$M29),Varian!$M29&amp;" GB RAM","RAM belum diisi")&amp;" · "&amp;IF(ISNUMBER(Varian!$V29),Varian!$V29&amp;" GB","penyimpanan belum diisi"))</f>
        <v>Intel Core i7-13700HX · 16 GB RAM · 512 GB</v>
      </c>
      <c r="D41" s="84" t="str">
        <f aca="false">IF($B41="","",Perhitungan!$Q$125)</f>
        <v>Cocok</v>
      </c>
      <c r="E41" s="84" t="str">
        <f aca="false">IF($B41="","",Perhitungan!$Q$126)</f>
        <v>Bisa, dengan catatan</v>
      </c>
      <c r="F41" s="84" t="str">
        <f aca="false">IF($B41="","",Perhitungan!$Q$127)</f>
        <v>Cocok</v>
      </c>
      <c r="G41" s="84" t="str">
        <f aca="false">IF($B41="","",Perhitungan!$Q$128)</f>
        <v>Cocok</v>
      </c>
      <c r="H41" s="84" t="str">
        <f aca="false">IF($B41="","",Perhitungan!$Q$129)</f>
        <v>Bisa, dengan catatan</v>
      </c>
      <c r="I41" s="85" t="n">
        <f aca="false">IF($B41="","",Perhitungan!$AC$125)</f>
        <v>0</v>
      </c>
    </row>
    <row r="42" customFormat="false" ht="15" hidden="false" customHeight="true" outlineLevel="0" collapsed="false">
      <c r="A42" s="74" t="str">
        <f aca="false">IF(Varian!$A30="","",IFERROR(INDEX(Model!$B$4:$B$64,MATCH(Varian!$B30,Model!$A$4:$A$64,0))&amp;" "&amp;INDEX(Model!$C$4:$C$64,MATCH(Varian!$B30,Model!$A$4:$A$64,0)),IF(Varian!$B30="","(model belum diisi)",Varian!$B30)))</f>
        <v>Lenovo LOQ 15IRX10 (Intel)</v>
      </c>
      <c r="B42" s="74" t="str">
        <f aca="false">IF(Varian!$A30="","",Varian!$A30)</f>
        <v>lenovo-loq-15irx10-i5-13450hx-rtx5050-16-512</v>
      </c>
      <c r="C42" s="74" t="str">
        <f aca="false">IF($B42="","",IF(Varian!$J30="","(prosesor belum diisi)",Varian!$J30)&amp;" · "&amp;IF(ISNUMBER(Varian!$M30),Varian!$M30&amp;" GB RAM","RAM belum diisi")&amp;" · "&amp;IF(ISNUMBER(Varian!$V30),Varian!$V30&amp;" GB","penyimpanan belum diisi"))</f>
        <v>Intel Core i5-13450HX · 16 GB RAM · 512 GB</v>
      </c>
      <c r="D42" s="84" t="str">
        <f aca="false">IF($B42="","",Perhitungan!$Q$130)</f>
        <v>Cocok</v>
      </c>
      <c r="E42" s="84" t="str">
        <f aca="false">IF($B42="","",Perhitungan!$Q$131)</f>
        <v>Bisa, dengan catatan</v>
      </c>
      <c r="F42" s="84" t="str">
        <f aca="false">IF($B42="","",Perhitungan!$Q$132)</f>
        <v>Cocok</v>
      </c>
      <c r="G42" s="84" t="str">
        <f aca="false">IF($B42="","",Perhitungan!$Q$133)</f>
        <v>Cocok</v>
      </c>
      <c r="H42" s="84" t="str">
        <f aca="false">IF($B42="","",Perhitungan!$Q$134)</f>
        <v>Bisa, dengan catatan</v>
      </c>
      <c r="I42" s="85" t="n">
        <f aca="false">IF($B42="","",Perhitungan!$AC$130)</f>
        <v>0</v>
      </c>
    </row>
    <row r="43" customFormat="false" ht="15" hidden="false" customHeight="true" outlineLevel="0" collapsed="false">
      <c r="A43" s="74" t="str">
        <f aca="false">IF(Varian!$A31="","",IFERROR(INDEX(Model!$B$4:$B$64,MATCH(Varian!$B31,Model!$A$4:$A$64,0))&amp;" "&amp;INDEX(Model!$C$4:$C$64,MATCH(Varian!$B31,Model!$A$4:$A$64,0)),IF(Varian!$B31="","(model belum diisi)",Varian!$B31)))</f>
        <v>Acer Nitro V 15 ANV15-52 (Intel)</v>
      </c>
      <c r="B43" s="74" t="str">
        <f aca="false">IF(Varian!$A31="","",Varian!$A31)</f>
        <v>acer-nitro-v-15-anv15-52-i7-13620h-rtx5050-16-512</v>
      </c>
      <c r="C43" s="74" t="str">
        <f aca="false">IF($B43="","",IF(Varian!$J31="","(prosesor belum diisi)",Varian!$J31)&amp;" · "&amp;IF(ISNUMBER(Varian!$M31),Varian!$M31&amp;" GB RAM","RAM belum diisi")&amp;" · "&amp;IF(ISNUMBER(Varian!$V31),Varian!$V31&amp;" GB","penyimpanan belum diisi"))</f>
        <v>Intel Core i7-13620H · 16 GB RAM · 512 GB</v>
      </c>
      <c r="D43" s="84" t="str">
        <f aca="false">IF($B43="","",Perhitungan!$Q$135)</f>
        <v>Cocok</v>
      </c>
      <c r="E43" s="84" t="str">
        <f aca="false">IF($B43="","",Perhitungan!$Q$136)</f>
        <v>Bisa, dengan catatan</v>
      </c>
      <c r="F43" s="84" t="str">
        <f aca="false">IF($B43="","",Perhitungan!$Q$137)</f>
        <v>Cocok</v>
      </c>
      <c r="G43" s="84" t="str">
        <f aca="false">IF($B43="","",Perhitungan!$Q$138)</f>
        <v>Cocok</v>
      </c>
      <c r="H43" s="84" t="str">
        <f aca="false">IF($B43="","",Perhitungan!$Q$139)</f>
        <v>Bisa, dengan catatan</v>
      </c>
      <c r="I43" s="85" t="n">
        <f aca="false">IF($B43="","",Perhitungan!$AC$135)</f>
        <v>0</v>
      </c>
    </row>
    <row r="44" customFormat="false" ht="15" hidden="false" customHeight="true" outlineLevel="0" collapsed="false">
      <c r="A44" s="74" t="str">
        <f aca="false">IF(Varian!$A32="","",IFERROR(INDEX(Model!$B$4:$B$64,MATCH(Varian!$B32,Model!$A$4:$A$64,0))&amp;" "&amp;INDEX(Model!$C$4:$C$64,MATCH(Varian!$B32,Model!$A$4:$A$64,0)),IF(Varian!$B32="","(model belum diisi)",Varian!$B32)))</f>
        <v>Acer Nitro V 15 ANV15-52 (Intel)</v>
      </c>
      <c r="B44" s="74" t="str">
        <f aca="false">IF(Varian!$A32="","",Varian!$A32)</f>
        <v>acer-nitro-v-15-anv15-52-core7-240h-rtx5050-16-512</v>
      </c>
      <c r="C44" s="74" t="str">
        <f aca="false">IF($B44="","",IF(Varian!$J32="","(prosesor belum diisi)",Varian!$J32)&amp;" · "&amp;IF(ISNUMBER(Varian!$M32),Varian!$M32&amp;" GB RAM","RAM belum diisi")&amp;" · "&amp;IF(ISNUMBER(Varian!$V32),Varian!$V32&amp;" GB","penyimpanan belum diisi"))</f>
        <v>Intel Core 7 240H · 16 GB RAM · 512 GB</v>
      </c>
      <c r="D44" s="84" t="str">
        <f aca="false">IF($B44="","",Perhitungan!$Q$140)</f>
        <v>Cocok</v>
      </c>
      <c r="E44" s="84" t="str">
        <f aca="false">IF($B44="","",Perhitungan!$Q$141)</f>
        <v>Bisa, dengan catatan</v>
      </c>
      <c r="F44" s="84" t="str">
        <f aca="false">IF($B44="","",Perhitungan!$Q$142)</f>
        <v>Cocok</v>
      </c>
      <c r="G44" s="84" t="str">
        <f aca="false">IF($B44="","",Perhitungan!$Q$143)</f>
        <v>Cocok</v>
      </c>
      <c r="H44" s="84" t="str">
        <f aca="false">IF($B44="","",Perhitungan!$Q$144)</f>
        <v>Bisa, dengan catatan</v>
      </c>
      <c r="I44" s="85" t="n">
        <f aca="false">IF($B44="","",Perhitungan!$AC$140)</f>
        <v>0</v>
      </c>
    </row>
    <row r="45" customFormat="false" ht="15" hidden="false" customHeight="true" outlineLevel="0" collapsed="false">
      <c r="A45" s="74" t="str">
        <f aca="false">IF(Varian!$A33="","",IFERROR(INDEX(Model!$B$4:$B$64,MATCH(Varian!$B33,Model!$A$4:$A$64,0))&amp;" "&amp;INDEX(Model!$C$4:$C$64,MATCH(Varian!$B33,Model!$A$4:$A$64,0)),IF(Varian!$B33="","(model belum diisi)",Varian!$B33)))</f>
        <v>Lenovo ThinkPad T14 Gen 1 (Intel)</v>
      </c>
      <c r="B45" s="74" t="str">
        <f aca="false">IF(Varian!$A33="","",Varian!$A33)</f>
        <v>lenovo-thinkpad-t14-gen-1-i5-10310u-16-256</v>
      </c>
      <c r="C45" s="74" t="str">
        <f aca="false">IF($B45="","",IF(Varian!$J33="","(prosesor belum diisi)",Varian!$J33)&amp;" · "&amp;IF(ISNUMBER(Varian!$M33),Varian!$M33&amp;" GB RAM","RAM belum diisi")&amp;" · "&amp;IF(ISNUMBER(Varian!$V33),Varian!$V33&amp;" GB","penyimpanan belum diisi"))</f>
        <v>Intel Core i5-10310U · 16 GB RAM · 256 GB</v>
      </c>
      <c r="D45" s="84" t="str">
        <f aca="false">IF($B45="","",Perhitungan!$Q$145)</f>
        <v>Cocok</v>
      </c>
      <c r="E45" s="84" t="str">
        <f aca="false">IF($B45="","",Perhitungan!$Q$146)</f>
        <v>Data belum lengkap</v>
      </c>
      <c r="F45" s="84" t="str">
        <f aca="false">IF($B45="","",Perhitungan!$Q$147)</f>
        <v>Bisa, dengan catatan</v>
      </c>
      <c r="G45" s="84" t="str">
        <f aca="false">IF($B45="","",Perhitungan!$Q$148)</f>
        <v>Bisa, dengan catatan</v>
      </c>
      <c r="H45" s="84" t="str">
        <f aca="false">IF($B45="","",Perhitungan!$Q$149)</f>
        <v>Kurang cocok</v>
      </c>
      <c r="I45" s="85" t="n">
        <f aca="false">IF($B45="","",Perhitungan!$AC$145)</f>
        <v>0</v>
      </c>
    </row>
    <row r="46" customFormat="false" ht="15" hidden="false" customHeight="true" outlineLevel="0" collapsed="false">
      <c r="A46" s="74" t="str">
        <f aca="false">IF(Varian!$A34="","",IFERROR(INDEX(Model!$B$4:$B$64,MATCH(Varian!$B34,Model!$A$4:$A$64,0))&amp;" "&amp;INDEX(Model!$C$4:$C$64,MATCH(Varian!$B34,Model!$A$4:$A$64,0)),IF(Varian!$B34="","(model belum diisi)",Varian!$B34)))</f>
        <v>Lenovo ThinkPad T14 Gen 1 (Intel)</v>
      </c>
      <c r="B46" s="74" t="str">
        <f aca="false">IF(Varian!$A34="","",Varian!$A34)</f>
        <v>lenovo-thinkpad-t14-gen-1-i5-10310u-16-512</v>
      </c>
      <c r="C46" s="74" t="str">
        <f aca="false">IF($B46="","",IF(Varian!$J34="","(prosesor belum diisi)",Varian!$J34)&amp;" · "&amp;IF(ISNUMBER(Varian!$M34),Varian!$M34&amp;" GB RAM","RAM belum diisi")&amp;" · "&amp;IF(ISNUMBER(Varian!$V34),Varian!$V34&amp;" GB","penyimpanan belum diisi"))</f>
        <v>Intel Core i5-10310U · 16 GB RAM · 512 GB</v>
      </c>
      <c r="D46" s="84" t="str">
        <f aca="false">IF($B46="","",Perhitungan!$Q$150)</f>
        <v>Cocok</v>
      </c>
      <c r="E46" s="84" t="str">
        <f aca="false">IF($B46="","",Perhitungan!$Q$151)</f>
        <v>Data belum lengkap</v>
      </c>
      <c r="F46" s="84" t="str">
        <f aca="false">IF($B46="","",Perhitungan!$Q$152)</f>
        <v>Bisa, dengan catatan</v>
      </c>
      <c r="G46" s="84" t="str">
        <f aca="false">IF($B46="","",Perhitungan!$Q$153)</f>
        <v>Bisa, dengan catatan</v>
      </c>
      <c r="H46" s="84" t="str">
        <f aca="false">IF($B46="","",Perhitungan!$Q$154)</f>
        <v>Kurang cocok</v>
      </c>
      <c r="I46" s="85" t="n">
        <f aca="false">IF($B46="","",Perhitungan!$AC$150)</f>
        <v>0</v>
      </c>
    </row>
    <row r="47" customFormat="false" ht="15" hidden="false" customHeight="true" outlineLevel="0" collapsed="false">
      <c r="A47" s="74" t="str">
        <f aca="false">IF(Varian!$A35="","",IFERROR(INDEX(Model!$B$4:$B$64,MATCH(Varian!$B35,Model!$A$4:$A$64,0))&amp;" "&amp;INDEX(Model!$C$4:$C$64,MATCH(Varian!$B35,Model!$A$4:$A$64,0)),IF(Varian!$B35="","(model belum diisi)",Varian!$B35)))</f>
        <v>Dell Latitude 7490</v>
      </c>
      <c r="B47" s="74" t="str">
        <f aca="false">IF(Varian!$A35="","",Varian!$A35)</f>
        <v>dell-latitude-7490-i5-8350u-8-256</v>
      </c>
      <c r="C47" s="74" t="str">
        <f aca="false">IF($B47="","",IF(Varian!$J35="","(prosesor belum diisi)",Varian!$J35)&amp;" · "&amp;IF(ISNUMBER(Varian!$M35),Varian!$M35&amp;" GB RAM","RAM belum diisi")&amp;" · "&amp;IF(ISNUMBER(Varian!$V35),Varian!$V35&amp;" GB","penyimpanan belum diisi"))</f>
        <v>Intel Core i5-8350U · 8 GB RAM · 256 GB</v>
      </c>
      <c r="D47" s="84" t="str">
        <f aca="false">IF($B47="","",Perhitungan!$Q$155)</f>
        <v>Cocok</v>
      </c>
      <c r="E47" s="84" t="str">
        <f aca="false">IF($B47="","",Perhitungan!$Q$156)</f>
        <v>Data belum lengkap</v>
      </c>
      <c r="F47" s="84" t="str">
        <f aca="false">IF($B47="","",Perhitungan!$Q$157)</f>
        <v>Bisa, dengan catatan</v>
      </c>
      <c r="G47" s="84" t="str">
        <f aca="false">IF($B47="","",Perhitungan!$Q$158)</f>
        <v>Bisa, dengan catatan</v>
      </c>
      <c r="H47" s="84" t="str">
        <f aca="false">IF($B47="","",Perhitungan!$Q$159)</f>
        <v>Kurang cocok</v>
      </c>
      <c r="I47" s="85" t="n">
        <f aca="false">IF($B47="","",Perhitungan!$AC$155)</f>
        <v>0</v>
      </c>
    </row>
    <row r="48" customFormat="false" ht="15" hidden="false" customHeight="true" outlineLevel="0" collapsed="false">
      <c r="A48" s="74" t="str">
        <f aca="false">IF(Varian!$A36="","",IFERROR(INDEX(Model!$B$4:$B$64,MATCH(Varian!$B36,Model!$A$4:$A$64,0))&amp;" "&amp;INDEX(Model!$C$4:$C$64,MATCH(Varian!$B36,Model!$A$4:$A$64,0)),IF(Varian!$B36="","(model belum diisi)",Varian!$B36)))</f>
        <v>HP EliteBook 840 G6</v>
      </c>
      <c r="B48" s="74" t="str">
        <f aca="false">IF(Varian!$A36="","",Varian!$A36)</f>
        <v>hp-elitebook-840-g6-i5-8365u-8-256</v>
      </c>
      <c r="C48" s="74" t="str">
        <f aca="false">IF($B48="","",IF(Varian!$J36="","(prosesor belum diisi)",Varian!$J36)&amp;" · "&amp;IF(ISNUMBER(Varian!$M36),Varian!$M36&amp;" GB RAM","RAM belum diisi")&amp;" · "&amp;IF(ISNUMBER(Varian!$V36),Varian!$V36&amp;" GB","penyimpanan belum diisi"))</f>
        <v>Intel Core i5-8365U · 8 GB RAM · 256 GB</v>
      </c>
      <c r="D48" s="84" t="str">
        <f aca="false">IF($B48="","",Perhitungan!$Q$160)</f>
        <v>Cocok</v>
      </c>
      <c r="E48" s="84" t="str">
        <f aca="false">IF($B48="","",Perhitungan!$Q$161)</f>
        <v>Bisa, dengan catatan</v>
      </c>
      <c r="F48" s="84" t="str">
        <f aca="false">IF($B48="","",Perhitungan!$Q$162)</f>
        <v>Bisa, dengan catatan</v>
      </c>
      <c r="G48" s="84" t="str">
        <f aca="false">IF($B48="","",Perhitungan!$Q$163)</f>
        <v>Bisa, dengan catatan</v>
      </c>
      <c r="H48" s="84" t="str">
        <f aca="false">IF($B48="","",Perhitungan!$Q$164)</f>
        <v>Kurang cocok</v>
      </c>
      <c r="I48" s="85" t="n">
        <f aca="false">IF($B48="","",Perhitungan!$AC$160)</f>
        <v>0</v>
      </c>
    </row>
    <row r="49" customFormat="false" ht="15" hidden="false" customHeight="true" outlineLevel="0" collapsed="false">
      <c r="A49" s="74" t="str">
        <f aca="false">IF(Varian!$A37="","",IFERROR(INDEX(Model!$B$4:$B$64,MATCH(Varian!$B37,Model!$A$4:$A$64,0))&amp;" "&amp;INDEX(Model!$C$4:$C$64,MATCH(Varian!$B37,Model!$A$4:$A$64,0)),IF(Varian!$B37="","(model belum diisi)",Varian!$B37)))</f>
        <v>HP EliteBook 840 G6</v>
      </c>
      <c r="B49" s="74" t="str">
        <f aca="false">IF(Varian!$A37="","",Varian!$A37)</f>
        <v>hp-elitebook-840-g6-i5-8265u-16-512</v>
      </c>
      <c r="C49" s="74" t="str">
        <f aca="false">IF($B49="","",IF(Varian!$J37="","(prosesor belum diisi)",Varian!$J37)&amp;" · "&amp;IF(ISNUMBER(Varian!$M37),Varian!$M37&amp;" GB RAM","RAM belum diisi")&amp;" · "&amp;IF(ISNUMBER(Varian!$V37),Varian!$V37&amp;" GB","penyimpanan belum diisi"))</f>
        <v>Intel Core i5-8265U · 16 GB RAM · 512 GB</v>
      </c>
      <c r="D49" s="84" t="str">
        <f aca="false">IF($B49="","",Perhitungan!$Q$165)</f>
        <v>Cocok</v>
      </c>
      <c r="E49" s="84" t="str">
        <f aca="false">IF($B49="","",Perhitungan!$Q$166)</f>
        <v>Bisa, dengan catatan</v>
      </c>
      <c r="F49" s="84" t="str">
        <f aca="false">IF($B49="","",Perhitungan!$Q$167)</f>
        <v>Bisa, dengan catatan</v>
      </c>
      <c r="G49" s="84" t="str">
        <f aca="false">IF($B49="","",Perhitungan!$Q$168)</f>
        <v>Bisa, dengan catatan</v>
      </c>
      <c r="H49" s="84" t="str">
        <f aca="false">IF($B49="","",Perhitungan!$Q$169)</f>
        <v>Kurang cocok</v>
      </c>
      <c r="I49" s="85" t="n">
        <f aca="false">IF($B49="","",Perhitungan!$AC$165)</f>
        <v>0</v>
      </c>
    </row>
    <row r="50" customFormat="false" ht="15" hidden="false" customHeight="true" outlineLevel="0" collapsed="false">
      <c r="A50" s="74" t="str">
        <f aca="false">IF(Varian!$A38="","",IFERROR(INDEX(Model!$B$4:$B$64,MATCH(Varian!$B38,Model!$A$4:$A$64,0))&amp;" "&amp;INDEX(Model!$C$4:$C$64,MATCH(Varian!$B38,Model!$A$4:$A$64,0)),IF(Varian!$B38="","(model belum diisi)",Varian!$B38)))</f>
        <v>HP Victus 15 fa2666TX</v>
      </c>
      <c r="B50" s="74" t="str">
        <f aca="false">IF(Varian!$A38="","",Varian!$A38)</f>
        <v>hp-victus-15-fa2666tx-i5-13420h-rtx3050-16-512</v>
      </c>
      <c r="C50" s="74" t="str">
        <f aca="false">IF($B50="","",IF(Varian!$J38="","(prosesor belum diisi)",Varian!$J38)&amp;" · "&amp;IF(ISNUMBER(Varian!$M38),Varian!$M38&amp;" GB RAM","RAM belum diisi")&amp;" · "&amp;IF(ISNUMBER(Varian!$V38),Varian!$V38&amp;" GB","penyimpanan belum diisi"))</f>
        <v>Intel Core i5-13420H · 16 GB RAM · 512 GB</v>
      </c>
      <c r="D50" s="84" t="str">
        <f aca="false">IF($B50="","",Perhitungan!$Q$170)</f>
        <v>Cocok</v>
      </c>
      <c r="E50" s="84" t="str">
        <f aca="false">IF($B50="","",Perhitungan!$Q$171)</f>
        <v>Bisa, dengan catatan</v>
      </c>
      <c r="F50" s="84" t="str">
        <f aca="false">IF($B50="","",Perhitungan!$Q$172)</f>
        <v>Cocok</v>
      </c>
      <c r="G50" s="84" t="str">
        <f aca="false">IF($B50="","",Perhitungan!$Q$173)</f>
        <v>Cocok</v>
      </c>
      <c r="H50" s="84" t="str">
        <f aca="false">IF($B50="","",Perhitungan!$Q$174)</f>
        <v>Bisa, dengan catatan</v>
      </c>
      <c r="I50" s="85" t="n">
        <f aca="false">IF($B50="","",Perhitungan!$AC$170)</f>
        <v>0</v>
      </c>
    </row>
    <row r="51" customFormat="false" ht="15" hidden="false" customHeight="true" outlineLevel="0" collapsed="false">
      <c r="A51" s="74" t="str">
        <f aca="false">IF(Varian!$A39="","",IFERROR(INDEX(Model!$B$4:$B$64,MATCH(Varian!$B39,Model!$A$4:$A$64,0))&amp;" "&amp;INDEX(Model!$C$4:$C$64,MATCH(Varian!$B39,Model!$A$4:$A$64,0)),IF(Varian!$B39="","(model belum diisi)",Varian!$B39)))</f>
        <v>MSI Thin 15 B13UC</v>
      </c>
      <c r="B51" s="74" t="str">
        <f aca="false">IF(Varian!$A39="","",Varian!$A39)</f>
        <v>msi-thin-15-b13uc-i7-13620h-rtx3050-8-512</v>
      </c>
      <c r="C51" s="74" t="str">
        <f aca="false">IF($B51="","",IF(Varian!$J39="","(prosesor belum diisi)",Varian!$J39)&amp;" · "&amp;IF(ISNUMBER(Varian!$M39),Varian!$M39&amp;" GB RAM","RAM belum diisi")&amp;" · "&amp;IF(ISNUMBER(Varian!$V39),Varian!$V39&amp;" GB","penyimpanan belum diisi"))</f>
        <v>Intel Core i7-13620H · 8 GB RAM · 512 GB</v>
      </c>
      <c r="D51" s="84" t="str">
        <f aca="false">IF($B51="","",Perhitungan!$Q$175)</f>
        <v>Cocok</v>
      </c>
      <c r="E51" s="84" t="str">
        <f aca="false">IF($B51="","",Perhitungan!$Q$176)</f>
        <v>Bisa, dengan catatan</v>
      </c>
      <c r="F51" s="84" t="str">
        <f aca="false">IF($B51="","",Perhitungan!$Q$177)</f>
        <v>Bisa, dengan catatan</v>
      </c>
      <c r="G51" s="84" t="str">
        <f aca="false">IF($B51="","",Perhitungan!$Q$178)</f>
        <v>Cocok</v>
      </c>
      <c r="H51" s="84" t="str">
        <f aca="false">IF($B51="","",Perhitungan!$Q$179)</f>
        <v>Bisa, dengan catatan</v>
      </c>
      <c r="I51" s="85" t="n">
        <f aca="false">IF($B51="","",Perhitungan!$AC$175)</f>
        <v>0</v>
      </c>
    </row>
    <row r="52" customFormat="false" ht="15" hidden="false" customHeight="true" outlineLevel="0" collapsed="false">
      <c r="A52" s="74" t="str">
        <f aca="false">IF(Varian!$A40="","",IFERROR(INDEX(Model!$B$4:$B$64,MATCH(Varian!$B40,Model!$A$4:$A$64,0))&amp;" "&amp;INDEX(Model!$C$4:$C$64,MATCH(Varian!$B40,Model!$A$4:$A$64,0)),IF(Varian!$B40="","(model belum diisi)",Varian!$B40)))</f>
        <v>ASUS ROG Strix G16 (2025) G614PM</v>
      </c>
      <c r="B52" s="74" t="str">
        <f aca="false">IF(Varian!$A40="","",Varian!$A40)</f>
        <v>asus-rog-strix-g16-g614pm-r9-8940hx-rtx5060-16-1tb</v>
      </c>
      <c r="C52" s="74" t="str">
        <f aca="false">IF($B52="","",IF(Varian!$J40="","(prosesor belum diisi)",Varian!$J40)&amp;" · "&amp;IF(ISNUMBER(Varian!$M40),Varian!$M40&amp;" GB RAM","RAM belum diisi")&amp;" · "&amp;IF(ISNUMBER(Varian!$V40),Varian!$V40&amp;" GB","penyimpanan belum diisi"))</f>
        <v>AMD Ryzen 9 8940HX · 16 GB RAM · 1024 GB</v>
      </c>
      <c r="D52" s="84" t="str">
        <f aca="false">IF($B52="","",Perhitungan!$Q$180)</f>
        <v>Cocok</v>
      </c>
      <c r="E52" s="84" t="str">
        <f aca="false">IF($B52="","",Perhitungan!$Q$181)</f>
        <v>Bisa, dengan catatan</v>
      </c>
      <c r="F52" s="84" t="str">
        <f aca="false">IF($B52="","",Perhitungan!$Q$182)</f>
        <v>Cocok</v>
      </c>
      <c r="G52" s="84" t="str">
        <f aca="false">IF($B52="","",Perhitungan!$Q$183)</f>
        <v>Cocok</v>
      </c>
      <c r="H52" s="84" t="str">
        <f aca="false">IF($B52="","",Perhitungan!$Q$184)</f>
        <v>Cocok</v>
      </c>
      <c r="I52" s="85" t="n">
        <f aca="false">IF($B52="","",Perhitungan!$AC$180)</f>
        <v>0</v>
      </c>
    </row>
    <row r="53" customFormat="false" ht="15" hidden="false" customHeight="true" outlineLevel="0" collapsed="false">
      <c r="A53" s="74" t="str">
        <f aca="false">IF(Varian!$A41="","",IFERROR(INDEX(Model!$B$4:$B$64,MATCH(Varian!$B41,Model!$A$4:$A$64,0))&amp;" "&amp;INDEX(Model!$C$4:$C$64,MATCH(Varian!$B41,Model!$A$4:$A$64,0)),IF(Varian!$B41="","(model belum diisi)",Varian!$B41)))</f>
        <v>Lenovo Legion 5 15IRX10</v>
      </c>
      <c r="B53" s="74" t="str">
        <f aca="false">IF(Varian!$A41="","",Varian!$A41)</f>
        <v>lenovo-legion-5-15irx10-i7-13650hx-16-512</v>
      </c>
      <c r="C53" s="74" t="str">
        <f aca="false">IF($B53="","",IF(Varian!$J41="","(prosesor belum diisi)",Varian!$J41)&amp;" · "&amp;IF(ISNUMBER(Varian!$M41),Varian!$M41&amp;" GB RAM","RAM belum diisi")&amp;" · "&amp;IF(ISNUMBER(Varian!$V41),Varian!$V41&amp;" GB","penyimpanan belum diisi"))</f>
        <v>Intel Core i7-13650HX · 16 GB RAM · 512 GB</v>
      </c>
      <c r="D53" s="84" t="str">
        <f aca="false">IF($B53="","",Perhitungan!$Q$185)</f>
        <v>Cocok</v>
      </c>
      <c r="E53" s="84" t="str">
        <f aca="false">IF($B53="","",Perhitungan!$Q$186)</f>
        <v>Bisa, dengan catatan</v>
      </c>
      <c r="F53" s="84" t="str">
        <f aca="false">IF($B53="","",Perhitungan!$Q$187)</f>
        <v>Cocok</v>
      </c>
      <c r="G53" s="84" t="str">
        <f aca="false">IF($B53="","",Perhitungan!$Q$188)</f>
        <v>Cocok</v>
      </c>
      <c r="H53" s="84" t="str">
        <f aca="false">IF($B53="","",Perhitungan!$Q$189)</f>
        <v>Bisa, dengan catatan</v>
      </c>
      <c r="I53" s="85" t="n">
        <f aca="false">IF($B53="","",Perhitungan!$AC$185)</f>
        <v>0</v>
      </c>
    </row>
    <row r="54" customFormat="false" ht="15" hidden="false" customHeight="true" outlineLevel="0" collapsed="false">
      <c r="A54" s="74" t="str">
        <f aca="false">IF(Varian!$A42="","",IFERROR(INDEX(Model!$B$4:$B$64,MATCH(Varian!$B42,Model!$A$4:$A$64,0))&amp;" "&amp;INDEX(Model!$C$4:$C$64,MATCH(Varian!$B42,Model!$A$4:$A$64,0)),IF(Varian!$B42="","(model belum diisi)",Varian!$B42)))</f>
        <v>Acer Aspire Lite 14 AL14-32P</v>
      </c>
      <c r="B54" s="74" t="str">
        <f aca="false">IF(Varian!$A42="","",Varian!$A42)</f>
        <v>acer-aspire-lite-14-al14-32p-n355-8-512</v>
      </c>
      <c r="C54" s="74" t="str">
        <f aca="false">IF($B54="","",IF(Varian!$J42="","(prosesor belum diisi)",Varian!$J42)&amp;" · "&amp;IF(ISNUMBER(Varian!$M42),Varian!$M42&amp;" GB RAM","RAM belum diisi")&amp;" · "&amp;IF(ISNUMBER(Varian!$V42),Varian!$V42&amp;" GB","penyimpanan belum diisi"))</f>
        <v>Intel Core 3 N355 · 8 GB RAM · 512 GB</v>
      </c>
      <c r="D54" s="84" t="str">
        <f aca="false">IF($B54="","",Perhitungan!$Q$190)</f>
        <v>Cocok</v>
      </c>
      <c r="E54" s="84" t="str">
        <f aca="false">IF($B54="","",Perhitungan!$Q$191)</f>
        <v>Bisa, dengan catatan</v>
      </c>
      <c r="F54" s="84" t="str">
        <f aca="false">IF($B54="","",Perhitungan!$Q$192)</f>
        <v>Bisa, dengan catatan</v>
      </c>
      <c r="G54" s="84" t="str">
        <f aca="false">IF($B54="","",Perhitungan!$Q$193)</f>
        <v>Bisa, dengan catatan</v>
      </c>
      <c r="H54" s="84" t="str">
        <f aca="false">IF($B54="","",Perhitungan!$Q$194)</f>
        <v>Kurang cocok</v>
      </c>
      <c r="I54" s="85" t="n">
        <f aca="false">IF($B54="","",Perhitungan!$AC$190)</f>
        <v>0</v>
      </c>
    </row>
    <row r="55" customFormat="false" ht="15" hidden="false" customHeight="true" outlineLevel="0" collapsed="false">
      <c r="A55" s="74" t="str">
        <f aca="false">IF(Varian!$A43="","",IFERROR(INDEX(Model!$B$4:$B$64,MATCH(Varian!$B43,Model!$A$4:$A$64,0))&amp;" "&amp;INDEX(Model!$C$4:$C$64,MATCH(Varian!$B43,Model!$A$4:$A$64,0)),IF(Varian!$B43="","(model belum diisi)",Varian!$B43)))</f>
        <v>Axioo Hype 5 Gen 12 v2</v>
      </c>
      <c r="B55" s="74" t="str">
        <f aca="false">IF(Varian!$A43="","",Varian!$A43)</f>
        <v>axioo-hype-5-gen-12-v2-i5-1235u-8-256</v>
      </c>
      <c r="C55" s="74" t="str">
        <f aca="false">IF($B55="","",IF(Varian!$J43="","(prosesor belum diisi)",Varian!$J43)&amp;" · "&amp;IF(ISNUMBER(Varian!$M43),Varian!$M43&amp;" GB RAM","RAM belum diisi")&amp;" · "&amp;IF(ISNUMBER(Varian!$V43),Varian!$V43&amp;" GB","penyimpanan belum diisi"))</f>
        <v>Intel Core i5-1235U · 8 GB RAM · 256 GB</v>
      </c>
      <c r="D55" s="84" t="str">
        <f aca="false">IF($B55="","",Perhitungan!$Q$195)</f>
        <v>Cocok</v>
      </c>
      <c r="E55" s="84" t="str">
        <f aca="false">IF($B55="","",Perhitungan!$Q$196)</f>
        <v>Bisa, dengan catatan</v>
      </c>
      <c r="F55" s="84" t="str">
        <f aca="false">IF($B55="","",Perhitungan!$Q$197)</f>
        <v>Bisa, dengan catatan</v>
      </c>
      <c r="G55" s="84" t="str">
        <f aca="false">IF($B55="","",Perhitungan!$Q$198)</f>
        <v>Cocok</v>
      </c>
      <c r="H55" s="84" t="str">
        <f aca="false">IF($B55="","",Perhitungan!$Q$199)</f>
        <v>Kurang cocok</v>
      </c>
      <c r="I55" s="85" t="n">
        <f aca="false">IF($B55="","",Perhitungan!$AC$195)</f>
        <v>0</v>
      </c>
    </row>
    <row r="56" customFormat="false" ht="15" hidden="false" customHeight="true" outlineLevel="0" collapsed="false">
      <c r="A56" s="74" t="str">
        <f aca="false">IF(Varian!$A44="","",IFERROR(INDEX(Model!$B$4:$B$64,MATCH(Varian!$B44,Model!$A$4:$A$64,0))&amp;" "&amp;INDEX(Model!$C$4:$C$64,MATCH(Varian!$B44,Model!$A$4:$A$64,0)),IF(Varian!$B44="","(model belum diisi)",Varian!$B44)))</f>
        <v>Advan Workplus AI (Ryzen 7 255)</v>
      </c>
      <c r="B56" s="74" t="str">
        <f aca="false">IF(Varian!$A44="","",Varian!$A44)</f>
        <v>advan-workplus-ai-r7-255-8-512</v>
      </c>
      <c r="C56" s="74" t="str">
        <f aca="false">IF($B56="","",IF(Varian!$J44="","(prosesor belum diisi)",Varian!$J44)&amp;" · "&amp;IF(ISNUMBER(Varian!$M44),Varian!$M44&amp;" GB RAM","RAM belum diisi")&amp;" · "&amp;IF(ISNUMBER(Varian!$V44),Varian!$V44&amp;" GB","penyimpanan belum diisi"))</f>
        <v>AMD Ryzen 7 255 · 8 GB RAM · 512 GB</v>
      </c>
      <c r="D56" s="84" t="str">
        <f aca="false">IF($B56="","",Perhitungan!$Q$200)</f>
        <v>Cocok</v>
      </c>
      <c r="E56" s="84" t="str">
        <f aca="false">IF($B56="","",Perhitungan!$Q$201)</f>
        <v>Bisa, dengan catatan</v>
      </c>
      <c r="F56" s="84" t="str">
        <f aca="false">IF($B56="","",Perhitungan!$Q$202)</f>
        <v>Bisa, dengan catatan</v>
      </c>
      <c r="G56" s="84" t="str">
        <f aca="false">IF($B56="","",Perhitungan!$Q$203)</f>
        <v>Cocok</v>
      </c>
      <c r="H56" s="84" t="str">
        <f aca="false">IF($B56="","",Perhitungan!$Q$204)</f>
        <v>Kurang cocok</v>
      </c>
      <c r="I56" s="85" t="n">
        <f aca="false">IF($B56="","",Perhitungan!$AC$200)</f>
        <v>1</v>
      </c>
    </row>
    <row r="57" customFormat="false" ht="15" hidden="false" customHeight="true" outlineLevel="0" collapsed="false">
      <c r="A57" s="74" t="str">
        <f aca="false">IF(Varian!$A45="","",IFERROR(INDEX(Model!$B$4:$B$64,MATCH(Varian!$B45,Model!$A$4:$A$64,0))&amp;" "&amp;INDEX(Model!$C$4:$C$64,MATCH(Varian!$B45,Model!$A$4:$A$64,0)),IF(Varian!$B45="","(model belum diisi)",Varian!$B45)))</f>
        <v>Infinix XBOOK 14 NEO</v>
      </c>
      <c r="B57" s="74" t="str">
        <f aca="false">IF(Varian!$A45="","",Varian!$A45)</f>
        <v>infinix-xbook-14-neo-i3-1315u-8-256</v>
      </c>
      <c r="C57" s="74" t="str">
        <f aca="false">IF($B57="","",IF(Varian!$J45="","(prosesor belum diisi)",Varian!$J45)&amp;" · "&amp;IF(ISNUMBER(Varian!$M45),Varian!$M45&amp;" GB RAM","RAM belum diisi")&amp;" · "&amp;IF(ISNUMBER(Varian!$V45),Varian!$V45&amp;" GB","penyimpanan belum diisi"))</f>
        <v>Intel Core i3-1315U · 8 GB RAM · 256 GB</v>
      </c>
      <c r="D57" s="84" t="str">
        <f aca="false">IF($B57="","",Perhitungan!$Q$205)</f>
        <v>Cocok</v>
      </c>
      <c r="E57" s="84" t="str">
        <f aca="false">IF($B57="","",Perhitungan!$Q$206)</f>
        <v>Bisa, dengan catatan</v>
      </c>
      <c r="F57" s="84" t="str">
        <f aca="false">IF($B57="","",Perhitungan!$Q$207)</f>
        <v>Bisa, dengan catatan</v>
      </c>
      <c r="G57" s="84" t="str">
        <f aca="false">IF($B57="","",Perhitungan!$Q$208)</f>
        <v>Bisa, dengan catatan</v>
      </c>
      <c r="H57" s="84" t="str">
        <f aca="false">IF($B57="","",Perhitungan!$Q$209)</f>
        <v>Kurang cocok</v>
      </c>
      <c r="I57" s="85" t="n">
        <f aca="false">IF($B57="","",Perhitungan!$AC$205)</f>
        <v>1</v>
      </c>
    </row>
    <row r="58" customFormat="false" ht="15" hidden="false" customHeight="true" outlineLevel="0" collapsed="false">
      <c r="A58" s="74" t="str">
        <f aca="false">IF(Varian!$A46="","",IFERROR(INDEX(Model!$B$4:$B$64,MATCH(Varian!$B46,Model!$A$4:$A$64,0))&amp;" "&amp;INDEX(Model!$C$4:$C$64,MATCH(Varian!$B46,Model!$A$4:$A$64,0)),IF(Varian!$B46="","(model belum diisi)",Varian!$B46)))</f>
        <v>Acer Chromebook 311 C733T</v>
      </c>
      <c r="B58" s="74" t="str">
        <f aca="false">IF(Varian!$A46="","",Varian!$A46)</f>
        <v>acer-chromebook-311-c733t-n4020-4-32</v>
      </c>
      <c r="C58" s="74" t="str">
        <f aca="false">IF($B58="","",IF(Varian!$J46="","(prosesor belum diisi)",Varian!$J46)&amp;" · "&amp;IF(ISNUMBER(Varian!$M46),Varian!$M46&amp;" GB RAM","RAM belum diisi")&amp;" · "&amp;IF(ISNUMBER(Varian!$V46),Varian!$V46&amp;" GB","penyimpanan belum diisi"))</f>
        <v>Intel Celeron N4020 · 4 GB RAM · 32 GB</v>
      </c>
      <c r="D58" s="84" t="str">
        <f aca="false">IF($B58="","",Perhitungan!$Q$210)</f>
        <v>Kurang cocok</v>
      </c>
      <c r="E58" s="84" t="str">
        <f aca="false">IF($B58="","",Perhitungan!$Q$211)</f>
        <v>Kurang cocok</v>
      </c>
      <c r="F58" s="84" t="str">
        <f aca="false">IF($B58="","",Perhitungan!$Q$212)</f>
        <v>Kurang cocok</v>
      </c>
      <c r="G58" s="84" t="str">
        <f aca="false">IF($B58="","",Perhitungan!$Q$213)</f>
        <v>Kurang cocok</v>
      </c>
      <c r="H58" s="84" t="str">
        <f aca="false">IF($B58="","",Perhitungan!$Q$214)</f>
        <v>Kurang cocok</v>
      </c>
      <c r="I58" s="85" t="n">
        <f aca="false">IF($B58="","",Perhitungan!$AC$210)</f>
        <v>3</v>
      </c>
    </row>
    <row r="59" customFormat="false" ht="15" hidden="false" customHeight="true" outlineLevel="0" collapsed="false">
      <c r="A59" s="74" t="str">
        <f aca="false">IF(Varian!$A47="","",IFERROR(INDEX(Model!$B$4:$B$64,MATCH(Varian!$B47,Model!$A$4:$A$64,0))&amp;" "&amp;INDEX(Model!$C$4:$C$64,MATCH(Varian!$B47,Model!$A$4:$A$64,0)),IF(Varian!$B47="","(model belum diisi)",Varian!$B47)))</f>
        <v>Apple MacBook Air 13 inci (chip M1, 2020)</v>
      </c>
      <c r="B59" s="74" t="str">
        <f aca="false">IF(Varian!$A47="","",Varian!$A47)</f>
        <v>apple-macbook-air-13-m1-m1-8-256</v>
      </c>
      <c r="C59" s="74" t="str">
        <f aca="false">IF($B59="","",IF(Varian!$J47="","(prosesor belum diisi)",Varian!$J47)&amp;" · "&amp;IF(ISNUMBER(Varian!$M47),Varian!$M47&amp;" GB RAM","RAM belum diisi")&amp;" · "&amp;IF(ISNUMBER(Varian!$V47),Varian!$V47&amp;" GB","penyimpanan belum diisi"))</f>
        <v>Apple M1 · 8 GB RAM · 256 GB</v>
      </c>
      <c r="D59" s="84" t="str">
        <f aca="false">IF($B59="","",Perhitungan!$Q$215)</f>
        <v>Cocok</v>
      </c>
      <c r="E59" s="84" t="str">
        <f aca="false">IF($B59="","",Perhitungan!$Q$216)</f>
        <v>Bisa, dengan catatan</v>
      </c>
      <c r="F59" s="84" t="str">
        <f aca="false">IF($B59="","",Perhitungan!$Q$217)</f>
        <v>Bisa, dengan catatan</v>
      </c>
      <c r="G59" s="84" t="str">
        <f aca="false">IF($B59="","",Perhitungan!$Q$218)</f>
        <v>Cocok</v>
      </c>
      <c r="H59" s="84" t="str">
        <f aca="false">IF($B59="","",Perhitungan!$Q$219)</f>
        <v>Kurang cocok</v>
      </c>
      <c r="I59" s="85" t="n">
        <f aca="false">IF($B59="","",Perhitungan!$AC$215)</f>
        <v>2</v>
      </c>
    </row>
    <row r="60" customFormat="false" ht="15" hidden="false" customHeight="true" outlineLevel="0" collapsed="false">
      <c r="A60" s="74" t="str">
        <f aca="false">IF(Varian!$A48="","",IFERROR(INDEX(Model!$B$4:$B$64,MATCH(Varian!$B48,Model!$A$4:$A$64,0))&amp;" "&amp;INDEX(Model!$C$4:$C$64,MATCH(Varian!$B48,Model!$A$4:$A$64,0)),IF(Varian!$B48="","(model belum diisi)",Varian!$B48)))</f>
        <v>Lenovo ThinkPad X1 Carbon Gen 8 (2020)</v>
      </c>
      <c r="B60" s="74" t="str">
        <f aca="false">IF(Varian!$A48="","",Varian!$A48)</f>
        <v>lenovo-thinkpad-x1-carbon-gen-8-i5-10310u-16-256</v>
      </c>
      <c r="C60" s="74" t="str">
        <f aca="false">IF($B60="","",IF(Varian!$J48="","(prosesor belum diisi)",Varian!$J48)&amp;" · "&amp;IF(ISNUMBER(Varian!$M48),Varian!$M48&amp;" GB RAM","RAM belum diisi")&amp;" · "&amp;IF(ISNUMBER(Varian!$V48),Varian!$V48&amp;" GB","penyimpanan belum diisi"))</f>
        <v>Intel Core i5-10310U · 16 GB RAM · 256 GB</v>
      </c>
      <c r="D60" s="84" t="str">
        <f aca="false">IF($B60="","",Perhitungan!$Q$220)</f>
        <v>Cocok</v>
      </c>
      <c r="E60" s="84" t="str">
        <f aca="false">IF($B60="","",Perhitungan!$Q$221)</f>
        <v>Bisa, dengan catatan</v>
      </c>
      <c r="F60" s="84" t="str">
        <f aca="false">IF($B60="","",Perhitungan!$Q$222)</f>
        <v>Bisa, dengan catatan</v>
      </c>
      <c r="G60" s="84" t="str">
        <f aca="false">IF($B60="","",Perhitungan!$Q$223)</f>
        <v>Bisa, dengan catatan</v>
      </c>
      <c r="H60" s="84" t="str">
        <f aca="false">IF($B60="","",Perhitungan!$Q$224)</f>
        <v>Kurang cocok</v>
      </c>
      <c r="I60" s="85" t="n">
        <f aca="false">IF($B60="","",Perhitungan!$AC$220)</f>
        <v>0</v>
      </c>
    </row>
    <row r="61" customFormat="false" ht="15" hidden="false" customHeight="true" outlineLevel="0" collapsed="false">
      <c r="A61" s="74" t="str">
        <f aca="false">IF(Varian!$A49="","",IFERROR(INDEX(Model!$B$4:$B$64,MATCH(Varian!$B49,Model!$A$4:$A$64,0))&amp;" "&amp;INDEX(Model!$C$4:$C$64,MATCH(Varian!$B49,Model!$A$4:$A$64,0)),IF(Varian!$B49="","(model belum diisi)",Varian!$B49)))</f>
        <v>Dell XPS 13 9360 (2016-2017)</v>
      </c>
      <c r="B61" s="74" t="str">
        <f aca="false">IF(Varian!$A49="","",Varian!$A49)</f>
        <v>dell-xps-13-9360-i5-7200u-8-256</v>
      </c>
      <c r="C61" s="74" t="str">
        <f aca="false">IF($B61="","",IF(Varian!$J49="","(prosesor belum diisi)",Varian!$J49)&amp;" · "&amp;IF(ISNUMBER(Varian!$M49),Varian!$M49&amp;" GB RAM","RAM belum diisi")&amp;" · "&amp;IF(ISNUMBER(Varian!$V49),Varian!$V49&amp;" GB","penyimpanan belum diisi"))</f>
        <v>Intel Core i5-7200U · 8 GB RAM · 256 GB</v>
      </c>
      <c r="D61" s="84" t="str">
        <f aca="false">IF($B61="","",Perhitungan!$Q$225)</f>
        <v>Bisa, dengan catatan</v>
      </c>
      <c r="E61" s="84" t="str">
        <f aca="false">IF($B61="","",Perhitungan!$Q$226)</f>
        <v>Kurang cocok</v>
      </c>
      <c r="F61" s="84" t="str">
        <f aca="false">IF($B61="","",Perhitungan!$Q$227)</f>
        <v>Kurang cocok</v>
      </c>
      <c r="G61" s="84" t="str">
        <f aca="false">IF($B61="","",Perhitungan!$Q$228)</f>
        <v>Kurang cocok</v>
      </c>
      <c r="H61" s="84" t="str">
        <f aca="false">IF($B61="","",Perhitungan!$Q$229)</f>
        <v>Kurang cocok</v>
      </c>
      <c r="I61" s="85" t="n">
        <f aca="false">IF($B61="","",Perhitungan!$AC$225)</f>
        <v>2</v>
      </c>
    </row>
    <row r="62" customFormat="false" ht="15" hidden="false" customHeight="true" outlineLevel="0" collapsed="false">
      <c r="A62" s="74" t="str">
        <f aca="false">IF(Varian!$A50="","",IFERROR(INDEX(Model!$B$4:$B$64,MATCH(Varian!$B50,Model!$A$4:$A$64,0))&amp;" "&amp;INDEX(Model!$C$4:$C$64,MATCH(Varian!$B50,Model!$A$4:$A$64,0)),IF(Varian!$B50="","(model belum diisi)",Varian!$B50)))</f>
        <v>Lenovo ThinkPad E14 Gen 7 (Intel, Core 3 100U)</v>
      </c>
      <c r="B62" s="74" t="str">
        <f aca="false">IF(Varian!$A50="","",Varian!$A50)</f>
        <v>lenovo-thinkpad-e14-gen-7-core3-100u-8-512</v>
      </c>
      <c r="C62" s="74" t="str">
        <f aca="false">IF($B62="","",IF(Varian!$J50="","(prosesor belum diisi)",Varian!$J50)&amp;" · "&amp;IF(ISNUMBER(Varian!$M50),Varian!$M50&amp;" GB RAM","RAM belum diisi")&amp;" · "&amp;IF(ISNUMBER(Varian!$V50),Varian!$V50&amp;" GB","penyimpanan belum diisi"))</f>
        <v>Intel Core 3 100U · 8 GB RAM · 512 GB</v>
      </c>
      <c r="D62" s="84" t="str">
        <f aca="false">IF($B62="","",Perhitungan!$Q$230)</f>
        <v>Cocok</v>
      </c>
      <c r="E62" s="84" t="str">
        <f aca="false">IF($B62="","",Perhitungan!$Q$231)</f>
        <v>Bisa, dengan catatan</v>
      </c>
      <c r="F62" s="84" t="str">
        <f aca="false">IF($B62="","",Perhitungan!$Q$232)</f>
        <v>Bisa, dengan catatan</v>
      </c>
      <c r="G62" s="84" t="str">
        <f aca="false">IF($B62="","",Perhitungan!$Q$233)</f>
        <v>Bisa, dengan catatan</v>
      </c>
      <c r="H62" s="84" t="str">
        <f aca="false">IF($B62="","",Perhitungan!$Q$234)</f>
        <v>Kurang cocok</v>
      </c>
      <c r="I62" s="85" t="n">
        <f aca="false">IF($B62="","",Perhitungan!$AC$230)</f>
        <v>0</v>
      </c>
    </row>
    <row r="63" customFormat="false" ht="15" hidden="false" customHeight="true" outlineLevel="0" collapsed="false">
      <c r="A63" s="74" t="str">
        <f aca="false">IF(Varian!$A51="","",IFERROR(INDEX(Model!$B$4:$B$64,MATCH(Varian!$B51,Model!$A$4:$A$64,0))&amp;" "&amp;INDEX(Model!$C$4:$C$64,MATCH(Varian!$B51,Model!$A$4:$A$64,0)),IF(Varian!$B51="","(model belum diisi)",Varian!$B51)))</f>
        <v>Dell Inspiron 15 3530 (Core i7-1355U)</v>
      </c>
      <c r="B63" s="74" t="str">
        <f aca="false">IF(Varian!$A51="","",Varian!$A51)</f>
        <v>dell-inspiron-15-3530-i7-1355u-16-512</v>
      </c>
      <c r="C63" s="74" t="str">
        <f aca="false">IF($B63="","",IF(Varian!$J51="","(prosesor belum diisi)",Varian!$J51)&amp;" · "&amp;IF(ISNUMBER(Varian!$M51),Varian!$M51&amp;" GB RAM","RAM belum diisi")&amp;" · "&amp;IF(ISNUMBER(Varian!$V51),Varian!$V51&amp;" GB","penyimpanan belum diisi"))</f>
        <v>Intel Core i7-1355U · 16 GB RAM · 512 GB</v>
      </c>
      <c r="D63" s="84" t="str">
        <f aca="false">IF($B63="","",Perhitungan!$Q$235)</f>
        <v>Cocok</v>
      </c>
      <c r="E63" s="84" t="str">
        <f aca="false">IF($B63="","",Perhitungan!$Q$236)</f>
        <v>Bisa, dengan catatan</v>
      </c>
      <c r="F63" s="84" t="str">
        <f aca="false">IF($B63="","",Perhitungan!$Q$237)</f>
        <v>Cocok</v>
      </c>
      <c r="G63" s="84" t="str">
        <f aca="false">IF($B63="","",Perhitungan!$Q$238)</f>
        <v>Cocok</v>
      </c>
      <c r="H63" s="84" t="str">
        <f aca="false">IF($B63="","",Perhitungan!$Q$239)</f>
        <v>Kurang cocok</v>
      </c>
      <c r="I63" s="85" t="n">
        <f aca="false">IF($B63="","",Perhitungan!$AC$235)</f>
        <v>0</v>
      </c>
    </row>
    <row r="64" customFormat="false" ht="15" hidden="false" customHeight="true" outlineLevel="0" collapsed="false">
      <c r="A64" s="74" t="str">
        <f aca="false">IF(Varian!$A52="","",IFERROR(INDEX(Model!$B$4:$B$64,MATCH(Varian!$B52,Model!$A$4:$A$64,0))&amp;" "&amp;INDEX(Model!$C$4:$C$64,MATCH(Varian!$B52,Model!$A$4:$A$64,0)),IF(Varian!$B52="","(model belum diisi)",Varian!$B52)))</f>
        <v>HP Pavilion Plus Laptop 14-ew0021TU</v>
      </c>
      <c r="B64" s="74" t="str">
        <f aca="false">IF(Varian!$A52="","",Varian!$A52)</f>
        <v>hp-pavilion-plus-14-ew0021tu-i5-1335u-16-512</v>
      </c>
      <c r="C64" s="74" t="str">
        <f aca="false">IF($B64="","",IF(Varian!$J52="","(prosesor belum diisi)",Varian!$J52)&amp;" · "&amp;IF(ISNUMBER(Varian!$M52),Varian!$M52&amp;" GB RAM","RAM belum diisi")&amp;" · "&amp;IF(ISNUMBER(Varian!$V52),Varian!$V52&amp;" GB","penyimpanan belum diisi"))</f>
        <v>Intel Core i5-1335U · 16 GB RAM · 512 GB</v>
      </c>
      <c r="D64" s="84" t="str">
        <f aca="false">IF($B64="","",Perhitungan!$Q$240)</f>
        <v>Cocok</v>
      </c>
      <c r="E64" s="84" t="str">
        <f aca="false">IF($B64="","",Perhitungan!$Q$241)</f>
        <v>Bisa, dengan catatan</v>
      </c>
      <c r="F64" s="84" t="str">
        <f aca="false">IF($B64="","",Perhitungan!$Q$242)</f>
        <v>Cocok</v>
      </c>
      <c r="G64" s="84" t="str">
        <f aca="false">IF($B64="","",Perhitungan!$Q$243)</f>
        <v>Cocok</v>
      </c>
      <c r="H64" s="84" t="str">
        <f aca="false">IF($B64="","",Perhitungan!$Q$244)</f>
        <v>Kurang cocok</v>
      </c>
      <c r="I64" s="85" t="n">
        <f aca="false">IF($B64="","",Perhitungan!$AC$240)</f>
        <v>0</v>
      </c>
    </row>
    <row r="65" customFormat="false" ht="15" hidden="false" customHeight="true" outlineLevel="0" collapsed="false">
      <c r="A65" s="74" t="str">
        <f aca="false">IF(Varian!$A53="","",IFERROR(INDEX(Model!$B$4:$B$64,MATCH(Varian!$B53,Model!$A$4:$A$64,0))&amp;" "&amp;INDEX(Model!$C$4:$C$64,MATCH(Varian!$B53,Model!$A$4:$A$64,0)),IF(Varian!$B53="","(model belum diisi)",Varian!$B53)))</f>
        <v>ASUS ExpertBook P1 P1403CVA (Core 5 210H)</v>
      </c>
      <c r="B65" s="74" t="str">
        <f aca="false">IF(Varian!$A53="","",Varian!$A53)</f>
        <v>asus-expertbook-p1-p1403cva-core5-210h-8-512</v>
      </c>
      <c r="C65" s="74" t="str">
        <f aca="false">IF($B65="","",IF(Varian!$J53="","(prosesor belum diisi)",Varian!$J53)&amp;" · "&amp;IF(ISNUMBER(Varian!$M53),Varian!$M53&amp;" GB RAM","RAM belum diisi")&amp;" · "&amp;IF(ISNUMBER(Varian!$V53),Varian!$V53&amp;" GB","penyimpanan belum diisi"))</f>
        <v>Intel Core 5 210H · 8 GB RAM · 512 GB</v>
      </c>
      <c r="D65" s="84" t="str">
        <f aca="false">IF($B65="","",Perhitungan!$Q$245)</f>
        <v>Cocok</v>
      </c>
      <c r="E65" s="84" t="str">
        <f aca="false">IF($B65="","",Perhitungan!$Q$246)</f>
        <v>Bisa, dengan catatan</v>
      </c>
      <c r="F65" s="84" t="str">
        <f aca="false">IF($B65="","",Perhitungan!$Q$247)</f>
        <v>Bisa, dengan catatan</v>
      </c>
      <c r="G65" s="84" t="str">
        <f aca="false">IF($B65="","",Perhitungan!$Q$248)</f>
        <v>Cocok</v>
      </c>
      <c r="H65" s="84" t="str">
        <f aca="false">IF($B65="","",Perhitungan!$Q$249)</f>
        <v>Kurang cocok</v>
      </c>
      <c r="I65" s="85" t="n">
        <f aca="false">IF($B65="","",Perhitungan!$AC$245)</f>
        <v>0</v>
      </c>
    </row>
    <row r="66" customFormat="false" ht="15" hidden="false" customHeight="true" outlineLevel="0" collapsed="false">
      <c r="A66" s="74" t="str">
        <f aca="false">IF(Varian!$A54="","",IFERROR(INDEX(Model!$B$4:$B$64,MATCH(Varian!$B54,Model!$A$4:$A$64,0))&amp;" "&amp;INDEX(Model!$C$4:$C$64,MATCH(Varian!$B54,Model!$A$4:$A$64,0)),IF(Varian!$B54="","(model belum diisi)",Varian!$B54)))</f>
        <v>ASUS Vivobook Pro 15 OLED N6506</v>
      </c>
      <c r="B66" s="74" t="str">
        <f aca="false">IF(Varian!$A54="","",Varian!$A54)</f>
        <v>asus-vivobook-pro-15-oled-n6506-u9-285h-rtx4050-24-1tb</v>
      </c>
      <c r="C66" s="74" t="str">
        <f aca="false">IF($B66="","",IF(Varian!$J54="","(prosesor belum diisi)",Varian!$J54)&amp;" · "&amp;IF(ISNUMBER(Varian!$M54),Varian!$M54&amp;" GB RAM","RAM belum diisi")&amp;" · "&amp;IF(ISNUMBER(Varian!$V54),Varian!$V54&amp;" GB","penyimpanan belum diisi"))</f>
        <v>Intel Core Ultra 9 285H · 24 GB RAM · 1024 GB</v>
      </c>
      <c r="D66" s="84" t="str">
        <f aca="false">IF($B66="","",Perhitungan!$Q$250)</f>
        <v>Cocok</v>
      </c>
      <c r="E66" s="84" t="str">
        <f aca="false">IF($B66="","",Perhitungan!$Q$251)</f>
        <v>Cocok</v>
      </c>
      <c r="F66" s="84" t="str">
        <f aca="false">IF($B66="","",Perhitungan!$Q$252)</f>
        <v>Cocok</v>
      </c>
      <c r="G66" s="84" t="str">
        <f aca="false">IF($B66="","",Perhitungan!$Q$253)</f>
        <v>Cocok</v>
      </c>
      <c r="H66" s="84" t="str">
        <f aca="false">IF($B66="","",Perhitungan!$Q$254)</f>
        <v>Bisa, dengan catatan</v>
      </c>
      <c r="I66" s="85" t="n">
        <f aca="false">IF($B66="","",Perhitungan!$AC$250)</f>
        <v>0</v>
      </c>
    </row>
    <row r="67" customFormat="false" ht="15" hidden="false" customHeight="true" outlineLevel="0" collapsed="false">
      <c r="A67" s="74" t="str">
        <f aca="false">IF(Varian!$A55="","",IFERROR(INDEX(Model!$B$4:$B$64,MATCH(Varian!$B55,Model!$A$4:$A$64,0))&amp;" "&amp;INDEX(Model!$C$4:$C$64,MATCH(Varian!$B55,Model!$A$4:$A$64,0)),IF(Varian!$B55="","(model belum diisi)",Varian!$B55)))</f>
        <v>ASUS Vivobook S14 S3407QA (Snapdragon X)</v>
      </c>
      <c r="B67" s="74" t="str">
        <f aca="false">IF(Varian!$A55="","",Varian!$A55)</f>
        <v>asus-vivobook-s14-s3407qa-x1-26-100-16-512</v>
      </c>
      <c r="C67" s="74" t="str">
        <f aca="false">IF($B67="","",IF(Varian!$J55="","(prosesor belum diisi)",Varian!$J55)&amp;" · "&amp;IF(ISNUMBER(Varian!$M55),Varian!$M55&amp;" GB RAM","RAM belum diisi")&amp;" · "&amp;IF(ISNUMBER(Varian!$V55),Varian!$V55&amp;" GB","penyimpanan belum diisi"))</f>
        <v>Qualcomm Snapdragon X X1-26-100 · 16 GB RAM · 512 GB</v>
      </c>
      <c r="D67" s="84" t="str">
        <f aca="false">IF($B67="","",Perhitungan!$Q$255)</f>
        <v>Cocok</v>
      </c>
      <c r="E67" s="84" t="str">
        <f aca="false">IF($B67="","",Perhitungan!$Q$256)</f>
        <v>Cocok</v>
      </c>
      <c r="F67" s="84" t="str">
        <f aca="false">IF($B67="","",Perhitungan!$Q$257)</f>
        <v>Cocok</v>
      </c>
      <c r="G67" s="84" t="str">
        <f aca="false">IF($B67="","",Perhitungan!$Q$258)</f>
        <v>Cocok</v>
      </c>
      <c r="H67" s="84" t="str">
        <f aca="false">IF($B67="","",Perhitungan!$Q$259)</f>
        <v>Kurang cocok</v>
      </c>
      <c r="I67" s="85" t="n">
        <f aca="false">IF($B67="","",Perhitungan!$AC$255)</f>
        <v>0</v>
      </c>
    </row>
    <row r="68" customFormat="false" ht="15" hidden="false" customHeight="true" outlineLevel="0" collapsed="false">
      <c r="A68" s="74" t="str">
        <f aca="false">IF(Varian!$A56="","",IFERROR(INDEX(Model!$B$4:$B$64,MATCH(Varian!$B56,Model!$A$4:$A$64,0))&amp;" "&amp;INDEX(Model!$C$4:$C$64,MATCH(Varian!$B56,Model!$A$4:$A$64,0)),IF(Varian!$B56="","(model belum diisi)",Varian!$B56)))</f>
        <v>Lenovo Yoga 7i 2-in-1 14 Gen 10 (14ILL10)</v>
      </c>
      <c r="B68" s="74" t="str">
        <f aca="false">IF(Varian!$A56="","",Varian!$A56)</f>
        <v>lenovo-yoga-7-2-in-1-14ill10-u7-258v-32-1tb</v>
      </c>
      <c r="C68" s="74" t="str">
        <f aca="false">IF($B68="","",IF(Varian!$J56="","(prosesor belum diisi)",Varian!$J56)&amp;" · "&amp;IF(ISNUMBER(Varian!$M56),Varian!$M56&amp;" GB RAM","RAM belum diisi")&amp;" · "&amp;IF(ISNUMBER(Varian!$V56),Varian!$V56&amp;" GB","penyimpanan belum diisi"))</f>
        <v>Intel Core Ultra 7 258V · 32 GB RAM · 1024 GB</v>
      </c>
      <c r="D68" s="84" t="str">
        <f aca="false">IF($B68="","",Perhitungan!$Q$260)</f>
        <v>Cocok</v>
      </c>
      <c r="E68" s="84" t="str">
        <f aca="false">IF($B68="","",Perhitungan!$Q$261)</f>
        <v>Cocok</v>
      </c>
      <c r="F68" s="84" t="str">
        <f aca="false">IF($B68="","",Perhitungan!$Q$262)</f>
        <v>Cocok</v>
      </c>
      <c r="G68" s="84" t="str">
        <f aca="false">IF($B68="","",Perhitungan!$Q$263)</f>
        <v>Cocok</v>
      </c>
      <c r="H68" s="84" t="str">
        <f aca="false">IF($B68="","",Perhitungan!$Q$264)</f>
        <v>Kurang cocok</v>
      </c>
      <c r="I68" s="85" t="n">
        <f aca="false">IF($B68="","",Perhitungan!$AC$260)</f>
        <v>0</v>
      </c>
    </row>
    <row r="69" customFormat="false" ht="15" hidden="false" customHeight="true" outlineLevel="0" collapsed="false">
      <c r="A69" s="74" t="str">
        <f aca="false">IF(Varian!$A57="","",IFERROR(INDEX(Model!$B$4:$B$64,MATCH(Varian!$B57,Model!$A$4:$A$64,0))&amp;" "&amp;INDEX(Model!$C$4:$C$64,MATCH(Varian!$B57,Model!$A$4:$A$64,0)),IF(Varian!$B57="","(model belum diisi)",Varian!$B57)))</f>
        <v/>
      </c>
      <c r="B69" s="74" t="str">
        <f aca="false">IF(Varian!$A57="","",Varian!$A57)</f>
        <v/>
      </c>
      <c r="C69" s="74" t="str">
        <f aca="false">IF($B69="","",IF(Varian!$J57="","(prosesor belum diisi)",Varian!$J57)&amp;" · "&amp;IF(ISNUMBER(Varian!$M57),Varian!$M57&amp;" GB RAM","RAM belum diisi")&amp;" · "&amp;IF(ISNUMBER(Varian!$V57),Varian!$V57&amp;" GB","penyimpanan belum diisi"))</f>
        <v/>
      </c>
      <c r="D69" s="84" t="str">
        <f aca="false">IF($B69="","",Perhitungan!$Q$265)</f>
        <v/>
      </c>
      <c r="E69" s="84" t="str">
        <f aca="false">IF($B69="","",Perhitungan!$Q$266)</f>
        <v/>
      </c>
      <c r="F69" s="84" t="str">
        <f aca="false">IF($B69="","",Perhitungan!$Q$267)</f>
        <v/>
      </c>
      <c r="G69" s="84" t="str">
        <f aca="false">IF($B69="","",Perhitungan!$Q$268)</f>
        <v/>
      </c>
      <c r="H69" s="84" t="str">
        <f aca="false">IF($B69="","",Perhitungan!$Q$269)</f>
        <v/>
      </c>
      <c r="I69" s="85" t="str">
        <f aca="false">IF($B69="","",Perhitungan!$AC$265)</f>
        <v/>
      </c>
    </row>
    <row r="70" customFormat="false" ht="15" hidden="false" customHeight="true" outlineLevel="0" collapsed="false">
      <c r="A70" s="74" t="str">
        <f aca="false">IF(Varian!$A58="","",IFERROR(INDEX(Model!$B$4:$B$64,MATCH(Varian!$B58,Model!$A$4:$A$64,0))&amp;" "&amp;INDEX(Model!$C$4:$C$64,MATCH(Varian!$B58,Model!$A$4:$A$64,0)),IF(Varian!$B58="","(model belum diisi)",Varian!$B58)))</f>
        <v/>
      </c>
      <c r="B70" s="74" t="str">
        <f aca="false">IF(Varian!$A58="","",Varian!$A58)</f>
        <v/>
      </c>
      <c r="C70" s="74" t="str">
        <f aca="false">IF($B70="","",IF(Varian!$J58="","(prosesor belum diisi)",Varian!$J58)&amp;" · "&amp;IF(ISNUMBER(Varian!$M58),Varian!$M58&amp;" GB RAM","RAM belum diisi")&amp;" · "&amp;IF(ISNUMBER(Varian!$V58),Varian!$V58&amp;" GB","penyimpanan belum diisi"))</f>
        <v/>
      </c>
      <c r="D70" s="84" t="str">
        <f aca="false">IF($B70="","",Perhitungan!$Q$270)</f>
        <v/>
      </c>
      <c r="E70" s="84" t="str">
        <f aca="false">IF($B70="","",Perhitungan!$Q$271)</f>
        <v/>
      </c>
      <c r="F70" s="84" t="str">
        <f aca="false">IF($B70="","",Perhitungan!$Q$272)</f>
        <v/>
      </c>
      <c r="G70" s="84" t="str">
        <f aca="false">IF($B70="","",Perhitungan!$Q$273)</f>
        <v/>
      </c>
      <c r="H70" s="84" t="str">
        <f aca="false">IF($B70="","",Perhitungan!$Q$274)</f>
        <v/>
      </c>
      <c r="I70" s="85" t="str">
        <f aca="false">IF($B70="","",Perhitungan!$AC$270)</f>
        <v/>
      </c>
    </row>
    <row r="71" customFormat="false" ht="15" hidden="false" customHeight="true" outlineLevel="0" collapsed="false">
      <c r="A71" s="74" t="str">
        <f aca="false">IF(Varian!$A59="","",IFERROR(INDEX(Model!$B$4:$B$64,MATCH(Varian!$B59,Model!$A$4:$A$64,0))&amp;" "&amp;INDEX(Model!$C$4:$C$64,MATCH(Varian!$B59,Model!$A$4:$A$64,0)),IF(Varian!$B59="","(model belum diisi)",Varian!$B59)))</f>
        <v/>
      </c>
      <c r="B71" s="74" t="str">
        <f aca="false">IF(Varian!$A59="","",Varian!$A59)</f>
        <v/>
      </c>
      <c r="C71" s="74" t="str">
        <f aca="false">IF($B71="","",IF(Varian!$J59="","(prosesor belum diisi)",Varian!$J59)&amp;" · "&amp;IF(ISNUMBER(Varian!$M59),Varian!$M59&amp;" GB RAM","RAM belum diisi")&amp;" · "&amp;IF(ISNUMBER(Varian!$V59),Varian!$V59&amp;" GB","penyimpanan belum diisi"))</f>
        <v/>
      </c>
      <c r="D71" s="84" t="str">
        <f aca="false">IF($B71="","",Perhitungan!$Q$275)</f>
        <v/>
      </c>
      <c r="E71" s="84" t="str">
        <f aca="false">IF($B71="","",Perhitungan!$Q$276)</f>
        <v/>
      </c>
      <c r="F71" s="84" t="str">
        <f aca="false">IF($B71="","",Perhitungan!$Q$277)</f>
        <v/>
      </c>
      <c r="G71" s="84" t="str">
        <f aca="false">IF($B71="","",Perhitungan!$Q$278)</f>
        <v/>
      </c>
      <c r="H71" s="84" t="str">
        <f aca="false">IF($B71="","",Perhitungan!$Q$279)</f>
        <v/>
      </c>
      <c r="I71" s="85" t="str">
        <f aca="false">IF($B71="","",Perhitungan!$AC$275)</f>
        <v/>
      </c>
    </row>
    <row r="72" customFormat="false" ht="15" hidden="false" customHeight="true" outlineLevel="0" collapsed="false">
      <c r="A72" s="74" t="str">
        <f aca="false">IF(Varian!$A60="","",IFERROR(INDEX(Model!$B$4:$B$64,MATCH(Varian!$B60,Model!$A$4:$A$64,0))&amp;" "&amp;INDEX(Model!$C$4:$C$64,MATCH(Varian!$B60,Model!$A$4:$A$64,0)),IF(Varian!$B60="","(model belum diisi)",Varian!$B60)))</f>
        <v/>
      </c>
      <c r="B72" s="74" t="str">
        <f aca="false">IF(Varian!$A60="","",Varian!$A60)</f>
        <v/>
      </c>
      <c r="C72" s="74" t="str">
        <f aca="false">IF($B72="","",IF(Varian!$J60="","(prosesor belum diisi)",Varian!$J60)&amp;" · "&amp;IF(ISNUMBER(Varian!$M60),Varian!$M60&amp;" GB RAM","RAM belum diisi")&amp;" · "&amp;IF(ISNUMBER(Varian!$V60),Varian!$V60&amp;" GB","penyimpanan belum diisi"))</f>
        <v/>
      </c>
      <c r="D72" s="84" t="str">
        <f aca="false">IF($B72="","",Perhitungan!$Q$280)</f>
        <v/>
      </c>
      <c r="E72" s="84" t="str">
        <f aca="false">IF($B72="","",Perhitungan!$Q$281)</f>
        <v/>
      </c>
      <c r="F72" s="84" t="str">
        <f aca="false">IF($B72="","",Perhitungan!$Q$282)</f>
        <v/>
      </c>
      <c r="G72" s="84" t="str">
        <f aca="false">IF($B72="","",Perhitungan!$Q$283)</f>
        <v/>
      </c>
      <c r="H72" s="84" t="str">
        <f aca="false">IF($B72="","",Perhitungan!$Q$284)</f>
        <v/>
      </c>
      <c r="I72" s="85" t="str">
        <f aca="false">IF($B72="","",Perhitungan!$AC$280)</f>
        <v/>
      </c>
    </row>
    <row r="73" customFormat="false" ht="15" hidden="false" customHeight="true" outlineLevel="0" collapsed="false">
      <c r="A73" s="74" t="str">
        <f aca="false">IF(Varian!$A61="","",IFERROR(INDEX(Model!$B$4:$B$64,MATCH(Varian!$B61,Model!$A$4:$A$64,0))&amp;" "&amp;INDEX(Model!$C$4:$C$64,MATCH(Varian!$B61,Model!$A$4:$A$64,0)),IF(Varian!$B61="","(model belum diisi)",Varian!$B61)))</f>
        <v/>
      </c>
      <c r="B73" s="74" t="str">
        <f aca="false">IF(Varian!$A61="","",Varian!$A61)</f>
        <v/>
      </c>
      <c r="C73" s="74" t="str">
        <f aca="false">IF($B73="","",IF(Varian!$J61="","(prosesor belum diisi)",Varian!$J61)&amp;" · "&amp;IF(ISNUMBER(Varian!$M61),Varian!$M61&amp;" GB RAM","RAM belum diisi")&amp;" · "&amp;IF(ISNUMBER(Varian!$V61),Varian!$V61&amp;" GB","penyimpanan belum diisi"))</f>
        <v/>
      </c>
      <c r="D73" s="84" t="str">
        <f aca="false">IF($B73="","",Perhitungan!$Q$285)</f>
        <v/>
      </c>
      <c r="E73" s="84" t="str">
        <f aca="false">IF($B73="","",Perhitungan!$Q$286)</f>
        <v/>
      </c>
      <c r="F73" s="84" t="str">
        <f aca="false">IF($B73="","",Perhitungan!$Q$287)</f>
        <v/>
      </c>
      <c r="G73" s="84" t="str">
        <f aca="false">IF($B73="","",Perhitungan!$Q$288)</f>
        <v/>
      </c>
      <c r="H73" s="84" t="str">
        <f aca="false">IF($B73="","",Perhitungan!$Q$289)</f>
        <v/>
      </c>
      <c r="I73" s="85" t="str">
        <f aca="false">IF($B73="","",Perhitungan!$AC$285)</f>
        <v/>
      </c>
    </row>
    <row r="74" customFormat="false" ht="15" hidden="false" customHeight="true" outlineLevel="0" collapsed="false">
      <c r="A74" s="74" t="str">
        <f aca="false">IF(Varian!$A62="","",IFERROR(INDEX(Model!$B$4:$B$64,MATCH(Varian!$B62,Model!$A$4:$A$64,0))&amp;" "&amp;INDEX(Model!$C$4:$C$64,MATCH(Varian!$B62,Model!$A$4:$A$64,0)),IF(Varian!$B62="","(model belum diisi)",Varian!$B62)))</f>
        <v/>
      </c>
      <c r="B74" s="74" t="str">
        <f aca="false">IF(Varian!$A62="","",Varian!$A62)</f>
        <v/>
      </c>
      <c r="C74" s="74" t="str">
        <f aca="false">IF($B74="","",IF(Varian!$J62="","(prosesor belum diisi)",Varian!$J62)&amp;" · "&amp;IF(ISNUMBER(Varian!$M62),Varian!$M62&amp;" GB RAM","RAM belum diisi")&amp;" · "&amp;IF(ISNUMBER(Varian!$V62),Varian!$V62&amp;" GB","penyimpanan belum diisi"))</f>
        <v/>
      </c>
      <c r="D74" s="84" t="str">
        <f aca="false">IF($B74="","",Perhitungan!$Q$290)</f>
        <v/>
      </c>
      <c r="E74" s="84" t="str">
        <f aca="false">IF($B74="","",Perhitungan!$Q$291)</f>
        <v/>
      </c>
      <c r="F74" s="84" t="str">
        <f aca="false">IF($B74="","",Perhitungan!$Q$292)</f>
        <v/>
      </c>
      <c r="G74" s="84" t="str">
        <f aca="false">IF($B74="","",Perhitungan!$Q$293)</f>
        <v/>
      </c>
      <c r="H74" s="84" t="str">
        <f aca="false">IF($B74="","",Perhitungan!$Q$294)</f>
        <v/>
      </c>
      <c r="I74" s="85" t="str">
        <f aca="false">IF($B74="","",Perhitungan!$AC$290)</f>
        <v/>
      </c>
    </row>
    <row r="75" customFormat="false" ht="15" hidden="false" customHeight="true" outlineLevel="0" collapsed="false">
      <c r="A75" s="74" t="str">
        <f aca="false">IF(Varian!$A63="","",IFERROR(INDEX(Model!$B$4:$B$64,MATCH(Varian!$B63,Model!$A$4:$A$64,0))&amp;" "&amp;INDEX(Model!$C$4:$C$64,MATCH(Varian!$B63,Model!$A$4:$A$64,0)),IF(Varian!$B63="","(model belum diisi)",Varian!$B63)))</f>
        <v/>
      </c>
      <c r="B75" s="74" t="str">
        <f aca="false">IF(Varian!$A63="","",Varian!$A63)</f>
        <v/>
      </c>
      <c r="C75" s="74" t="str">
        <f aca="false">IF($B75="","",IF(Varian!$J63="","(prosesor belum diisi)",Varian!$J63)&amp;" · "&amp;IF(ISNUMBER(Varian!$M63),Varian!$M63&amp;" GB RAM","RAM belum diisi")&amp;" · "&amp;IF(ISNUMBER(Varian!$V63),Varian!$V63&amp;" GB","penyimpanan belum diisi"))</f>
        <v/>
      </c>
      <c r="D75" s="84" t="str">
        <f aca="false">IF($B75="","",Perhitungan!$Q$295)</f>
        <v/>
      </c>
      <c r="E75" s="84" t="str">
        <f aca="false">IF($B75="","",Perhitungan!$Q$296)</f>
        <v/>
      </c>
      <c r="F75" s="84" t="str">
        <f aca="false">IF($B75="","",Perhitungan!$Q$297)</f>
        <v/>
      </c>
      <c r="G75" s="84" t="str">
        <f aca="false">IF($B75="","",Perhitungan!$Q$298)</f>
        <v/>
      </c>
      <c r="H75" s="84" t="str">
        <f aca="false">IF($B75="","",Perhitungan!$Q$299)</f>
        <v/>
      </c>
      <c r="I75" s="85" t="str">
        <f aca="false">IF($B75="","",Perhitungan!$AC$295)</f>
        <v/>
      </c>
    </row>
    <row r="76" customFormat="false" ht="15" hidden="false" customHeight="true" outlineLevel="0" collapsed="false">
      <c r="A76" s="74" t="str">
        <f aca="false">IF(Varian!$A64="","",IFERROR(INDEX(Model!$B$4:$B$64,MATCH(Varian!$B64,Model!$A$4:$A$64,0))&amp;" "&amp;INDEX(Model!$C$4:$C$64,MATCH(Varian!$B64,Model!$A$4:$A$64,0)),IF(Varian!$B64="","(model belum diisi)",Varian!$B64)))</f>
        <v/>
      </c>
      <c r="B76" s="74" t="str">
        <f aca="false">IF(Varian!$A64="","",Varian!$A64)</f>
        <v/>
      </c>
      <c r="C76" s="74" t="str">
        <f aca="false">IF($B76="","",IF(Varian!$J64="","(prosesor belum diisi)",Varian!$J64)&amp;" · "&amp;IF(ISNUMBER(Varian!$M64),Varian!$M64&amp;" GB RAM","RAM belum diisi")&amp;" · "&amp;IF(ISNUMBER(Varian!$V64),Varian!$V64&amp;" GB","penyimpanan belum diisi"))</f>
        <v/>
      </c>
      <c r="D76" s="84" t="str">
        <f aca="false">IF($B76="","",Perhitungan!$Q$300)</f>
        <v/>
      </c>
      <c r="E76" s="84" t="str">
        <f aca="false">IF($B76="","",Perhitungan!$Q$301)</f>
        <v/>
      </c>
      <c r="F76" s="84" t="str">
        <f aca="false">IF($B76="","",Perhitungan!$Q$302)</f>
        <v/>
      </c>
      <c r="G76" s="84" t="str">
        <f aca="false">IF($B76="","",Perhitungan!$Q$303)</f>
        <v/>
      </c>
      <c r="H76" s="84" t="str">
        <f aca="false">IF($B76="","",Perhitungan!$Q$304)</f>
        <v/>
      </c>
      <c r="I76" s="85" t="str">
        <f aca="false">IF($B76="","",Perhitungan!$AC$300)</f>
        <v/>
      </c>
    </row>
  </sheetData>
  <mergeCells count="9">
    <mergeCell ref="B4:C4"/>
    <mergeCell ref="B5:I5"/>
    <mergeCell ref="C7:I7"/>
    <mergeCell ref="C8:I8"/>
    <mergeCell ref="C9:I9"/>
    <mergeCell ref="C10:I10"/>
    <mergeCell ref="C11:I11"/>
    <mergeCell ref="C12:I12"/>
    <mergeCell ref="C13:I13"/>
  </mergeCells>
  <conditionalFormatting sqref="B8:B12">
    <cfRule type="cellIs" priority="2" operator="equal" aboveAverage="0" equalAverage="0" bottom="0" percent="0" rank="0" text="" dxfId="18">
      <formula>"Cocok"</formula>
    </cfRule>
    <cfRule type="cellIs" priority="3" operator="equal" aboveAverage="0" equalAverage="0" bottom="0" percent="0" rank="0" text="" dxfId="19">
      <formula>"Bisa, dengan catatan"</formula>
    </cfRule>
    <cfRule type="cellIs" priority="4" operator="equal" aboveAverage="0" equalAverage="0" bottom="0" percent="0" rank="0" text="" dxfId="21">
      <formula>"Data belum lengkap"</formula>
    </cfRule>
    <cfRule type="cellIs" priority="5" operator="equal" aboveAverage="0" equalAverage="0" bottom="0" percent="0" rank="0" text="" dxfId="20">
      <formula>"Kurang cocok"</formula>
    </cfRule>
    <cfRule type="cellIs" priority="6" operator="equal" aboveAverage="0" equalAverage="0" bottom="0" percent="0" rank="0" text="" dxfId="23">
      <formula>"Tidak dinilai"</formula>
    </cfRule>
  </conditionalFormatting>
  <conditionalFormatting sqref="D17:H76">
    <cfRule type="cellIs" priority="7" operator="equal" aboveAverage="0" equalAverage="0" bottom="0" percent="0" rank="0" text="" dxfId="18">
      <formula>"Cocok"</formula>
    </cfRule>
    <cfRule type="cellIs" priority="8" operator="equal" aboveAverage="0" equalAverage="0" bottom="0" percent="0" rank="0" text="" dxfId="19">
      <formula>"Bisa, dengan catatan"</formula>
    </cfRule>
    <cfRule type="cellIs" priority="9" operator="equal" aboveAverage="0" equalAverage="0" bottom="0" percent="0" rank="0" text="" dxfId="21">
      <formula>"Data belum lengkap"</formula>
    </cfRule>
    <cfRule type="cellIs" priority="10" operator="equal" aboveAverage="0" equalAverage="0" bottom="0" percent="0" rank="0" text="" dxfId="20">
      <formula>"Kurang cocok"</formula>
    </cfRule>
    <cfRule type="cellIs" priority="11" operator="equal" aboveAverage="0" equalAverage="0" bottom="0" percent="0" rank="0" text="" dxfId="23">
      <formula>"Tidak dinilai"</formula>
    </cfRule>
  </conditionalFormatting>
  <dataValidations count="1">
    <dataValidation allowBlank="true" error="Pilih dari daftar. Daftar ini diambil dari kolom ID varian di tab Varian." errorStyle="stop" errorTitle="Varian tidak ada" operator="between" prompt="Pilih ID varian untuk melihat alasan hasilnya di bawah." promptTitle="Pilih varian" showDropDown="false" showErrorMessage="true" showInputMessage="true" sqref="B4" type="list">
      <formula1>Varian!$A$5:$A$64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040"/>
    <pageSetUpPr fitToPage="false"/>
  </sheetPr>
  <dimension ref="A1:A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25"/>
    <col collapsed="false" customWidth="true" hidden="false" outlineLevel="0" max="3" min="3" style="1" width="19"/>
    <col collapsed="false" customWidth="true" hidden="false" outlineLevel="0" max="4" min="4" style="1" width="22"/>
    <col collapsed="false" customWidth="true" hidden="false" outlineLevel="0" max="5" min="5" style="1" width="26"/>
    <col collapsed="false" customWidth="true" hidden="false" outlineLevel="0" max="6" min="6" style="1" width="27"/>
    <col collapsed="false" customWidth="true" hidden="false" outlineLevel="0" max="7" min="7" style="1" width="19"/>
    <col collapsed="false" customWidth="true" hidden="false" outlineLevel="0" max="10" min="8" style="1" width="16"/>
    <col collapsed="false" customWidth="true" hidden="false" outlineLevel="0" max="11" min="11" style="1" width="23"/>
    <col collapsed="false" customWidth="true" hidden="false" outlineLevel="0" max="14" min="12" style="1" width="16"/>
    <col collapsed="false" customWidth="true" hidden="false" outlineLevel="0" max="15" min="15" style="1" width="21"/>
    <col collapsed="false" customWidth="true" hidden="false" outlineLevel="0" max="16" min="16" style="1" width="18"/>
    <col collapsed="false" customWidth="true" hidden="false" outlineLevel="0" max="17" min="17" style="1" width="20"/>
    <col collapsed="false" customWidth="true" hidden="false" outlineLevel="0" max="18" min="18" style="1" width="23"/>
    <col collapsed="false" customWidth="true" hidden="false" outlineLevel="0" max="19" min="19" style="1" width="22"/>
    <col collapsed="false" customWidth="true" hidden="false" outlineLevel="0" max="20" min="20" style="1" width="19"/>
    <col collapsed="false" customWidth="true" hidden="false" outlineLevel="0" max="21" min="21" style="1" width="29"/>
    <col collapsed="false" customWidth="true" hidden="false" outlineLevel="0" max="22" min="22" style="1" width="19"/>
    <col collapsed="false" customWidth="true" hidden="false" outlineLevel="0" max="23" min="23" style="1" width="16"/>
    <col collapsed="false" customWidth="true" hidden="false" outlineLevel="0" max="24" min="24" style="1" width="20"/>
    <col collapsed="false" customWidth="true" hidden="false" outlineLevel="0" max="29" min="25" style="1" width="16"/>
  </cols>
  <sheetData>
    <row r="1" customFormat="false" ht="33.75" hidden="false" customHeight="true" outlineLevel="0" collapsed="false">
      <c r="A1" s="14" t="s">
        <v>1679</v>
      </c>
      <c r="B1" s="14" t="s">
        <v>1680</v>
      </c>
      <c r="C1" s="14" t="s">
        <v>1681</v>
      </c>
      <c r="D1" s="14" t="s">
        <v>1682</v>
      </c>
      <c r="E1" s="14" t="s">
        <v>1683</v>
      </c>
      <c r="F1" s="14" t="s">
        <v>1684</v>
      </c>
      <c r="G1" s="14" t="s">
        <v>1685</v>
      </c>
      <c r="H1" s="14" t="s">
        <v>1686</v>
      </c>
      <c r="I1" s="14" t="s">
        <v>1687</v>
      </c>
      <c r="J1" s="14" t="s">
        <v>1688</v>
      </c>
      <c r="K1" s="14" t="s">
        <v>1689</v>
      </c>
      <c r="L1" s="14" t="s">
        <v>1690</v>
      </c>
      <c r="M1" s="14" t="s">
        <v>1691</v>
      </c>
      <c r="N1" s="14" t="s">
        <v>1692</v>
      </c>
      <c r="O1" s="14" t="s">
        <v>1693</v>
      </c>
      <c r="P1" s="14" t="s">
        <v>1694</v>
      </c>
      <c r="Q1" s="14" t="s">
        <v>1695</v>
      </c>
      <c r="R1" s="14" t="s">
        <v>1696</v>
      </c>
      <c r="S1" s="14" t="s">
        <v>1697</v>
      </c>
      <c r="T1" s="14" t="s">
        <v>1698</v>
      </c>
      <c r="U1" s="14" t="s">
        <v>1699</v>
      </c>
      <c r="V1" s="14" t="s">
        <v>1700</v>
      </c>
      <c r="W1" s="14" t="s">
        <v>1701</v>
      </c>
      <c r="X1" s="14" t="s">
        <v>1702</v>
      </c>
      <c r="Y1" s="14" t="s">
        <v>1703</v>
      </c>
      <c r="Z1" s="14" t="s">
        <v>1704</v>
      </c>
      <c r="AA1" s="14" t="s">
        <v>1705</v>
      </c>
      <c r="AB1" s="14" t="s">
        <v>1706</v>
      </c>
      <c r="AC1" s="14" t="s">
        <v>1707</v>
      </c>
    </row>
    <row r="2" customFormat="false" ht="15" hidden="false" customHeight="true" outlineLevel="0" collapsed="false">
      <c r="A2" s="86" t="s">
        <v>58</v>
      </c>
      <c r="B2" s="86" t="s">
        <v>58</v>
      </c>
      <c r="C2" s="86" t="s">
        <v>368</v>
      </c>
      <c r="D2" s="86" t="s">
        <v>61</v>
      </c>
      <c r="E2" s="86" t="s">
        <v>57</v>
      </c>
      <c r="F2" s="86" t="s">
        <v>59</v>
      </c>
      <c r="G2" s="86" t="s">
        <v>381</v>
      </c>
      <c r="H2" s="86" t="s">
        <v>423</v>
      </c>
      <c r="I2" s="86" t="s">
        <v>163</v>
      </c>
      <c r="J2" s="86" t="s">
        <v>1708</v>
      </c>
      <c r="K2" s="86" t="s">
        <v>87</v>
      </c>
      <c r="L2" s="86" t="s">
        <v>163</v>
      </c>
      <c r="M2" s="86" t="s">
        <v>1709</v>
      </c>
      <c r="N2" s="86" t="s">
        <v>417</v>
      </c>
      <c r="O2" s="86" t="s">
        <v>375</v>
      </c>
      <c r="P2" s="86" t="s">
        <v>376</v>
      </c>
      <c r="Q2" s="86" t="s">
        <v>378</v>
      </c>
      <c r="R2" s="86" t="s">
        <v>379</v>
      </c>
      <c r="S2" s="86" t="s">
        <v>385</v>
      </c>
      <c r="T2" s="86" t="s">
        <v>386</v>
      </c>
      <c r="U2" s="86" t="s">
        <v>163</v>
      </c>
      <c r="V2" s="86" t="s">
        <v>368</v>
      </c>
      <c r="W2" s="86" t="s">
        <v>998</v>
      </c>
      <c r="X2" s="86" t="s">
        <v>1010</v>
      </c>
      <c r="Y2" s="86" t="s">
        <v>718</v>
      </c>
      <c r="Z2" s="86" t="s">
        <v>890</v>
      </c>
      <c r="AA2" s="86" t="n">
        <v>1</v>
      </c>
      <c r="AB2" s="86" t="s">
        <v>715</v>
      </c>
      <c r="AC2" s="86" t="s">
        <v>715</v>
      </c>
    </row>
    <row r="3" customFormat="false" ht="15" hidden="false" customHeight="true" outlineLevel="0" collapsed="false">
      <c r="A3" s="86" t="s">
        <v>1710</v>
      </c>
      <c r="B3" s="86" t="s">
        <v>1710</v>
      </c>
      <c r="C3" s="86" t="s">
        <v>1711</v>
      </c>
      <c r="D3" s="86" t="s">
        <v>63</v>
      </c>
      <c r="E3" s="86" t="s">
        <v>78</v>
      </c>
      <c r="F3" s="86" t="s">
        <v>145</v>
      </c>
      <c r="G3" s="86" t="s">
        <v>455</v>
      </c>
      <c r="H3" s="86" t="s">
        <v>382</v>
      </c>
      <c r="I3" s="86" t="s">
        <v>384</v>
      </c>
      <c r="J3" s="86" t="s">
        <v>427</v>
      </c>
      <c r="K3" s="86" t="s">
        <v>60</v>
      </c>
      <c r="L3" s="86" t="s">
        <v>62</v>
      </c>
      <c r="M3" s="86" t="s">
        <v>1712</v>
      </c>
      <c r="N3" s="86" t="s">
        <v>374</v>
      </c>
      <c r="O3" s="86" t="s">
        <v>418</v>
      </c>
      <c r="P3" s="86" t="s">
        <v>419</v>
      </c>
      <c r="Q3" s="86" t="s">
        <v>476</v>
      </c>
      <c r="R3" s="86" t="s">
        <v>406</v>
      </c>
      <c r="S3" s="86" t="s">
        <v>428</v>
      </c>
      <c r="T3" s="86" t="s">
        <v>662</v>
      </c>
      <c r="U3" s="86" t="s">
        <v>387</v>
      </c>
      <c r="V3" s="86" t="s">
        <v>1713</v>
      </c>
      <c r="W3" s="86" t="s">
        <v>1021</v>
      </c>
      <c r="X3" s="86" t="s">
        <v>999</v>
      </c>
      <c r="Y3" s="86" t="s">
        <v>771</v>
      </c>
      <c r="Z3" s="86" t="s">
        <v>936</v>
      </c>
      <c r="AA3" s="86" t="n">
        <v>2</v>
      </c>
      <c r="AB3" s="86" t="s">
        <v>722</v>
      </c>
      <c r="AC3" s="86" t="s">
        <v>722</v>
      </c>
    </row>
    <row r="4" customFormat="false" ht="15" hidden="false" customHeight="true" outlineLevel="0" collapsed="false">
      <c r="A4" s="86" t="s">
        <v>95</v>
      </c>
      <c r="B4" s="86" t="s">
        <v>95</v>
      </c>
      <c r="C4" s="86" t="s">
        <v>71</v>
      </c>
      <c r="D4" s="86" t="s">
        <v>71</v>
      </c>
      <c r="E4" s="86" t="s">
        <v>86</v>
      </c>
      <c r="F4" s="86" t="s">
        <v>192</v>
      </c>
      <c r="G4" s="86" t="s">
        <v>422</v>
      </c>
      <c r="H4" s="86" t="s">
        <v>398</v>
      </c>
      <c r="I4" s="86" t="s">
        <v>457</v>
      </c>
      <c r="J4" s="86" t="s">
        <v>383</v>
      </c>
      <c r="K4" s="86" t="s">
        <v>97</v>
      </c>
      <c r="L4" s="86" t="s">
        <v>1714</v>
      </c>
      <c r="M4" s="86" t="s">
        <v>394</v>
      </c>
      <c r="N4" s="86" t="s">
        <v>71</v>
      </c>
      <c r="O4" s="86" t="s">
        <v>395</v>
      </c>
      <c r="P4" s="86" t="s">
        <v>1715</v>
      </c>
      <c r="Q4" s="86" t="s">
        <v>1716</v>
      </c>
      <c r="R4" s="86" t="s">
        <v>1717</v>
      </c>
      <c r="S4" s="86" t="s">
        <v>1718</v>
      </c>
      <c r="T4" s="86" t="s">
        <v>409</v>
      </c>
      <c r="U4" s="86" t="s">
        <v>589</v>
      </c>
      <c r="V4" s="86" t="s">
        <v>436</v>
      </c>
      <c r="X4" s="86" t="s">
        <v>1719</v>
      </c>
      <c r="Y4" s="86" t="s">
        <v>752</v>
      </c>
      <c r="AA4" s="86" t="n">
        <v>3</v>
      </c>
      <c r="AB4" s="86" t="s">
        <v>873</v>
      </c>
      <c r="AC4" s="86" t="s">
        <v>935</v>
      </c>
    </row>
    <row r="5" customFormat="false" ht="15" hidden="false" customHeight="true" outlineLevel="0" collapsed="false">
      <c r="A5" s="86" t="s">
        <v>71</v>
      </c>
      <c r="B5" s="86" t="s">
        <v>71</v>
      </c>
      <c r="E5" s="86" t="s">
        <v>94</v>
      </c>
      <c r="F5" s="86" t="s">
        <v>105</v>
      </c>
      <c r="G5" s="86" t="s">
        <v>1572</v>
      </c>
      <c r="H5" s="86" t="s">
        <v>1720</v>
      </c>
      <c r="I5" s="86" t="s">
        <v>408</v>
      </c>
      <c r="J5" s="86" t="s">
        <v>486</v>
      </c>
      <c r="K5" s="86" t="s">
        <v>111</v>
      </c>
      <c r="L5" s="86" t="s">
        <v>79</v>
      </c>
      <c r="M5" s="86" t="s">
        <v>492</v>
      </c>
      <c r="O5" s="86" t="s">
        <v>71</v>
      </c>
      <c r="P5" s="86" t="s">
        <v>636</v>
      </c>
      <c r="Q5" s="86" t="s">
        <v>1721</v>
      </c>
      <c r="S5" s="86" t="s">
        <v>1722</v>
      </c>
      <c r="T5" s="86" t="s">
        <v>1723</v>
      </c>
      <c r="U5" s="86" t="s">
        <v>71</v>
      </c>
      <c r="V5" s="86" t="s">
        <v>1724</v>
      </c>
      <c r="X5" s="86" t="s">
        <v>1725</v>
      </c>
      <c r="AA5" s="86" t="n">
        <v>4</v>
      </c>
      <c r="AB5" s="86" t="s">
        <v>161</v>
      </c>
      <c r="AC5" s="86" t="s">
        <v>873</v>
      </c>
    </row>
    <row r="6" customFormat="false" ht="15" hidden="false" customHeight="true" outlineLevel="0" collapsed="false">
      <c r="E6" s="86" t="s">
        <v>104</v>
      </c>
      <c r="F6" s="86" t="s">
        <v>96</v>
      </c>
      <c r="G6" s="86" t="s">
        <v>71</v>
      </c>
      <c r="H6" s="86" t="s">
        <v>601</v>
      </c>
      <c r="I6" s="86" t="s">
        <v>71</v>
      </c>
      <c r="J6" s="86" t="s">
        <v>513</v>
      </c>
      <c r="K6" s="86" t="s">
        <v>156</v>
      </c>
      <c r="L6" s="86" t="s">
        <v>71</v>
      </c>
      <c r="M6" s="86" t="s">
        <v>647</v>
      </c>
      <c r="P6" s="86" t="s">
        <v>71</v>
      </c>
      <c r="Q6" s="86" t="s">
        <v>1726</v>
      </c>
      <c r="S6" s="86" t="s">
        <v>533</v>
      </c>
      <c r="T6" s="86" t="s">
        <v>1727</v>
      </c>
      <c r="V6" s="86" t="s">
        <v>1728</v>
      </c>
      <c r="AA6" s="86" t="n">
        <v>5</v>
      </c>
      <c r="AC6" s="86" t="s">
        <v>161</v>
      </c>
    </row>
    <row r="7" customFormat="false" ht="15" hidden="false" customHeight="true" outlineLevel="0" collapsed="false">
      <c r="F7" s="86" t="s">
        <v>71</v>
      </c>
      <c r="H7" s="86" t="s">
        <v>456</v>
      </c>
      <c r="J7" s="86" t="s">
        <v>71</v>
      </c>
      <c r="K7" s="86" t="s">
        <v>163</v>
      </c>
      <c r="M7" s="86" t="s">
        <v>1729</v>
      </c>
      <c r="Q7" s="86" t="s">
        <v>71</v>
      </c>
      <c r="S7" s="86" t="s">
        <v>638</v>
      </c>
      <c r="T7" s="86" t="s">
        <v>163</v>
      </c>
      <c r="V7" s="86" t="s">
        <v>71</v>
      </c>
    </row>
    <row r="8" customFormat="false" ht="15" hidden="false" customHeight="true" outlineLevel="0" collapsed="false">
      <c r="H8" s="86" t="s">
        <v>1730</v>
      </c>
      <c r="K8" s="86" t="s">
        <v>71</v>
      </c>
      <c r="M8" s="86" t="s">
        <v>373</v>
      </c>
      <c r="S8" s="86" t="s">
        <v>71</v>
      </c>
      <c r="T8" s="86" t="s">
        <v>71</v>
      </c>
    </row>
    <row r="9" customFormat="false" ht="15" hidden="false" customHeight="true" outlineLevel="0" collapsed="false">
      <c r="H9" s="86" t="s">
        <v>532</v>
      </c>
      <c r="M9" s="86" t="s">
        <v>464</v>
      </c>
    </row>
    <row r="10" customFormat="false" ht="15" hidden="false" customHeight="true" outlineLevel="0" collapsed="false">
      <c r="H10" s="86" t="s">
        <v>71</v>
      </c>
      <c r="M10" s="86" t="s">
        <v>452</v>
      </c>
    </row>
    <row r="11" customFormat="false" ht="15" hidden="false" customHeight="true" outlineLevel="0" collapsed="false">
      <c r="M11" s="86"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2026-10-07T18:16:06Z</dcterms:created>
  <dc:creator>openpyxl</dc:creator>
  <dc:description/>
  <dc:language>en-US</dc:language>
  <cp:lastModifiedBy/>
  <dcterms:modified xsi:type="dcterms:W3CDTF">2026-10-15T11:10:14Z</dcterms:modified>
  <cp:revision>0</cp:revision>
  <dc:subject/>
  <dc:title>Data Laptop: Lima Laptop Awal (Draf 1)</dc:title>
</cp:coreProperties>
</file>

<file path=docProps/custom.xml><?xml version="1.0" encoding="utf-8"?>
<Properties xmlns="http://schemas.openxmlformats.org/officeDocument/2006/custom-properties" xmlns:vt="http://schemas.openxmlformats.org/officeDocument/2006/docPropsVTypes"/>
</file>